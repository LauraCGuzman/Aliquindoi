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ml.chartshapes+xml"/>
  <Override PartName="/xl/charts/chart6.xml" ContentType="application/vnd.openxmlformats-officedocument.drawingml.chart+xml"/>
  <Override PartName="/xl/drawings/drawing3.xml" ContentType="application/vnd.openxmlformats-officedocument.drawingml.chartshape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camp_la\PycharmProjects\OPAC\user_templates\plantillas\"/>
    </mc:Choice>
  </mc:AlternateContent>
  <xr:revisionPtr revIDLastSave="0" documentId="8_{AD9A7105-5A8B-4888-AD29-805ED1D47DB0}" xr6:coauthVersionLast="47" xr6:coauthVersionMax="47" xr10:uidLastSave="{00000000-0000-0000-0000-000000000000}"/>
  <bookViews>
    <workbookView xWindow="-110" yWindow="-110" windowWidth="25820" windowHeight="13900" xr2:uid="{D54A8102-BAF0-4435-8AA7-E062D62C3869}"/>
  </bookViews>
  <sheets>
    <sheet name="trans5_PV_5nm" sheetId="18" r:id="rId1"/>
  </sheets>
  <definedNames>
    <definedName name="Fabricante">#REF!</definedName>
    <definedName name="Form1" localSheetId="0">trans5_PV_5nm!$B$1:$C$47</definedName>
    <definedName name="Form1">#REF!</definedName>
    <definedName name="Form2" localSheetId="0">trans5_PV_5nm!$J$1:$P$50</definedName>
    <definedName name="Form2">#REF!</definedName>
    <definedName name="_Mes1" localSheetId="0">trans5_PV_5nm!$Q$538</definedName>
    <definedName name="_Mes1">#REF!</definedName>
    <definedName name="_Mes2" localSheetId="0">trans5_PV_5nm!$R$538</definedName>
    <definedName name="_Mes2">#REF!</definedName>
    <definedName name="_Mes3" localSheetId="0">trans5_PV_5nm!$S$538</definedName>
    <definedName name="_Mes3">#REF!</definedName>
    <definedName name="_Mes4" localSheetId="0">trans5_PV_5nm!$T$538</definedName>
    <definedName name="_Mes4">#REF!</definedName>
    <definedName name="_Mes5" localSheetId="0">trans5_PV_5nm!$Y$540</definedName>
    <definedName name="_Mes5">#REF!</definedName>
    <definedName name="MesB1" localSheetId="0">trans5_PV_5nm!$M$538</definedName>
    <definedName name="MesB1">#REF!</definedName>
    <definedName name="MesB2" localSheetId="0">trans5_PV_5nm!$N$538</definedName>
    <definedName name="MesB2">#REF!</definedName>
    <definedName name="Mesn1" localSheetId="0">trans5_PV_5nm!$C$59</definedName>
    <definedName name="Mesn1">#REF!</definedName>
    <definedName name="Mesn2" localSheetId="0">trans5_PV_5nm!$C$60</definedName>
    <definedName name="Mesn2">#REF!</definedName>
    <definedName name="Mesn3">#REF!</definedName>
    <definedName name="Mesn4">#REF!</definedName>
    <definedName name="Mesn5">#REF!</definedName>
    <definedName name="Mesna1" localSheetId="0">trans5_PV_5nm!$Q$539</definedName>
    <definedName name="Mesna1">#REF!</definedName>
    <definedName name="Mesna2" localSheetId="0">trans5_PV_5nm!$R$539</definedName>
    <definedName name="Mesna2">#REF!</definedName>
    <definedName name="Mesna3" localSheetId="0">trans5_PV_5nm!$S$539</definedName>
    <definedName name="Mesna3">#REF!</definedName>
    <definedName name="Mesna4" localSheetId="0">trans5_PV_5nm!$T$539</definedName>
    <definedName name="Mesna4">#REF!</definedName>
    <definedName name="Mesna5" localSheetId="0">trans5_PV_5nm!$Y$541</definedName>
    <definedName name="Mesna5">#REF!</definedName>
    <definedName name="MesnaB1" localSheetId="0">trans5_PV_5nm!$M$539</definedName>
    <definedName name="MesnaB1">#REF!</definedName>
    <definedName name="MesnaB2" localSheetId="0">trans5_PV_5nm!$N$539</definedName>
    <definedName name="MesnaB2">#REF!</definedName>
    <definedName name="RefListeStart" localSheetId="0">trans5_PV_5nm!$AR$75:$AW$75</definedName>
    <definedName name="RefListeStart">#REF!</definedName>
    <definedName name="refname" localSheetId="0">trans5_PV_5nm!$C$52</definedName>
    <definedName name="refname">#REF!</definedName>
    <definedName name="RefSpec" localSheetId="0">trans5_PV_5nm!$O$75</definedName>
    <definedName name="RefSpec">#REF!</definedName>
    <definedName name="Size">#REF!</definedName>
    <definedName name="Sol_E891" localSheetId="0">trans5_PV_5nm!$AM$79:$AM$518</definedName>
    <definedName name="Sol_E891">#REF!</definedName>
    <definedName name="Sol_G173b" localSheetId="0">trans5_PV_5nm!$AP$79:$AP$523</definedName>
    <definedName name="Sol_G173b">#REF!</definedName>
    <definedName name="Sol_G173g" localSheetId="0">trans5_PV_5nm!$AO$79:$AO$523</definedName>
    <definedName name="Sol_G173g">#REF!</definedName>
    <definedName name="Sol_I9050" localSheetId="0">trans5_PV_5nm!$AN$79:$AN$518</definedName>
    <definedName name="Sol_I9050">#REF!</definedName>
    <definedName name="SpecAverage" localSheetId="0">trans5_PV_5nm!$AI$78:$AI$529</definedName>
    <definedName name="SpecAverage">#REF!</definedName>
    <definedName name="SpekListeKompl">#REF!</definedName>
    <definedName name="TestSite">#REF!</definedName>
    <definedName name="Thickness">#REF!</definedName>
  </definedNames>
  <calcPr calcId="191029"/>
  <customWorkbookViews>
    <customWorkbookView name="meyen_st - Persönliche Ansicht" guid="{EB4B66E4-326C-4864-AECE-5E4C78D0401B}" mergeInterval="0" personalView="1" maximized="1" windowWidth="1250" windowHeight="863" activeSheetId="1"/>
    <customWorkbookView name="E. Lüpfert - Persönliche Ansicht" guid="{CB030D09-9247-4FE8-BAF5-C758F77D7721}" mergeInterval="0" personalView="1" maximized="1" windowWidth="1276" windowHeight="821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67" i="18" l="1"/>
  <c r="Y77" i="18"/>
  <c r="X77" i="18"/>
  <c r="X91" i="18" a="1"/>
  <c r="X91" i="18"/>
  <c r="W77" i="18"/>
  <c r="W94" i="18" a="1"/>
  <c r="W94" i="18"/>
  <c r="V77" i="18"/>
  <c r="U77" i="18"/>
  <c r="T77" i="18"/>
  <c r="S77" i="18"/>
  <c r="R77" i="18"/>
  <c r="Q77" i="18"/>
  <c r="AG86" i="18"/>
  <c r="AG88" i="18"/>
  <c r="AG89" i="18"/>
  <c r="AG102" i="18"/>
  <c r="AG109" i="18"/>
  <c r="AG118" i="18"/>
  <c r="AG119" i="18"/>
  <c r="AG120" i="18"/>
  <c r="AG122" i="18"/>
  <c r="AG147" i="18"/>
  <c r="AG155" i="18"/>
  <c r="AG156" i="18"/>
  <c r="AG158" i="18"/>
  <c r="AG159" i="18"/>
  <c r="AG178" i="18"/>
  <c r="AG181" i="18"/>
  <c r="AG197" i="18"/>
  <c r="AG205" i="18"/>
  <c r="AG206" i="18"/>
  <c r="AG207" i="18"/>
  <c r="AG208" i="18"/>
  <c r="AG211" i="18"/>
  <c r="AG225" i="18"/>
  <c r="AG236" i="18"/>
  <c r="AG237" i="18"/>
  <c r="AG266" i="18"/>
  <c r="AG268" i="18"/>
  <c r="AG270" i="18"/>
  <c r="AG271" i="18"/>
  <c r="AG282" i="18"/>
  <c r="AG284" i="18"/>
  <c r="AG293" i="18"/>
  <c r="AG295" i="18"/>
  <c r="AG305" i="18"/>
  <c r="AG326" i="18"/>
  <c r="AG350" i="18"/>
  <c r="AG351" i="18"/>
  <c r="AG380" i="18"/>
  <c r="AG381" i="18"/>
  <c r="AG388" i="18"/>
  <c r="AG389" i="18"/>
  <c r="AG391" i="18"/>
  <c r="AG397" i="18"/>
  <c r="AG400" i="18"/>
  <c r="AG425" i="18"/>
  <c r="AG455" i="18"/>
  <c r="AG459" i="18"/>
  <c r="AG460" i="18"/>
  <c r="AG463" i="18"/>
  <c r="AG464" i="18"/>
  <c r="AG483" i="18"/>
  <c r="AG494" i="18"/>
  <c r="AG501" i="18"/>
  <c r="AG502" i="18"/>
  <c r="AG505" i="18"/>
  <c r="AG513" i="18"/>
  <c r="AG514" i="18"/>
  <c r="AG524" i="18"/>
  <c r="AF89" i="18"/>
  <c r="AF90" i="18"/>
  <c r="AF114" i="18"/>
  <c r="AF123" i="18"/>
  <c r="AF124" i="18"/>
  <c r="AF142" i="18"/>
  <c r="AF143" i="18"/>
  <c r="AF144" i="18"/>
  <c r="AF164" i="18"/>
  <c r="AF168" i="18"/>
  <c r="AF177" i="18"/>
  <c r="AF188" i="18"/>
  <c r="AF200" i="18"/>
  <c r="AF201" i="18"/>
  <c r="AF209" i="18"/>
  <c r="AF219" i="18"/>
  <c r="AF222" i="18"/>
  <c r="AF223" i="18"/>
  <c r="AF227" i="18"/>
  <c r="AF228" i="18"/>
  <c r="AF246" i="18"/>
  <c r="AF247" i="18"/>
  <c r="AF255" i="18"/>
  <c r="AF267" i="18"/>
  <c r="AF284" i="18"/>
  <c r="AF285" i="18"/>
  <c r="AF286" i="18"/>
  <c r="AF288" i="18"/>
  <c r="AF290" i="18"/>
  <c r="AF319" i="18"/>
  <c r="AF331" i="18"/>
  <c r="AF338" i="18"/>
  <c r="AF346" i="18"/>
  <c r="AF348" i="18"/>
  <c r="AF349" i="18"/>
  <c r="AF350" i="18"/>
  <c r="AF394" i="18"/>
  <c r="AF396" i="18"/>
  <c r="AF397" i="18"/>
  <c r="AF415" i="18"/>
  <c r="AF448" i="18"/>
  <c r="AF456" i="18"/>
  <c r="AF466" i="18"/>
  <c r="AF476" i="18"/>
  <c r="AF478" i="18"/>
  <c r="AF479" i="18"/>
  <c r="AF480" i="18"/>
  <c r="AF511" i="18"/>
  <c r="AF529" i="18"/>
  <c r="AE80" i="18"/>
  <c r="AE81" i="18"/>
  <c r="AE82" i="18"/>
  <c r="AE83" i="18"/>
  <c r="AE86" i="18"/>
  <c r="AE122" i="18"/>
  <c r="AE147" i="18"/>
  <c r="AE150" i="18"/>
  <c r="AE152" i="18"/>
  <c r="AE156" i="18"/>
  <c r="AE157" i="18"/>
  <c r="AE158" i="18"/>
  <c r="AE168" i="18"/>
  <c r="AE169" i="18"/>
  <c r="AE191" i="18"/>
  <c r="AE192" i="18"/>
  <c r="AE193" i="18"/>
  <c r="AE199" i="18"/>
  <c r="AE200" i="18"/>
  <c r="AE201" i="18"/>
  <c r="AE202" i="18"/>
  <c r="AE204" i="18"/>
  <c r="AE221" i="18"/>
  <c r="AE226" i="18"/>
  <c r="AE228" i="18"/>
  <c r="AE244" i="18"/>
  <c r="AE256" i="18"/>
  <c r="AE257" i="18"/>
  <c r="AE258" i="18"/>
  <c r="AE279" i="18"/>
  <c r="AE284" i="18"/>
  <c r="AE285" i="18"/>
  <c r="AE286" i="18"/>
  <c r="AE299" i="18"/>
  <c r="AE301" i="18"/>
  <c r="AE302" i="18"/>
  <c r="AE309" i="18"/>
  <c r="AE310" i="18"/>
  <c r="AE337" i="18"/>
  <c r="AE348" i="18"/>
  <c r="AE354" i="18"/>
  <c r="AE356" i="18"/>
  <c r="AE365" i="18"/>
  <c r="AE366" i="18"/>
  <c r="AE410" i="18"/>
  <c r="AE411" i="18"/>
  <c r="AE416" i="18"/>
  <c r="AE417" i="18"/>
  <c r="AE421" i="18"/>
  <c r="AE424" i="18"/>
  <c r="AE425" i="18"/>
  <c r="AE426" i="18"/>
  <c r="AE427" i="18"/>
  <c r="AE448" i="18"/>
  <c r="AE449" i="18"/>
  <c r="AE450" i="18"/>
  <c r="AE473" i="18"/>
  <c r="AE486" i="18"/>
  <c r="AE501" i="18"/>
  <c r="AE502" i="18"/>
  <c r="AE508" i="18"/>
  <c r="AE509" i="18"/>
  <c r="AE510" i="18"/>
  <c r="AD106" i="18"/>
  <c r="AD129" i="18"/>
  <c r="AD130" i="18"/>
  <c r="AD138" i="18"/>
  <c r="AD139" i="18"/>
  <c r="AD145" i="18"/>
  <c r="AD187" i="18"/>
  <c r="AD188" i="18"/>
  <c r="AD189" i="18"/>
  <c r="AD197" i="18"/>
  <c r="AD198" i="18"/>
  <c r="AD199" i="18"/>
  <c r="AD200" i="18"/>
  <c r="AD208" i="18"/>
  <c r="AD231" i="18"/>
  <c r="AD233" i="18"/>
  <c r="AD235" i="18"/>
  <c r="AD247" i="18"/>
  <c r="AD255" i="18"/>
  <c r="AD256" i="18"/>
  <c r="AD270" i="18"/>
  <c r="AD304" i="18"/>
  <c r="AD305" i="18"/>
  <c r="AD306" i="18"/>
  <c r="AD312" i="18"/>
  <c r="AD315" i="18"/>
  <c r="AD328" i="18"/>
  <c r="AD329" i="18"/>
  <c r="AD336" i="18"/>
  <c r="AD337" i="18"/>
  <c r="AD338" i="18"/>
  <c r="AD353" i="18"/>
  <c r="AD354" i="18"/>
  <c r="AD362" i="18"/>
  <c r="AD363" i="18"/>
  <c r="AD378" i="18"/>
  <c r="AD379" i="18"/>
  <c r="AD381" i="18"/>
  <c r="AD386" i="18"/>
  <c r="AD387" i="18"/>
  <c r="AD389" i="18"/>
  <c r="AD390" i="18"/>
  <c r="AD393" i="18"/>
  <c r="AD421" i="18"/>
  <c r="AD422" i="18"/>
  <c r="AD423" i="18"/>
  <c r="AD438" i="18"/>
  <c r="AD439" i="18"/>
  <c r="AD440" i="18"/>
  <c r="AD446" i="18"/>
  <c r="AD447" i="18"/>
  <c r="AD448" i="18"/>
  <c r="AD450" i="18"/>
  <c r="AD480" i="18"/>
  <c r="AD488" i="18"/>
  <c r="AD489" i="18"/>
  <c r="AD493" i="18"/>
  <c r="AD504" i="18"/>
  <c r="AD505" i="18"/>
  <c r="AD515" i="18"/>
  <c r="AD516" i="18"/>
  <c r="X80" i="18" a="1"/>
  <c r="X80" i="18"/>
  <c r="AG80" i="18"/>
  <c r="X81" i="18" a="1"/>
  <c r="X81" i="18"/>
  <c r="AG81" i="18"/>
  <c r="X82" i="18" a="1"/>
  <c r="X82" i="18"/>
  <c r="AG82" i="18"/>
  <c r="X83" i="18" a="1"/>
  <c r="X83" i="18"/>
  <c r="AG83" i="18"/>
  <c r="X84" i="18" a="1"/>
  <c r="X84" i="18"/>
  <c r="AG84" i="18"/>
  <c r="X85" i="18" a="1"/>
  <c r="X85" i="18"/>
  <c r="AG85" i="18"/>
  <c r="X86" i="18" a="1"/>
  <c r="X86" i="18"/>
  <c r="X87" i="18" a="1"/>
  <c r="X87" i="18"/>
  <c r="AG87" i="18"/>
  <c r="X88" i="18" a="1"/>
  <c r="X88" i="18"/>
  <c r="X89" i="18" a="1"/>
  <c r="X89" i="18"/>
  <c r="X90" i="18" a="1"/>
  <c r="X90" i="18"/>
  <c r="AG90" i="18"/>
  <c r="AG91" i="18"/>
  <c r="X92" i="18" a="1"/>
  <c r="X92" i="18"/>
  <c r="AG92" i="18"/>
  <c r="X93" i="18" a="1"/>
  <c r="X93" i="18"/>
  <c r="AG93" i="18"/>
  <c r="X94" i="18" a="1"/>
  <c r="X94" i="18"/>
  <c r="AG94" i="18"/>
  <c r="X95" i="18" a="1"/>
  <c r="X95" i="18"/>
  <c r="AG95" i="18"/>
  <c r="X96" i="18" a="1"/>
  <c r="X96" i="18"/>
  <c r="AG96" i="18"/>
  <c r="X97" i="18" a="1"/>
  <c r="X97" i="18"/>
  <c r="AG97" i="18"/>
  <c r="X98" i="18" a="1"/>
  <c r="X98" i="18"/>
  <c r="AG98" i="18"/>
  <c r="X100" i="18" a="1"/>
  <c r="X100" i="18"/>
  <c r="AG100" i="18"/>
  <c r="X101" i="18" a="1"/>
  <c r="X101" i="18"/>
  <c r="AG101" i="18"/>
  <c r="X102" i="18" a="1"/>
  <c r="X102" i="18"/>
  <c r="X103" i="18" a="1"/>
  <c r="X103" i="18"/>
  <c r="AG103" i="18"/>
  <c r="X104" i="18" a="1"/>
  <c r="X104" i="18"/>
  <c r="AG104" i="18"/>
  <c r="X105" i="18" a="1"/>
  <c r="X105" i="18"/>
  <c r="AG105" i="18"/>
  <c r="X106" i="18" a="1"/>
  <c r="X106" i="18"/>
  <c r="AG106" i="18"/>
  <c r="X107" i="18" a="1"/>
  <c r="X107" i="18"/>
  <c r="AG107" i="18"/>
  <c r="X108" i="18" a="1"/>
  <c r="X108" i="18"/>
  <c r="AG108" i="18"/>
  <c r="X109" i="18" a="1"/>
  <c r="X109" i="18"/>
  <c r="X110" i="18" a="1"/>
  <c r="X110" i="18"/>
  <c r="AG110" i="18"/>
  <c r="X111" i="18" a="1"/>
  <c r="X111" i="18"/>
  <c r="AG111" i="18"/>
  <c r="X112" i="18" a="1"/>
  <c r="X112" i="18"/>
  <c r="AG112" i="18"/>
  <c r="X113" i="18" a="1"/>
  <c r="X113" i="18"/>
  <c r="AG113" i="18"/>
  <c r="X114" i="18" a="1"/>
  <c r="X114" i="18"/>
  <c r="AG114" i="18"/>
  <c r="X116" i="18" a="1"/>
  <c r="X116" i="18"/>
  <c r="AG116" i="18"/>
  <c r="X117" i="18" a="1"/>
  <c r="X117" i="18"/>
  <c r="AG117" i="18"/>
  <c r="X118" i="18" a="1"/>
  <c r="X118" i="18"/>
  <c r="X119" i="18" a="1"/>
  <c r="X119" i="18"/>
  <c r="X120" i="18" a="1"/>
  <c r="X120" i="18"/>
  <c r="X121" i="18" a="1"/>
  <c r="X121" i="18"/>
  <c r="AG121" i="18"/>
  <c r="X122" i="18" a="1"/>
  <c r="X122" i="18"/>
  <c r="X123" i="18" a="1"/>
  <c r="X123" i="18"/>
  <c r="AG123" i="18"/>
  <c r="X124" i="18" a="1"/>
  <c r="X124" i="18"/>
  <c r="AG124" i="18"/>
  <c r="X125" i="18" a="1"/>
  <c r="X125" i="18"/>
  <c r="AG125" i="18"/>
  <c r="X126" i="18" a="1"/>
  <c r="X126" i="18"/>
  <c r="AG126" i="18"/>
  <c r="X127" i="18" a="1"/>
  <c r="X127" i="18"/>
  <c r="AG127" i="18"/>
  <c r="X128" i="18" a="1"/>
  <c r="X128" i="18"/>
  <c r="AG128" i="18"/>
  <c r="X129" i="18" a="1"/>
  <c r="X129" i="18"/>
  <c r="AG129" i="18"/>
  <c r="X130" i="18" a="1"/>
  <c r="X130" i="18"/>
  <c r="AG130" i="18"/>
  <c r="X131" i="18" a="1"/>
  <c r="X131" i="18"/>
  <c r="AG131" i="18"/>
  <c r="X132" i="18" a="1"/>
  <c r="X132" i="18"/>
  <c r="AG132" i="18"/>
  <c r="X133" i="18" a="1"/>
  <c r="X133" i="18"/>
  <c r="AG133" i="18"/>
  <c r="X134" i="18" a="1"/>
  <c r="X134" i="18"/>
  <c r="AG134" i="18"/>
  <c r="X135" i="18" a="1"/>
  <c r="X135" i="18"/>
  <c r="AG135" i="18"/>
  <c r="X136" i="18" a="1"/>
  <c r="X136" i="18"/>
  <c r="AG136" i="18"/>
  <c r="X137" i="18" a="1"/>
  <c r="X137" i="18"/>
  <c r="AG137" i="18"/>
  <c r="X138" i="18" a="1"/>
  <c r="X138" i="18"/>
  <c r="AG138" i="18"/>
  <c r="X139" i="18" a="1"/>
  <c r="X139" i="18"/>
  <c r="AG139" i="18"/>
  <c r="X141" i="18" a="1"/>
  <c r="X141" i="18"/>
  <c r="AG141" i="18"/>
  <c r="X142" i="18" a="1"/>
  <c r="X142" i="18"/>
  <c r="AG142" i="18"/>
  <c r="X143" i="18" a="1"/>
  <c r="X143" i="18"/>
  <c r="AG143" i="18"/>
  <c r="X144" i="18" a="1"/>
  <c r="X144" i="18"/>
  <c r="AG144" i="18"/>
  <c r="X145" i="18" a="1"/>
  <c r="X145" i="18"/>
  <c r="AG145" i="18"/>
  <c r="X146" i="18" a="1"/>
  <c r="X146" i="18"/>
  <c r="AG146" i="18"/>
  <c r="X147" i="18" a="1"/>
  <c r="X147" i="18"/>
  <c r="X148" i="18" a="1"/>
  <c r="X148" i="18"/>
  <c r="AG148" i="18"/>
  <c r="X149" i="18" a="1"/>
  <c r="X149" i="18"/>
  <c r="AG149" i="18"/>
  <c r="X150" i="18" a="1"/>
  <c r="X150" i="18"/>
  <c r="AG150" i="18"/>
  <c r="X151" i="18" a="1"/>
  <c r="X151" i="18"/>
  <c r="AG151" i="18"/>
  <c r="X152" i="18" a="1"/>
  <c r="X152" i="18"/>
  <c r="AG152" i="18"/>
  <c r="X153" i="18" a="1"/>
  <c r="X153" i="18"/>
  <c r="AG153" i="18"/>
  <c r="X154" i="18" a="1"/>
  <c r="X154" i="18"/>
  <c r="AG154" i="18"/>
  <c r="X155" i="18" a="1"/>
  <c r="X155" i="18"/>
  <c r="X156" i="18" a="1"/>
  <c r="X156" i="18"/>
  <c r="X157" i="18" a="1"/>
  <c r="X157" i="18"/>
  <c r="AG157" i="18"/>
  <c r="X158" i="18" a="1"/>
  <c r="X158" i="18"/>
  <c r="X159" i="18" a="1"/>
  <c r="X159" i="18"/>
  <c r="X160" i="18" a="1"/>
  <c r="X160" i="18"/>
  <c r="AG160" i="18"/>
  <c r="X161" i="18" a="1"/>
  <c r="X161" i="18"/>
  <c r="AG161" i="18"/>
  <c r="X162" i="18" a="1"/>
  <c r="X162" i="18"/>
  <c r="AG162" i="18"/>
  <c r="X163" i="18" a="1"/>
  <c r="X163" i="18"/>
  <c r="AG163" i="18"/>
  <c r="X164" i="18" a="1"/>
  <c r="X164" i="18"/>
  <c r="AG164" i="18"/>
  <c r="X165" i="18" a="1"/>
  <c r="X165" i="18"/>
  <c r="AG165" i="18"/>
  <c r="X166" i="18" a="1"/>
  <c r="X166" i="18"/>
  <c r="AG166" i="18"/>
  <c r="X168" i="18" a="1"/>
  <c r="X168" i="18"/>
  <c r="AG168" i="18"/>
  <c r="X169" i="18" a="1"/>
  <c r="X169" i="18"/>
  <c r="AG169" i="18"/>
  <c r="X170" i="18" a="1"/>
  <c r="X170" i="18"/>
  <c r="AG170" i="18"/>
  <c r="X171" i="18" a="1"/>
  <c r="X171" i="18"/>
  <c r="AG171" i="18"/>
  <c r="X172" i="18" a="1"/>
  <c r="X172" i="18"/>
  <c r="AG172" i="18"/>
  <c r="X173" i="18" a="1"/>
  <c r="X173" i="18"/>
  <c r="AG173" i="18"/>
  <c r="X174" i="18" a="1"/>
  <c r="X174" i="18"/>
  <c r="AG174" i="18"/>
  <c r="X175" i="18" a="1"/>
  <c r="X175" i="18"/>
  <c r="AG175" i="18"/>
  <c r="X177" i="18" a="1"/>
  <c r="X177" i="18"/>
  <c r="AG177" i="18"/>
  <c r="X178" i="18" a="1"/>
  <c r="X178" i="18"/>
  <c r="X179" i="18" a="1"/>
  <c r="X179" i="18"/>
  <c r="AG179" i="18"/>
  <c r="X180" i="18" a="1"/>
  <c r="X180" i="18"/>
  <c r="AG180" i="18"/>
  <c r="X181" i="18" a="1"/>
  <c r="X181" i="18"/>
  <c r="X182" i="18" a="1"/>
  <c r="X182" i="18"/>
  <c r="AG182" i="18"/>
  <c r="X183" i="18" a="1"/>
  <c r="X183" i="18"/>
  <c r="AG183" i="18"/>
  <c r="X184" i="18" a="1"/>
  <c r="X184" i="18"/>
  <c r="AG184" i="18"/>
  <c r="X185" i="18" a="1"/>
  <c r="X185" i="18"/>
  <c r="AG185" i="18"/>
  <c r="X186" i="18" a="1"/>
  <c r="X186" i="18"/>
  <c r="AG186" i="18"/>
  <c r="X187" i="18" a="1"/>
  <c r="X187" i="18"/>
  <c r="AG187" i="18"/>
  <c r="X188" i="18" a="1"/>
  <c r="X188" i="18"/>
  <c r="AG188" i="18"/>
  <c r="X189" i="18" a="1"/>
  <c r="X189" i="18"/>
  <c r="AG189" i="18"/>
  <c r="X190" i="18" a="1"/>
  <c r="X190" i="18"/>
  <c r="AG190" i="18"/>
  <c r="X191" i="18" a="1"/>
  <c r="X191" i="18"/>
  <c r="AG191" i="18"/>
  <c r="X192" i="18" a="1"/>
  <c r="X192" i="18"/>
  <c r="AG192" i="18"/>
  <c r="X193" i="18" a="1"/>
  <c r="X193" i="18"/>
  <c r="AG193" i="18"/>
  <c r="X194" i="18" a="1"/>
  <c r="X194" i="18"/>
  <c r="AG194" i="18"/>
  <c r="X195" i="18" a="1"/>
  <c r="X195" i="18"/>
  <c r="AG195" i="18"/>
  <c r="X196" i="18" a="1"/>
  <c r="X196" i="18"/>
  <c r="AG196" i="18"/>
  <c r="X197" i="18" a="1"/>
  <c r="X197" i="18"/>
  <c r="X198" i="18" a="1"/>
  <c r="X198" i="18"/>
  <c r="AG198" i="18"/>
  <c r="X199" i="18" a="1"/>
  <c r="X199" i="18"/>
  <c r="AG199" i="18"/>
  <c r="X200" i="18" a="1"/>
  <c r="X200" i="18"/>
  <c r="AG200" i="18"/>
  <c r="X201" i="18" a="1"/>
  <c r="X201" i="18"/>
  <c r="AG201" i="18"/>
  <c r="X202" i="18" a="1"/>
  <c r="X202" i="18"/>
  <c r="AG202" i="18"/>
  <c r="X203" i="18" a="1"/>
  <c r="X203" i="18"/>
  <c r="AG203" i="18"/>
  <c r="X204" i="18" a="1"/>
  <c r="X204" i="18"/>
  <c r="AG204" i="18"/>
  <c r="X205" i="18" a="1"/>
  <c r="X205" i="18"/>
  <c r="X206" i="18" a="1"/>
  <c r="X206" i="18"/>
  <c r="X207" i="18" a="1"/>
  <c r="X207" i="18"/>
  <c r="X208" i="18" a="1"/>
  <c r="X208" i="18"/>
  <c r="X209" i="18" a="1"/>
  <c r="X209" i="18"/>
  <c r="AG209" i="18"/>
  <c r="X211" i="18" a="1"/>
  <c r="X211" i="18"/>
  <c r="X212" i="18" a="1"/>
  <c r="X212" i="18"/>
  <c r="AG212" i="18"/>
  <c r="X213" i="18" a="1"/>
  <c r="X213" i="18"/>
  <c r="AG213" i="18"/>
  <c r="X214" i="18" a="1"/>
  <c r="X214" i="18"/>
  <c r="AG214" i="18"/>
  <c r="X215" i="18" a="1"/>
  <c r="X215" i="18"/>
  <c r="AG215" i="18"/>
  <c r="X216" i="18" a="1"/>
  <c r="X216" i="18"/>
  <c r="AG216" i="18"/>
  <c r="X217" i="18" a="1"/>
  <c r="X217" i="18"/>
  <c r="AG217" i="18"/>
  <c r="X218" i="18" a="1"/>
  <c r="X218" i="18"/>
  <c r="AG218" i="18"/>
  <c r="X219" i="18" a="1"/>
  <c r="X219" i="18"/>
  <c r="AG219" i="18"/>
  <c r="X220" i="18" a="1"/>
  <c r="X220" i="18"/>
  <c r="AG220" i="18"/>
  <c r="X221" i="18" a="1"/>
  <c r="X221" i="18"/>
  <c r="AG221" i="18"/>
  <c r="X222" i="18" a="1"/>
  <c r="X222" i="18"/>
  <c r="AG222" i="18"/>
  <c r="X223" i="18" a="1"/>
  <c r="X223" i="18"/>
  <c r="AG223" i="18"/>
  <c r="X224" i="18" a="1"/>
  <c r="X224" i="18"/>
  <c r="AG224" i="18"/>
  <c r="X225" i="18" a="1"/>
  <c r="X225" i="18"/>
  <c r="X226" i="18" a="1"/>
  <c r="X226" i="18"/>
  <c r="AG226" i="18"/>
  <c r="X227" i="18" a="1"/>
  <c r="X227" i="18"/>
  <c r="AG227" i="18"/>
  <c r="X228" i="18" a="1"/>
  <c r="X228" i="18"/>
  <c r="AG228" i="18"/>
  <c r="X229" i="18" a="1"/>
  <c r="X229" i="18"/>
  <c r="AG229" i="18"/>
  <c r="X230" i="18" a="1"/>
  <c r="X230" i="18"/>
  <c r="AG230" i="18"/>
  <c r="X231" i="18" a="1"/>
  <c r="X231" i="18"/>
  <c r="AG231" i="18"/>
  <c r="X232" i="18" a="1"/>
  <c r="X232" i="18"/>
  <c r="AG232" i="18"/>
  <c r="X233" i="18" a="1"/>
  <c r="X233" i="18"/>
  <c r="AG233" i="18"/>
  <c r="X234" i="18" a="1"/>
  <c r="X234" i="18"/>
  <c r="AG234" i="18"/>
  <c r="X235" i="18" a="1"/>
  <c r="X235" i="18"/>
  <c r="AG235" i="18"/>
  <c r="X236" i="18" a="1"/>
  <c r="X236" i="18"/>
  <c r="X237" i="18" a="1"/>
  <c r="X237" i="18"/>
  <c r="X238" i="18" a="1"/>
  <c r="X238" i="18"/>
  <c r="AG238" i="18"/>
  <c r="X239" i="18" a="1"/>
  <c r="X239" i="18"/>
  <c r="AG239" i="18"/>
  <c r="X240" i="18" a="1"/>
  <c r="X240" i="18"/>
  <c r="AG240" i="18"/>
  <c r="X241" i="18" a="1"/>
  <c r="X241" i="18"/>
  <c r="AG241" i="18"/>
  <c r="X242" i="18" a="1"/>
  <c r="X242" i="18"/>
  <c r="AG242" i="18"/>
  <c r="X243" i="18" a="1"/>
  <c r="X243" i="18"/>
  <c r="AG243" i="18"/>
  <c r="X244" i="18" a="1"/>
  <c r="X244" i="18"/>
  <c r="AG244" i="18"/>
  <c r="X245" i="18" a="1"/>
  <c r="X245" i="18"/>
  <c r="AG245" i="18"/>
  <c r="X246" i="18" a="1"/>
  <c r="X246" i="18"/>
  <c r="AG246" i="18"/>
  <c r="X247" i="18" a="1"/>
  <c r="X247" i="18"/>
  <c r="AG247" i="18"/>
  <c r="X248" i="18" a="1"/>
  <c r="X248" i="18"/>
  <c r="AG248" i="18"/>
  <c r="X249" i="18" a="1"/>
  <c r="X249" i="18"/>
  <c r="AG249" i="18"/>
  <c r="X250" i="18" a="1"/>
  <c r="X250" i="18"/>
  <c r="AG250" i="18"/>
  <c r="X251" i="18" a="1"/>
  <c r="X251" i="18"/>
  <c r="AG251" i="18"/>
  <c r="X253" i="18" a="1"/>
  <c r="X253" i="18"/>
  <c r="AG253" i="18"/>
  <c r="X254" i="18" a="1"/>
  <c r="X254" i="18"/>
  <c r="AG254" i="18"/>
  <c r="X255" i="18" a="1"/>
  <c r="X255" i="18"/>
  <c r="AG255" i="18"/>
  <c r="X256" i="18" a="1"/>
  <c r="X256" i="18"/>
  <c r="AG256" i="18"/>
  <c r="X257" i="18" a="1"/>
  <c r="X257" i="18"/>
  <c r="AG257" i="18"/>
  <c r="X258" i="18" a="1"/>
  <c r="X258" i="18"/>
  <c r="AG258" i="18"/>
  <c r="X259" i="18" a="1"/>
  <c r="X259" i="18"/>
  <c r="AG259" i="18"/>
  <c r="X260" i="18" a="1"/>
  <c r="X260" i="18"/>
  <c r="AG260" i="18"/>
  <c r="X262" i="18" a="1"/>
  <c r="X262" i="18"/>
  <c r="AG262" i="18"/>
  <c r="X263" i="18" a="1"/>
  <c r="X263" i="18"/>
  <c r="AG263" i="18"/>
  <c r="X264" i="18" a="1"/>
  <c r="X264" i="18"/>
  <c r="AG264" i="18"/>
  <c r="X265" i="18" a="1"/>
  <c r="X265" i="18"/>
  <c r="AG265" i="18"/>
  <c r="X266" i="18" a="1"/>
  <c r="X266" i="18"/>
  <c r="X267" i="18" a="1"/>
  <c r="X267" i="18"/>
  <c r="AG267" i="18"/>
  <c r="X268" i="18" a="1"/>
  <c r="X268" i="18"/>
  <c r="X270" i="18" a="1"/>
  <c r="X270" i="18"/>
  <c r="X271" i="18" a="1"/>
  <c r="X271" i="18"/>
  <c r="X272" i="18" a="1"/>
  <c r="X272" i="18"/>
  <c r="AG272" i="18"/>
  <c r="X273" i="18" a="1"/>
  <c r="X273" i="18"/>
  <c r="AG273" i="18"/>
  <c r="X274" i="18" a="1"/>
  <c r="X274" i="18"/>
  <c r="AG274" i="18"/>
  <c r="X275" i="18" a="1"/>
  <c r="X275" i="18"/>
  <c r="AG275" i="18"/>
  <c r="X276" i="18" a="1"/>
  <c r="X276" i="18"/>
  <c r="AG276" i="18"/>
  <c r="X277" i="18" a="1"/>
  <c r="X277" i="18"/>
  <c r="AG277" i="18"/>
  <c r="X278" i="18" a="1"/>
  <c r="X278" i="18"/>
  <c r="AG278" i="18"/>
  <c r="X279" i="18" a="1"/>
  <c r="X279" i="18"/>
  <c r="AG279" i="18"/>
  <c r="X280" i="18" a="1"/>
  <c r="X280" i="18"/>
  <c r="AG280" i="18"/>
  <c r="X281" i="18" a="1"/>
  <c r="X281" i="18"/>
  <c r="AG281" i="18"/>
  <c r="X282" i="18" a="1"/>
  <c r="X282" i="18"/>
  <c r="X283" i="18" a="1"/>
  <c r="X283" i="18"/>
  <c r="AG283" i="18"/>
  <c r="X284" i="18" a="1"/>
  <c r="X284" i="18"/>
  <c r="X285" i="18" a="1"/>
  <c r="X285" i="18"/>
  <c r="AG285" i="18"/>
  <c r="X286" i="18" a="1"/>
  <c r="X286" i="18"/>
  <c r="AG286" i="18"/>
  <c r="X287" i="18" a="1"/>
  <c r="X287" i="18"/>
  <c r="AG287" i="18"/>
  <c r="X288" i="18" a="1"/>
  <c r="X288" i="18"/>
  <c r="AG288" i="18"/>
  <c r="X289" i="18" a="1"/>
  <c r="X289" i="18"/>
  <c r="AG289" i="18"/>
  <c r="X290" i="18" a="1"/>
  <c r="X290" i="18"/>
  <c r="AG290" i="18"/>
  <c r="X291" i="18" a="1"/>
  <c r="X291" i="18"/>
  <c r="AG291" i="18"/>
  <c r="X292" i="18" a="1"/>
  <c r="X292" i="18"/>
  <c r="AG292" i="18"/>
  <c r="X293" i="18" a="1"/>
  <c r="X293" i="18"/>
  <c r="X295" i="18" a="1"/>
  <c r="X295" i="18"/>
  <c r="X296" i="18" a="1"/>
  <c r="X296" i="18"/>
  <c r="AG296" i="18"/>
  <c r="X297" i="18" a="1"/>
  <c r="X297" i="18"/>
  <c r="AG297" i="18"/>
  <c r="X298" i="18" a="1"/>
  <c r="X298" i="18"/>
  <c r="AG298" i="18"/>
  <c r="X299" i="18" a="1"/>
  <c r="X299" i="18"/>
  <c r="AG299" i="18"/>
  <c r="X300" i="18" a="1"/>
  <c r="X300" i="18"/>
  <c r="AG300" i="18"/>
  <c r="X301" i="18" a="1"/>
  <c r="X301" i="18"/>
  <c r="AG301" i="18"/>
  <c r="X303" i="18" a="1"/>
  <c r="X303" i="18"/>
  <c r="AG303" i="18"/>
  <c r="X304" i="18" a="1"/>
  <c r="X304" i="18"/>
  <c r="AG304" i="18"/>
  <c r="X305" i="18" a="1"/>
  <c r="X305" i="18"/>
  <c r="X306" i="18" a="1"/>
  <c r="X306" i="18"/>
  <c r="AG306" i="18"/>
  <c r="X307" i="18" a="1"/>
  <c r="X307" i="18"/>
  <c r="AG307" i="18"/>
  <c r="X308" i="18" a="1"/>
  <c r="X308" i="18"/>
  <c r="AG308" i="18"/>
  <c r="X309" i="18" a="1"/>
  <c r="X309" i="18"/>
  <c r="AG309" i="18"/>
  <c r="X310" i="18" a="1"/>
  <c r="X310" i="18"/>
  <c r="AG310" i="18"/>
  <c r="X311" i="18" a="1"/>
  <c r="X311" i="18"/>
  <c r="AG311" i="18"/>
  <c r="X312" i="18" a="1"/>
  <c r="X312" i="18"/>
  <c r="AG312" i="18"/>
  <c r="X313" i="18" a="1"/>
  <c r="X313" i="18"/>
  <c r="AG313" i="18"/>
  <c r="X314" i="18" a="1"/>
  <c r="X314" i="18"/>
  <c r="AG314" i="18"/>
  <c r="X315" i="18" a="1"/>
  <c r="X315" i="18"/>
  <c r="AG315" i="18"/>
  <c r="X316" i="18" a="1"/>
  <c r="X316" i="18"/>
  <c r="AG316" i="18"/>
  <c r="X317" i="18" a="1"/>
  <c r="X317" i="18"/>
  <c r="AG317" i="18"/>
  <c r="X318" i="18" a="1"/>
  <c r="X318" i="18"/>
  <c r="AG318" i="18"/>
  <c r="X320" i="18" a="1"/>
  <c r="X320" i="18"/>
  <c r="AG320" i="18"/>
  <c r="X321" i="18" a="1"/>
  <c r="X321" i="18"/>
  <c r="AG321" i="18"/>
  <c r="X322" i="18" a="1"/>
  <c r="X322" i="18"/>
  <c r="AG322" i="18"/>
  <c r="X323" i="18" a="1"/>
  <c r="X323" i="18"/>
  <c r="AG323" i="18"/>
  <c r="X324" i="18" a="1"/>
  <c r="X324" i="18"/>
  <c r="AG324" i="18"/>
  <c r="X325" i="18" a="1"/>
  <c r="X325" i="18"/>
  <c r="AG325" i="18"/>
  <c r="X326" i="18" a="1"/>
  <c r="X326" i="18"/>
  <c r="X328" i="18" a="1"/>
  <c r="X328" i="18"/>
  <c r="AG328" i="18"/>
  <c r="X329" i="18" a="1"/>
  <c r="X329" i="18"/>
  <c r="AG329" i="18"/>
  <c r="X330" i="18" a="1"/>
  <c r="X330" i="18"/>
  <c r="AG330" i="18"/>
  <c r="X331" i="18" a="1"/>
  <c r="X331" i="18"/>
  <c r="AG331" i="18"/>
  <c r="X332" i="18" a="1"/>
  <c r="X332" i="18"/>
  <c r="AG332" i="18"/>
  <c r="X333" i="18" a="1"/>
  <c r="X333" i="18"/>
  <c r="AG333" i="18"/>
  <c r="X334" i="18" a="1"/>
  <c r="X334" i="18"/>
  <c r="AG334" i="18"/>
  <c r="X335" i="18" a="1"/>
  <c r="X335" i="18"/>
  <c r="AG335" i="18"/>
  <c r="X336" i="18" a="1"/>
  <c r="X336" i="18"/>
  <c r="AG336" i="18"/>
  <c r="X337" i="18" a="1"/>
  <c r="X337" i="18"/>
  <c r="AG337" i="18"/>
  <c r="X338" i="18" a="1"/>
  <c r="X338" i="18"/>
  <c r="AG338" i="18"/>
  <c r="X339" i="18" a="1"/>
  <c r="X339" i="18"/>
  <c r="AG339" i="18"/>
  <c r="X340" i="18" a="1"/>
  <c r="X340" i="18"/>
  <c r="AG340" i="18"/>
  <c r="X341" i="18" a="1"/>
  <c r="X341" i="18"/>
  <c r="AG341" i="18"/>
  <c r="X342" i="18" a="1"/>
  <c r="X342" i="18"/>
  <c r="AG342" i="18"/>
  <c r="X344" i="18" a="1"/>
  <c r="X344" i="18"/>
  <c r="AG344" i="18"/>
  <c r="X345" i="18" a="1"/>
  <c r="X345" i="18"/>
  <c r="AG345" i="18"/>
  <c r="X346" i="18" a="1"/>
  <c r="X346" i="18"/>
  <c r="AG346" i="18"/>
  <c r="X347" i="18" a="1"/>
  <c r="X347" i="18"/>
  <c r="AG347" i="18"/>
  <c r="X348" i="18" a="1"/>
  <c r="X348" i="18"/>
  <c r="AG348" i="18"/>
  <c r="X349" i="18" a="1"/>
  <c r="X349" i="18"/>
  <c r="AG349" i="18"/>
  <c r="X350" i="18" a="1"/>
  <c r="X350" i="18"/>
  <c r="X351" i="18" a="1"/>
  <c r="X351" i="18"/>
  <c r="X352" i="18" a="1"/>
  <c r="X352" i="18"/>
  <c r="AG352" i="18"/>
  <c r="X353" i="18" a="1"/>
  <c r="X353" i="18"/>
  <c r="AG353" i="18"/>
  <c r="X354" i="18" a="1"/>
  <c r="X354" i="18"/>
  <c r="AG354" i="18"/>
  <c r="X355" i="18" a="1"/>
  <c r="X355" i="18"/>
  <c r="AG355" i="18"/>
  <c r="X356" i="18" a="1"/>
  <c r="X356" i="18"/>
  <c r="AG356" i="18"/>
  <c r="X357" i="18" a="1"/>
  <c r="X357" i="18"/>
  <c r="AG357" i="18"/>
  <c r="X358" i="18" a="1"/>
  <c r="X358" i="18"/>
  <c r="AG358" i="18"/>
  <c r="X359" i="18" a="1"/>
  <c r="X359" i="18"/>
  <c r="AG359" i="18"/>
  <c r="X360" i="18" a="1"/>
  <c r="X360" i="18"/>
  <c r="AG360" i="18"/>
  <c r="X361" i="18" a="1"/>
  <c r="X361" i="18"/>
  <c r="AG361" i="18"/>
  <c r="X362" i="18" a="1"/>
  <c r="X362" i="18"/>
  <c r="AG362" i="18"/>
  <c r="X363" i="18" a="1"/>
  <c r="X363" i="18"/>
  <c r="AG363" i="18"/>
  <c r="X364" i="18" a="1"/>
  <c r="X364" i="18"/>
  <c r="AG364" i="18"/>
  <c r="X365" i="18" a="1"/>
  <c r="X365" i="18"/>
  <c r="AG365" i="18"/>
  <c r="X366" i="18" a="1"/>
  <c r="X366" i="18"/>
  <c r="AG366" i="18"/>
  <c r="X368" i="18" a="1"/>
  <c r="X368" i="18"/>
  <c r="AG368" i="18"/>
  <c r="X369" i="18" a="1"/>
  <c r="X369" i="18"/>
  <c r="AG369" i="18"/>
  <c r="X370" i="18" a="1"/>
  <c r="X370" i="18"/>
  <c r="AG370" i="18"/>
  <c r="X371" i="18" a="1"/>
  <c r="X371" i="18"/>
  <c r="AG371" i="18"/>
  <c r="X372" i="18" a="1"/>
  <c r="X372" i="18"/>
  <c r="AG372" i="18"/>
  <c r="X373" i="18" a="1"/>
  <c r="X373" i="18"/>
  <c r="AG373" i="18"/>
  <c r="X374" i="18" a="1"/>
  <c r="X374" i="18"/>
  <c r="AG374" i="18"/>
  <c r="X375" i="18" a="1"/>
  <c r="X375" i="18"/>
  <c r="AG375" i="18"/>
  <c r="X376" i="18" a="1"/>
  <c r="X376" i="18"/>
  <c r="AG376" i="18"/>
  <c r="X377" i="18" a="1"/>
  <c r="X377" i="18"/>
  <c r="AG377" i="18"/>
  <c r="X378" i="18" a="1"/>
  <c r="X378" i="18"/>
  <c r="AG378" i="18"/>
  <c r="X379" i="18" a="1"/>
  <c r="X379" i="18"/>
  <c r="AG379" i="18"/>
  <c r="X380" i="18" a="1"/>
  <c r="X380" i="18"/>
  <c r="X381" i="18" a="1"/>
  <c r="X381" i="18"/>
  <c r="X382" i="18" a="1"/>
  <c r="X382" i="18"/>
  <c r="AG382" i="18"/>
  <c r="X383" i="18" a="1"/>
  <c r="X383" i="18"/>
  <c r="AG383" i="18"/>
  <c r="X384" i="18" a="1"/>
  <c r="X384" i="18"/>
  <c r="AG384" i="18"/>
  <c r="X385" i="18" a="1"/>
  <c r="X385" i="18"/>
  <c r="AG385" i="18"/>
  <c r="X386" i="18" a="1"/>
  <c r="X386" i="18"/>
  <c r="AG386" i="18"/>
  <c r="X387" i="18" a="1"/>
  <c r="X387" i="18"/>
  <c r="AG387" i="18"/>
  <c r="X388" i="18" a="1"/>
  <c r="X388" i="18"/>
  <c r="X389" i="18" a="1"/>
  <c r="X389" i="18"/>
  <c r="X390" i="18" a="1"/>
  <c r="X390" i="18"/>
  <c r="AG390" i="18"/>
  <c r="X391" i="18" a="1"/>
  <c r="X391" i="18"/>
  <c r="X393" i="18" a="1"/>
  <c r="X393" i="18"/>
  <c r="AG393" i="18"/>
  <c r="X394" i="18" a="1"/>
  <c r="X394" i="18"/>
  <c r="AG394" i="18"/>
  <c r="X395" i="18" a="1"/>
  <c r="X395" i="18"/>
  <c r="AG395" i="18"/>
  <c r="X396" i="18" a="1"/>
  <c r="X396" i="18"/>
  <c r="AG396" i="18"/>
  <c r="X397" i="18" a="1"/>
  <c r="X397" i="18"/>
  <c r="X398" i="18" a="1"/>
  <c r="X398" i="18"/>
  <c r="AG398" i="18"/>
  <c r="X399" i="18" a="1"/>
  <c r="X399" i="18"/>
  <c r="AG399" i="18"/>
  <c r="X400" i="18" a="1"/>
  <c r="X400" i="18"/>
  <c r="X401" i="18" a="1"/>
  <c r="X401" i="18"/>
  <c r="AG401" i="18"/>
  <c r="X402" i="18" a="1"/>
  <c r="X402" i="18"/>
  <c r="AG402" i="18"/>
  <c r="X403" i="18" a="1"/>
  <c r="X403" i="18"/>
  <c r="AG403" i="18"/>
  <c r="X404" i="18" a="1"/>
  <c r="X404" i="18"/>
  <c r="AG404" i="18"/>
  <c r="X405" i="18" a="1"/>
  <c r="X405" i="18"/>
  <c r="AG405" i="18"/>
  <c r="X406" i="18" a="1"/>
  <c r="X406" i="18"/>
  <c r="AG406" i="18"/>
  <c r="X407" i="18" a="1"/>
  <c r="X407" i="18"/>
  <c r="AG407" i="18"/>
  <c r="X409" i="18" a="1"/>
  <c r="X409" i="18"/>
  <c r="AG409" i="18"/>
  <c r="X410" i="18" a="1"/>
  <c r="X410" i="18"/>
  <c r="AG410" i="18"/>
  <c r="X411" i="18" a="1"/>
  <c r="X411" i="18"/>
  <c r="AG411" i="18"/>
  <c r="X412" i="18" a="1"/>
  <c r="X412" i="18"/>
  <c r="AG412" i="18"/>
  <c r="X413" i="18" a="1"/>
  <c r="X413" i="18"/>
  <c r="AG413" i="18"/>
  <c r="X414" i="18" a="1"/>
  <c r="X414" i="18"/>
  <c r="AG414" i="18"/>
  <c r="X415" i="18" a="1"/>
  <c r="X415" i="18"/>
  <c r="AG415" i="18"/>
  <c r="X416" i="18" a="1"/>
  <c r="X416" i="18"/>
  <c r="AG416" i="18"/>
  <c r="X417" i="18" a="1"/>
  <c r="X417" i="18"/>
  <c r="AG417" i="18"/>
  <c r="X418" i="18" a="1"/>
  <c r="X418" i="18"/>
  <c r="AG418" i="18"/>
  <c r="X419" i="18" a="1"/>
  <c r="X419" i="18"/>
  <c r="AG419" i="18"/>
  <c r="X420" i="18" a="1"/>
  <c r="X420" i="18"/>
  <c r="AG420" i="18"/>
  <c r="X421" i="18" a="1"/>
  <c r="X421" i="18"/>
  <c r="AG421" i="18"/>
  <c r="X422" i="18" a="1"/>
  <c r="X422" i="18"/>
  <c r="AG422" i="18"/>
  <c r="X424" i="18" a="1"/>
  <c r="X424" i="18"/>
  <c r="AG424" i="18"/>
  <c r="X425" i="18" a="1"/>
  <c r="X425" i="18"/>
  <c r="X426" i="18" a="1"/>
  <c r="X426" i="18"/>
  <c r="AG426" i="18"/>
  <c r="X427" i="18" a="1"/>
  <c r="X427" i="18"/>
  <c r="AG427" i="18"/>
  <c r="X428" i="18" a="1"/>
  <c r="X428" i="18"/>
  <c r="AG428" i="18"/>
  <c r="X429" i="18" a="1"/>
  <c r="X429" i="18"/>
  <c r="AG429" i="18"/>
  <c r="X430" i="18" a="1"/>
  <c r="X430" i="18"/>
  <c r="AG430" i="18"/>
  <c r="X431" i="18" a="1"/>
  <c r="X431" i="18"/>
  <c r="AG431" i="18"/>
  <c r="X432" i="18" a="1"/>
  <c r="X432" i="18"/>
  <c r="AG432" i="18"/>
  <c r="X434" i="18" a="1"/>
  <c r="X434" i="18"/>
  <c r="AG434" i="18"/>
  <c r="X435" i="18" a="1"/>
  <c r="X435" i="18"/>
  <c r="AG435" i="18"/>
  <c r="X436" i="18" a="1"/>
  <c r="X436" i="18"/>
  <c r="AG436" i="18"/>
  <c r="X437" i="18" a="1"/>
  <c r="X437" i="18"/>
  <c r="AG437" i="18"/>
  <c r="X438" i="18" a="1"/>
  <c r="X438" i="18"/>
  <c r="AG438" i="18"/>
  <c r="X439" i="18" a="1"/>
  <c r="X439" i="18"/>
  <c r="AG439" i="18"/>
  <c r="X440" i="18" a="1"/>
  <c r="X440" i="18"/>
  <c r="AG440" i="18"/>
  <c r="X441" i="18" a="1"/>
  <c r="X441" i="18"/>
  <c r="AG441" i="18"/>
  <c r="X443" i="18" a="1"/>
  <c r="X443" i="18"/>
  <c r="AG443" i="18"/>
  <c r="X444" i="18" a="1"/>
  <c r="X444" i="18"/>
  <c r="AG444" i="18"/>
  <c r="X445" i="18" a="1"/>
  <c r="X445" i="18"/>
  <c r="AG445" i="18"/>
  <c r="X446" i="18" a="1"/>
  <c r="X446" i="18"/>
  <c r="AG446" i="18"/>
  <c r="X447" i="18" a="1"/>
  <c r="X447" i="18"/>
  <c r="AG447" i="18"/>
  <c r="X448" i="18" a="1"/>
  <c r="X448" i="18"/>
  <c r="AG448" i="18"/>
  <c r="X449" i="18" a="1"/>
  <c r="X449" i="18"/>
  <c r="AG449" i="18"/>
  <c r="X450" i="18" a="1"/>
  <c r="X450" i="18"/>
  <c r="AG450" i="18"/>
  <c r="X451" i="18" a="1"/>
  <c r="X451" i="18"/>
  <c r="AG451" i="18"/>
  <c r="X452" i="18" a="1"/>
  <c r="X452" i="18"/>
  <c r="AG452" i="18"/>
  <c r="X453" i="18" a="1"/>
  <c r="X453" i="18"/>
  <c r="AG453" i="18"/>
  <c r="X454" i="18" a="1"/>
  <c r="X454" i="18"/>
  <c r="AG454" i="18"/>
  <c r="X455" i="18" a="1"/>
  <c r="X455" i="18"/>
  <c r="X456" i="18" a="1"/>
  <c r="X456" i="18"/>
  <c r="AG456" i="18"/>
  <c r="X457" i="18" a="1"/>
  <c r="X457" i="18"/>
  <c r="AG457" i="18"/>
  <c r="X459" i="18" a="1"/>
  <c r="X459" i="18"/>
  <c r="X460" i="18" a="1"/>
  <c r="X460" i="18"/>
  <c r="X461" i="18" a="1"/>
  <c r="X461" i="18"/>
  <c r="AG461" i="18"/>
  <c r="X462" i="18" a="1"/>
  <c r="X462" i="18"/>
  <c r="AG462" i="18"/>
  <c r="X463" i="18" a="1"/>
  <c r="X463" i="18"/>
  <c r="X464" i="18" a="1"/>
  <c r="X464" i="18"/>
  <c r="X465" i="18" a="1"/>
  <c r="X465" i="18"/>
  <c r="AG465" i="18"/>
  <c r="X466" i="18" a="1"/>
  <c r="X466" i="18"/>
  <c r="AG466" i="18"/>
  <c r="X467" i="18" a="1"/>
  <c r="X467" i="18"/>
  <c r="AG467" i="18"/>
  <c r="X468" i="18" a="1"/>
  <c r="X468" i="18"/>
  <c r="AG468" i="18"/>
  <c r="X469" i="18" a="1"/>
  <c r="X469" i="18"/>
  <c r="AG469" i="18"/>
  <c r="X470" i="18" a="1"/>
  <c r="X470" i="18"/>
  <c r="AG470" i="18"/>
  <c r="X471" i="18" a="1"/>
  <c r="X471" i="18"/>
  <c r="AG471" i="18"/>
  <c r="X472" i="18" a="1"/>
  <c r="X472" i="18"/>
  <c r="AG472" i="18"/>
  <c r="X473" i="18" a="1"/>
  <c r="X473" i="18"/>
  <c r="AG473" i="18"/>
  <c r="X474" i="18" a="1"/>
  <c r="X474" i="18"/>
  <c r="AG474" i="18"/>
  <c r="X475" i="18" a="1"/>
  <c r="X475" i="18"/>
  <c r="AG475" i="18"/>
  <c r="X477" i="18" a="1"/>
  <c r="X477" i="18"/>
  <c r="AG477" i="18"/>
  <c r="X478" i="18" a="1"/>
  <c r="X478" i="18"/>
  <c r="AG478" i="18"/>
  <c r="X479" i="18" a="1"/>
  <c r="X479" i="18"/>
  <c r="AG479" i="18"/>
  <c r="X480" i="18" a="1"/>
  <c r="X480" i="18"/>
  <c r="AG480" i="18"/>
  <c r="X481" i="18" a="1"/>
  <c r="X481" i="18"/>
  <c r="AG481" i="18"/>
  <c r="X482" i="18" a="1"/>
  <c r="X482" i="18"/>
  <c r="AG482" i="18"/>
  <c r="X483" i="18" a="1"/>
  <c r="X483" i="18"/>
  <c r="X484" i="18" a="1"/>
  <c r="X484" i="18"/>
  <c r="AG484" i="18"/>
  <c r="X486" i="18" a="1"/>
  <c r="X486" i="18"/>
  <c r="AG486" i="18"/>
  <c r="X487" i="18" a="1"/>
  <c r="X487" i="18"/>
  <c r="AG487" i="18"/>
  <c r="X488" i="18" a="1"/>
  <c r="X488" i="18"/>
  <c r="AG488" i="18"/>
  <c r="X489" i="18" a="1"/>
  <c r="X489" i="18"/>
  <c r="AG489" i="18"/>
  <c r="X490" i="18" a="1"/>
  <c r="X490" i="18"/>
  <c r="AG490" i="18"/>
  <c r="X491" i="18" a="1"/>
  <c r="X491" i="18"/>
  <c r="AG491" i="18"/>
  <c r="X492" i="18" a="1"/>
  <c r="X492" i="18"/>
  <c r="AG492" i="18"/>
  <c r="X493" i="18" a="1"/>
  <c r="X493" i="18"/>
  <c r="AG493" i="18"/>
  <c r="X494" i="18" a="1"/>
  <c r="X494" i="18"/>
  <c r="X495" i="18" a="1"/>
  <c r="X495" i="18"/>
  <c r="AG495" i="18"/>
  <c r="X496" i="18" a="1"/>
  <c r="X496" i="18"/>
  <c r="AG496" i="18"/>
  <c r="X497" i="18" a="1"/>
  <c r="X497" i="18"/>
  <c r="AG497" i="18"/>
  <c r="X498" i="18" a="1"/>
  <c r="X498" i="18"/>
  <c r="AG498" i="18"/>
  <c r="X499" i="18" a="1"/>
  <c r="X499" i="18"/>
  <c r="AG499" i="18"/>
  <c r="X501" i="18" a="1"/>
  <c r="X501" i="18"/>
  <c r="X502" i="18" a="1"/>
  <c r="X502" i="18"/>
  <c r="X503" i="18" a="1"/>
  <c r="X503" i="18"/>
  <c r="AG503" i="18"/>
  <c r="X504" i="18" a="1"/>
  <c r="X504" i="18"/>
  <c r="AG504" i="18"/>
  <c r="X505" i="18" a="1"/>
  <c r="X505" i="18"/>
  <c r="X506" i="18" a="1"/>
  <c r="X506" i="18"/>
  <c r="AG506" i="18"/>
  <c r="X507" i="18" a="1"/>
  <c r="X507" i="18"/>
  <c r="AG507" i="18"/>
  <c r="X508" i="18" a="1"/>
  <c r="X508" i="18"/>
  <c r="AG508" i="18"/>
  <c r="X509" i="18" a="1"/>
  <c r="X509" i="18"/>
  <c r="AG509" i="18"/>
  <c r="X510" i="18" a="1"/>
  <c r="X510" i="18"/>
  <c r="AG510" i="18"/>
  <c r="X511" i="18" a="1"/>
  <c r="X511" i="18"/>
  <c r="AG511" i="18"/>
  <c r="X512" i="18" a="1"/>
  <c r="X512" i="18"/>
  <c r="AG512" i="18"/>
  <c r="X513" i="18" a="1"/>
  <c r="X513" i="18"/>
  <c r="X514" i="18" a="1"/>
  <c r="X514" i="18"/>
  <c r="X515" i="18" a="1"/>
  <c r="X515" i="18"/>
  <c r="AG515" i="18"/>
  <c r="X516" i="18" a="1"/>
  <c r="X516" i="18"/>
  <c r="AG516" i="18"/>
  <c r="X517" i="18" a="1"/>
  <c r="X517" i="18"/>
  <c r="AG517" i="18"/>
  <c r="X518" i="18" a="1"/>
  <c r="X518" i="18"/>
  <c r="AG518" i="18"/>
  <c r="X519" i="18" a="1"/>
  <c r="X519" i="18"/>
  <c r="AG519" i="18"/>
  <c r="X520" i="18" a="1"/>
  <c r="X520" i="18"/>
  <c r="AG520" i="18"/>
  <c r="X521" i="18" a="1"/>
  <c r="X521" i="18"/>
  <c r="AG521" i="18"/>
  <c r="X522" i="18" a="1"/>
  <c r="X522" i="18"/>
  <c r="AG522" i="18"/>
  <c r="X523" i="18" a="1"/>
  <c r="X523" i="18"/>
  <c r="AG523" i="18"/>
  <c r="X524" i="18" a="1"/>
  <c r="X524" i="18"/>
  <c r="X525" i="18" a="1"/>
  <c r="X525" i="18"/>
  <c r="AG525" i="18"/>
  <c r="X526" i="18" a="1"/>
  <c r="X526" i="18"/>
  <c r="AG526" i="18"/>
  <c r="X527" i="18" a="1"/>
  <c r="X527" i="18"/>
  <c r="AG527" i="18"/>
  <c r="X528" i="18" a="1"/>
  <c r="X528" i="18"/>
  <c r="AG528" i="18"/>
  <c r="X529" i="18" a="1"/>
  <c r="X529" i="18"/>
  <c r="AG529" i="18"/>
  <c r="X79" i="18" a="1"/>
  <c r="X79" i="18"/>
  <c r="AG79" i="18"/>
  <c r="W80" i="18" a="1"/>
  <c r="W80" i="18"/>
  <c r="AF80" i="18"/>
  <c r="W81" i="18" a="1"/>
  <c r="W81" i="18"/>
  <c r="AF81" i="18"/>
  <c r="W82" i="18" a="1"/>
  <c r="W82" i="18"/>
  <c r="AF82" i="18"/>
  <c r="W83" i="18" a="1"/>
  <c r="W83" i="18"/>
  <c r="AF83" i="18"/>
  <c r="W84" i="18" a="1"/>
  <c r="W84" i="18"/>
  <c r="AF84" i="18"/>
  <c r="W85" i="18" a="1"/>
  <c r="W85" i="18"/>
  <c r="AF85" i="18"/>
  <c r="W86" i="18" a="1"/>
  <c r="W86" i="18"/>
  <c r="AF86" i="18"/>
  <c r="W87" i="18" a="1"/>
  <c r="W87" i="18"/>
  <c r="AF87" i="18"/>
  <c r="W88" i="18" a="1"/>
  <c r="W88" i="18"/>
  <c r="AF88" i="18"/>
  <c r="W89" i="18" a="1"/>
  <c r="W89" i="18"/>
  <c r="W90" i="18" a="1"/>
  <c r="W90" i="18"/>
  <c r="W91" i="18" a="1"/>
  <c r="W91" i="18"/>
  <c r="AF91" i="18"/>
  <c r="W92" i="18" a="1"/>
  <c r="W92" i="18"/>
  <c r="AF92" i="18"/>
  <c r="W93" i="18" a="1"/>
  <c r="W93" i="18"/>
  <c r="AF93" i="18"/>
  <c r="AF94" i="18"/>
  <c r="W95" i="18" a="1"/>
  <c r="W95" i="18"/>
  <c r="AF95" i="18"/>
  <c r="W96" i="18" a="1"/>
  <c r="W96" i="18"/>
  <c r="AF96" i="18"/>
  <c r="W97" i="18" a="1"/>
  <c r="W97" i="18"/>
  <c r="AF97" i="18"/>
  <c r="W98" i="18" a="1"/>
  <c r="W98" i="18"/>
  <c r="AF98" i="18"/>
  <c r="W99" i="18" a="1"/>
  <c r="W99" i="18"/>
  <c r="AF99" i="18"/>
  <c r="W100" i="18" a="1"/>
  <c r="W100" i="18"/>
  <c r="AF100" i="18"/>
  <c r="W101" i="18" a="1"/>
  <c r="W101" i="18"/>
  <c r="AF101" i="18"/>
  <c r="W102" i="18" a="1"/>
  <c r="W102" i="18"/>
  <c r="AF102" i="18"/>
  <c r="W103" i="18" a="1"/>
  <c r="W103" i="18"/>
  <c r="AF103" i="18"/>
  <c r="W104" i="18" a="1"/>
  <c r="W104" i="18"/>
  <c r="AF104" i="18"/>
  <c r="W105" i="18" a="1"/>
  <c r="W105" i="18"/>
  <c r="AF105" i="18"/>
  <c r="W106" i="18" a="1"/>
  <c r="W106" i="18"/>
  <c r="AF106" i="18"/>
  <c r="W107" i="18" a="1"/>
  <c r="W107" i="18"/>
  <c r="AF107" i="18"/>
  <c r="W108" i="18" a="1"/>
  <c r="W108" i="18"/>
  <c r="AF108" i="18"/>
  <c r="W109" i="18" a="1"/>
  <c r="W109" i="18"/>
  <c r="AF109" i="18"/>
  <c r="W110" i="18" a="1"/>
  <c r="W110" i="18"/>
  <c r="AF110" i="18"/>
  <c r="W111" i="18" a="1"/>
  <c r="W111" i="18"/>
  <c r="AF111" i="18"/>
  <c r="W112" i="18" a="1"/>
  <c r="W112" i="18"/>
  <c r="AF112" i="18"/>
  <c r="W113" i="18" a="1"/>
  <c r="W113" i="18"/>
  <c r="AF113" i="18"/>
  <c r="W114" i="18" a="1"/>
  <c r="W114" i="18"/>
  <c r="W115" i="18" a="1"/>
  <c r="W115" i="18"/>
  <c r="AF115" i="18"/>
  <c r="W116" i="18" a="1"/>
  <c r="W116" i="18"/>
  <c r="AF116" i="18"/>
  <c r="W117" i="18" a="1"/>
  <c r="W117" i="18"/>
  <c r="AF117" i="18"/>
  <c r="W118" i="18" a="1"/>
  <c r="W118" i="18"/>
  <c r="AF118" i="18"/>
  <c r="W119" i="18" a="1"/>
  <c r="W119" i="18"/>
  <c r="AF119" i="18"/>
  <c r="W120" i="18" a="1"/>
  <c r="W120" i="18"/>
  <c r="AF120" i="18"/>
  <c r="W121" i="18" a="1"/>
  <c r="W121" i="18"/>
  <c r="AF121" i="18"/>
  <c r="W122" i="18" a="1"/>
  <c r="W122" i="18"/>
  <c r="AF122" i="18"/>
  <c r="W123" i="18" a="1"/>
  <c r="W123" i="18"/>
  <c r="W124" i="18" a="1"/>
  <c r="W124" i="18"/>
  <c r="W125" i="18" a="1"/>
  <c r="W125" i="18"/>
  <c r="AF125" i="18"/>
  <c r="W126" i="18" a="1"/>
  <c r="W126" i="18"/>
  <c r="AF126" i="18"/>
  <c r="W127" i="18" a="1"/>
  <c r="W127" i="18"/>
  <c r="AF127" i="18"/>
  <c r="W128" i="18" a="1"/>
  <c r="W128" i="18"/>
  <c r="AF128" i="18"/>
  <c r="W129" i="18" a="1"/>
  <c r="W129" i="18"/>
  <c r="AF129" i="18"/>
  <c r="W130" i="18" a="1"/>
  <c r="W130" i="18"/>
  <c r="AF130" i="18"/>
  <c r="W131" i="18" a="1"/>
  <c r="W131" i="18"/>
  <c r="AF131" i="18"/>
  <c r="W132" i="18" a="1"/>
  <c r="W132" i="18"/>
  <c r="AF132" i="18"/>
  <c r="W133" i="18" a="1"/>
  <c r="W133" i="18"/>
  <c r="AF133" i="18"/>
  <c r="W134" i="18" a="1"/>
  <c r="W134" i="18"/>
  <c r="AF134" i="18"/>
  <c r="W135" i="18" a="1"/>
  <c r="W135" i="18"/>
  <c r="AF135" i="18"/>
  <c r="W136" i="18" a="1"/>
  <c r="W136" i="18"/>
  <c r="AF136" i="18"/>
  <c r="W137" i="18" a="1"/>
  <c r="W137" i="18"/>
  <c r="AF137" i="18"/>
  <c r="W138" i="18" a="1"/>
  <c r="W138" i="18"/>
  <c r="AF138" i="18"/>
  <c r="W139" i="18" a="1"/>
  <c r="W139" i="18"/>
  <c r="AF139" i="18"/>
  <c r="W140" i="18" a="1"/>
  <c r="W140" i="18"/>
  <c r="AF140" i="18"/>
  <c r="W141" i="18" a="1"/>
  <c r="W141" i="18"/>
  <c r="AF141" i="18"/>
  <c r="W142" i="18" a="1"/>
  <c r="W142" i="18"/>
  <c r="W143" i="18" a="1"/>
  <c r="W143" i="18"/>
  <c r="W144" i="18" a="1"/>
  <c r="W144" i="18"/>
  <c r="W145" i="18" a="1"/>
  <c r="W145" i="18"/>
  <c r="AF145" i="18"/>
  <c r="W146" i="18" a="1"/>
  <c r="W146" i="18"/>
  <c r="AF146" i="18"/>
  <c r="W147" i="18" a="1"/>
  <c r="W147" i="18"/>
  <c r="AF147" i="18"/>
  <c r="W148" i="18" a="1"/>
  <c r="W148" i="18"/>
  <c r="AF148" i="18"/>
  <c r="W149" i="18" a="1"/>
  <c r="W149" i="18"/>
  <c r="AF149" i="18"/>
  <c r="W150" i="18" a="1"/>
  <c r="W150" i="18"/>
  <c r="AF150" i="18"/>
  <c r="W151" i="18" a="1"/>
  <c r="W151" i="18"/>
  <c r="AF151" i="18"/>
  <c r="W152" i="18" a="1"/>
  <c r="W152" i="18"/>
  <c r="AF152" i="18"/>
  <c r="W153" i="18" a="1"/>
  <c r="W153" i="18"/>
  <c r="AF153" i="18"/>
  <c r="W154" i="18" a="1"/>
  <c r="W154" i="18"/>
  <c r="AF154" i="18"/>
  <c r="W155" i="18" a="1"/>
  <c r="W155" i="18"/>
  <c r="AF155" i="18"/>
  <c r="W156" i="18" a="1"/>
  <c r="W156" i="18"/>
  <c r="AF156" i="18"/>
  <c r="W157" i="18" a="1"/>
  <c r="W157" i="18"/>
  <c r="AF157" i="18"/>
  <c r="W158" i="18" a="1"/>
  <c r="W158" i="18"/>
  <c r="AF158" i="18"/>
  <c r="W159" i="18" a="1"/>
  <c r="W159" i="18"/>
  <c r="AF159" i="18"/>
  <c r="W160" i="18" a="1"/>
  <c r="W160" i="18"/>
  <c r="AF160" i="18"/>
  <c r="W161" i="18" a="1"/>
  <c r="W161" i="18"/>
  <c r="AF161" i="18"/>
  <c r="W162" i="18" a="1"/>
  <c r="W162" i="18"/>
  <c r="AF162" i="18"/>
  <c r="W163" i="18" a="1"/>
  <c r="W163" i="18"/>
  <c r="AF163" i="18"/>
  <c r="W164" i="18" a="1"/>
  <c r="W164" i="18"/>
  <c r="W165" i="18" a="1"/>
  <c r="W165" i="18"/>
  <c r="AF165" i="18"/>
  <c r="W166" i="18" a="1"/>
  <c r="W166" i="18"/>
  <c r="AF166" i="18"/>
  <c r="W167" i="18" a="1"/>
  <c r="W167" i="18"/>
  <c r="AF167" i="18"/>
  <c r="W168" i="18" a="1"/>
  <c r="W168" i="18"/>
  <c r="W170" i="18" a="1"/>
  <c r="W170" i="18"/>
  <c r="AF170" i="18"/>
  <c r="W171" i="18" a="1"/>
  <c r="W171" i="18"/>
  <c r="AF171" i="18"/>
  <c r="W172" i="18" a="1"/>
  <c r="W172" i="18"/>
  <c r="AF172" i="18"/>
  <c r="W173" i="18" a="1"/>
  <c r="W173" i="18"/>
  <c r="AF173" i="18"/>
  <c r="W174" i="18" a="1"/>
  <c r="W174" i="18"/>
  <c r="AF174" i="18"/>
  <c r="W175" i="18" a="1"/>
  <c r="W175" i="18"/>
  <c r="AF175" i="18"/>
  <c r="W176" i="18" a="1"/>
  <c r="W176" i="18"/>
  <c r="AF176" i="18"/>
  <c r="W177" i="18" a="1"/>
  <c r="W177" i="18"/>
  <c r="W179" i="18" a="1"/>
  <c r="W179" i="18"/>
  <c r="AF179" i="18"/>
  <c r="W180" i="18" a="1"/>
  <c r="W180" i="18"/>
  <c r="AF180" i="18"/>
  <c r="W181" i="18" a="1"/>
  <c r="W181" i="18"/>
  <c r="AF181" i="18"/>
  <c r="W182" i="18" a="1"/>
  <c r="W182" i="18"/>
  <c r="AF182" i="18"/>
  <c r="W183" i="18" a="1"/>
  <c r="W183" i="18"/>
  <c r="AF183" i="18"/>
  <c r="W184" i="18" a="1"/>
  <c r="W184" i="18"/>
  <c r="AF184" i="18"/>
  <c r="W185" i="18" a="1"/>
  <c r="W185" i="18"/>
  <c r="AF185" i="18"/>
  <c r="W187" i="18" a="1"/>
  <c r="W187" i="18"/>
  <c r="AF187" i="18"/>
  <c r="W188" i="18" a="1"/>
  <c r="W188" i="18"/>
  <c r="W189" i="18" a="1"/>
  <c r="W189" i="18"/>
  <c r="AF189" i="18"/>
  <c r="W190" i="18" a="1"/>
  <c r="W190" i="18"/>
  <c r="AF190" i="18"/>
  <c r="W191" i="18" a="1"/>
  <c r="W191" i="18"/>
  <c r="AF191" i="18"/>
  <c r="W192" i="18" a="1"/>
  <c r="W192" i="18"/>
  <c r="AF192" i="18"/>
  <c r="W193" i="18" a="1"/>
  <c r="W193" i="18"/>
  <c r="AF193" i="18"/>
  <c r="W194" i="18" a="1"/>
  <c r="W194" i="18"/>
  <c r="AF194" i="18"/>
  <c r="W195" i="18" a="1"/>
  <c r="W195" i="18"/>
  <c r="AF195" i="18"/>
  <c r="W196" i="18" a="1"/>
  <c r="W196" i="18"/>
  <c r="AF196" i="18"/>
  <c r="W197" i="18" a="1"/>
  <c r="W197" i="18"/>
  <c r="AF197" i="18"/>
  <c r="W198" i="18" a="1"/>
  <c r="W198" i="18"/>
  <c r="AF198" i="18"/>
  <c r="W199" i="18" a="1"/>
  <c r="W199" i="18"/>
  <c r="AF199" i="18"/>
  <c r="W200" i="18" a="1"/>
  <c r="W200" i="18"/>
  <c r="W201" i="18" a="1"/>
  <c r="W201" i="18"/>
  <c r="W202" i="18" a="1"/>
  <c r="W202" i="18"/>
  <c r="AF202" i="18"/>
  <c r="W204" i="18" a="1"/>
  <c r="W204" i="18"/>
  <c r="AF204" i="18"/>
  <c r="W205" i="18" a="1"/>
  <c r="W205" i="18"/>
  <c r="AF205" i="18"/>
  <c r="W206" i="18" a="1"/>
  <c r="W206" i="18"/>
  <c r="AF206" i="18"/>
  <c r="W207" i="18" a="1"/>
  <c r="W207" i="18"/>
  <c r="AF207" i="18"/>
  <c r="W208" i="18" a="1"/>
  <c r="W208" i="18"/>
  <c r="AF208" i="18"/>
  <c r="W209" i="18" a="1"/>
  <c r="W209" i="18"/>
  <c r="W210" i="18" a="1"/>
  <c r="W210" i="18"/>
  <c r="AF210" i="18"/>
  <c r="W211" i="18" a="1"/>
  <c r="W211" i="18"/>
  <c r="AF211" i="18"/>
  <c r="W212" i="18" a="1"/>
  <c r="W212" i="18"/>
  <c r="AF212" i="18"/>
  <c r="W213" i="18" a="1"/>
  <c r="W213" i="18"/>
  <c r="AF213" i="18"/>
  <c r="W214" i="18" a="1"/>
  <c r="W214" i="18"/>
  <c r="AF214" i="18"/>
  <c r="W215" i="18" a="1"/>
  <c r="W215" i="18"/>
  <c r="AF215" i="18"/>
  <c r="W216" i="18" a="1"/>
  <c r="W216" i="18"/>
  <c r="AF216" i="18"/>
  <c r="W217" i="18" a="1"/>
  <c r="W217" i="18"/>
  <c r="AF217" i="18"/>
  <c r="W218" i="18" a="1"/>
  <c r="W218" i="18"/>
  <c r="AF218" i="18"/>
  <c r="W219" i="18" a="1"/>
  <c r="W219" i="18"/>
  <c r="W221" i="18" a="1"/>
  <c r="W221" i="18"/>
  <c r="AF221" i="18"/>
  <c r="W222" i="18" a="1"/>
  <c r="W222" i="18"/>
  <c r="W223" i="18" a="1"/>
  <c r="W223" i="18"/>
  <c r="W224" i="18" a="1"/>
  <c r="W224" i="18"/>
  <c r="AF224" i="18"/>
  <c r="W225" i="18" a="1"/>
  <c r="W225" i="18"/>
  <c r="AF225" i="18"/>
  <c r="W226" i="18" a="1"/>
  <c r="W226" i="18"/>
  <c r="AF226" i="18"/>
  <c r="W227" i="18" a="1"/>
  <c r="W227" i="18"/>
  <c r="W228" i="18" a="1"/>
  <c r="W228" i="18"/>
  <c r="W229" i="18" a="1"/>
  <c r="W229" i="18"/>
  <c r="AF229" i="18"/>
  <c r="W230" i="18" a="1"/>
  <c r="W230" i="18"/>
  <c r="AF230" i="18"/>
  <c r="W231" i="18" a="1"/>
  <c r="W231" i="18"/>
  <c r="AF231" i="18"/>
  <c r="W232" i="18" a="1"/>
  <c r="W232" i="18"/>
  <c r="AF232" i="18"/>
  <c r="W233" i="18" a="1"/>
  <c r="W233" i="18"/>
  <c r="AF233" i="18"/>
  <c r="W234" i="18" a="1"/>
  <c r="W234" i="18"/>
  <c r="AF234" i="18"/>
  <c r="W235" i="18" a="1"/>
  <c r="W235" i="18"/>
  <c r="AF235" i="18"/>
  <c r="W236" i="18" a="1"/>
  <c r="W236" i="18"/>
  <c r="AF236" i="18"/>
  <c r="W237" i="18" a="1"/>
  <c r="W237" i="18"/>
  <c r="AF237" i="18"/>
  <c r="W238" i="18" a="1"/>
  <c r="W238" i="18"/>
  <c r="AF238" i="18"/>
  <c r="W239" i="18" a="1"/>
  <c r="W239" i="18"/>
  <c r="AF239" i="18"/>
  <c r="W240" i="18" a="1"/>
  <c r="W240" i="18"/>
  <c r="AF240" i="18"/>
  <c r="W241" i="18" a="1"/>
  <c r="W241" i="18"/>
  <c r="AF241" i="18"/>
  <c r="W242" i="18" a="1"/>
  <c r="W242" i="18"/>
  <c r="AF242" i="18"/>
  <c r="W243" i="18" a="1"/>
  <c r="W243" i="18"/>
  <c r="AF243" i="18"/>
  <c r="W244" i="18" a="1"/>
  <c r="W244" i="18"/>
  <c r="AF244" i="18"/>
  <c r="W246" i="18" a="1"/>
  <c r="W246" i="18"/>
  <c r="W247" i="18" a="1"/>
  <c r="W247" i="18"/>
  <c r="W248" i="18" a="1"/>
  <c r="W248" i="18"/>
  <c r="AF248" i="18"/>
  <c r="W249" i="18" a="1"/>
  <c r="W249" i="18"/>
  <c r="AF249" i="18"/>
  <c r="W250" i="18" a="1"/>
  <c r="W250" i="18"/>
  <c r="AF250" i="18"/>
  <c r="W251" i="18" a="1"/>
  <c r="W251" i="18"/>
  <c r="AF251" i="18"/>
  <c r="W252" i="18" a="1"/>
  <c r="W252" i="18"/>
  <c r="AF252" i="18"/>
  <c r="W253" i="18" a="1"/>
  <c r="W253" i="18"/>
  <c r="AF253" i="18"/>
  <c r="W254" i="18" a="1"/>
  <c r="W254" i="18"/>
  <c r="AF254" i="18"/>
  <c r="W255" i="18" a="1"/>
  <c r="W255" i="18"/>
  <c r="W256" i="18" a="1"/>
  <c r="W256" i="18"/>
  <c r="AF256" i="18"/>
  <c r="W257" i="18" a="1"/>
  <c r="W257" i="18"/>
  <c r="AF257" i="18"/>
  <c r="W258" i="18" a="1"/>
  <c r="W258" i="18"/>
  <c r="AF258" i="18"/>
  <c r="W259" i="18" a="1"/>
  <c r="W259" i="18"/>
  <c r="AF259" i="18"/>
  <c r="W260" i="18" a="1"/>
  <c r="W260" i="18"/>
  <c r="AF260" i="18"/>
  <c r="W261" i="18" a="1"/>
  <c r="W261" i="18"/>
  <c r="AF261" i="18"/>
  <c r="W262" i="18" a="1"/>
  <c r="W262" i="18"/>
  <c r="AF262" i="18"/>
  <c r="W263" i="18" a="1"/>
  <c r="W263" i="18"/>
  <c r="AF263" i="18"/>
  <c r="W264" i="18" a="1"/>
  <c r="W264" i="18"/>
  <c r="AF264" i="18"/>
  <c r="W265" i="18" a="1"/>
  <c r="W265" i="18"/>
  <c r="AF265" i="18"/>
  <c r="W266" i="18" a="1"/>
  <c r="W266" i="18"/>
  <c r="AF266" i="18"/>
  <c r="W267" i="18" a="1"/>
  <c r="W267" i="18"/>
  <c r="W268" i="18" a="1"/>
  <c r="W268" i="18"/>
  <c r="AF268" i="18"/>
  <c r="W269" i="18" a="1"/>
  <c r="W269" i="18"/>
  <c r="AF269" i="18"/>
  <c r="W271" i="18" a="1"/>
  <c r="W271" i="18"/>
  <c r="AF271" i="18"/>
  <c r="W272" i="18" a="1"/>
  <c r="W272" i="18"/>
  <c r="AF272" i="18"/>
  <c r="W273" i="18" a="1"/>
  <c r="W273" i="18"/>
  <c r="AF273" i="18"/>
  <c r="W274" i="18" a="1"/>
  <c r="W274" i="18"/>
  <c r="AF274" i="18"/>
  <c r="W275" i="18" a="1"/>
  <c r="W275" i="18"/>
  <c r="AF275" i="18"/>
  <c r="W276" i="18" a="1"/>
  <c r="W276" i="18"/>
  <c r="AF276" i="18"/>
  <c r="W277" i="18" a="1"/>
  <c r="W277" i="18"/>
  <c r="AF277" i="18"/>
  <c r="W278" i="18" a="1"/>
  <c r="W278" i="18"/>
  <c r="AF278" i="18"/>
  <c r="W279" i="18" a="1"/>
  <c r="W279" i="18"/>
  <c r="AF279" i="18"/>
  <c r="W280" i="18" a="1"/>
  <c r="W280" i="18"/>
  <c r="AF280" i="18"/>
  <c r="W281" i="18" a="1"/>
  <c r="W281" i="18"/>
  <c r="AF281" i="18"/>
  <c r="W282" i="18" a="1"/>
  <c r="W282" i="18"/>
  <c r="AF282" i="18"/>
  <c r="W283" i="18" a="1"/>
  <c r="W283" i="18"/>
  <c r="AF283" i="18"/>
  <c r="W284" i="18" a="1"/>
  <c r="W284" i="18"/>
  <c r="W285" i="18" a="1"/>
  <c r="W285" i="18"/>
  <c r="W286" i="18" a="1"/>
  <c r="W286" i="18"/>
  <c r="W288" i="18" a="1"/>
  <c r="W288" i="18"/>
  <c r="W289" i="18" a="1"/>
  <c r="W289" i="18"/>
  <c r="AF289" i="18"/>
  <c r="W290" i="18" a="1"/>
  <c r="W290" i="18"/>
  <c r="W291" i="18" a="1"/>
  <c r="W291" i="18"/>
  <c r="AF291" i="18"/>
  <c r="W292" i="18" a="1"/>
  <c r="W292" i="18"/>
  <c r="AF292" i="18"/>
  <c r="W293" i="18" a="1"/>
  <c r="W293" i="18"/>
  <c r="AF293" i="18"/>
  <c r="W294" i="18" a="1"/>
  <c r="W294" i="18"/>
  <c r="AF294" i="18"/>
  <c r="W295" i="18" a="1"/>
  <c r="W295" i="18"/>
  <c r="AF295" i="18"/>
  <c r="W297" i="18" a="1"/>
  <c r="W297" i="18"/>
  <c r="AF297" i="18"/>
  <c r="W298" i="18" a="1"/>
  <c r="W298" i="18"/>
  <c r="AF298" i="18"/>
  <c r="W299" i="18" a="1"/>
  <c r="W299" i="18"/>
  <c r="AF299" i="18"/>
  <c r="W300" i="18" a="1"/>
  <c r="W300" i="18"/>
  <c r="AF300" i="18"/>
  <c r="W301" i="18" a="1"/>
  <c r="W301" i="18"/>
  <c r="AF301" i="18"/>
  <c r="W302" i="18" a="1"/>
  <c r="W302" i="18"/>
  <c r="AF302" i="18"/>
  <c r="W303" i="18" a="1"/>
  <c r="W303" i="18"/>
  <c r="AF303" i="18"/>
  <c r="W305" i="18" a="1"/>
  <c r="W305" i="18"/>
  <c r="AF305" i="18"/>
  <c r="W306" i="18" a="1"/>
  <c r="W306" i="18"/>
  <c r="AF306" i="18"/>
  <c r="W307" i="18" a="1"/>
  <c r="W307" i="18"/>
  <c r="AF307" i="18"/>
  <c r="W308" i="18" a="1"/>
  <c r="W308" i="18"/>
  <c r="AF308" i="18"/>
  <c r="W309" i="18" a="1"/>
  <c r="W309" i="18"/>
  <c r="AF309" i="18"/>
  <c r="W310" i="18" a="1"/>
  <c r="W310" i="18"/>
  <c r="AF310" i="18"/>
  <c r="W311" i="18" a="1"/>
  <c r="W311" i="18"/>
  <c r="AF311" i="18"/>
  <c r="W313" i="18" a="1"/>
  <c r="W313" i="18"/>
  <c r="AF313" i="18"/>
  <c r="W314" i="18" a="1"/>
  <c r="W314" i="18"/>
  <c r="AF314" i="18"/>
  <c r="W315" i="18" a="1"/>
  <c r="W315" i="18"/>
  <c r="AF315" i="18"/>
  <c r="W316" i="18" a="1"/>
  <c r="W316" i="18"/>
  <c r="AF316" i="18"/>
  <c r="W317" i="18" a="1"/>
  <c r="W317" i="18"/>
  <c r="AF317" i="18"/>
  <c r="W318" i="18" a="1"/>
  <c r="W318" i="18"/>
  <c r="AF318" i="18"/>
  <c r="W319" i="18" a="1"/>
  <c r="W319" i="18"/>
  <c r="W320" i="18" a="1"/>
  <c r="W320" i="18"/>
  <c r="AF320" i="18"/>
  <c r="W321" i="18" a="1"/>
  <c r="W321" i="18"/>
  <c r="AF321" i="18"/>
  <c r="W322" i="18" a="1"/>
  <c r="W322" i="18"/>
  <c r="AF322" i="18"/>
  <c r="W323" i="18" a="1"/>
  <c r="W323" i="18"/>
  <c r="AF323" i="18"/>
  <c r="W324" i="18" a="1"/>
  <c r="W324" i="18"/>
  <c r="AF324" i="18"/>
  <c r="W325" i="18" a="1"/>
  <c r="W325" i="18"/>
  <c r="AF325" i="18"/>
  <c r="W326" i="18" a="1"/>
  <c r="W326" i="18"/>
  <c r="AF326" i="18"/>
  <c r="W327" i="18" a="1"/>
  <c r="W327" i="18"/>
  <c r="AF327" i="18"/>
  <c r="W328" i="18" a="1"/>
  <c r="W328" i="18"/>
  <c r="AF328" i="18"/>
  <c r="W329" i="18" a="1"/>
  <c r="W329" i="18"/>
  <c r="AF329" i="18"/>
  <c r="W331" i="18" a="1"/>
  <c r="W331" i="18"/>
  <c r="W332" i="18" a="1"/>
  <c r="W332" i="18"/>
  <c r="AF332" i="18"/>
  <c r="W333" i="18" a="1"/>
  <c r="W333" i="18"/>
  <c r="AF333" i="18"/>
  <c r="W334" i="18" a="1"/>
  <c r="W334" i="18"/>
  <c r="AF334" i="18"/>
  <c r="W335" i="18" a="1"/>
  <c r="W335" i="18"/>
  <c r="AF335" i="18"/>
  <c r="W336" i="18" a="1"/>
  <c r="W336" i="18"/>
  <c r="AF336" i="18"/>
  <c r="W337" i="18" a="1"/>
  <c r="W337" i="18"/>
  <c r="AF337" i="18"/>
  <c r="W338" i="18" a="1"/>
  <c r="W338" i="18"/>
  <c r="W339" i="18" a="1"/>
  <c r="W339" i="18"/>
  <c r="AF339" i="18"/>
  <c r="W340" i="18" a="1"/>
  <c r="W340" i="18"/>
  <c r="AF340" i="18"/>
  <c r="W341" i="18" a="1"/>
  <c r="W341" i="18"/>
  <c r="AF341" i="18"/>
  <c r="W342" i="18" a="1"/>
  <c r="W342" i="18"/>
  <c r="AF342" i="18"/>
  <c r="W343" i="18" a="1"/>
  <c r="W343" i="18"/>
  <c r="AF343" i="18"/>
  <c r="W344" i="18" a="1"/>
  <c r="W344" i="18"/>
  <c r="AF344" i="18"/>
  <c r="W345" i="18" a="1"/>
  <c r="W345" i="18"/>
  <c r="AF345" i="18"/>
  <c r="W346" i="18" a="1"/>
  <c r="W346" i="18"/>
  <c r="W348" i="18" a="1"/>
  <c r="W348" i="18"/>
  <c r="W349" i="18" a="1"/>
  <c r="W349" i="18"/>
  <c r="W350" i="18" a="1"/>
  <c r="W350" i="18"/>
  <c r="W351" i="18" a="1"/>
  <c r="W351" i="18"/>
  <c r="AF351" i="18"/>
  <c r="W352" i="18" a="1"/>
  <c r="W352" i="18"/>
  <c r="AF352" i="18"/>
  <c r="W353" i="18" a="1"/>
  <c r="W353" i="18"/>
  <c r="AF353" i="18"/>
  <c r="W354" i="18" a="1"/>
  <c r="W354" i="18"/>
  <c r="AF354" i="18"/>
  <c r="W355" i="18" a="1"/>
  <c r="W355" i="18"/>
  <c r="AF355" i="18"/>
  <c r="W356" i="18" a="1"/>
  <c r="W356" i="18"/>
  <c r="AF356" i="18"/>
  <c r="W357" i="18" a="1"/>
  <c r="W357" i="18"/>
  <c r="AF357" i="18"/>
  <c r="W358" i="18" a="1"/>
  <c r="W358" i="18"/>
  <c r="AF358" i="18"/>
  <c r="W359" i="18" a="1"/>
  <c r="W359" i="18"/>
  <c r="AF359" i="18"/>
  <c r="W360" i="18" a="1"/>
  <c r="W360" i="18"/>
  <c r="AF360" i="18"/>
  <c r="W361" i="18" a="1"/>
  <c r="W361" i="18"/>
  <c r="AF361" i="18"/>
  <c r="W362" i="18" a="1"/>
  <c r="W362" i="18"/>
  <c r="AF362" i="18"/>
  <c r="W363" i="18" a="1"/>
  <c r="W363" i="18"/>
  <c r="AF363" i="18"/>
  <c r="W365" i="18" a="1"/>
  <c r="W365" i="18"/>
  <c r="AF365" i="18"/>
  <c r="W366" i="18" a="1"/>
  <c r="W366" i="18"/>
  <c r="AF366" i="18"/>
  <c r="W367" i="18" a="1"/>
  <c r="W367" i="18"/>
  <c r="AF367" i="18"/>
  <c r="W368" i="18" a="1"/>
  <c r="W368" i="18"/>
  <c r="AF368" i="18"/>
  <c r="W369" i="18" a="1"/>
  <c r="W369" i="18"/>
  <c r="AF369" i="18"/>
  <c r="W370" i="18" a="1"/>
  <c r="W370" i="18"/>
  <c r="AF370" i="18"/>
  <c r="W371" i="18" a="1"/>
  <c r="W371" i="18"/>
  <c r="AF371" i="18"/>
  <c r="W372" i="18" a="1"/>
  <c r="W372" i="18"/>
  <c r="AF372" i="18"/>
  <c r="W373" i="18" a="1"/>
  <c r="W373" i="18"/>
  <c r="AF373" i="18"/>
  <c r="W375" i="18" a="1"/>
  <c r="W375" i="18"/>
  <c r="AF375" i="18"/>
  <c r="W376" i="18" a="1"/>
  <c r="W376" i="18"/>
  <c r="AF376" i="18"/>
  <c r="W377" i="18" a="1"/>
  <c r="W377" i="18"/>
  <c r="AF377" i="18"/>
  <c r="W378" i="18" a="1"/>
  <c r="W378" i="18"/>
  <c r="AF378" i="18"/>
  <c r="W379" i="18" a="1"/>
  <c r="W379" i="18"/>
  <c r="AF379" i="18"/>
  <c r="W380" i="18" a="1"/>
  <c r="W380" i="18"/>
  <c r="AF380" i="18"/>
  <c r="W381" i="18" a="1"/>
  <c r="W381" i="18"/>
  <c r="AF381" i="18"/>
  <c r="W382" i="18" a="1"/>
  <c r="W382" i="18"/>
  <c r="AF382" i="18"/>
  <c r="W383" i="18" a="1"/>
  <c r="W383" i="18"/>
  <c r="AF383" i="18"/>
  <c r="W384" i="18" a="1"/>
  <c r="W384" i="18"/>
  <c r="AF384" i="18"/>
  <c r="W385" i="18" a="1"/>
  <c r="W385" i="18"/>
  <c r="AF385" i="18"/>
  <c r="W386" i="18" a="1"/>
  <c r="W386" i="18"/>
  <c r="AF386" i="18"/>
  <c r="W387" i="18" a="1"/>
  <c r="W387" i="18"/>
  <c r="AF387" i="18"/>
  <c r="W388" i="18" a="1"/>
  <c r="W388" i="18"/>
  <c r="AF388" i="18"/>
  <c r="W389" i="18" a="1"/>
  <c r="W389" i="18"/>
  <c r="AF389" i="18"/>
  <c r="W390" i="18" a="1"/>
  <c r="W390" i="18"/>
  <c r="AF390" i="18"/>
  <c r="W391" i="18" a="1"/>
  <c r="W391" i="18"/>
  <c r="AF391" i="18"/>
  <c r="W392" i="18" a="1"/>
  <c r="W392" i="18"/>
  <c r="AF392" i="18"/>
  <c r="W393" i="18" a="1"/>
  <c r="W393" i="18"/>
  <c r="AF393" i="18"/>
  <c r="W394" i="18" a="1"/>
  <c r="W394" i="18"/>
  <c r="W395" i="18" a="1"/>
  <c r="W395" i="18"/>
  <c r="AF395" i="18"/>
  <c r="W396" i="18" a="1"/>
  <c r="W396" i="18"/>
  <c r="W397" i="18" a="1"/>
  <c r="W397" i="18"/>
  <c r="W398" i="18" a="1"/>
  <c r="W398" i="18"/>
  <c r="AF398" i="18"/>
  <c r="W399" i="18" a="1"/>
  <c r="W399" i="18"/>
  <c r="AF399" i="18"/>
  <c r="W400" i="18" a="1"/>
  <c r="W400" i="18"/>
  <c r="AF400" i="18"/>
  <c r="W401" i="18" a="1"/>
  <c r="W401" i="18"/>
  <c r="AF401" i="18"/>
  <c r="W402" i="18" a="1"/>
  <c r="W402" i="18"/>
  <c r="AF402" i="18"/>
  <c r="W403" i="18" a="1"/>
  <c r="W403" i="18"/>
  <c r="AF403" i="18"/>
  <c r="W404" i="18" a="1"/>
  <c r="W404" i="18"/>
  <c r="AF404" i="18"/>
  <c r="W405" i="18" a="1"/>
  <c r="W405" i="18"/>
  <c r="AF405" i="18"/>
  <c r="W406" i="18" a="1"/>
  <c r="W406" i="18"/>
  <c r="AF406" i="18"/>
  <c r="W408" i="18" a="1"/>
  <c r="W408" i="18"/>
  <c r="AF408" i="18"/>
  <c r="W409" i="18" a="1"/>
  <c r="W409" i="18"/>
  <c r="AF409" i="18"/>
  <c r="W410" i="18" a="1"/>
  <c r="W410" i="18"/>
  <c r="AF410" i="18"/>
  <c r="W411" i="18" a="1"/>
  <c r="W411" i="18"/>
  <c r="AF411" i="18"/>
  <c r="W412" i="18" a="1"/>
  <c r="W412" i="18"/>
  <c r="AF412" i="18"/>
  <c r="W413" i="18" a="1"/>
  <c r="W413" i="18"/>
  <c r="AF413" i="18"/>
  <c r="W414" i="18" a="1"/>
  <c r="W414" i="18"/>
  <c r="AF414" i="18"/>
  <c r="W415" i="18" a="1"/>
  <c r="W415" i="18"/>
  <c r="W416" i="18" a="1"/>
  <c r="W416" i="18"/>
  <c r="AF416" i="18"/>
  <c r="W417" i="18" a="1"/>
  <c r="W417" i="18"/>
  <c r="AF417" i="18"/>
  <c r="W418" i="18" a="1"/>
  <c r="W418" i="18"/>
  <c r="AF418" i="18"/>
  <c r="W419" i="18" a="1"/>
  <c r="W419" i="18"/>
  <c r="AF419" i="18"/>
  <c r="W420" i="18" a="1"/>
  <c r="W420" i="18"/>
  <c r="AF420" i="18"/>
  <c r="W421" i="18" a="1"/>
  <c r="W421" i="18"/>
  <c r="AF421" i="18"/>
  <c r="W422" i="18" a="1"/>
  <c r="W422" i="18"/>
  <c r="AF422" i="18"/>
  <c r="W423" i="18" a="1"/>
  <c r="W423" i="18"/>
  <c r="AF423" i="18"/>
  <c r="W424" i="18" a="1"/>
  <c r="W424" i="18"/>
  <c r="AF424" i="18"/>
  <c r="W425" i="18" a="1"/>
  <c r="W425" i="18"/>
  <c r="AF425" i="18"/>
  <c r="W426" i="18" a="1"/>
  <c r="W426" i="18"/>
  <c r="AF426" i="18"/>
  <c r="W427" i="18" a="1"/>
  <c r="W427" i="18"/>
  <c r="AF427" i="18"/>
  <c r="W428" i="18" a="1"/>
  <c r="W428" i="18"/>
  <c r="AF428" i="18"/>
  <c r="W429" i="18" a="1"/>
  <c r="W429" i="18"/>
  <c r="AF429" i="18"/>
  <c r="W430" i="18" a="1"/>
  <c r="W430" i="18"/>
  <c r="AF430" i="18"/>
  <c r="W431" i="18" a="1"/>
  <c r="W431" i="18"/>
  <c r="AF431" i="18"/>
  <c r="W433" i="18" a="1"/>
  <c r="W433" i="18"/>
  <c r="AF433" i="18"/>
  <c r="W434" i="18" a="1"/>
  <c r="W434" i="18"/>
  <c r="AF434" i="18"/>
  <c r="W435" i="18" a="1"/>
  <c r="W435" i="18"/>
  <c r="AF435" i="18"/>
  <c r="W436" i="18" a="1"/>
  <c r="W436" i="18"/>
  <c r="AF436" i="18"/>
  <c r="W437" i="18" a="1"/>
  <c r="W437" i="18"/>
  <c r="AF437" i="18"/>
  <c r="W438" i="18" a="1"/>
  <c r="W438" i="18"/>
  <c r="AF438" i="18"/>
  <c r="W439" i="18" a="1"/>
  <c r="W439" i="18"/>
  <c r="AF439" i="18"/>
  <c r="W440" i="18" a="1"/>
  <c r="W440" i="18"/>
  <c r="AF440" i="18"/>
  <c r="W441" i="18" a="1"/>
  <c r="W441" i="18"/>
  <c r="AF441" i="18"/>
  <c r="W442" i="18" a="1"/>
  <c r="W442" i="18"/>
  <c r="AF442" i="18"/>
  <c r="W443" i="18" a="1"/>
  <c r="W443" i="18"/>
  <c r="AF443" i="18"/>
  <c r="W444" i="18" a="1"/>
  <c r="W444" i="18"/>
  <c r="AF444" i="18"/>
  <c r="W445" i="18" a="1"/>
  <c r="W445" i="18"/>
  <c r="AF445" i="18"/>
  <c r="W446" i="18" a="1"/>
  <c r="W446" i="18"/>
  <c r="AF446" i="18"/>
  <c r="W447" i="18" a="1"/>
  <c r="W447" i="18"/>
  <c r="AF447" i="18"/>
  <c r="W448" i="18" a="1"/>
  <c r="W448" i="18"/>
  <c r="W450" i="18" a="1"/>
  <c r="W450" i="18"/>
  <c r="AF450" i="18"/>
  <c r="W451" i="18" a="1"/>
  <c r="W451" i="18"/>
  <c r="AF451" i="18"/>
  <c r="W452" i="18" a="1"/>
  <c r="W452" i="18"/>
  <c r="AF452" i="18"/>
  <c r="W453" i="18" a="1"/>
  <c r="W453" i="18"/>
  <c r="AF453" i="18"/>
  <c r="W454" i="18" a="1"/>
  <c r="W454" i="18"/>
  <c r="AF454" i="18"/>
  <c r="W455" i="18" a="1"/>
  <c r="W455" i="18"/>
  <c r="AF455" i="18"/>
  <c r="W456" i="18" a="1"/>
  <c r="W456" i="18"/>
  <c r="W457" i="18" a="1"/>
  <c r="W457" i="18"/>
  <c r="AF457" i="18"/>
  <c r="W458" i="18" a="1"/>
  <c r="W458" i="18"/>
  <c r="AF458" i="18"/>
  <c r="W459" i="18" a="1"/>
  <c r="W459" i="18"/>
  <c r="AF459" i="18"/>
  <c r="W460" i="18" a="1"/>
  <c r="W460" i="18"/>
  <c r="AF460" i="18"/>
  <c r="W461" i="18" a="1"/>
  <c r="W461" i="18"/>
  <c r="AF461" i="18"/>
  <c r="W462" i="18" a="1"/>
  <c r="W462" i="18"/>
  <c r="AF462" i="18"/>
  <c r="W463" i="18" a="1"/>
  <c r="W463" i="18"/>
  <c r="AF463" i="18"/>
  <c r="W464" i="18" a="1"/>
  <c r="W464" i="18"/>
  <c r="AF464" i="18"/>
  <c r="W466" i="18" a="1"/>
  <c r="W466" i="18"/>
  <c r="W467" i="18" a="1"/>
  <c r="W467" i="18"/>
  <c r="AF467" i="18"/>
  <c r="W468" i="18" a="1"/>
  <c r="W468" i="18"/>
  <c r="AF468" i="18"/>
  <c r="W469" i="18" a="1"/>
  <c r="W469" i="18"/>
  <c r="AF469" i="18"/>
  <c r="W470" i="18" a="1"/>
  <c r="W470" i="18"/>
  <c r="AF470" i="18"/>
  <c r="W471" i="18" a="1"/>
  <c r="W471" i="18"/>
  <c r="AF471" i="18"/>
  <c r="W472" i="18" a="1"/>
  <c r="W472" i="18"/>
  <c r="AF472" i="18"/>
  <c r="W473" i="18" a="1"/>
  <c r="W473" i="18"/>
  <c r="AF473" i="18"/>
  <c r="W474" i="18" a="1"/>
  <c r="W474" i="18"/>
  <c r="AF474" i="18"/>
  <c r="W475" i="18" a="1"/>
  <c r="W475" i="18"/>
  <c r="AF475" i="18"/>
  <c r="W476" i="18" a="1"/>
  <c r="W476" i="18"/>
  <c r="W477" i="18" a="1"/>
  <c r="W477" i="18"/>
  <c r="AF477" i="18"/>
  <c r="W478" i="18" a="1"/>
  <c r="W478" i="18"/>
  <c r="W479" i="18" a="1"/>
  <c r="W479" i="18"/>
  <c r="W480" i="18" a="1"/>
  <c r="W480" i="18"/>
  <c r="W481" i="18" a="1"/>
  <c r="W481" i="18"/>
  <c r="AF481" i="18"/>
  <c r="W482" i="18" a="1"/>
  <c r="W482" i="18"/>
  <c r="AF482" i="18"/>
  <c r="W483" i="18" a="1"/>
  <c r="W483" i="18"/>
  <c r="AF483" i="18"/>
  <c r="W484" i="18" a="1"/>
  <c r="W484" i="18"/>
  <c r="AF484" i="18"/>
  <c r="W485" i="18" a="1"/>
  <c r="W485" i="18"/>
  <c r="AF485" i="18"/>
  <c r="W486" i="18" a="1"/>
  <c r="W486" i="18"/>
  <c r="AF486" i="18"/>
  <c r="W487" i="18" a="1"/>
  <c r="W487" i="18"/>
  <c r="AF487" i="18"/>
  <c r="W488" i="18" a="1"/>
  <c r="W488" i="18"/>
  <c r="AF488" i="18"/>
  <c r="W489" i="18" a="1"/>
  <c r="W489" i="18"/>
  <c r="AF489" i="18"/>
  <c r="W490" i="18" a="1"/>
  <c r="W490" i="18"/>
  <c r="AF490" i="18"/>
  <c r="W491" i="18" a="1"/>
  <c r="W491" i="18"/>
  <c r="AF491" i="18"/>
  <c r="W492" i="18" a="1"/>
  <c r="W492" i="18"/>
  <c r="AF492" i="18"/>
  <c r="W493" i="18" a="1"/>
  <c r="W493" i="18"/>
  <c r="AF493" i="18"/>
  <c r="W494" i="18" a="1"/>
  <c r="W494" i="18"/>
  <c r="AF494" i="18"/>
  <c r="W495" i="18" a="1"/>
  <c r="W495" i="18"/>
  <c r="AF495" i="18"/>
  <c r="W496" i="18" a="1"/>
  <c r="W496" i="18"/>
  <c r="AF496" i="18"/>
  <c r="W497" i="18" a="1"/>
  <c r="W497" i="18"/>
  <c r="AF497" i="18"/>
  <c r="W499" i="18" a="1"/>
  <c r="W499" i="18"/>
  <c r="AF499" i="18"/>
  <c r="W500" i="18" a="1"/>
  <c r="W500" i="18"/>
  <c r="AF500" i="18"/>
  <c r="W501" i="18" a="1"/>
  <c r="W501" i="18"/>
  <c r="AF501" i="18"/>
  <c r="W502" i="18" a="1"/>
  <c r="W502" i="18"/>
  <c r="AF502" i="18"/>
  <c r="W503" i="18" a="1"/>
  <c r="W503" i="18"/>
  <c r="AF503" i="18"/>
  <c r="W504" i="18" a="1"/>
  <c r="W504" i="18"/>
  <c r="AF504" i="18"/>
  <c r="W505" i="18" a="1"/>
  <c r="W505" i="18"/>
  <c r="AF505" i="18"/>
  <c r="W506" i="18" a="1"/>
  <c r="W506" i="18"/>
  <c r="AF506" i="18"/>
  <c r="W508" i="18" a="1"/>
  <c r="W508" i="18"/>
  <c r="AF508" i="18"/>
  <c r="W509" i="18" a="1"/>
  <c r="W509" i="18"/>
  <c r="AF509" i="18"/>
  <c r="W510" i="18" a="1"/>
  <c r="W510" i="18"/>
  <c r="AF510" i="18"/>
  <c r="W511" i="18" a="1"/>
  <c r="W511" i="18"/>
  <c r="W512" i="18" a="1"/>
  <c r="W512" i="18"/>
  <c r="AF512" i="18"/>
  <c r="W513" i="18" a="1"/>
  <c r="W513" i="18"/>
  <c r="AF513" i="18"/>
  <c r="W514" i="18" a="1"/>
  <c r="W514" i="18"/>
  <c r="AF514" i="18"/>
  <c r="W515" i="18" a="1"/>
  <c r="W515" i="18"/>
  <c r="AF515" i="18"/>
  <c r="W516" i="18" a="1"/>
  <c r="W516" i="18"/>
  <c r="AF516" i="18"/>
  <c r="W517" i="18" a="1"/>
  <c r="W517" i="18"/>
  <c r="AF517" i="18"/>
  <c r="W518" i="18" a="1"/>
  <c r="W518" i="18"/>
  <c r="AF518" i="18"/>
  <c r="W519" i="18" a="1"/>
  <c r="W519" i="18"/>
  <c r="AF519" i="18"/>
  <c r="W520" i="18" a="1"/>
  <c r="W520" i="18"/>
  <c r="AF520" i="18"/>
  <c r="W521" i="18" a="1"/>
  <c r="W521" i="18"/>
  <c r="AF521" i="18"/>
  <c r="W522" i="18" a="1"/>
  <c r="W522" i="18"/>
  <c r="AF522" i="18"/>
  <c r="W523" i="18" a="1"/>
  <c r="W523" i="18"/>
  <c r="AF523" i="18"/>
  <c r="W524" i="18" a="1"/>
  <c r="W524" i="18"/>
  <c r="AF524" i="18"/>
  <c r="W525" i="18" a="1"/>
  <c r="W525" i="18"/>
  <c r="AF525" i="18"/>
  <c r="W526" i="18" a="1"/>
  <c r="W526" i="18"/>
  <c r="AF526" i="18"/>
  <c r="W527" i="18" a="1"/>
  <c r="W527" i="18"/>
  <c r="AF527" i="18"/>
  <c r="W528" i="18" a="1"/>
  <c r="W528" i="18"/>
  <c r="AF528" i="18"/>
  <c r="W529" i="18" a="1"/>
  <c r="W529" i="18"/>
  <c r="W79" i="18" a="1"/>
  <c r="W79" i="18"/>
  <c r="AF79" i="18"/>
  <c r="V80" i="18" a="1"/>
  <c r="V80" i="18"/>
  <c r="V81" i="18" a="1"/>
  <c r="V81" i="18"/>
  <c r="V82" i="18" a="1"/>
  <c r="V82" i="18"/>
  <c r="V83" i="18" a="1"/>
  <c r="V83" i="18"/>
  <c r="V84" i="18" a="1"/>
  <c r="V84" i="18"/>
  <c r="AE84" i="18"/>
  <c r="V85" i="18" a="1"/>
  <c r="V85" i="18"/>
  <c r="AE85" i="18"/>
  <c r="V86" i="18" a="1"/>
  <c r="V86" i="18"/>
  <c r="V87" i="18" a="1"/>
  <c r="V87" i="18"/>
  <c r="AE87" i="18"/>
  <c r="V88" i="18" a="1"/>
  <c r="V88" i="18"/>
  <c r="AE88" i="18"/>
  <c r="V89" i="18" a="1"/>
  <c r="V89" i="18"/>
  <c r="AE89" i="18"/>
  <c r="V90" i="18" a="1"/>
  <c r="V90" i="18"/>
  <c r="AE90" i="18"/>
  <c r="V91" i="18" a="1"/>
  <c r="V91" i="18"/>
  <c r="AE91" i="18"/>
  <c r="V92" i="18" a="1"/>
  <c r="V92" i="18"/>
  <c r="AE92" i="18"/>
  <c r="V93" i="18" a="1"/>
  <c r="V93" i="18"/>
  <c r="AE93" i="18"/>
  <c r="V94" i="18" a="1"/>
  <c r="V94" i="18"/>
  <c r="AE94" i="18"/>
  <c r="V95" i="18" a="1"/>
  <c r="V95" i="18"/>
  <c r="AE95" i="18"/>
  <c r="V96" i="18" a="1"/>
  <c r="V96" i="18"/>
  <c r="AE96" i="18"/>
  <c r="V97" i="18" a="1"/>
  <c r="V97" i="18"/>
  <c r="AE97" i="18"/>
  <c r="V98" i="18" a="1"/>
  <c r="V98" i="18"/>
  <c r="AE98" i="18"/>
  <c r="V99" i="18" a="1"/>
  <c r="V99" i="18"/>
  <c r="AE99" i="18"/>
  <c r="V100" i="18" a="1"/>
  <c r="V100" i="18"/>
  <c r="AE100" i="18"/>
  <c r="V101" i="18" a="1"/>
  <c r="V101" i="18"/>
  <c r="AE101" i="18"/>
  <c r="V102" i="18" a="1"/>
  <c r="V102" i="18"/>
  <c r="AE102" i="18"/>
  <c r="V103" i="18" a="1"/>
  <c r="V103" i="18"/>
  <c r="AE103" i="18"/>
  <c r="V104" i="18" a="1"/>
  <c r="V104" i="18"/>
  <c r="AE104" i="18"/>
  <c r="V105" i="18" a="1"/>
  <c r="V105" i="18"/>
  <c r="AE105" i="18"/>
  <c r="V106" i="18" a="1"/>
  <c r="V106" i="18"/>
  <c r="AE106" i="18"/>
  <c r="V107" i="18" a="1"/>
  <c r="V107" i="18"/>
  <c r="AE107" i="18"/>
  <c r="V108" i="18" a="1"/>
  <c r="V108" i="18"/>
  <c r="AE108" i="18"/>
  <c r="V109" i="18" a="1"/>
  <c r="V109" i="18"/>
  <c r="AE109" i="18"/>
  <c r="V110" i="18" a="1"/>
  <c r="V110" i="18"/>
  <c r="AE110" i="18"/>
  <c r="V111" i="18" a="1"/>
  <c r="V111" i="18"/>
  <c r="AE111" i="18"/>
  <c r="V112" i="18" a="1"/>
  <c r="V112" i="18"/>
  <c r="AE112" i="18"/>
  <c r="V113" i="18" a="1"/>
  <c r="V113" i="18"/>
  <c r="AE113" i="18"/>
  <c r="V114" i="18" a="1"/>
  <c r="V114" i="18"/>
  <c r="AE114" i="18"/>
  <c r="V115" i="18" a="1"/>
  <c r="V115" i="18"/>
  <c r="AE115" i="18"/>
  <c r="V116" i="18" a="1"/>
  <c r="V116" i="18"/>
  <c r="AE116" i="18"/>
  <c r="V117" i="18" a="1"/>
  <c r="V117" i="18"/>
  <c r="AE117" i="18"/>
  <c r="V118" i="18" a="1"/>
  <c r="V118" i="18"/>
  <c r="AE118" i="18"/>
  <c r="V119" i="18" a="1"/>
  <c r="V119" i="18"/>
  <c r="AE119" i="18"/>
  <c r="V120" i="18" a="1"/>
  <c r="V120" i="18"/>
  <c r="AE120" i="18"/>
  <c r="V121" i="18" a="1"/>
  <c r="V121" i="18"/>
  <c r="AE121" i="18"/>
  <c r="V122" i="18" a="1"/>
  <c r="V122" i="18"/>
  <c r="V123" i="18" a="1"/>
  <c r="V123" i="18"/>
  <c r="AE123" i="18"/>
  <c r="V124" i="18" a="1"/>
  <c r="V124" i="18"/>
  <c r="AE124" i="18"/>
  <c r="V125" i="18" a="1"/>
  <c r="V125" i="18"/>
  <c r="AE125" i="18"/>
  <c r="V126" i="18" a="1"/>
  <c r="V126" i="18"/>
  <c r="AE126" i="18"/>
  <c r="V127" i="18" a="1"/>
  <c r="V127" i="18"/>
  <c r="AE127" i="18"/>
  <c r="V128" i="18" a="1"/>
  <c r="V128" i="18"/>
  <c r="AE128" i="18"/>
  <c r="V129" i="18" a="1"/>
  <c r="V129" i="18"/>
  <c r="AE129" i="18"/>
  <c r="V130" i="18" a="1"/>
  <c r="V130" i="18"/>
  <c r="AE130" i="18"/>
  <c r="V131" i="18" a="1"/>
  <c r="V131" i="18"/>
  <c r="AE131" i="18"/>
  <c r="V132" i="18" a="1"/>
  <c r="V132" i="18"/>
  <c r="AE132" i="18"/>
  <c r="V133" i="18" a="1"/>
  <c r="V133" i="18"/>
  <c r="AE133" i="18"/>
  <c r="V134" i="18" a="1"/>
  <c r="V134" i="18"/>
  <c r="AE134" i="18"/>
  <c r="V135" i="18" a="1"/>
  <c r="V135" i="18"/>
  <c r="AE135" i="18"/>
  <c r="V136" i="18" a="1"/>
  <c r="V136" i="18"/>
  <c r="AE136" i="18"/>
  <c r="V137" i="18" a="1"/>
  <c r="V137" i="18"/>
  <c r="AE137" i="18"/>
  <c r="V138" i="18" a="1"/>
  <c r="V138" i="18"/>
  <c r="AE138" i="18"/>
  <c r="V139" i="18" a="1"/>
  <c r="V139" i="18"/>
  <c r="AE139" i="18"/>
  <c r="V140" i="18" a="1"/>
  <c r="V140" i="18"/>
  <c r="AE140" i="18"/>
  <c r="V141" i="18" a="1"/>
  <c r="V141" i="18"/>
  <c r="AE141" i="18"/>
  <c r="V142" i="18" a="1"/>
  <c r="V142" i="18"/>
  <c r="AE142" i="18"/>
  <c r="V143" i="18" a="1"/>
  <c r="V143" i="18"/>
  <c r="AE143" i="18"/>
  <c r="V144" i="18" a="1"/>
  <c r="V144" i="18"/>
  <c r="AE144" i="18"/>
  <c r="V145" i="18" a="1"/>
  <c r="V145" i="18"/>
  <c r="AE145" i="18"/>
  <c r="V146" i="18" a="1"/>
  <c r="V146" i="18"/>
  <c r="AE146" i="18"/>
  <c r="V147" i="18" a="1"/>
  <c r="V147" i="18"/>
  <c r="V148" i="18" a="1"/>
  <c r="V148" i="18"/>
  <c r="AE148" i="18"/>
  <c r="V149" i="18" a="1"/>
  <c r="V149" i="18"/>
  <c r="AE149" i="18"/>
  <c r="V150" i="18" a="1"/>
  <c r="V150" i="18"/>
  <c r="V151" i="18" a="1"/>
  <c r="V151" i="18"/>
  <c r="AE151" i="18"/>
  <c r="V152" i="18" a="1"/>
  <c r="V152" i="18"/>
  <c r="V153" i="18" a="1"/>
  <c r="V153" i="18"/>
  <c r="AE153" i="18"/>
  <c r="V154" i="18" a="1"/>
  <c r="V154" i="18"/>
  <c r="AE154" i="18"/>
  <c r="V155" i="18" a="1"/>
  <c r="V155" i="18"/>
  <c r="AE155" i="18"/>
  <c r="V156" i="18" a="1"/>
  <c r="V156" i="18"/>
  <c r="V157" i="18" a="1"/>
  <c r="V157" i="18"/>
  <c r="V158" i="18" a="1"/>
  <c r="V158" i="18"/>
  <c r="V159" i="18" a="1"/>
  <c r="V159" i="18"/>
  <c r="AE159" i="18"/>
  <c r="V160" i="18" a="1"/>
  <c r="V160" i="18"/>
  <c r="AE160" i="18"/>
  <c r="V161" i="18" a="1"/>
  <c r="V161" i="18"/>
  <c r="AE161" i="18"/>
  <c r="V162" i="18" a="1"/>
  <c r="V162" i="18"/>
  <c r="AE162" i="18"/>
  <c r="V163" i="18" a="1"/>
  <c r="V163" i="18"/>
  <c r="AE163" i="18"/>
  <c r="V164" i="18" a="1"/>
  <c r="V164" i="18"/>
  <c r="AE164" i="18"/>
  <c r="V165" i="18" a="1"/>
  <c r="V165" i="18"/>
  <c r="AE165" i="18"/>
  <c r="V166" i="18" a="1"/>
  <c r="V166" i="18"/>
  <c r="AE166" i="18"/>
  <c r="V167" i="18" a="1"/>
  <c r="V167" i="18"/>
  <c r="AE167" i="18"/>
  <c r="V168" i="18" a="1"/>
  <c r="V168" i="18"/>
  <c r="V169" i="18" a="1"/>
  <c r="V169" i="18"/>
  <c r="V170" i="18" a="1"/>
  <c r="V170" i="18"/>
  <c r="AE170" i="18"/>
  <c r="V171" i="18" a="1"/>
  <c r="V171" i="18"/>
  <c r="AE171" i="18"/>
  <c r="V172" i="18" a="1"/>
  <c r="V172" i="18"/>
  <c r="AE172" i="18"/>
  <c r="V173" i="18" a="1"/>
  <c r="V173" i="18"/>
  <c r="AE173" i="18"/>
  <c r="V174" i="18" a="1"/>
  <c r="V174" i="18"/>
  <c r="AE174" i="18"/>
  <c r="V175" i="18" a="1"/>
  <c r="V175" i="18"/>
  <c r="AE175" i="18"/>
  <c r="V176" i="18" a="1"/>
  <c r="V176" i="18"/>
  <c r="AE176" i="18"/>
  <c r="V177" i="18" a="1"/>
  <c r="V177" i="18"/>
  <c r="AE177" i="18"/>
  <c r="V178" i="18" a="1"/>
  <c r="V178" i="18"/>
  <c r="AE178" i="18"/>
  <c r="V179" i="18" a="1"/>
  <c r="V179" i="18"/>
  <c r="AE179" i="18"/>
  <c r="V180" i="18" a="1"/>
  <c r="V180" i="18"/>
  <c r="AE180" i="18"/>
  <c r="V181" i="18" a="1"/>
  <c r="V181" i="18"/>
  <c r="AE181" i="18"/>
  <c r="V182" i="18" a="1"/>
  <c r="V182" i="18"/>
  <c r="AE182" i="18"/>
  <c r="V183" i="18" a="1"/>
  <c r="V183" i="18"/>
  <c r="AE183" i="18"/>
  <c r="V184" i="18" a="1"/>
  <c r="V184" i="18"/>
  <c r="AE184" i="18"/>
  <c r="V185" i="18" a="1"/>
  <c r="V185" i="18"/>
  <c r="AE185" i="18"/>
  <c r="V186" i="18" a="1"/>
  <c r="V186" i="18"/>
  <c r="AE186" i="18"/>
  <c r="V187" i="18" a="1"/>
  <c r="V187" i="18"/>
  <c r="AE187" i="18"/>
  <c r="V188" i="18" a="1"/>
  <c r="V188" i="18"/>
  <c r="AE188" i="18"/>
  <c r="V189" i="18" a="1"/>
  <c r="V189" i="18"/>
  <c r="AE189" i="18"/>
  <c r="V190" i="18" a="1"/>
  <c r="V190" i="18"/>
  <c r="AE190" i="18"/>
  <c r="V191" i="18" a="1"/>
  <c r="V191" i="18"/>
  <c r="V192" i="18" a="1"/>
  <c r="V192" i="18"/>
  <c r="V193" i="18" a="1"/>
  <c r="V193" i="18"/>
  <c r="V194" i="18" a="1"/>
  <c r="V194" i="18"/>
  <c r="AE194" i="18"/>
  <c r="V195" i="18" a="1"/>
  <c r="V195" i="18"/>
  <c r="AE195" i="18"/>
  <c r="V196" i="18" a="1"/>
  <c r="V196" i="18"/>
  <c r="AE196" i="18"/>
  <c r="V197" i="18" a="1"/>
  <c r="V197" i="18"/>
  <c r="AE197" i="18"/>
  <c r="V198" i="18" a="1"/>
  <c r="V198" i="18"/>
  <c r="AE198" i="18"/>
  <c r="V199" i="18" a="1"/>
  <c r="V199" i="18"/>
  <c r="V200" i="18" a="1"/>
  <c r="V200" i="18"/>
  <c r="V201" i="18" a="1"/>
  <c r="V201" i="18"/>
  <c r="V202" i="18" a="1"/>
  <c r="V202" i="18"/>
  <c r="V203" i="18" a="1"/>
  <c r="V203" i="18"/>
  <c r="AE203" i="18"/>
  <c r="V204" i="18" a="1"/>
  <c r="V204" i="18"/>
  <c r="V205" i="18" a="1"/>
  <c r="V205" i="18"/>
  <c r="AE205" i="18"/>
  <c r="V206" i="18" a="1"/>
  <c r="V206" i="18"/>
  <c r="AE206" i="18"/>
  <c r="V207" i="18" a="1"/>
  <c r="V207" i="18"/>
  <c r="AE207" i="18"/>
  <c r="V208" i="18" a="1"/>
  <c r="V208" i="18"/>
  <c r="AE208" i="18"/>
  <c r="V209" i="18" a="1"/>
  <c r="V209" i="18"/>
  <c r="AE209" i="18"/>
  <c r="V210" i="18" a="1"/>
  <c r="V210" i="18"/>
  <c r="AE210" i="18"/>
  <c r="V211" i="18" a="1"/>
  <c r="V211" i="18"/>
  <c r="AE211" i="18"/>
  <c r="V212" i="18" a="1"/>
  <c r="V212" i="18"/>
  <c r="AE212" i="18"/>
  <c r="V213" i="18" a="1"/>
  <c r="V213" i="18"/>
  <c r="AE213" i="18"/>
  <c r="V214" i="18" a="1"/>
  <c r="V214" i="18"/>
  <c r="AE214" i="18"/>
  <c r="V215" i="18" a="1"/>
  <c r="V215" i="18"/>
  <c r="AE215" i="18"/>
  <c r="V216" i="18" a="1"/>
  <c r="V216" i="18"/>
  <c r="AE216" i="18"/>
  <c r="V217" i="18" a="1"/>
  <c r="V217" i="18"/>
  <c r="AE217" i="18"/>
  <c r="V218" i="18" a="1"/>
  <c r="V218" i="18"/>
  <c r="AE218" i="18"/>
  <c r="V219" i="18" a="1"/>
  <c r="V219" i="18"/>
  <c r="AE219" i="18"/>
  <c r="V220" i="18" a="1"/>
  <c r="V220" i="18"/>
  <c r="AE220" i="18"/>
  <c r="V221" i="18" a="1"/>
  <c r="V221" i="18"/>
  <c r="V222" i="18" a="1"/>
  <c r="V222" i="18"/>
  <c r="AE222" i="18"/>
  <c r="V223" i="18" a="1"/>
  <c r="V223" i="18"/>
  <c r="AE223" i="18"/>
  <c r="V224" i="18" a="1"/>
  <c r="V224" i="18"/>
  <c r="AE224" i="18"/>
  <c r="V225" i="18" a="1"/>
  <c r="V225" i="18"/>
  <c r="AE225" i="18"/>
  <c r="V226" i="18" a="1"/>
  <c r="V226" i="18"/>
  <c r="V227" i="18" a="1"/>
  <c r="V227" i="18"/>
  <c r="AE227" i="18"/>
  <c r="V228" i="18" a="1"/>
  <c r="V228" i="18"/>
  <c r="V229" i="18" a="1"/>
  <c r="V229" i="18"/>
  <c r="AE229" i="18"/>
  <c r="V230" i="18" a="1"/>
  <c r="V230" i="18"/>
  <c r="AE230" i="18"/>
  <c r="V231" i="18" a="1"/>
  <c r="V231" i="18"/>
  <c r="AE231" i="18"/>
  <c r="V232" i="18" a="1"/>
  <c r="V232" i="18"/>
  <c r="AE232" i="18"/>
  <c r="V233" i="18" a="1"/>
  <c r="V233" i="18"/>
  <c r="AE233" i="18"/>
  <c r="V234" i="18" a="1"/>
  <c r="V234" i="18"/>
  <c r="AE234" i="18"/>
  <c r="V235" i="18" a="1"/>
  <c r="V235" i="18"/>
  <c r="AE235" i="18"/>
  <c r="V236" i="18" a="1"/>
  <c r="V236" i="18"/>
  <c r="AE236" i="18"/>
  <c r="V237" i="18" a="1"/>
  <c r="V237" i="18"/>
  <c r="AE237" i="18"/>
  <c r="V238" i="18" a="1"/>
  <c r="V238" i="18"/>
  <c r="AE238" i="18"/>
  <c r="V239" i="18" a="1"/>
  <c r="V239" i="18"/>
  <c r="AE239" i="18"/>
  <c r="V240" i="18" a="1"/>
  <c r="V240" i="18"/>
  <c r="AE240" i="18"/>
  <c r="V241" i="18" a="1"/>
  <c r="V241" i="18"/>
  <c r="AE241" i="18"/>
  <c r="V242" i="18" a="1"/>
  <c r="V242" i="18"/>
  <c r="AE242" i="18"/>
  <c r="V243" i="18" a="1"/>
  <c r="V243" i="18"/>
  <c r="AE243" i="18"/>
  <c r="V244" i="18" a="1"/>
  <c r="V244" i="18"/>
  <c r="V245" i="18" a="1"/>
  <c r="V245" i="18"/>
  <c r="AE245" i="18"/>
  <c r="V246" i="18" a="1"/>
  <c r="V246" i="18"/>
  <c r="AE246" i="18"/>
  <c r="V247" i="18" a="1"/>
  <c r="V247" i="18"/>
  <c r="AE247" i="18"/>
  <c r="V248" i="18" a="1"/>
  <c r="V248" i="18"/>
  <c r="AE248" i="18"/>
  <c r="V249" i="18" a="1"/>
  <c r="V249" i="18"/>
  <c r="AE249" i="18"/>
  <c r="V250" i="18" a="1"/>
  <c r="V250" i="18"/>
  <c r="AE250" i="18"/>
  <c r="V251" i="18" a="1"/>
  <c r="V251" i="18"/>
  <c r="AE251" i="18"/>
  <c r="V252" i="18" a="1"/>
  <c r="V252" i="18"/>
  <c r="AE252" i="18"/>
  <c r="V253" i="18" a="1"/>
  <c r="V253" i="18"/>
  <c r="AE253" i="18"/>
  <c r="V254" i="18" a="1"/>
  <c r="V254" i="18"/>
  <c r="AE254" i="18"/>
  <c r="V255" i="18" a="1"/>
  <c r="V255" i="18"/>
  <c r="AE255" i="18"/>
  <c r="V256" i="18" a="1"/>
  <c r="V256" i="18"/>
  <c r="V257" i="18" a="1"/>
  <c r="V257" i="18"/>
  <c r="V258" i="18" a="1"/>
  <c r="V258" i="18"/>
  <c r="V259" i="18" a="1"/>
  <c r="V259" i="18"/>
  <c r="AE259" i="18"/>
  <c r="V260" i="18" a="1"/>
  <c r="V260" i="18"/>
  <c r="AE260" i="18"/>
  <c r="V261" i="18" a="1"/>
  <c r="V261" i="18"/>
  <c r="AE261" i="18"/>
  <c r="V262" i="18" a="1"/>
  <c r="V262" i="18"/>
  <c r="AE262" i="18"/>
  <c r="V263" i="18" a="1"/>
  <c r="V263" i="18"/>
  <c r="AE263" i="18"/>
  <c r="V264" i="18" a="1"/>
  <c r="V264" i="18"/>
  <c r="AE264" i="18"/>
  <c r="V265" i="18" a="1"/>
  <c r="V265" i="18"/>
  <c r="AE265" i="18"/>
  <c r="V266" i="18" a="1"/>
  <c r="V266" i="18"/>
  <c r="AE266" i="18"/>
  <c r="V267" i="18" a="1"/>
  <c r="V267" i="18"/>
  <c r="AE267" i="18"/>
  <c r="V268" i="18" a="1"/>
  <c r="V268" i="18"/>
  <c r="AE268" i="18"/>
  <c r="V269" i="18" a="1"/>
  <c r="V269" i="18"/>
  <c r="AE269" i="18"/>
  <c r="V270" i="18" a="1"/>
  <c r="V270" i="18"/>
  <c r="AE270" i="18"/>
  <c r="V271" i="18" a="1"/>
  <c r="V271" i="18"/>
  <c r="AE271" i="18"/>
  <c r="V272" i="18" a="1"/>
  <c r="V272" i="18"/>
  <c r="AE272" i="18"/>
  <c r="V273" i="18" a="1"/>
  <c r="V273" i="18"/>
  <c r="AE273" i="18"/>
  <c r="V274" i="18" a="1"/>
  <c r="V274" i="18"/>
  <c r="AE274" i="18"/>
  <c r="V275" i="18" a="1"/>
  <c r="V275" i="18"/>
  <c r="AE275" i="18"/>
  <c r="V276" i="18" a="1"/>
  <c r="V276" i="18"/>
  <c r="AE276" i="18"/>
  <c r="V277" i="18" a="1"/>
  <c r="V277" i="18"/>
  <c r="AE277" i="18"/>
  <c r="V278" i="18" a="1"/>
  <c r="V278" i="18"/>
  <c r="AE278" i="18"/>
  <c r="V279" i="18" a="1"/>
  <c r="V279" i="18"/>
  <c r="V280" i="18" a="1"/>
  <c r="V280" i="18"/>
  <c r="AE280" i="18"/>
  <c r="V281" i="18" a="1"/>
  <c r="V281" i="18"/>
  <c r="AE281" i="18"/>
  <c r="V282" i="18" a="1"/>
  <c r="V282" i="18"/>
  <c r="AE282" i="18"/>
  <c r="V283" i="18" a="1"/>
  <c r="V283" i="18"/>
  <c r="AE283" i="18"/>
  <c r="V284" i="18" a="1"/>
  <c r="V284" i="18"/>
  <c r="V285" i="18" a="1"/>
  <c r="V285" i="18"/>
  <c r="V286" i="18" a="1"/>
  <c r="V286" i="18"/>
  <c r="V287" i="18" a="1"/>
  <c r="V287" i="18"/>
  <c r="AE287" i="18"/>
  <c r="V288" i="18" a="1"/>
  <c r="V288" i="18"/>
  <c r="AE288" i="18"/>
  <c r="V289" i="18" a="1"/>
  <c r="V289" i="18"/>
  <c r="AE289" i="18"/>
  <c r="V290" i="18" a="1"/>
  <c r="V290" i="18"/>
  <c r="AE290" i="18"/>
  <c r="V291" i="18" a="1"/>
  <c r="V291" i="18"/>
  <c r="AE291" i="18"/>
  <c r="V292" i="18" a="1"/>
  <c r="V292" i="18"/>
  <c r="AE292" i="18"/>
  <c r="V293" i="18" a="1"/>
  <c r="V293" i="18"/>
  <c r="AE293" i="18"/>
  <c r="V294" i="18" a="1"/>
  <c r="V294" i="18"/>
  <c r="AE294" i="18"/>
  <c r="V295" i="18" a="1"/>
  <c r="V295" i="18"/>
  <c r="AE295" i="18"/>
  <c r="V296" i="18" a="1"/>
  <c r="V296" i="18"/>
  <c r="AE296" i="18"/>
  <c r="V297" i="18" a="1"/>
  <c r="V297" i="18"/>
  <c r="AE297" i="18"/>
  <c r="V298" i="18" a="1"/>
  <c r="V298" i="18"/>
  <c r="AE298" i="18"/>
  <c r="V299" i="18" a="1"/>
  <c r="V299" i="18"/>
  <c r="V300" i="18" a="1"/>
  <c r="V300" i="18"/>
  <c r="AE300" i="18"/>
  <c r="V301" i="18" a="1"/>
  <c r="V301" i="18"/>
  <c r="V302" i="18" a="1"/>
  <c r="V302" i="18"/>
  <c r="V303" i="18" a="1"/>
  <c r="V303" i="18"/>
  <c r="AE303" i="18"/>
  <c r="V304" i="18" a="1"/>
  <c r="V304" i="18"/>
  <c r="AE304" i="18"/>
  <c r="V305" i="18" a="1"/>
  <c r="V305" i="18"/>
  <c r="AE305" i="18"/>
  <c r="V306" i="18" a="1"/>
  <c r="V306" i="18"/>
  <c r="AE306" i="18"/>
  <c r="V307" i="18" a="1"/>
  <c r="V307" i="18"/>
  <c r="AE307" i="18"/>
  <c r="V308" i="18" a="1"/>
  <c r="V308" i="18"/>
  <c r="AE308" i="18"/>
  <c r="V309" i="18" a="1"/>
  <c r="V309" i="18"/>
  <c r="V310" i="18" a="1"/>
  <c r="V310" i="18"/>
  <c r="V311" i="18" a="1"/>
  <c r="V311" i="18"/>
  <c r="AE311" i="18"/>
  <c r="V312" i="18" a="1"/>
  <c r="V312" i="18"/>
  <c r="AE312" i="18"/>
  <c r="V313" i="18" a="1"/>
  <c r="V313" i="18"/>
  <c r="AE313" i="18"/>
  <c r="V314" i="18" a="1"/>
  <c r="V314" i="18"/>
  <c r="AE314" i="18"/>
  <c r="V315" i="18" a="1"/>
  <c r="V315" i="18"/>
  <c r="AE315" i="18"/>
  <c r="V316" i="18" a="1"/>
  <c r="V316" i="18"/>
  <c r="AE316" i="18"/>
  <c r="V317" i="18" a="1"/>
  <c r="V317" i="18"/>
  <c r="AE317" i="18"/>
  <c r="V318" i="18" a="1"/>
  <c r="V318" i="18"/>
  <c r="AE318" i="18"/>
  <c r="V319" i="18" a="1"/>
  <c r="V319" i="18"/>
  <c r="AE319" i="18"/>
  <c r="V320" i="18" a="1"/>
  <c r="V320" i="18"/>
  <c r="AE320" i="18"/>
  <c r="V321" i="18" a="1"/>
  <c r="V321" i="18"/>
  <c r="AE321" i="18"/>
  <c r="V322" i="18" a="1"/>
  <c r="V322" i="18"/>
  <c r="AE322" i="18"/>
  <c r="V323" i="18" a="1"/>
  <c r="V323" i="18"/>
  <c r="AE323" i="18"/>
  <c r="V324" i="18" a="1"/>
  <c r="V324" i="18"/>
  <c r="AE324" i="18"/>
  <c r="V325" i="18" a="1"/>
  <c r="V325" i="18"/>
  <c r="AE325" i="18"/>
  <c r="V326" i="18" a="1"/>
  <c r="V326" i="18"/>
  <c r="AE326" i="18"/>
  <c r="V327" i="18" a="1"/>
  <c r="V327" i="18"/>
  <c r="AE327" i="18"/>
  <c r="V328" i="18" a="1"/>
  <c r="V328" i="18"/>
  <c r="AE328" i="18"/>
  <c r="V329" i="18" a="1"/>
  <c r="V329" i="18"/>
  <c r="AE329" i="18"/>
  <c r="V330" i="18" a="1"/>
  <c r="V330" i="18"/>
  <c r="AE330" i="18"/>
  <c r="V331" i="18" a="1"/>
  <c r="V331" i="18"/>
  <c r="AE331" i="18"/>
  <c r="V332" i="18" a="1"/>
  <c r="V332" i="18"/>
  <c r="AE332" i="18"/>
  <c r="V333" i="18" a="1"/>
  <c r="V333" i="18"/>
  <c r="AE333" i="18"/>
  <c r="V334" i="18" a="1"/>
  <c r="V334" i="18"/>
  <c r="AE334" i="18"/>
  <c r="V335" i="18" a="1"/>
  <c r="V335" i="18"/>
  <c r="AE335" i="18"/>
  <c r="V336" i="18" a="1"/>
  <c r="V336" i="18"/>
  <c r="AE336" i="18"/>
  <c r="V337" i="18" a="1"/>
  <c r="V337" i="18"/>
  <c r="V338" i="18" a="1"/>
  <c r="V338" i="18"/>
  <c r="AE338" i="18"/>
  <c r="V339" i="18" a="1"/>
  <c r="V339" i="18"/>
  <c r="AE339" i="18"/>
  <c r="V340" i="18" a="1"/>
  <c r="V340" i="18"/>
  <c r="AE340" i="18"/>
  <c r="V341" i="18" a="1"/>
  <c r="V341" i="18"/>
  <c r="AE341" i="18"/>
  <c r="V342" i="18" a="1"/>
  <c r="V342" i="18"/>
  <c r="AE342" i="18"/>
  <c r="V343" i="18" a="1"/>
  <c r="V343" i="18"/>
  <c r="AE343" i="18"/>
  <c r="V344" i="18" a="1"/>
  <c r="V344" i="18"/>
  <c r="AE344" i="18"/>
  <c r="V345" i="18" a="1"/>
  <c r="V345" i="18"/>
  <c r="AE345" i="18"/>
  <c r="V346" i="18" a="1"/>
  <c r="V346" i="18"/>
  <c r="AE346" i="18"/>
  <c r="V347" i="18" a="1"/>
  <c r="V347" i="18"/>
  <c r="AE347" i="18"/>
  <c r="V348" i="18" a="1"/>
  <c r="V348" i="18"/>
  <c r="V349" i="18" a="1"/>
  <c r="V349" i="18"/>
  <c r="AE349" i="18"/>
  <c r="V350" i="18" a="1"/>
  <c r="V350" i="18"/>
  <c r="AE350" i="18"/>
  <c r="V351" i="18" a="1"/>
  <c r="V351" i="18"/>
  <c r="AE351" i="18"/>
  <c r="V352" i="18" a="1"/>
  <c r="V352" i="18"/>
  <c r="AE352" i="18"/>
  <c r="V353" i="18" a="1"/>
  <c r="V353" i="18"/>
  <c r="AE353" i="18"/>
  <c r="V354" i="18" a="1"/>
  <c r="V354" i="18"/>
  <c r="V355" i="18" a="1"/>
  <c r="V355" i="18"/>
  <c r="AE355" i="18"/>
  <c r="V356" i="18" a="1"/>
  <c r="V356" i="18"/>
  <c r="V357" i="18" a="1"/>
  <c r="V357" i="18"/>
  <c r="AE357" i="18"/>
  <c r="V358" i="18" a="1"/>
  <c r="V358" i="18"/>
  <c r="AE358" i="18"/>
  <c r="V359" i="18" a="1"/>
  <c r="V359" i="18"/>
  <c r="AE359" i="18"/>
  <c r="V360" i="18" a="1"/>
  <c r="V360" i="18"/>
  <c r="AE360" i="18"/>
  <c r="V361" i="18" a="1"/>
  <c r="V361" i="18"/>
  <c r="AE361" i="18"/>
  <c r="V362" i="18" a="1"/>
  <c r="V362" i="18"/>
  <c r="AE362" i="18"/>
  <c r="V363" i="18" a="1"/>
  <c r="V363" i="18"/>
  <c r="AE363" i="18"/>
  <c r="V364" i="18" a="1"/>
  <c r="V364" i="18"/>
  <c r="AE364" i="18"/>
  <c r="V365" i="18" a="1"/>
  <c r="V365" i="18"/>
  <c r="V366" i="18" a="1"/>
  <c r="V366" i="18"/>
  <c r="V367" i="18" a="1"/>
  <c r="V367" i="18"/>
  <c r="AE367" i="18"/>
  <c r="V368" i="18" a="1"/>
  <c r="V368" i="18"/>
  <c r="AE368" i="18"/>
  <c r="V369" i="18" a="1"/>
  <c r="V369" i="18"/>
  <c r="AE369" i="18"/>
  <c r="V370" i="18" a="1"/>
  <c r="V370" i="18"/>
  <c r="AE370" i="18"/>
  <c r="V371" i="18" a="1"/>
  <c r="V371" i="18"/>
  <c r="AE371" i="18"/>
  <c r="V372" i="18" a="1"/>
  <c r="V372" i="18"/>
  <c r="AE372" i="18"/>
  <c r="V373" i="18" a="1"/>
  <c r="V373" i="18"/>
  <c r="AE373" i="18"/>
  <c r="V374" i="18" a="1"/>
  <c r="V374" i="18"/>
  <c r="AE374" i="18"/>
  <c r="V375" i="18" a="1"/>
  <c r="V375" i="18"/>
  <c r="AE375" i="18"/>
  <c r="V376" i="18" a="1"/>
  <c r="V376" i="18"/>
  <c r="AE376" i="18"/>
  <c r="V377" i="18" a="1"/>
  <c r="V377" i="18"/>
  <c r="AE377" i="18"/>
  <c r="V378" i="18" a="1"/>
  <c r="V378" i="18"/>
  <c r="AE378" i="18"/>
  <c r="V379" i="18" a="1"/>
  <c r="V379" i="18"/>
  <c r="AE379" i="18"/>
  <c r="V380" i="18" a="1"/>
  <c r="V380" i="18"/>
  <c r="AE380" i="18"/>
  <c r="V381" i="18" a="1"/>
  <c r="V381" i="18"/>
  <c r="AE381" i="18"/>
  <c r="V382" i="18" a="1"/>
  <c r="V382" i="18"/>
  <c r="AE382" i="18"/>
  <c r="V383" i="18" a="1"/>
  <c r="V383" i="18"/>
  <c r="AE383" i="18"/>
  <c r="V384" i="18" a="1"/>
  <c r="V384" i="18"/>
  <c r="AE384" i="18"/>
  <c r="V385" i="18" a="1"/>
  <c r="V385" i="18"/>
  <c r="AE385" i="18"/>
  <c r="V386" i="18" a="1"/>
  <c r="V386" i="18"/>
  <c r="AE386" i="18"/>
  <c r="V387" i="18" a="1"/>
  <c r="V387" i="18"/>
  <c r="AE387" i="18"/>
  <c r="V388" i="18" a="1"/>
  <c r="V388" i="18"/>
  <c r="AE388" i="18"/>
  <c r="V389" i="18" a="1"/>
  <c r="V389" i="18"/>
  <c r="AE389" i="18"/>
  <c r="V390" i="18" a="1"/>
  <c r="V390" i="18"/>
  <c r="AE390" i="18"/>
  <c r="V391" i="18" a="1"/>
  <c r="V391" i="18"/>
  <c r="AE391" i="18"/>
  <c r="V392" i="18" a="1"/>
  <c r="V392" i="18"/>
  <c r="AE392" i="18"/>
  <c r="V393" i="18" a="1"/>
  <c r="V393" i="18"/>
  <c r="AE393" i="18"/>
  <c r="V394" i="18" a="1"/>
  <c r="V394" i="18"/>
  <c r="AE394" i="18"/>
  <c r="V395" i="18" a="1"/>
  <c r="V395" i="18"/>
  <c r="AE395" i="18"/>
  <c r="V396" i="18" a="1"/>
  <c r="V396" i="18"/>
  <c r="AE396" i="18"/>
  <c r="V397" i="18" a="1"/>
  <c r="V397" i="18"/>
  <c r="AE397" i="18"/>
  <c r="V398" i="18" a="1"/>
  <c r="V398" i="18"/>
  <c r="AE398" i="18"/>
  <c r="V399" i="18" a="1"/>
  <c r="V399" i="18"/>
  <c r="AE399" i="18"/>
  <c r="V400" i="18" a="1"/>
  <c r="V400" i="18"/>
  <c r="AE400" i="18"/>
  <c r="V401" i="18" a="1"/>
  <c r="V401" i="18"/>
  <c r="AE401" i="18"/>
  <c r="V402" i="18" a="1"/>
  <c r="V402" i="18"/>
  <c r="AE402" i="18"/>
  <c r="V403" i="18" a="1"/>
  <c r="V403" i="18"/>
  <c r="AE403" i="18"/>
  <c r="V404" i="18" a="1"/>
  <c r="V404" i="18"/>
  <c r="AE404" i="18"/>
  <c r="V405" i="18" a="1"/>
  <c r="V405" i="18"/>
  <c r="AE405" i="18"/>
  <c r="V406" i="18" a="1"/>
  <c r="V406" i="18"/>
  <c r="AE406" i="18"/>
  <c r="V407" i="18" a="1"/>
  <c r="V407" i="18"/>
  <c r="AE407" i="18"/>
  <c r="V408" i="18" a="1"/>
  <c r="V408" i="18"/>
  <c r="AE408" i="18"/>
  <c r="V409" i="18" a="1"/>
  <c r="V409" i="18"/>
  <c r="AE409" i="18"/>
  <c r="V410" i="18" a="1"/>
  <c r="V410" i="18"/>
  <c r="V411" i="18" a="1"/>
  <c r="V411" i="18"/>
  <c r="V412" i="18" a="1"/>
  <c r="V412" i="18"/>
  <c r="AE412" i="18"/>
  <c r="V413" i="18" a="1"/>
  <c r="V413" i="18"/>
  <c r="AE413" i="18"/>
  <c r="V414" i="18" a="1"/>
  <c r="V414" i="18"/>
  <c r="AE414" i="18"/>
  <c r="V415" i="18" a="1"/>
  <c r="V415" i="18"/>
  <c r="AE415" i="18"/>
  <c r="V416" i="18" a="1"/>
  <c r="V416" i="18"/>
  <c r="V417" i="18" a="1"/>
  <c r="V417" i="18"/>
  <c r="V418" i="18" a="1"/>
  <c r="V418" i="18"/>
  <c r="AE418" i="18"/>
  <c r="V419" i="18" a="1"/>
  <c r="V419" i="18"/>
  <c r="AE419" i="18"/>
  <c r="V420" i="18" a="1"/>
  <c r="V420" i="18"/>
  <c r="AE420" i="18"/>
  <c r="V421" i="18" a="1"/>
  <c r="V421" i="18"/>
  <c r="V422" i="18" a="1"/>
  <c r="V422" i="18"/>
  <c r="AE422" i="18"/>
  <c r="V423" i="18" a="1"/>
  <c r="V423" i="18"/>
  <c r="AE423" i="18"/>
  <c r="V424" i="18" a="1"/>
  <c r="V424" i="18"/>
  <c r="V425" i="18" a="1"/>
  <c r="V425" i="18"/>
  <c r="V426" i="18" a="1"/>
  <c r="V426" i="18"/>
  <c r="V427" i="18" a="1"/>
  <c r="V427" i="18"/>
  <c r="V428" i="18" a="1"/>
  <c r="V428" i="18"/>
  <c r="AE428" i="18"/>
  <c r="V429" i="18" a="1"/>
  <c r="V429" i="18"/>
  <c r="AE429" i="18"/>
  <c r="V430" i="18" a="1"/>
  <c r="V430" i="18"/>
  <c r="AE430" i="18"/>
  <c r="V431" i="18" a="1"/>
  <c r="V431" i="18"/>
  <c r="AE431" i="18"/>
  <c r="V432" i="18" a="1"/>
  <c r="V432" i="18"/>
  <c r="AE432" i="18"/>
  <c r="V433" i="18" a="1"/>
  <c r="V433" i="18"/>
  <c r="AE433" i="18"/>
  <c r="V434" i="18" a="1"/>
  <c r="V434" i="18"/>
  <c r="AE434" i="18"/>
  <c r="V435" i="18" a="1"/>
  <c r="V435" i="18"/>
  <c r="AE435" i="18"/>
  <c r="V436" i="18" a="1"/>
  <c r="V436" i="18"/>
  <c r="AE436" i="18"/>
  <c r="V437" i="18" a="1"/>
  <c r="V437" i="18"/>
  <c r="AE437" i="18"/>
  <c r="V438" i="18" a="1"/>
  <c r="V438" i="18"/>
  <c r="AE438" i="18"/>
  <c r="V439" i="18" a="1"/>
  <c r="V439" i="18"/>
  <c r="AE439" i="18"/>
  <c r="V440" i="18" a="1"/>
  <c r="V440" i="18"/>
  <c r="AE440" i="18"/>
  <c r="V441" i="18" a="1"/>
  <c r="V441" i="18"/>
  <c r="AE441" i="18"/>
  <c r="V442" i="18" a="1"/>
  <c r="V442" i="18"/>
  <c r="AE442" i="18"/>
  <c r="V443" i="18" a="1"/>
  <c r="V443" i="18"/>
  <c r="AE443" i="18"/>
  <c r="V444" i="18" a="1"/>
  <c r="V444" i="18"/>
  <c r="AE444" i="18"/>
  <c r="V445" i="18" a="1"/>
  <c r="V445" i="18"/>
  <c r="AE445" i="18"/>
  <c r="V446" i="18" a="1"/>
  <c r="V446" i="18"/>
  <c r="AE446" i="18"/>
  <c r="V447" i="18" a="1"/>
  <c r="V447" i="18"/>
  <c r="AE447" i="18"/>
  <c r="V448" i="18" a="1"/>
  <c r="V448" i="18"/>
  <c r="V449" i="18" a="1"/>
  <c r="V449" i="18"/>
  <c r="V450" i="18" a="1"/>
  <c r="V450" i="18"/>
  <c r="V451" i="18" a="1"/>
  <c r="V451" i="18"/>
  <c r="AE451" i="18"/>
  <c r="V452" i="18" a="1"/>
  <c r="V452" i="18"/>
  <c r="AE452" i="18"/>
  <c r="V453" i="18" a="1"/>
  <c r="V453" i="18"/>
  <c r="AE453" i="18"/>
  <c r="V454" i="18" a="1"/>
  <c r="V454" i="18"/>
  <c r="AE454" i="18"/>
  <c r="V455" i="18" a="1"/>
  <c r="V455" i="18"/>
  <c r="AE455" i="18"/>
  <c r="V456" i="18" a="1"/>
  <c r="V456" i="18"/>
  <c r="AE456" i="18"/>
  <c r="V457" i="18" a="1"/>
  <c r="V457" i="18"/>
  <c r="AE457" i="18"/>
  <c r="V458" i="18" a="1"/>
  <c r="V458" i="18"/>
  <c r="AE458" i="18"/>
  <c r="V459" i="18" a="1"/>
  <c r="V459" i="18"/>
  <c r="AE459" i="18"/>
  <c r="V460" i="18" a="1"/>
  <c r="V460" i="18"/>
  <c r="AE460" i="18"/>
  <c r="V461" i="18" a="1"/>
  <c r="V461" i="18"/>
  <c r="AE461" i="18"/>
  <c r="V462" i="18" a="1"/>
  <c r="V462" i="18"/>
  <c r="AE462" i="18"/>
  <c r="V463" i="18" a="1"/>
  <c r="V463" i="18"/>
  <c r="AE463" i="18"/>
  <c r="V464" i="18" a="1"/>
  <c r="V464" i="18"/>
  <c r="AE464" i="18"/>
  <c r="V465" i="18" a="1"/>
  <c r="V465" i="18"/>
  <c r="AE465" i="18"/>
  <c r="V466" i="18" a="1"/>
  <c r="V466" i="18"/>
  <c r="AE466" i="18"/>
  <c r="V467" i="18" a="1"/>
  <c r="V467" i="18"/>
  <c r="AE467" i="18"/>
  <c r="V468" i="18" a="1"/>
  <c r="V468" i="18"/>
  <c r="AE468" i="18"/>
  <c r="V469" i="18" a="1"/>
  <c r="V469" i="18"/>
  <c r="AE469" i="18"/>
  <c r="V470" i="18" a="1"/>
  <c r="V470" i="18"/>
  <c r="AE470" i="18"/>
  <c r="V471" i="18" a="1"/>
  <c r="V471" i="18"/>
  <c r="AE471" i="18"/>
  <c r="V472" i="18" a="1"/>
  <c r="V472" i="18"/>
  <c r="AE472" i="18"/>
  <c r="V473" i="18" a="1"/>
  <c r="V473" i="18"/>
  <c r="V474" i="18" a="1"/>
  <c r="V474" i="18"/>
  <c r="AE474" i="18"/>
  <c r="V475" i="18" a="1"/>
  <c r="V475" i="18"/>
  <c r="AE475" i="18"/>
  <c r="V476" i="18" a="1"/>
  <c r="V476" i="18"/>
  <c r="AE476" i="18"/>
  <c r="V477" i="18" a="1"/>
  <c r="V477" i="18"/>
  <c r="AE477" i="18"/>
  <c r="V478" i="18" a="1"/>
  <c r="V478" i="18"/>
  <c r="AE478" i="18"/>
  <c r="V479" i="18" a="1"/>
  <c r="V479" i="18"/>
  <c r="AE479" i="18"/>
  <c r="V480" i="18" a="1"/>
  <c r="V480" i="18"/>
  <c r="AE480" i="18"/>
  <c r="V481" i="18" a="1"/>
  <c r="V481" i="18"/>
  <c r="AE481" i="18"/>
  <c r="V482" i="18" a="1"/>
  <c r="V482" i="18"/>
  <c r="AE482" i="18"/>
  <c r="V483" i="18" a="1"/>
  <c r="V483" i="18"/>
  <c r="AE483" i="18"/>
  <c r="V484" i="18" a="1"/>
  <c r="V484" i="18"/>
  <c r="AE484" i="18"/>
  <c r="V485" i="18" a="1"/>
  <c r="V485" i="18"/>
  <c r="AE485" i="18"/>
  <c r="V486" i="18" a="1"/>
  <c r="V486" i="18"/>
  <c r="V487" i="18" a="1"/>
  <c r="V487" i="18"/>
  <c r="AE487" i="18"/>
  <c r="V488" i="18" a="1"/>
  <c r="V488" i="18"/>
  <c r="AE488" i="18"/>
  <c r="V489" i="18" a="1"/>
  <c r="V489" i="18"/>
  <c r="AE489" i="18"/>
  <c r="V490" i="18" a="1"/>
  <c r="V490" i="18"/>
  <c r="AE490" i="18"/>
  <c r="V491" i="18" a="1"/>
  <c r="V491" i="18"/>
  <c r="AE491" i="18"/>
  <c r="V492" i="18" a="1"/>
  <c r="V492" i="18"/>
  <c r="AE492" i="18"/>
  <c r="V493" i="18" a="1"/>
  <c r="V493" i="18"/>
  <c r="AE493" i="18"/>
  <c r="V494" i="18" a="1"/>
  <c r="V494" i="18"/>
  <c r="AE494" i="18"/>
  <c r="V495" i="18" a="1"/>
  <c r="V495" i="18"/>
  <c r="AE495" i="18"/>
  <c r="V496" i="18" a="1"/>
  <c r="V496" i="18"/>
  <c r="AE496" i="18"/>
  <c r="V497" i="18" a="1"/>
  <c r="V497" i="18"/>
  <c r="AE497" i="18"/>
  <c r="V498" i="18" a="1"/>
  <c r="V498" i="18"/>
  <c r="AE498" i="18"/>
  <c r="V499" i="18" a="1"/>
  <c r="V499" i="18"/>
  <c r="AE499" i="18"/>
  <c r="V500" i="18" a="1"/>
  <c r="V500" i="18"/>
  <c r="AE500" i="18"/>
  <c r="V501" i="18" a="1"/>
  <c r="V501" i="18"/>
  <c r="V502" i="18" a="1"/>
  <c r="V502" i="18"/>
  <c r="V503" i="18" a="1"/>
  <c r="V503" i="18"/>
  <c r="AE503" i="18"/>
  <c r="V504" i="18" a="1"/>
  <c r="V504" i="18"/>
  <c r="AE504" i="18"/>
  <c r="V505" i="18" a="1"/>
  <c r="V505" i="18"/>
  <c r="AE505" i="18"/>
  <c r="V506" i="18" a="1"/>
  <c r="V506" i="18"/>
  <c r="AE506" i="18"/>
  <c r="V507" i="18" a="1"/>
  <c r="V507" i="18"/>
  <c r="AE507" i="18"/>
  <c r="V508" i="18" a="1"/>
  <c r="V508" i="18"/>
  <c r="V509" i="18" a="1"/>
  <c r="V509" i="18"/>
  <c r="V510" i="18" a="1"/>
  <c r="V510" i="18"/>
  <c r="V511" i="18" a="1"/>
  <c r="V511" i="18"/>
  <c r="AE511" i="18"/>
  <c r="V512" i="18" a="1"/>
  <c r="V512" i="18"/>
  <c r="AE512" i="18"/>
  <c r="V513" i="18" a="1"/>
  <c r="V513" i="18"/>
  <c r="AE513" i="18"/>
  <c r="V514" i="18" a="1"/>
  <c r="V514" i="18"/>
  <c r="AE514" i="18"/>
  <c r="V515" i="18" a="1"/>
  <c r="V515" i="18"/>
  <c r="AE515" i="18"/>
  <c r="V516" i="18" a="1"/>
  <c r="V516" i="18"/>
  <c r="AE516" i="18"/>
  <c r="V517" i="18" a="1"/>
  <c r="V517" i="18"/>
  <c r="AE517" i="18"/>
  <c r="V518" i="18" a="1"/>
  <c r="V518" i="18"/>
  <c r="AE518" i="18"/>
  <c r="V519" i="18" a="1"/>
  <c r="V519" i="18"/>
  <c r="AE519" i="18"/>
  <c r="V520" i="18" a="1"/>
  <c r="V520" i="18"/>
  <c r="AE520" i="18"/>
  <c r="V521" i="18" a="1"/>
  <c r="V521" i="18"/>
  <c r="AE521" i="18"/>
  <c r="V522" i="18" a="1"/>
  <c r="V522" i="18"/>
  <c r="AE522" i="18"/>
  <c r="V523" i="18" a="1"/>
  <c r="V523" i="18"/>
  <c r="AE523" i="18"/>
  <c r="V524" i="18" a="1"/>
  <c r="V524" i="18"/>
  <c r="AE524" i="18"/>
  <c r="V525" i="18" a="1"/>
  <c r="V525" i="18"/>
  <c r="AE525" i="18"/>
  <c r="V526" i="18" a="1"/>
  <c r="V526" i="18"/>
  <c r="AE526" i="18"/>
  <c r="V527" i="18" a="1"/>
  <c r="V527" i="18"/>
  <c r="AE527" i="18"/>
  <c r="V528" i="18" a="1"/>
  <c r="V528" i="18"/>
  <c r="AE528" i="18"/>
  <c r="V529" i="18" a="1"/>
  <c r="V529" i="18"/>
  <c r="AE529" i="18"/>
  <c r="V79" i="18" a="1"/>
  <c r="V79" i="18"/>
  <c r="AE79" i="18"/>
  <c r="U80" i="18" a="1"/>
  <c r="U80" i="18"/>
  <c r="AD80" i="18"/>
  <c r="U81" i="18" a="1"/>
  <c r="U81" i="18"/>
  <c r="AD81" i="18"/>
  <c r="U82" i="18" a="1"/>
  <c r="U82" i="18"/>
  <c r="AD82" i="18"/>
  <c r="U83" i="18" a="1"/>
  <c r="U83" i="18"/>
  <c r="AD83" i="18"/>
  <c r="U84" i="18" a="1"/>
  <c r="U84" i="18"/>
  <c r="AD84" i="18"/>
  <c r="U85" i="18" a="1"/>
  <c r="U85" i="18"/>
  <c r="AD85" i="18"/>
  <c r="U86" i="18" a="1"/>
  <c r="U86" i="18"/>
  <c r="AD86" i="18"/>
  <c r="U87" i="18" a="1"/>
  <c r="U87" i="18"/>
  <c r="AD87" i="18"/>
  <c r="U88" i="18" a="1"/>
  <c r="U88" i="18"/>
  <c r="AD88" i="18"/>
  <c r="U89" i="18" a="1"/>
  <c r="U89" i="18"/>
  <c r="AD89" i="18"/>
  <c r="U90" i="18" a="1"/>
  <c r="U90" i="18"/>
  <c r="AD90" i="18"/>
  <c r="U91" i="18" a="1"/>
  <c r="U91" i="18"/>
  <c r="AD91" i="18"/>
  <c r="U92" i="18" a="1"/>
  <c r="U92" i="18"/>
  <c r="AD92" i="18"/>
  <c r="U93" i="18" a="1"/>
  <c r="U93" i="18"/>
  <c r="AD93" i="18"/>
  <c r="U94" i="18" a="1"/>
  <c r="U94" i="18"/>
  <c r="AD94" i="18"/>
  <c r="U95" i="18" a="1"/>
  <c r="U95" i="18"/>
  <c r="AD95" i="18"/>
  <c r="U96" i="18" a="1"/>
  <c r="U96" i="18"/>
  <c r="AD96" i="18"/>
  <c r="U97" i="18" a="1"/>
  <c r="U97" i="18"/>
  <c r="AD97" i="18"/>
  <c r="U98" i="18" a="1"/>
  <c r="U98" i="18"/>
  <c r="AD98" i="18"/>
  <c r="U99" i="18" a="1"/>
  <c r="U99" i="18"/>
  <c r="AD99" i="18"/>
  <c r="U100" i="18" a="1"/>
  <c r="U100" i="18"/>
  <c r="AD100" i="18"/>
  <c r="U101" i="18" a="1"/>
  <c r="U101" i="18"/>
  <c r="AD101" i="18"/>
  <c r="U102" i="18" a="1"/>
  <c r="U102" i="18"/>
  <c r="AD102" i="18"/>
  <c r="U103" i="18" a="1"/>
  <c r="U103" i="18"/>
  <c r="AD103" i="18"/>
  <c r="U104" i="18" a="1"/>
  <c r="U104" i="18"/>
  <c r="AD104" i="18"/>
  <c r="U105" i="18" a="1"/>
  <c r="U105" i="18"/>
  <c r="AD105" i="18"/>
  <c r="U106" i="18" a="1"/>
  <c r="U106" i="18"/>
  <c r="U107" i="18" a="1"/>
  <c r="U107" i="18"/>
  <c r="AD107" i="18"/>
  <c r="U108" i="18" a="1"/>
  <c r="U108" i="18"/>
  <c r="AD108" i="18"/>
  <c r="U109" i="18" a="1"/>
  <c r="U109" i="18"/>
  <c r="AD109" i="18"/>
  <c r="U110" i="18" a="1"/>
  <c r="U110" i="18"/>
  <c r="AD110" i="18"/>
  <c r="U111" i="18" a="1"/>
  <c r="U111" i="18"/>
  <c r="AD111" i="18"/>
  <c r="U112" i="18" a="1"/>
  <c r="U112" i="18"/>
  <c r="AD112" i="18"/>
  <c r="U113" i="18" a="1"/>
  <c r="U113" i="18"/>
  <c r="AD113" i="18"/>
  <c r="U114" i="18" a="1"/>
  <c r="U114" i="18"/>
  <c r="AD114" i="18"/>
  <c r="U115" i="18" a="1"/>
  <c r="U115" i="18"/>
  <c r="AD115" i="18"/>
  <c r="U116" i="18" a="1"/>
  <c r="U116" i="18"/>
  <c r="AD116" i="18"/>
  <c r="U117" i="18" a="1"/>
  <c r="U117" i="18"/>
  <c r="AD117" i="18"/>
  <c r="U118" i="18" a="1"/>
  <c r="U118" i="18"/>
  <c r="AD118" i="18"/>
  <c r="U119" i="18" a="1"/>
  <c r="U119" i="18"/>
  <c r="AD119" i="18"/>
  <c r="U120" i="18" a="1"/>
  <c r="U120" i="18"/>
  <c r="AD120" i="18"/>
  <c r="U121" i="18" a="1"/>
  <c r="U121" i="18"/>
  <c r="AD121" i="18"/>
  <c r="U122" i="18" a="1"/>
  <c r="U122" i="18"/>
  <c r="AD122" i="18"/>
  <c r="U123" i="18" a="1"/>
  <c r="U123" i="18"/>
  <c r="AD123" i="18"/>
  <c r="U124" i="18" a="1"/>
  <c r="U124" i="18"/>
  <c r="AD124" i="18"/>
  <c r="U125" i="18" a="1"/>
  <c r="U125" i="18"/>
  <c r="AD125" i="18"/>
  <c r="U126" i="18" a="1"/>
  <c r="U126" i="18"/>
  <c r="AD126" i="18"/>
  <c r="U127" i="18" a="1"/>
  <c r="U127" i="18"/>
  <c r="AD127" i="18"/>
  <c r="U128" i="18" a="1"/>
  <c r="U128" i="18"/>
  <c r="AD128" i="18"/>
  <c r="U129" i="18" a="1"/>
  <c r="U129" i="18"/>
  <c r="U130" i="18" a="1"/>
  <c r="U130" i="18"/>
  <c r="U131" i="18" a="1"/>
  <c r="U131" i="18"/>
  <c r="AD131" i="18"/>
  <c r="U132" i="18" a="1"/>
  <c r="U132" i="18"/>
  <c r="AD132" i="18"/>
  <c r="U133" i="18" a="1"/>
  <c r="U133" i="18"/>
  <c r="AD133" i="18"/>
  <c r="U134" i="18" a="1"/>
  <c r="U134" i="18"/>
  <c r="AD134" i="18"/>
  <c r="U135" i="18" a="1"/>
  <c r="U135" i="18"/>
  <c r="AD135" i="18"/>
  <c r="U136" i="18" a="1"/>
  <c r="U136" i="18"/>
  <c r="AD136" i="18"/>
  <c r="U137" i="18" a="1"/>
  <c r="U137" i="18"/>
  <c r="AD137" i="18"/>
  <c r="U138" i="18" a="1"/>
  <c r="U138" i="18"/>
  <c r="U139" i="18" a="1"/>
  <c r="U139" i="18"/>
  <c r="U140" i="18" a="1"/>
  <c r="U140" i="18"/>
  <c r="AD140" i="18"/>
  <c r="U141" i="18" a="1"/>
  <c r="U141" i="18"/>
  <c r="AD141" i="18"/>
  <c r="U142" i="18" a="1"/>
  <c r="U142" i="18"/>
  <c r="AD142" i="18"/>
  <c r="U143" i="18" a="1"/>
  <c r="U143" i="18"/>
  <c r="AD143" i="18"/>
  <c r="U144" i="18" a="1"/>
  <c r="U144" i="18"/>
  <c r="AD144" i="18"/>
  <c r="U145" i="18" a="1"/>
  <c r="U145" i="18"/>
  <c r="U146" i="18" a="1"/>
  <c r="U146" i="18"/>
  <c r="AD146" i="18"/>
  <c r="U147" i="18" a="1"/>
  <c r="U147" i="18"/>
  <c r="AD147" i="18"/>
  <c r="U148" i="18" a="1"/>
  <c r="U148" i="18"/>
  <c r="AD148" i="18"/>
  <c r="U149" i="18" a="1"/>
  <c r="U149" i="18"/>
  <c r="AD149" i="18"/>
  <c r="U150" i="18" a="1"/>
  <c r="U150" i="18"/>
  <c r="AD150" i="18"/>
  <c r="U151" i="18" a="1"/>
  <c r="U151" i="18"/>
  <c r="AD151" i="18"/>
  <c r="U152" i="18" a="1"/>
  <c r="U152" i="18"/>
  <c r="AD152" i="18"/>
  <c r="U153" i="18" a="1"/>
  <c r="U153" i="18"/>
  <c r="AD153" i="18"/>
  <c r="U154" i="18" a="1"/>
  <c r="U154" i="18"/>
  <c r="AD154" i="18"/>
  <c r="U155" i="18" a="1"/>
  <c r="U155" i="18"/>
  <c r="AD155" i="18"/>
  <c r="U156" i="18" a="1"/>
  <c r="U156" i="18"/>
  <c r="AD156" i="18"/>
  <c r="U157" i="18" a="1"/>
  <c r="U157" i="18"/>
  <c r="AD157" i="18"/>
  <c r="U158" i="18" a="1"/>
  <c r="U158" i="18"/>
  <c r="AD158" i="18"/>
  <c r="U159" i="18" a="1"/>
  <c r="U159" i="18"/>
  <c r="AD159" i="18"/>
  <c r="U160" i="18" a="1"/>
  <c r="U160" i="18"/>
  <c r="AD160" i="18"/>
  <c r="U161" i="18" a="1"/>
  <c r="U161" i="18"/>
  <c r="AD161" i="18"/>
  <c r="U162" i="18" a="1"/>
  <c r="U162" i="18"/>
  <c r="AD162" i="18"/>
  <c r="U163" i="18" a="1"/>
  <c r="U163" i="18"/>
  <c r="AD163" i="18"/>
  <c r="U164" i="18" a="1"/>
  <c r="U164" i="18"/>
  <c r="AD164" i="18"/>
  <c r="U165" i="18" a="1"/>
  <c r="U165" i="18"/>
  <c r="AD165" i="18"/>
  <c r="U166" i="18" a="1"/>
  <c r="U166" i="18"/>
  <c r="AD166" i="18"/>
  <c r="U167" i="18" a="1"/>
  <c r="U167" i="18"/>
  <c r="AD167" i="18"/>
  <c r="U168" i="18" a="1"/>
  <c r="U168" i="18"/>
  <c r="AD168" i="18"/>
  <c r="U169" i="18" a="1"/>
  <c r="U169" i="18"/>
  <c r="AD169" i="18"/>
  <c r="U170" i="18" a="1"/>
  <c r="U170" i="18"/>
  <c r="AD170" i="18"/>
  <c r="U171" i="18" a="1"/>
  <c r="U171" i="18"/>
  <c r="AD171" i="18"/>
  <c r="U172" i="18" a="1"/>
  <c r="U172" i="18"/>
  <c r="AD172" i="18"/>
  <c r="U173" i="18" a="1"/>
  <c r="U173" i="18"/>
  <c r="AD173" i="18"/>
  <c r="U174" i="18" a="1"/>
  <c r="U174" i="18"/>
  <c r="AD174" i="18"/>
  <c r="U175" i="18" a="1"/>
  <c r="U175" i="18"/>
  <c r="AD175" i="18"/>
  <c r="U176" i="18" a="1"/>
  <c r="U176" i="18"/>
  <c r="AD176" i="18"/>
  <c r="U177" i="18" a="1"/>
  <c r="U177" i="18"/>
  <c r="AD177" i="18"/>
  <c r="U178" i="18" a="1"/>
  <c r="U178" i="18"/>
  <c r="AD178" i="18"/>
  <c r="U179" i="18" a="1"/>
  <c r="U179" i="18"/>
  <c r="AD179" i="18"/>
  <c r="U180" i="18" a="1"/>
  <c r="U180" i="18"/>
  <c r="AD180" i="18"/>
  <c r="U181" i="18" a="1"/>
  <c r="U181" i="18"/>
  <c r="AD181" i="18"/>
  <c r="U182" i="18" a="1"/>
  <c r="U182" i="18"/>
  <c r="AD182" i="18"/>
  <c r="U183" i="18" a="1"/>
  <c r="U183" i="18"/>
  <c r="AD183" i="18"/>
  <c r="U184" i="18" a="1"/>
  <c r="U184" i="18"/>
  <c r="AD184" i="18"/>
  <c r="U185" i="18" a="1"/>
  <c r="U185" i="18"/>
  <c r="AD185" i="18"/>
  <c r="U186" i="18" a="1"/>
  <c r="U186" i="18"/>
  <c r="AD186" i="18"/>
  <c r="U187" i="18" a="1"/>
  <c r="U187" i="18"/>
  <c r="U188" i="18" a="1"/>
  <c r="U188" i="18"/>
  <c r="U189" i="18" a="1"/>
  <c r="U189" i="18"/>
  <c r="U190" i="18" a="1"/>
  <c r="U190" i="18"/>
  <c r="AD190" i="18"/>
  <c r="U191" i="18" a="1"/>
  <c r="U191" i="18"/>
  <c r="AD191" i="18"/>
  <c r="U192" i="18" a="1"/>
  <c r="U192" i="18"/>
  <c r="AD192" i="18"/>
  <c r="U193" i="18" a="1"/>
  <c r="U193" i="18"/>
  <c r="AD193" i="18"/>
  <c r="U194" i="18" a="1"/>
  <c r="U194" i="18"/>
  <c r="AD194" i="18"/>
  <c r="U195" i="18" a="1"/>
  <c r="U195" i="18"/>
  <c r="AD195" i="18"/>
  <c r="U196" i="18" a="1"/>
  <c r="U196" i="18"/>
  <c r="AD196" i="18"/>
  <c r="U197" i="18" a="1"/>
  <c r="U197" i="18"/>
  <c r="U198" i="18" a="1"/>
  <c r="U198" i="18"/>
  <c r="U199" i="18" a="1"/>
  <c r="U199" i="18"/>
  <c r="U200" i="18" a="1"/>
  <c r="U200" i="18"/>
  <c r="U201" i="18" a="1"/>
  <c r="U201" i="18"/>
  <c r="AD201" i="18"/>
  <c r="U202" i="18" a="1"/>
  <c r="U202" i="18"/>
  <c r="AD202" i="18"/>
  <c r="U203" i="18" a="1"/>
  <c r="U203" i="18"/>
  <c r="AD203" i="18"/>
  <c r="U204" i="18" a="1"/>
  <c r="U204" i="18"/>
  <c r="AD204" i="18"/>
  <c r="U205" i="18" a="1"/>
  <c r="U205" i="18"/>
  <c r="AD205" i="18"/>
  <c r="U206" i="18" a="1"/>
  <c r="U206" i="18"/>
  <c r="AD206" i="18"/>
  <c r="U207" i="18" a="1"/>
  <c r="U207" i="18"/>
  <c r="AD207" i="18"/>
  <c r="U208" i="18" a="1"/>
  <c r="U208" i="18"/>
  <c r="U209" i="18" a="1"/>
  <c r="U209" i="18"/>
  <c r="AD209" i="18"/>
  <c r="U210" i="18" a="1"/>
  <c r="U210" i="18"/>
  <c r="AD210" i="18"/>
  <c r="U211" i="18" a="1"/>
  <c r="U211" i="18"/>
  <c r="AD211" i="18"/>
  <c r="U212" i="18" a="1"/>
  <c r="U212" i="18"/>
  <c r="AD212" i="18"/>
  <c r="U213" i="18" a="1"/>
  <c r="U213" i="18"/>
  <c r="AD213" i="18"/>
  <c r="U214" i="18" a="1"/>
  <c r="U214" i="18"/>
  <c r="AD214" i="18"/>
  <c r="U215" i="18" a="1"/>
  <c r="U215" i="18"/>
  <c r="AD215" i="18"/>
  <c r="U216" i="18" a="1"/>
  <c r="U216" i="18"/>
  <c r="AD216" i="18"/>
  <c r="U217" i="18" a="1"/>
  <c r="U217" i="18"/>
  <c r="AD217" i="18"/>
  <c r="U218" i="18" a="1"/>
  <c r="U218" i="18"/>
  <c r="AD218" i="18"/>
  <c r="U219" i="18" a="1"/>
  <c r="U219" i="18"/>
  <c r="AD219" i="18"/>
  <c r="U220" i="18" a="1"/>
  <c r="U220" i="18"/>
  <c r="AD220" i="18"/>
  <c r="U221" i="18" a="1"/>
  <c r="U221" i="18"/>
  <c r="AD221" i="18"/>
  <c r="U222" i="18" a="1"/>
  <c r="U222" i="18"/>
  <c r="AD222" i="18"/>
  <c r="U223" i="18" a="1"/>
  <c r="U223" i="18"/>
  <c r="AD223" i="18"/>
  <c r="U224" i="18" a="1"/>
  <c r="U224" i="18"/>
  <c r="AD224" i="18"/>
  <c r="U225" i="18" a="1"/>
  <c r="U225" i="18"/>
  <c r="AD225" i="18"/>
  <c r="U226" i="18" a="1"/>
  <c r="U226" i="18"/>
  <c r="AD226" i="18"/>
  <c r="U227" i="18" a="1"/>
  <c r="U227" i="18"/>
  <c r="AD227" i="18"/>
  <c r="U228" i="18" a="1"/>
  <c r="U228" i="18"/>
  <c r="AD228" i="18"/>
  <c r="U229" i="18" a="1"/>
  <c r="U229" i="18"/>
  <c r="AD229" i="18"/>
  <c r="U230" i="18" a="1"/>
  <c r="U230" i="18"/>
  <c r="AD230" i="18"/>
  <c r="U231" i="18" a="1"/>
  <c r="U231" i="18"/>
  <c r="U232" i="18" a="1"/>
  <c r="U232" i="18"/>
  <c r="AD232" i="18"/>
  <c r="U233" i="18" a="1"/>
  <c r="U233" i="18"/>
  <c r="U234" i="18" a="1"/>
  <c r="U234" i="18"/>
  <c r="AD234" i="18"/>
  <c r="U235" i="18" a="1"/>
  <c r="U235" i="18"/>
  <c r="U236" i="18" a="1"/>
  <c r="U236" i="18"/>
  <c r="AD236" i="18"/>
  <c r="U237" i="18" a="1"/>
  <c r="U237" i="18"/>
  <c r="AD237" i="18"/>
  <c r="U238" i="18" a="1"/>
  <c r="U238" i="18"/>
  <c r="AD238" i="18"/>
  <c r="U239" i="18" a="1"/>
  <c r="U239" i="18"/>
  <c r="AD239" i="18"/>
  <c r="U240" i="18" a="1"/>
  <c r="U240" i="18"/>
  <c r="AD240" i="18"/>
  <c r="U241" i="18" a="1"/>
  <c r="U241" i="18"/>
  <c r="AD241" i="18"/>
  <c r="U242" i="18" a="1"/>
  <c r="U242" i="18"/>
  <c r="AD242" i="18"/>
  <c r="U243" i="18" a="1"/>
  <c r="U243" i="18"/>
  <c r="AD243" i="18"/>
  <c r="U244" i="18" a="1"/>
  <c r="U244" i="18"/>
  <c r="AD244" i="18"/>
  <c r="U245" i="18" a="1"/>
  <c r="U245" i="18"/>
  <c r="AD245" i="18"/>
  <c r="U246" i="18" a="1"/>
  <c r="U246" i="18"/>
  <c r="AD246" i="18"/>
  <c r="U247" i="18" a="1"/>
  <c r="U247" i="18"/>
  <c r="U248" i="18" a="1"/>
  <c r="U248" i="18"/>
  <c r="AD248" i="18"/>
  <c r="U249" i="18" a="1"/>
  <c r="U249" i="18"/>
  <c r="AD249" i="18"/>
  <c r="U250" i="18" a="1"/>
  <c r="U250" i="18"/>
  <c r="AD250" i="18"/>
  <c r="U251" i="18" a="1"/>
  <c r="U251" i="18"/>
  <c r="AD251" i="18"/>
  <c r="U252" i="18" a="1"/>
  <c r="U252" i="18"/>
  <c r="AD252" i="18"/>
  <c r="U253" i="18" a="1"/>
  <c r="U253" i="18"/>
  <c r="AD253" i="18"/>
  <c r="U254" i="18" a="1"/>
  <c r="U254" i="18"/>
  <c r="AD254" i="18"/>
  <c r="U255" i="18" a="1"/>
  <c r="U255" i="18"/>
  <c r="U256" i="18" a="1"/>
  <c r="U256" i="18"/>
  <c r="U257" i="18" a="1"/>
  <c r="U257" i="18"/>
  <c r="AD257" i="18"/>
  <c r="U258" i="18" a="1"/>
  <c r="U258" i="18"/>
  <c r="AD258" i="18"/>
  <c r="U259" i="18" a="1"/>
  <c r="U259" i="18"/>
  <c r="AD259" i="18"/>
  <c r="U260" i="18" a="1"/>
  <c r="U260" i="18"/>
  <c r="AD260" i="18"/>
  <c r="U261" i="18" a="1"/>
  <c r="U261" i="18"/>
  <c r="AD261" i="18"/>
  <c r="U262" i="18" a="1"/>
  <c r="U262" i="18"/>
  <c r="AD262" i="18"/>
  <c r="U263" i="18" a="1"/>
  <c r="U263" i="18"/>
  <c r="AD263" i="18"/>
  <c r="U264" i="18" a="1"/>
  <c r="U264" i="18"/>
  <c r="AD264" i="18"/>
  <c r="U265" i="18" a="1"/>
  <c r="U265" i="18"/>
  <c r="AD265" i="18"/>
  <c r="U266" i="18" a="1"/>
  <c r="U266" i="18"/>
  <c r="AD266" i="18"/>
  <c r="U267" i="18" a="1"/>
  <c r="U267" i="18"/>
  <c r="AD267" i="18"/>
  <c r="U268" i="18" a="1"/>
  <c r="U268" i="18"/>
  <c r="AD268" i="18"/>
  <c r="U269" i="18" a="1"/>
  <c r="U269" i="18"/>
  <c r="AD269" i="18"/>
  <c r="U270" i="18" a="1"/>
  <c r="U270" i="18"/>
  <c r="U271" i="18" a="1"/>
  <c r="U271" i="18"/>
  <c r="AD271" i="18"/>
  <c r="U272" i="18" a="1"/>
  <c r="U272" i="18"/>
  <c r="AD272" i="18"/>
  <c r="U273" i="18" a="1"/>
  <c r="U273" i="18"/>
  <c r="AD273" i="18"/>
  <c r="U274" i="18" a="1"/>
  <c r="U274" i="18"/>
  <c r="AD274" i="18"/>
  <c r="U275" i="18" a="1"/>
  <c r="U275" i="18"/>
  <c r="AD275" i="18"/>
  <c r="U276" i="18" a="1"/>
  <c r="U276" i="18"/>
  <c r="AD276" i="18"/>
  <c r="U277" i="18" a="1"/>
  <c r="U277" i="18"/>
  <c r="AD277" i="18"/>
  <c r="U278" i="18" a="1"/>
  <c r="U278" i="18"/>
  <c r="AD278" i="18"/>
  <c r="U279" i="18" a="1"/>
  <c r="U279" i="18"/>
  <c r="AD279" i="18"/>
  <c r="U280" i="18" a="1"/>
  <c r="U280" i="18"/>
  <c r="AD280" i="18"/>
  <c r="U281" i="18" a="1"/>
  <c r="U281" i="18"/>
  <c r="AD281" i="18"/>
  <c r="U282" i="18" a="1"/>
  <c r="U282" i="18"/>
  <c r="AD282" i="18"/>
  <c r="U283" i="18" a="1"/>
  <c r="U283" i="18"/>
  <c r="AD283" i="18"/>
  <c r="U284" i="18" a="1"/>
  <c r="U284" i="18"/>
  <c r="AD284" i="18"/>
  <c r="U285" i="18" a="1"/>
  <c r="U285" i="18"/>
  <c r="AD285" i="18"/>
  <c r="U286" i="18" a="1"/>
  <c r="U286" i="18"/>
  <c r="AD286" i="18"/>
  <c r="U287" i="18" a="1"/>
  <c r="U287" i="18"/>
  <c r="AD287" i="18"/>
  <c r="U288" i="18" a="1"/>
  <c r="U288" i="18"/>
  <c r="AD288" i="18"/>
  <c r="U289" i="18" a="1"/>
  <c r="U289" i="18"/>
  <c r="AD289" i="18"/>
  <c r="U290" i="18" a="1"/>
  <c r="U290" i="18"/>
  <c r="AD290" i="18"/>
  <c r="U291" i="18" a="1"/>
  <c r="U291" i="18"/>
  <c r="AD291" i="18"/>
  <c r="U292" i="18" a="1"/>
  <c r="U292" i="18"/>
  <c r="AD292" i="18"/>
  <c r="U293" i="18" a="1"/>
  <c r="U293" i="18"/>
  <c r="AD293" i="18"/>
  <c r="U294" i="18" a="1"/>
  <c r="U294" i="18"/>
  <c r="AD294" i="18"/>
  <c r="U295" i="18" a="1"/>
  <c r="U295" i="18"/>
  <c r="AD295" i="18"/>
  <c r="U296" i="18" a="1"/>
  <c r="U296" i="18"/>
  <c r="AD296" i="18"/>
  <c r="U297" i="18" a="1"/>
  <c r="U297" i="18"/>
  <c r="AD297" i="18"/>
  <c r="U298" i="18" a="1"/>
  <c r="U298" i="18"/>
  <c r="AD298" i="18"/>
  <c r="U299" i="18" a="1"/>
  <c r="U299" i="18"/>
  <c r="AD299" i="18"/>
  <c r="U300" i="18" a="1"/>
  <c r="U300" i="18"/>
  <c r="AD300" i="18"/>
  <c r="U301" i="18" a="1"/>
  <c r="U301" i="18"/>
  <c r="AD301" i="18"/>
  <c r="U302" i="18" a="1"/>
  <c r="U302" i="18"/>
  <c r="AD302" i="18"/>
  <c r="U303" i="18" a="1"/>
  <c r="U303" i="18"/>
  <c r="AD303" i="18"/>
  <c r="U304" i="18" a="1"/>
  <c r="U304" i="18"/>
  <c r="U305" i="18" a="1"/>
  <c r="U305" i="18"/>
  <c r="U306" i="18" a="1"/>
  <c r="U306" i="18"/>
  <c r="U307" i="18" a="1"/>
  <c r="U307" i="18"/>
  <c r="AD307" i="18"/>
  <c r="U308" i="18" a="1"/>
  <c r="U308" i="18"/>
  <c r="AD308" i="18"/>
  <c r="U309" i="18" a="1"/>
  <c r="U309" i="18"/>
  <c r="AD309" i="18"/>
  <c r="U310" i="18" a="1"/>
  <c r="U310" i="18"/>
  <c r="AD310" i="18"/>
  <c r="U311" i="18" a="1"/>
  <c r="U311" i="18"/>
  <c r="AD311" i="18"/>
  <c r="U312" i="18" a="1"/>
  <c r="U312" i="18"/>
  <c r="U313" i="18" a="1"/>
  <c r="U313" i="18"/>
  <c r="AD313" i="18"/>
  <c r="U314" i="18" a="1"/>
  <c r="U314" i="18"/>
  <c r="AD314" i="18"/>
  <c r="U315" i="18" a="1"/>
  <c r="U315" i="18"/>
  <c r="U316" i="18" a="1"/>
  <c r="U316" i="18"/>
  <c r="AD316" i="18"/>
  <c r="U317" i="18" a="1"/>
  <c r="U317" i="18"/>
  <c r="AD317" i="18"/>
  <c r="U318" i="18" a="1"/>
  <c r="U318" i="18"/>
  <c r="AD318" i="18"/>
  <c r="U319" i="18" a="1"/>
  <c r="U319" i="18"/>
  <c r="AD319" i="18"/>
  <c r="U320" i="18" a="1"/>
  <c r="U320" i="18"/>
  <c r="AD320" i="18"/>
  <c r="U321" i="18" a="1"/>
  <c r="U321" i="18"/>
  <c r="AD321" i="18"/>
  <c r="U322" i="18" a="1"/>
  <c r="U322" i="18"/>
  <c r="AD322" i="18"/>
  <c r="U323" i="18" a="1"/>
  <c r="U323" i="18"/>
  <c r="AD323" i="18"/>
  <c r="U324" i="18" a="1"/>
  <c r="U324" i="18"/>
  <c r="AD324" i="18"/>
  <c r="U325" i="18" a="1"/>
  <c r="U325" i="18"/>
  <c r="AD325" i="18"/>
  <c r="U326" i="18" a="1"/>
  <c r="U326" i="18"/>
  <c r="AD326" i="18"/>
  <c r="U327" i="18" a="1"/>
  <c r="U327" i="18"/>
  <c r="AD327" i="18"/>
  <c r="U328" i="18" a="1"/>
  <c r="U328" i="18"/>
  <c r="U329" i="18" a="1"/>
  <c r="U329" i="18"/>
  <c r="U330" i="18" a="1"/>
  <c r="U330" i="18"/>
  <c r="AD330" i="18"/>
  <c r="U331" i="18" a="1"/>
  <c r="U331" i="18"/>
  <c r="AD331" i="18"/>
  <c r="U332" i="18" a="1"/>
  <c r="U332" i="18"/>
  <c r="AD332" i="18"/>
  <c r="U333" i="18" a="1"/>
  <c r="U333" i="18"/>
  <c r="AD333" i="18"/>
  <c r="U334" i="18" a="1"/>
  <c r="U334" i="18"/>
  <c r="AD334" i="18"/>
  <c r="U335" i="18" a="1"/>
  <c r="U335" i="18"/>
  <c r="AD335" i="18"/>
  <c r="U336" i="18" a="1"/>
  <c r="U336" i="18"/>
  <c r="U337" i="18" a="1"/>
  <c r="U337" i="18"/>
  <c r="U338" i="18" a="1"/>
  <c r="U338" i="18"/>
  <c r="U339" i="18" a="1"/>
  <c r="U339" i="18"/>
  <c r="AD339" i="18"/>
  <c r="U340" i="18" a="1"/>
  <c r="U340" i="18"/>
  <c r="AD340" i="18"/>
  <c r="U341" i="18" a="1"/>
  <c r="U341" i="18"/>
  <c r="AD341" i="18"/>
  <c r="U342" i="18" a="1"/>
  <c r="U342" i="18"/>
  <c r="AD342" i="18"/>
  <c r="U343" i="18" a="1"/>
  <c r="U343" i="18"/>
  <c r="AD343" i="18"/>
  <c r="U344" i="18" a="1"/>
  <c r="U344" i="18"/>
  <c r="AD344" i="18"/>
  <c r="U345" i="18" a="1"/>
  <c r="U345" i="18"/>
  <c r="AD345" i="18"/>
  <c r="U346" i="18" a="1"/>
  <c r="U346" i="18"/>
  <c r="AD346" i="18"/>
  <c r="U347" i="18" a="1"/>
  <c r="U347" i="18"/>
  <c r="AD347" i="18"/>
  <c r="U348" i="18" a="1"/>
  <c r="U348" i="18"/>
  <c r="AD348" i="18"/>
  <c r="U349" i="18" a="1"/>
  <c r="U349" i="18"/>
  <c r="AD349" i="18"/>
  <c r="U350" i="18" a="1"/>
  <c r="U350" i="18"/>
  <c r="AD350" i="18"/>
  <c r="U351" i="18" a="1"/>
  <c r="U351" i="18"/>
  <c r="AD351" i="18"/>
  <c r="U352" i="18" a="1"/>
  <c r="U352" i="18"/>
  <c r="AD352" i="18"/>
  <c r="U353" i="18" a="1"/>
  <c r="U353" i="18"/>
  <c r="U354" i="18" a="1"/>
  <c r="U354" i="18"/>
  <c r="U355" i="18" a="1"/>
  <c r="U355" i="18"/>
  <c r="AD355" i="18"/>
  <c r="U356" i="18" a="1"/>
  <c r="U356" i="18"/>
  <c r="AD356" i="18"/>
  <c r="U357" i="18" a="1"/>
  <c r="U357" i="18"/>
  <c r="AD357" i="18"/>
  <c r="U358" i="18" a="1"/>
  <c r="U358" i="18"/>
  <c r="AD358" i="18"/>
  <c r="U359" i="18" a="1"/>
  <c r="U359" i="18"/>
  <c r="AD359" i="18"/>
  <c r="U360" i="18" a="1"/>
  <c r="U360" i="18"/>
  <c r="AD360" i="18"/>
  <c r="U361" i="18" a="1"/>
  <c r="U361" i="18"/>
  <c r="AD361" i="18"/>
  <c r="U362" i="18" a="1"/>
  <c r="U362" i="18"/>
  <c r="U363" i="18" a="1"/>
  <c r="U363" i="18"/>
  <c r="U364" i="18" a="1"/>
  <c r="U364" i="18"/>
  <c r="AD364" i="18"/>
  <c r="U365" i="18" a="1"/>
  <c r="U365" i="18"/>
  <c r="AD365" i="18"/>
  <c r="U366" i="18" a="1"/>
  <c r="U366" i="18"/>
  <c r="AD366" i="18"/>
  <c r="U367" i="18" a="1"/>
  <c r="U367" i="18"/>
  <c r="AD367" i="18"/>
  <c r="U368" i="18" a="1"/>
  <c r="U368" i="18"/>
  <c r="AD368" i="18"/>
  <c r="U369" i="18" a="1"/>
  <c r="U369" i="18"/>
  <c r="AD369" i="18"/>
  <c r="U370" i="18" a="1"/>
  <c r="U370" i="18"/>
  <c r="AD370" i="18"/>
  <c r="U371" i="18" a="1"/>
  <c r="U371" i="18"/>
  <c r="AD371" i="18"/>
  <c r="U372" i="18" a="1"/>
  <c r="U372" i="18"/>
  <c r="AD372" i="18"/>
  <c r="U373" i="18" a="1"/>
  <c r="U373" i="18"/>
  <c r="AD373" i="18"/>
  <c r="U374" i="18" a="1"/>
  <c r="U374" i="18"/>
  <c r="AD374" i="18"/>
  <c r="U375" i="18" a="1"/>
  <c r="U375" i="18"/>
  <c r="AD375" i="18"/>
  <c r="U376" i="18" a="1"/>
  <c r="U376" i="18"/>
  <c r="AD376" i="18"/>
  <c r="U377" i="18" a="1"/>
  <c r="U377" i="18"/>
  <c r="AD377" i="18"/>
  <c r="U378" i="18" a="1"/>
  <c r="U378" i="18"/>
  <c r="U379" i="18" a="1"/>
  <c r="U379" i="18"/>
  <c r="U380" i="18" a="1"/>
  <c r="U380" i="18"/>
  <c r="AD380" i="18"/>
  <c r="U381" i="18" a="1"/>
  <c r="U381" i="18"/>
  <c r="U382" i="18" a="1"/>
  <c r="U382" i="18"/>
  <c r="AD382" i="18"/>
  <c r="U383" i="18" a="1"/>
  <c r="U383" i="18"/>
  <c r="AD383" i="18"/>
  <c r="U384" i="18" a="1"/>
  <c r="U384" i="18"/>
  <c r="AD384" i="18"/>
  <c r="U385" i="18" a="1"/>
  <c r="U385" i="18"/>
  <c r="AD385" i="18"/>
  <c r="U386" i="18" a="1"/>
  <c r="U386" i="18"/>
  <c r="U387" i="18" a="1"/>
  <c r="U387" i="18"/>
  <c r="U388" i="18" a="1"/>
  <c r="U388" i="18"/>
  <c r="AD388" i="18"/>
  <c r="U389" i="18" a="1"/>
  <c r="U389" i="18"/>
  <c r="U390" i="18" a="1"/>
  <c r="U390" i="18"/>
  <c r="U391" i="18" a="1"/>
  <c r="U391" i="18"/>
  <c r="AD391" i="18"/>
  <c r="U392" i="18" a="1"/>
  <c r="U392" i="18"/>
  <c r="AD392" i="18"/>
  <c r="U393" i="18" a="1"/>
  <c r="U393" i="18"/>
  <c r="U394" i="18" a="1"/>
  <c r="U394" i="18"/>
  <c r="AD394" i="18"/>
  <c r="U395" i="18" a="1"/>
  <c r="U395" i="18"/>
  <c r="AD395" i="18"/>
  <c r="U396" i="18" a="1"/>
  <c r="U396" i="18"/>
  <c r="AD396" i="18"/>
  <c r="U397" i="18" a="1"/>
  <c r="U397" i="18"/>
  <c r="AD397" i="18"/>
  <c r="U398" i="18" a="1"/>
  <c r="U398" i="18"/>
  <c r="AD398" i="18"/>
  <c r="U399" i="18" a="1"/>
  <c r="U399" i="18"/>
  <c r="AD399" i="18"/>
  <c r="U400" i="18" a="1"/>
  <c r="U400" i="18"/>
  <c r="AD400" i="18"/>
  <c r="U401" i="18" a="1"/>
  <c r="U401" i="18"/>
  <c r="AD401" i="18"/>
  <c r="U402" i="18" a="1"/>
  <c r="U402" i="18"/>
  <c r="AD402" i="18"/>
  <c r="U403" i="18" a="1"/>
  <c r="U403" i="18"/>
  <c r="AD403" i="18"/>
  <c r="U404" i="18" a="1"/>
  <c r="U404" i="18"/>
  <c r="AD404" i="18"/>
  <c r="U405" i="18" a="1"/>
  <c r="U405" i="18"/>
  <c r="AD405" i="18"/>
  <c r="U406" i="18" a="1"/>
  <c r="U406" i="18"/>
  <c r="AD406" i="18"/>
  <c r="U407" i="18" a="1"/>
  <c r="U407" i="18"/>
  <c r="AD407" i="18"/>
  <c r="U408" i="18" a="1"/>
  <c r="U408" i="18"/>
  <c r="AD408" i="18"/>
  <c r="U409" i="18" a="1"/>
  <c r="U409" i="18"/>
  <c r="AD409" i="18"/>
  <c r="U410" i="18" a="1"/>
  <c r="U410" i="18"/>
  <c r="AD410" i="18"/>
  <c r="U411" i="18" a="1"/>
  <c r="U411" i="18"/>
  <c r="AD411" i="18"/>
  <c r="U412" i="18" a="1"/>
  <c r="U412" i="18"/>
  <c r="AD412" i="18"/>
  <c r="U413" i="18" a="1"/>
  <c r="U413" i="18"/>
  <c r="AD413" i="18"/>
  <c r="U414" i="18" a="1"/>
  <c r="U414" i="18"/>
  <c r="AD414" i="18"/>
  <c r="U415" i="18" a="1"/>
  <c r="U415" i="18"/>
  <c r="AD415" i="18"/>
  <c r="U416" i="18" a="1"/>
  <c r="U416" i="18"/>
  <c r="AD416" i="18"/>
  <c r="U417" i="18" a="1"/>
  <c r="U417" i="18"/>
  <c r="AD417" i="18"/>
  <c r="U418" i="18" a="1"/>
  <c r="U418" i="18"/>
  <c r="AD418" i="18"/>
  <c r="U419" i="18" a="1"/>
  <c r="U419" i="18"/>
  <c r="AD419" i="18"/>
  <c r="U420" i="18" a="1"/>
  <c r="U420" i="18"/>
  <c r="AD420" i="18"/>
  <c r="U421" i="18" a="1"/>
  <c r="U421" i="18"/>
  <c r="U422" i="18" a="1"/>
  <c r="U422" i="18"/>
  <c r="U423" i="18" a="1"/>
  <c r="U423" i="18"/>
  <c r="U424" i="18" a="1"/>
  <c r="U424" i="18"/>
  <c r="AD424" i="18"/>
  <c r="U425" i="18" a="1"/>
  <c r="U425" i="18"/>
  <c r="AD425" i="18"/>
  <c r="U426" i="18" a="1"/>
  <c r="U426" i="18"/>
  <c r="AD426" i="18"/>
  <c r="U427" i="18" a="1"/>
  <c r="U427" i="18"/>
  <c r="AD427" i="18"/>
  <c r="U428" i="18" a="1"/>
  <c r="U428" i="18"/>
  <c r="AD428" i="18"/>
  <c r="U429" i="18" a="1"/>
  <c r="U429" i="18"/>
  <c r="AD429" i="18"/>
  <c r="U430" i="18" a="1"/>
  <c r="U430" i="18"/>
  <c r="AD430" i="18"/>
  <c r="U431" i="18" a="1"/>
  <c r="U431" i="18"/>
  <c r="AD431" i="18"/>
  <c r="U432" i="18" a="1"/>
  <c r="U432" i="18"/>
  <c r="AD432" i="18"/>
  <c r="U433" i="18" a="1"/>
  <c r="U433" i="18"/>
  <c r="AD433" i="18"/>
  <c r="U434" i="18" a="1"/>
  <c r="U434" i="18"/>
  <c r="AD434" i="18"/>
  <c r="U435" i="18" a="1"/>
  <c r="U435" i="18"/>
  <c r="AD435" i="18"/>
  <c r="U436" i="18" a="1"/>
  <c r="U436" i="18"/>
  <c r="AD436" i="18"/>
  <c r="U437" i="18" a="1"/>
  <c r="U437" i="18"/>
  <c r="AD437" i="18"/>
  <c r="U438" i="18" a="1"/>
  <c r="U438" i="18"/>
  <c r="U439" i="18" a="1"/>
  <c r="U439" i="18"/>
  <c r="U440" i="18" a="1"/>
  <c r="U440" i="18"/>
  <c r="U441" i="18" a="1"/>
  <c r="U441" i="18"/>
  <c r="AD441" i="18"/>
  <c r="U442" i="18" a="1"/>
  <c r="U442" i="18"/>
  <c r="AD442" i="18"/>
  <c r="U443" i="18" a="1"/>
  <c r="U443" i="18"/>
  <c r="AD443" i="18"/>
  <c r="U444" i="18" a="1"/>
  <c r="U444" i="18"/>
  <c r="AD444" i="18"/>
  <c r="U445" i="18" a="1"/>
  <c r="U445" i="18"/>
  <c r="AD445" i="18"/>
  <c r="U446" i="18" a="1"/>
  <c r="U446" i="18"/>
  <c r="U447" i="18" a="1"/>
  <c r="U447" i="18"/>
  <c r="U448" i="18" a="1"/>
  <c r="U448" i="18"/>
  <c r="U449" i="18" a="1"/>
  <c r="U449" i="18"/>
  <c r="AD449" i="18"/>
  <c r="U450" i="18" a="1"/>
  <c r="U450" i="18"/>
  <c r="U451" i="18" a="1"/>
  <c r="U451" i="18"/>
  <c r="AD451" i="18"/>
  <c r="U452" i="18" a="1"/>
  <c r="U452" i="18"/>
  <c r="AD452" i="18"/>
  <c r="U453" i="18" a="1"/>
  <c r="U453" i="18"/>
  <c r="AD453" i="18"/>
  <c r="U454" i="18" a="1"/>
  <c r="U454" i="18"/>
  <c r="AD454" i="18"/>
  <c r="U455" i="18" a="1"/>
  <c r="U455" i="18"/>
  <c r="AD455" i="18"/>
  <c r="U456" i="18" a="1"/>
  <c r="U456" i="18"/>
  <c r="AD456" i="18"/>
  <c r="U457" i="18" a="1"/>
  <c r="U457" i="18"/>
  <c r="AD457" i="18"/>
  <c r="U458" i="18" a="1"/>
  <c r="U458" i="18"/>
  <c r="AD458" i="18"/>
  <c r="U459" i="18" a="1"/>
  <c r="U459" i="18"/>
  <c r="AD459" i="18"/>
  <c r="U460" i="18" a="1"/>
  <c r="U460" i="18"/>
  <c r="AD460" i="18"/>
  <c r="U461" i="18" a="1"/>
  <c r="U461" i="18"/>
  <c r="AD461" i="18"/>
  <c r="U462" i="18" a="1"/>
  <c r="U462" i="18"/>
  <c r="AD462" i="18"/>
  <c r="U463" i="18" a="1"/>
  <c r="U463" i="18"/>
  <c r="AD463" i="18"/>
  <c r="U464" i="18" a="1"/>
  <c r="U464" i="18"/>
  <c r="AD464" i="18"/>
  <c r="U465" i="18" a="1"/>
  <c r="U465" i="18"/>
  <c r="AD465" i="18"/>
  <c r="U466" i="18" a="1"/>
  <c r="U466" i="18"/>
  <c r="AD466" i="18"/>
  <c r="U467" i="18" a="1"/>
  <c r="U467" i="18"/>
  <c r="AD467" i="18"/>
  <c r="U468" i="18" a="1"/>
  <c r="U468" i="18"/>
  <c r="AD468" i="18"/>
  <c r="U469" i="18" a="1"/>
  <c r="U469" i="18"/>
  <c r="AD469" i="18"/>
  <c r="U470" i="18" a="1"/>
  <c r="U470" i="18"/>
  <c r="AD470" i="18"/>
  <c r="U471" i="18" a="1"/>
  <c r="U471" i="18"/>
  <c r="AD471" i="18"/>
  <c r="U472" i="18" a="1"/>
  <c r="U472" i="18"/>
  <c r="AD472" i="18"/>
  <c r="U473" i="18" a="1"/>
  <c r="U473" i="18"/>
  <c r="AD473" i="18"/>
  <c r="U474" i="18" a="1"/>
  <c r="U474" i="18"/>
  <c r="AD474" i="18"/>
  <c r="U475" i="18" a="1"/>
  <c r="U475" i="18"/>
  <c r="AD475" i="18"/>
  <c r="U476" i="18" a="1"/>
  <c r="U476" i="18"/>
  <c r="AD476" i="18"/>
  <c r="U477" i="18" a="1"/>
  <c r="U477" i="18"/>
  <c r="AD477" i="18"/>
  <c r="U478" i="18" a="1"/>
  <c r="U478" i="18"/>
  <c r="AD478" i="18"/>
  <c r="U479" i="18" a="1"/>
  <c r="U479" i="18"/>
  <c r="AD479" i="18"/>
  <c r="U480" i="18" a="1"/>
  <c r="U480" i="18"/>
  <c r="U481" i="18" a="1"/>
  <c r="U481" i="18"/>
  <c r="AD481" i="18"/>
  <c r="U482" i="18" a="1"/>
  <c r="U482" i="18"/>
  <c r="AD482" i="18"/>
  <c r="U483" i="18" a="1"/>
  <c r="U483" i="18"/>
  <c r="AD483" i="18"/>
  <c r="U484" i="18" a="1"/>
  <c r="U484" i="18"/>
  <c r="AD484" i="18"/>
  <c r="U485" i="18" a="1"/>
  <c r="U485" i="18"/>
  <c r="AD485" i="18"/>
  <c r="U486" i="18" a="1"/>
  <c r="U486" i="18"/>
  <c r="AD486" i="18"/>
  <c r="U487" i="18" a="1"/>
  <c r="U487" i="18"/>
  <c r="AD487" i="18"/>
  <c r="U488" i="18" a="1"/>
  <c r="U488" i="18"/>
  <c r="U489" i="18" a="1"/>
  <c r="U489" i="18"/>
  <c r="U490" i="18" a="1"/>
  <c r="U490" i="18"/>
  <c r="AD490" i="18"/>
  <c r="U491" i="18" a="1"/>
  <c r="U491" i="18"/>
  <c r="AD491" i="18"/>
  <c r="U492" i="18" a="1"/>
  <c r="U492" i="18"/>
  <c r="AD492" i="18"/>
  <c r="U493" i="18" a="1"/>
  <c r="U493" i="18"/>
  <c r="U494" i="18" a="1"/>
  <c r="U494" i="18"/>
  <c r="AD494" i="18"/>
  <c r="U495" i="18" a="1"/>
  <c r="U495" i="18"/>
  <c r="AD495" i="18"/>
  <c r="U496" i="18" a="1"/>
  <c r="U496" i="18"/>
  <c r="AD496" i="18"/>
  <c r="U497" i="18" a="1"/>
  <c r="U497" i="18"/>
  <c r="AD497" i="18"/>
  <c r="U498" i="18" a="1"/>
  <c r="U498" i="18"/>
  <c r="AD498" i="18"/>
  <c r="U499" i="18" a="1"/>
  <c r="U499" i="18"/>
  <c r="AD499" i="18"/>
  <c r="U500" i="18" a="1"/>
  <c r="U500" i="18"/>
  <c r="AD500" i="18"/>
  <c r="U501" i="18" a="1"/>
  <c r="U501" i="18"/>
  <c r="AD501" i="18"/>
  <c r="U502" i="18" a="1"/>
  <c r="U502" i="18"/>
  <c r="AD502" i="18"/>
  <c r="U503" i="18" a="1"/>
  <c r="U503" i="18"/>
  <c r="AD503" i="18"/>
  <c r="U504" i="18" a="1"/>
  <c r="U504" i="18"/>
  <c r="U505" i="18" a="1"/>
  <c r="U505" i="18"/>
  <c r="U506" i="18" a="1"/>
  <c r="U506" i="18"/>
  <c r="AD506" i="18"/>
  <c r="U507" i="18" a="1"/>
  <c r="U507" i="18"/>
  <c r="AD507" i="18"/>
  <c r="U508" i="18" a="1"/>
  <c r="U508" i="18"/>
  <c r="AD508" i="18"/>
  <c r="U509" i="18" a="1"/>
  <c r="U509" i="18"/>
  <c r="AD509" i="18"/>
  <c r="U510" i="18" a="1"/>
  <c r="U510" i="18"/>
  <c r="AD510" i="18"/>
  <c r="U511" i="18" a="1"/>
  <c r="U511" i="18"/>
  <c r="AD511" i="18"/>
  <c r="U512" i="18" a="1"/>
  <c r="U512" i="18"/>
  <c r="AD512" i="18"/>
  <c r="U513" i="18" a="1"/>
  <c r="U513" i="18"/>
  <c r="AD513" i="18"/>
  <c r="U514" i="18" a="1"/>
  <c r="U514" i="18"/>
  <c r="AD514" i="18"/>
  <c r="U515" i="18" a="1"/>
  <c r="U515" i="18"/>
  <c r="U516" i="18" a="1"/>
  <c r="U516" i="18"/>
  <c r="U517" i="18" a="1"/>
  <c r="U517" i="18"/>
  <c r="AD517" i="18"/>
  <c r="U518" i="18" a="1"/>
  <c r="U518" i="18"/>
  <c r="AD518" i="18"/>
  <c r="U519" i="18" a="1"/>
  <c r="U519" i="18"/>
  <c r="AD519" i="18"/>
  <c r="U520" i="18" a="1"/>
  <c r="U520" i="18"/>
  <c r="AD520" i="18"/>
  <c r="U521" i="18" a="1"/>
  <c r="U521" i="18"/>
  <c r="AD521" i="18"/>
  <c r="U522" i="18" a="1"/>
  <c r="U522" i="18"/>
  <c r="AD522" i="18"/>
  <c r="U523" i="18" a="1"/>
  <c r="U523" i="18"/>
  <c r="AD523" i="18"/>
  <c r="U524" i="18" a="1"/>
  <c r="U524" i="18"/>
  <c r="AD524" i="18"/>
  <c r="U525" i="18" a="1"/>
  <c r="U525" i="18"/>
  <c r="AD525" i="18"/>
  <c r="U526" i="18" a="1"/>
  <c r="U526" i="18"/>
  <c r="AD526" i="18"/>
  <c r="U527" i="18" a="1"/>
  <c r="U527" i="18"/>
  <c r="AD527" i="18"/>
  <c r="U528" i="18" a="1"/>
  <c r="U528" i="18"/>
  <c r="AD528" i="18"/>
  <c r="U529" i="18" a="1"/>
  <c r="U529" i="18"/>
  <c r="AD529" i="18"/>
  <c r="U79" i="18" a="1"/>
  <c r="U79" i="18"/>
  <c r="AD79" i="18"/>
  <c r="R538" i="18"/>
  <c r="Q538" i="18"/>
  <c r="AP531" i="18"/>
  <c r="N529" i="18"/>
  <c r="M529" i="18"/>
  <c r="N528" i="18"/>
  <c r="M528" i="18"/>
  <c r="N527" i="18"/>
  <c r="M527" i="18"/>
  <c r="N526" i="18"/>
  <c r="M526" i="18"/>
  <c r="N525" i="18"/>
  <c r="M525" i="18"/>
  <c r="N524" i="18"/>
  <c r="M524" i="18"/>
  <c r="N523" i="18"/>
  <c r="M523" i="18"/>
  <c r="N522" i="18"/>
  <c r="M522" i="18"/>
  <c r="N521" i="18"/>
  <c r="M521" i="18"/>
  <c r="N520" i="18"/>
  <c r="M520" i="18"/>
  <c r="N519" i="18"/>
  <c r="M519" i="18"/>
  <c r="N518" i="18"/>
  <c r="M518" i="18"/>
  <c r="N517" i="18"/>
  <c r="M517" i="18"/>
  <c r="N516" i="18"/>
  <c r="M516" i="18"/>
  <c r="N515" i="18"/>
  <c r="M515" i="18"/>
  <c r="N514" i="18"/>
  <c r="M514" i="18"/>
  <c r="N513" i="18"/>
  <c r="M513" i="18"/>
  <c r="N512" i="18"/>
  <c r="M512" i="18"/>
  <c r="N511" i="18"/>
  <c r="M511" i="18"/>
  <c r="N510" i="18"/>
  <c r="M510" i="18"/>
  <c r="N509" i="18"/>
  <c r="M509" i="18"/>
  <c r="N508" i="18"/>
  <c r="M508" i="18"/>
  <c r="N507" i="18"/>
  <c r="M507" i="18"/>
  <c r="N506" i="18"/>
  <c r="M506" i="18"/>
  <c r="N505" i="18"/>
  <c r="M505" i="18"/>
  <c r="N504" i="18"/>
  <c r="M504" i="18"/>
  <c r="N503" i="18"/>
  <c r="M503" i="18"/>
  <c r="N502" i="18"/>
  <c r="M502" i="18"/>
  <c r="N501" i="18"/>
  <c r="M501" i="18"/>
  <c r="N500" i="18"/>
  <c r="M500" i="18"/>
  <c r="N499" i="18"/>
  <c r="M499" i="18"/>
  <c r="N498" i="18"/>
  <c r="M498" i="18"/>
  <c r="N497" i="18"/>
  <c r="M497" i="18"/>
  <c r="N496" i="18"/>
  <c r="M496" i="18"/>
  <c r="N495" i="18"/>
  <c r="M495" i="18"/>
  <c r="N494" i="18"/>
  <c r="M494" i="18"/>
  <c r="N493" i="18"/>
  <c r="M493" i="18"/>
  <c r="N492" i="18"/>
  <c r="M492" i="18"/>
  <c r="N491" i="18"/>
  <c r="M491" i="18"/>
  <c r="N490" i="18"/>
  <c r="M490" i="18"/>
  <c r="N489" i="18"/>
  <c r="M489" i="18"/>
  <c r="N488" i="18"/>
  <c r="M488" i="18"/>
  <c r="N487" i="18"/>
  <c r="M487" i="18"/>
  <c r="N486" i="18"/>
  <c r="M486" i="18"/>
  <c r="N485" i="18"/>
  <c r="M485" i="18"/>
  <c r="N484" i="18"/>
  <c r="M484" i="18"/>
  <c r="N483" i="18"/>
  <c r="M483" i="18"/>
  <c r="N482" i="18"/>
  <c r="M482" i="18"/>
  <c r="N481" i="18"/>
  <c r="M481" i="18"/>
  <c r="N480" i="18"/>
  <c r="M480" i="18"/>
  <c r="N479" i="18"/>
  <c r="M479" i="18"/>
  <c r="N478" i="18"/>
  <c r="M478" i="18"/>
  <c r="N477" i="18"/>
  <c r="M477" i="18"/>
  <c r="N476" i="18"/>
  <c r="M476" i="18"/>
  <c r="N475" i="18"/>
  <c r="M475" i="18"/>
  <c r="N474" i="18"/>
  <c r="M474" i="18"/>
  <c r="N473" i="18"/>
  <c r="M473" i="18"/>
  <c r="N472" i="18"/>
  <c r="M472" i="18"/>
  <c r="N471" i="18"/>
  <c r="M471" i="18"/>
  <c r="N470" i="18"/>
  <c r="M470" i="18"/>
  <c r="N469" i="18"/>
  <c r="M469" i="18"/>
  <c r="N468" i="18"/>
  <c r="M468" i="18"/>
  <c r="N467" i="18"/>
  <c r="M467" i="18"/>
  <c r="N466" i="18"/>
  <c r="M466" i="18"/>
  <c r="N465" i="18"/>
  <c r="M465" i="18"/>
  <c r="N464" i="18"/>
  <c r="M464" i="18"/>
  <c r="N463" i="18"/>
  <c r="M463" i="18"/>
  <c r="N462" i="18"/>
  <c r="M462" i="18"/>
  <c r="N461" i="18"/>
  <c r="M461" i="18"/>
  <c r="N460" i="18"/>
  <c r="M460" i="18"/>
  <c r="N459" i="18"/>
  <c r="M459" i="18"/>
  <c r="N458" i="18"/>
  <c r="M458" i="18"/>
  <c r="N457" i="18"/>
  <c r="M457" i="18"/>
  <c r="N456" i="18"/>
  <c r="M456" i="18"/>
  <c r="N455" i="18"/>
  <c r="M455" i="18"/>
  <c r="N454" i="18"/>
  <c r="M454" i="18"/>
  <c r="N453" i="18"/>
  <c r="M453" i="18"/>
  <c r="N452" i="18"/>
  <c r="M452" i="18"/>
  <c r="N451" i="18"/>
  <c r="M451" i="18"/>
  <c r="N450" i="18"/>
  <c r="M450" i="18"/>
  <c r="N449" i="18"/>
  <c r="M449" i="18"/>
  <c r="N448" i="18"/>
  <c r="M448" i="18"/>
  <c r="N447" i="18"/>
  <c r="M447" i="18"/>
  <c r="N446" i="18"/>
  <c r="M446" i="18"/>
  <c r="N445" i="18"/>
  <c r="M445" i="18"/>
  <c r="N444" i="18"/>
  <c r="M444" i="18"/>
  <c r="N443" i="18"/>
  <c r="M443" i="18"/>
  <c r="N442" i="18"/>
  <c r="M442" i="18"/>
  <c r="N441" i="18"/>
  <c r="M441" i="18"/>
  <c r="N440" i="18"/>
  <c r="M440" i="18"/>
  <c r="N439" i="18"/>
  <c r="M439" i="18"/>
  <c r="N438" i="18"/>
  <c r="M438" i="18"/>
  <c r="N437" i="18"/>
  <c r="M437" i="18"/>
  <c r="N436" i="18"/>
  <c r="M436" i="18"/>
  <c r="N435" i="18"/>
  <c r="M435" i="18"/>
  <c r="N434" i="18"/>
  <c r="M434" i="18"/>
  <c r="N433" i="18"/>
  <c r="M433" i="18"/>
  <c r="N432" i="18"/>
  <c r="M432" i="18"/>
  <c r="N431" i="18"/>
  <c r="M431" i="18"/>
  <c r="N430" i="18"/>
  <c r="M430" i="18"/>
  <c r="N429" i="18"/>
  <c r="M429" i="18"/>
  <c r="N428" i="18"/>
  <c r="M428" i="18"/>
  <c r="N427" i="18"/>
  <c r="M427" i="18"/>
  <c r="N426" i="18"/>
  <c r="M426" i="18"/>
  <c r="N425" i="18"/>
  <c r="M425" i="18"/>
  <c r="N424" i="18"/>
  <c r="M424" i="18"/>
  <c r="N423" i="18"/>
  <c r="M423" i="18"/>
  <c r="N422" i="18"/>
  <c r="M422" i="18"/>
  <c r="N421" i="18"/>
  <c r="M421" i="18"/>
  <c r="N420" i="18"/>
  <c r="M420" i="18"/>
  <c r="N419" i="18"/>
  <c r="M419" i="18"/>
  <c r="N418" i="18"/>
  <c r="M418" i="18"/>
  <c r="N417" i="18"/>
  <c r="M417" i="18"/>
  <c r="N416" i="18"/>
  <c r="M416" i="18"/>
  <c r="N415" i="18"/>
  <c r="M415" i="18"/>
  <c r="N414" i="18"/>
  <c r="M414" i="18"/>
  <c r="N413" i="18"/>
  <c r="M413" i="18"/>
  <c r="N412" i="18"/>
  <c r="M412" i="18"/>
  <c r="N411" i="18"/>
  <c r="M411" i="18"/>
  <c r="N410" i="18"/>
  <c r="M410" i="18"/>
  <c r="N409" i="18"/>
  <c r="M409" i="18"/>
  <c r="N408" i="18"/>
  <c r="M408" i="18"/>
  <c r="N407" i="18"/>
  <c r="M407" i="18"/>
  <c r="N406" i="18"/>
  <c r="M406" i="18"/>
  <c r="N405" i="18"/>
  <c r="M405" i="18"/>
  <c r="N404" i="18"/>
  <c r="M404" i="18"/>
  <c r="N403" i="18"/>
  <c r="M403" i="18"/>
  <c r="N402" i="18"/>
  <c r="M402" i="18"/>
  <c r="N401" i="18"/>
  <c r="M401" i="18"/>
  <c r="N400" i="18"/>
  <c r="M400" i="18"/>
  <c r="N399" i="18"/>
  <c r="M399" i="18"/>
  <c r="N398" i="18"/>
  <c r="M398" i="18"/>
  <c r="N397" i="18"/>
  <c r="M397" i="18"/>
  <c r="N396" i="18"/>
  <c r="M396" i="18"/>
  <c r="N395" i="18"/>
  <c r="M395" i="18"/>
  <c r="N394" i="18"/>
  <c r="M394" i="18"/>
  <c r="N393" i="18"/>
  <c r="M393" i="18"/>
  <c r="N392" i="18"/>
  <c r="M392" i="18"/>
  <c r="N391" i="18"/>
  <c r="M391" i="18"/>
  <c r="N390" i="18"/>
  <c r="M390" i="18"/>
  <c r="N389" i="18"/>
  <c r="M389" i="18"/>
  <c r="N388" i="18"/>
  <c r="M388" i="18"/>
  <c r="N387" i="18"/>
  <c r="M387" i="18"/>
  <c r="N386" i="18"/>
  <c r="M386" i="18"/>
  <c r="N385" i="18"/>
  <c r="M385" i="18"/>
  <c r="N384" i="18"/>
  <c r="M384" i="18"/>
  <c r="N383" i="18"/>
  <c r="M383" i="18"/>
  <c r="N382" i="18"/>
  <c r="M382" i="18"/>
  <c r="N381" i="18"/>
  <c r="M381" i="18"/>
  <c r="N380" i="18"/>
  <c r="M380" i="18"/>
  <c r="N379" i="18"/>
  <c r="M379" i="18"/>
  <c r="N378" i="18"/>
  <c r="M378" i="18"/>
  <c r="N377" i="18"/>
  <c r="M377" i="18"/>
  <c r="N376" i="18"/>
  <c r="M376" i="18"/>
  <c r="N375" i="18"/>
  <c r="M375" i="18"/>
  <c r="N374" i="18"/>
  <c r="M374" i="18"/>
  <c r="N373" i="18"/>
  <c r="M373" i="18"/>
  <c r="N372" i="18"/>
  <c r="M372" i="18"/>
  <c r="N371" i="18"/>
  <c r="M371" i="18"/>
  <c r="N370" i="18"/>
  <c r="M370" i="18"/>
  <c r="N369" i="18"/>
  <c r="M369" i="18"/>
  <c r="N368" i="18"/>
  <c r="M368" i="18"/>
  <c r="N367" i="18"/>
  <c r="M367" i="18"/>
  <c r="N366" i="18"/>
  <c r="M366" i="18"/>
  <c r="N365" i="18"/>
  <c r="M365" i="18"/>
  <c r="N364" i="18"/>
  <c r="M364" i="18"/>
  <c r="N363" i="18"/>
  <c r="M363" i="18"/>
  <c r="N362" i="18"/>
  <c r="M362" i="18"/>
  <c r="N361" i="18"/>
  <c r="M361" i="18"/>
  <c r="N360" i="18"/>
  <c r="M360" i="18"/>
  <c r="N359" i="18"/>
  <c r="M359" i="18"/>
  <c r="N358" i="18"/>
  <c r="M358" i="18"/>
  <c r="N357" i="18"/>
  <c r="M357" i="18"/>
  <c r="N356" i="18"/>
  <c r="M356" i="18"/>
  <c r="N355" i="18"/>
  <c r="M355" i="18"/>
  <c r="N354" i="18"/>
  <c r="M354" i="18"/>
  <c r="N353" i="18"/>
  <c r="M353" i="18"/>
  <c r="N352" i="18"/>
  <c r="M352" i="18"/>
  <c r="N351" i="18"/>
  <c r="M351" i="18"/>
  <c r="N350" i="18"/>
  <c r="M350" i="18"/>
  <c r="N349" i="18"/>
  <c r="M349" i="18"/>
  <c r="N348" i="18"/>
  <c r="M348" i="18"/>
  <c r="N347" i="18"/>
  <c r="M347" i="18"/>
  <c r="N346" i="18"/>
  <c r="M346" i="18"/>
  <c r="N345" i="18"/>
  <c r="M345" i="18"/>
  <c r="N344" i="18"/>
  <c r="M344" i="18"/>
  <c r="N343" i="18"/>
  <c r="M343" i="18"/>
  <c r="N342" i="18"/>
  <c r="M342" i="18"/>
  <c r="N341" i="18"/>
  <c r="M341" i="18"/>
  <c r="N340" i="18"/>
  <c r="M340" i="18"/>
  <c r="N339" i="18"/>
  <c r="M339" i="18"/>
  <c r="N338" i="18"/>
  <c r="M338" i="18"/>
  <c r="N337" i="18"/>
  <c r="M337" i="18"/>
  <c r="N336" i="18"/>
  <c r="M336" i="18"/>
  <c r="N335" i="18"/>
  <c r="M335" i="18"/>
  <c r="N334" i="18"/>
  <c r="M334" i="18"/>
  <c r="N333" i="18"/>
  <c r="M333" i="18"/>
  <c r="N332" i="18"/>
  <c r="M332" i="18"/>
  <c r="N331" i="18"/>
  <c r="M331" i="18"/>
  <c r="N330" i="18"/>
  <c r="M330" i="18"/>
  <c r="N329" i="18"/>
  <c r="M329" i="18"/>
  <c r="N328" i="18"/>
  <c r="M328" i="18"/>
  <c r="N327" i="18"/>
  <c r="M327" i="18"/>
  <c r="N326" i="18"/>
  <c r="M326" i="18"/>
  <c r="N325" i="18"/>
  <c r="M325" i="18"/>
  <c r="N324" i="18"/>
  <c r="M324" i="18"/>
  <c r="N323" i="18"/>
  <c r="M323" i="18"/>
  <c r="N322" i="18"/>
  <c r="M322" i="18"/>
  <c r="N321" i="18"/>
  <c r="M321" i="18"/>
  <c r="N320" i="18"/>
  <c r="M320" i="18"/>
  <c r="N319" i="18"/>
  <c r="M319" i="18"/>
  <c r="N318" i="18"/>
  <c r="M318" i="18"/>
  <c r="N317" i="18"/>
  <c r="M317" i="18"/>
  <c r="N316" i="18"/>
  <c r="M316" i="18"/>
  <c r="N315" i="18"/>
  <c r="D57" i="18"/>
  <c r="M315" i="18"/>
  <c r="D56" i="18"/>
  <c r="N314" i="18"/>
  <c r="M314" i="18"/>
  <c r="N313" i="18"/>
  <c r="M313" i="18"/>
  <c r="N312" i="18"/>
  <c r="M312" i="18"/>
  <c r="N311" i="18"/>
  <c r="M311" i="18"/>
  <c r="N310" i="18"/>
  <c r="M310" i="18"/>
  <c r="N309" i="18"/>
  <c r="M309" i="18"/>
  <c r="N308" i="18"/>
  <c r="M308" i="18"/>
  <c r="N307" i="18"/>
  <c r="M307" i="18"/>
  <c r="N306" i="18"/>
  <c r="M306" i="18"/>
  <c r="N305" i="18"/>
  <c r="M305" i="18"/>
  <c r="N304" i="18"/>
  <c r="M304" i="18"/>
  <c r="N303" i="18"/>
  <c r="M303" i="18"/>
  <c r="N302" i="18"/>
  <c r="M302" i="18"/>
  <c r="N301" i="18"/>
  <c r="M301" i="18"/>
  <c r="N300" i="18"/>
  <c r="M300" i="18"/>
  <c r="N299" i="18"/>
  <c r="M299" i="18"/>
  <c r="N298" i="18"/>
  <c r="M298" i="18"/>
  <c r="N297" i="18"/>
  <c r="M297" i="18"/>
  <c r="N296" i="18"/>
  <c r="M296" i="18"/>
  <c r="N295" i="18"/>
  <c r="M295" i="18"/>
  <c r="N294" i="18"/>
  <c r="M294" i="18"/>
  <c r="N293" i="18"/>
  <c r="M293" i="18"/>
  <c r="N292" i="18"/>
  <c r="M292" i="18"/>
  <c r="N291" i="18"/>
  <c r="M291" i="18"/>
  <c r="N290" i="18"/>
  <c r="M290" i="18"/>
  <c r="N289" i="18"/>
  <c r="M289" i="18"/>
  <c r="N288" i="18"/>
  <c r="M288" i="18"/>
  <c r="N287" i="18"/>
  <c r="M287" i="18"/>
  <c r="N286" i="18"/>
  <c r="M286" i="18"/>
  <c r="N285" i="18"/>
  <c r="M285" i="18"/>
  <c r="N284" i="18"/>
  <c r="M284" i="18"/>
  <c r="N283" i="18"/>
  <c r="M283" i="18"/>
  <c r="N282" i="18"/>
  <c r="M282" i="18"/>
  <c r="N281" i="18"/>
  <c r="M281" i="18"/>
  <c r="N280" i="18"/>
  <c r="M280" i="18"/>
  <c r="N279" i="18"/>
  <c r="M279" i="18"/>
  <c r="N278" i="18"/>
  <c r="M278" i="18"/>
  <c r="N277" i="18"/>
  <c r="M277" i="18"/>
  <c r="N276" i="18"/>
  <c r="M276" i="18"/>
  <c r="N275" i="18"/>
  <c r="M275" i="18"/>
  <c r="N274" i="18"/>
  <c r="M274" i="18"/>
  <c r="N273" i="18"/>
  <c r="M273" i="18"/>
  <c r="N272" i="18"/>
  <c r="M272" i="18"/>
  <c r="N271" i="18"/>
  <c r="M271" i="18"/>
  <c r="N270" i="18"/>
  <c r="M270" i="18"/>
  <c r="N269" i="18"/>
  <c r="M269" i="18"/>
  <c r="N268" i="18"/>
  <c r="M268" i="18"/>
  <c r="N267" i="18"/>
  <c r="M267" i="18"/>
  <c r="N266" i="18"/>
  <c r="M266" i="18"/>
  <c r="N265" i="18"/>
  <c r="M265" i="18"/>
  <c r="N264" i="18"/>
  <c r="M264" i="18"/>
  <c r="N263" i="18"/>
  <c r="M263" i="18"/>
  <c r="N262" i="18"/>
  <c r="M262" i="18"/>
  <c r="N261" i="18"/>
  <c r="M261" i="18"/>
  <c r="N260" i="18"/>
  <c r="M260" i="18"/>
  <c r="N259" i="18"/>
  <c r="M259" i="18"/>
  <c r="N258" i="18"/>
  <c r="M258" i="18"/>
  <c r="N257" i="18"/>
  <c r="M257" i="18"/>
  <c r="N256" i="18"/>
  <c r="M256" i="18"/>
  <c r="N255" i="18"/>
  <c r="M255" i="18"/>
  <c r="N254" i="18"/>
  <c r="M254" i="18"/>
  <c r="N253" i="18"/>
  <c r="M253" i="18"/>
  <c r="N252" i="18"/>
  <c r="M252" i="18"/>
  <c r="N251" i="18"/>
  <c r="M251" i="18"/>
  <c r="N250" i="18"/>
  <c r="M250" i="18"/>
  <c r="N249" i="18"/>
  <c r="M249" i="18"/>
  <c r="N248" i="18"/>
  <c r="M248" i="18"/>
  <c r="N247" i="18"/>
  <c r="M247" i="18"/>
  <c r="N246" i="18"/>
  <c r="M246" i="18"/>
  <c r="N245" i="18"/>
  <c r="M245" i="18"/>
  <c r="N244" i="18"/>
  <c r="M244" i="18"/>
  <c r="N243" i="18"/>
  <c r="M243" i="18"/>
  <c r="N242" i="18"/>
  <c r="M242" i="18"/>
  <c r="N241" i="18"/>
  <c r="M241" i="18"/>
  <c r="N240" i="18"/>
  <c r="M240" i="18"/>
  <c r="N239" i="18"/>
  <c r="M239" i="18"/>
  <c r="N238" i="18"/>
  <c r="M238" i="18"/>
  <c r="N237" i="18"/>
  <c r="M237" i="18"/>
  <c r="N236" i="18"/>
  <c r="M236" i="18"/>
  <c r="N235" i="18"/>
  <c r="M235" i="18"/>
  <c r="N234" i="18"/>
  <c r="M234" i="18"/>
  <c r="N233" i="18"/>
  <c r="M233" i="18"/>
  <c r="N232" i="18"/>
  <c r="M232" i="18"/>
  <c r="N231" i="18"/>
  <c r="M231" i="18"/>
  <c r="N230" i="18"/>
  <c r="M230" i="18"/>
  <c r="N229" i="18"/>
  <c r="M229" i="18"/>
  <c r="N228" i="18"/>
  <c r="M228" i="18"/>
  <c r="N227" i="18"/>
  <c r="M227" i="18"/>
  <c r="N226" i="18"/>
  <c r="M226" i="18"/>
  <c r="N225" i="18"/>
  <c r="M225" i="18"/>
  <c r="N224" i="18"/>
  <c r="M224" i="18"/>
  <c r="N223" i="18"/>
  <c r="M223" i="18"/>
  <c r="N222" i="18"/>
  <c r="M222" i="18"/>
  <c r="N221" i="18"/>
  <c r="M221" i="18"/>
  <c r="N220" i="18"/>
  <c r="M220" i="18"/>
  <c r="N219" i="18"/>
  <c r="M219" i="18"/>
  <c r="N218" i="18"/>
  <c r="M218" i="18"/>
  <c r="N217" i="18"/>
  <c r="M217" i="18"/>
  <c r="N216" i="18"/>
  <c r="M216" i="18"/>
  <c r="N215" i="18"/>
  <c r="M215" i="18"/>
  <c r="N214" i="18"/>
  <c r="M214" i="18"/>
  <c r="N213" i="18"/>
  <c r="M213" i="18"/>
  <c r="N212" i="18"/>
  <c r="M212" i="18"/>
  <c r="N211" i="18"/>
  <c r="M211" i="18"/>
  <c r="N210" i="18"/>
  <c r="M210" i="18"/>
  <c r="N209" i="18"/>
  <c r="M209" i="18"/>
  <c r="N208" i="18"/>
  <c r="M208" i="18"/>
  <c r="N207" i="18"/>
  <c r="M207" i="18"/>
  <c r="N206" i="18"/>
  <c r="M206" i="18"/>
  <c r="N205" i="18"/>
  <c r="M205" i="18"/>
  <c r="N204" i="18"/>
  <c r="M204" i="18"/>
  <c r="N203" i="18"/>
  <c r="M203" i="18"/>
  <c r="N202" i="18"/>
  <c r="M202" i="18"/>
  <c r="N201" i="18"/>
  <c r="M201" i="18"/>
  <c r="N200" i="18"/>
  <c r="M200" i="18"/>
  <c r="N199" i="18"/>
  <c r="M199" i="18"/>
  <c r="N198" i="18"/>
  <c r="M198" i="18"/>
  <c r="N197" i="18"/>
  <c r="M197" i="18"/>
  <c r="N196" i="18"/>
  <c r="M196" i="18"/>
  <c r="N195" i="18"/>
  <c r="M195" i="18"/>
  <c r="N194" i="18"/>
  <c r="M194" i="18"/>
  <c r="N193" i="18"/>
  <c r="M193" i="18"/>
  <c r="N192" i="18"/>
  <c r="M192" i="18"/>
  <c r="N191" i="18"/>
  <c r="M191" i="18"/>
  <c r="N190" i="18"/>
  <c r="M190" i="18"/>
  <c r="N189" i="18"/>
  <c r="M189" i="18"/>
  <c r="N188" i="18"/>
  <c r="M188" i="18"/>
  <c r="N187" i="18"/>
  <c r="M187" i="18"/>
  <c r="N186" i="18"/>
  <c r="M186" i="18"/>
  <c r="N185" i="18"/>
  <c r="M185" i="18"/>
  <c r="N184" i="18"/>
  <c r="M184" i="18"/>
  <c r="N183" i="18"/>
  <c r="M183" i="18"/>
  <c r="N182" i="18"/>
  <c r="M182" i="18"/>
  <c r="N181" i="18"/>
  <c r="M181" i="18"/>
  <c r="N180" i="18"/>
  <c r="M180" i="18"/>
  <c r="N179" i="18"/>
  <c r="M179" i="18"/>
  <c r="N178" i="18"/>
  <c r="M178" i="18"/>
  <c r="N177" i="18"/>
  <c r="M177" i="18"/>
  <c r="N176" i="18"/>
  <c r="M176" i="18"/>
  <c r="N175" i="18"/>
  <c r="M175" i="18"/>
  <c r="N174" i="18"/>
  <c r="M174" i="18"/>
  <c r="N173" i="18"/>
  <c r="M173" i="18"/>
  <c r="N172" i="18"/>
  <c r="M172" i="18"/>
  <c r="N171" i="18"/>
  <c r="M171" i="18"/>
  <c r="N170" i="18"/>
  <c r="M170" i="18"/>
  <c r="N169" i="18"/>
  <c r="M169" i="18"/>
  <c r="N168" i="18"/>
  <c r="M168" i="18"/>
  <c r="N167" i="18"/>
  <c r="M167" i="18"/>
  <c r="N166" i="18"/>
  <c r="M166" i="18"/>
  <c r="N165" i="18"/>
  <c r="M165" i="18"/>
  <c r="N164" i="18"/>
  <c r="M164" i="18"/>
  <c r="N163" i="18"/>
  <c r="M163" i="18"/>
  <c r="N162" i="18"/>
  <c r="M162" i="18"/>
  <c r="N161" i="18"/>
  <c r="M161" i="18"/>
  <c r="N160" i="18"/>
  <c r="M160" i="18"/>
  <c r="N159" i="18"/>
  <c r="M159" i="18"/>
  <c r="N158" i="18"/>
  <c r="M158" i="18"/>
  <c r="N157" i="18"/>
  <c r="M157" i="18"/>
  <c r="N156" i="18"/>
  <c r="M156" i="18"/>
  <c r="N155" i="18"/>
  <c r="M155" i="18"/>
  <c r="N154" i="18"/>
  <c r="M154" i="18"/>
  <c r="N153" i="18"/>
  <c r="M153" i="18"/>
  <c r="N152" i="18"/>
  <c r="M152" i="18"/>
  <c r="N151" i="18"/>
  <c r="M151" i="18"/>
  <c r="N150" i="18"/>
  <c r="M150" i="18"/>
  <c r="N149" i="18"/>
  <c r="M149" i="18"/>
  <c r="N148" i="18"/>
  <c r="M148" i="18"/>
  <c r="N147" i="18"/>
  <c r="M147" i="18"/>
  <c r="N146" i="18"/>
  <c r="M146" i="18"/>
  <c r="N145" i="18"/>
  <c r="M145" i="18"/>
  <c r="N144" i="18"/>
  <c r="M144" i="18"/>
  <c r="N143" i="18"/>
  <c r="M143" i="18"/>
  <c r="N142" i="18"/>
  <c r="M142" i="18"/>
  <c r="N141" i="18"/>
  <c r="M141" i="18"/>
  <c r="N140" i="18"/>
  <c r="M140" i="18"/>
  <c r="N139" i="18"/>
  <c r="M139" i="18"/>
  <c r="N138" i="18"/>
  <c r="M138" i="18"/>
  <c r="N137" i="18"/>
  <c r="M137" i="18"/>
  <c r="N136" i="18"/>
  <c r="M136" i="18"/>
  <c r="N135" i="18"/>
  <c r="M135" i="18"/>
  <c r="N134" i="18"/>
  <c r="M134" i="18"/>
  <c r="N133" i="18"/>
  <c r="M133" i="18"/>
  <c r="N132" i="18"/>
  <c r="M132" i="18"/>
  <c r="N131" i="18"/>
  <c r="M131" i="18"/>
  <c r="N130" i="18"/>
  <c r="M130" i="18"/>
  <c r="N129" i="18"/>
  <c r="M129" i="18"/>
  <c r="N128" i="18"/>
  <c r="M128" i="18"/>
  <c r="N127" i="18"/>
  <c r="M127" i="18"/>
  <c r="N126" i="18"/>
  <c r="M126" i="18"/>
  <c r="N125" i="18"/>
  <c r="M125" i="18"/>
  <c r="N124" i="18"/>
  <c r="M124" i="18"/>
  <c r="N123" i="18"/>
  <c r="M123" i="18"/>
  <c r="N122" i="18"/>
  <c r="M122" i="18"/>
  <c r="N121" i="18"/>
  <c r="M121" i="18"/>
  <c r="N120" i="18"/>
  <c r="M120" i="18"/>
  <c r="N119" i="18"/>
  <c r="M119" i="18"/>
  <c r="N118" i="18"/>
  <c r="M118" i="18"/>
  <c r="N117" i="18"/>
  <c r="M117" i="18"/>
  <c r="N116" i="18"/>
  <c r="M116" i="18"/>
  <c r="N115" i="18"/>
  <c r="M115" i="18"/>
  <c r="N114" i="18"/>
  <c r="M114" i="18"/>
  <c r="N113" i="18"/>
  <c r="M113" i="18"/>
  <c r="N112" i="18"/>
  <c r="M112" i="18"/>
  <c r="N111" i="18"/>
  <c r="M111" i="18"/>
  <c r="N110" i="18"/>
  <c r="M110" i="18"/>
  <c r="N109" i="18"/>
  <c r="M109" i="18"/>
  <c r="N108" i="18"/>
  <c r="M108" i="18"/>
  <c r="N107" i="18"/>
  <c r="M107" i="18"/>
  <c r="N106" i="18"/>
  <c r="M106" i="18"/>
  <c r="N105" i="18"/>
  <c r="M105" i="18"/>
  <c r="N104" i="18"/>
  <c r="M104" i="18"/>
  <c r="N103" i="18"/>
  <c r="M103" i="18"/>
  <c r="N102" i="18"/>
  <c r="M102" i="18"/>
  <c r="N101" i="18"/>
  <c r="M101" i="18"/>
  <c r="N100" i="18"/>
  <c r="M100" i="18"/>
  <c r="N99" i="18"/>
  <c r="M99" i="18"/>
  <c r="N98" i="18"/>
  <c r="M98" i="18"/>
  <c r="N97" i="18"/>
  <c r="M97" i="18"/>
  <c r="N96" i="18"/>
  <c r="M96" i="18"/>
  <c r="N95" i="18"/>
  <c r="M95" i="18"/>
  <c r="N94" i="18"/>
  <c r="M94" i="18"/>
  <c r="N93" i="18"/>
  <c r="M93" i="18"/>
  <c r="N92" i="18"/>
  <c r="M92" i="18"/>
  <c r="N91" i="18"/>
  <c r="M91" i="18"/>
  <c r="N90" i="18"/>
  <c r="M90" i="18"/>
  <c r="N89" i="18"/>
  <c r="M89" i="18"/>
  <c r="N88" i="18"/>
  <c r="M88" i="18"/>
  <c r="N87" i="18"/>
  <c r="M87" i="18"/>
  <c r="N86" i="18"/>
  <c r="M86" i="18"/>
  <c r="N85" i="18"/>
  <c r="M85" i="18"/>
  <c r="N84" i="18"/>
  <c r="M84" i="18"/>
  <c r="N83" i="18"/>
  <c r="M83" i="18"/>
  <c r="N82" i="18"/>
  <c r="M82" i="18"/>
  <c r="N81" i="18"/>
  <c r="M81" i="18"/>
  <c r="N80" i="18"/>
  <c r="M80" i="18"/>
  <c r="G80" i="18"/>
  <c r="F80" i="18"/>
  <c r="E80" i="18"/>
  <c r="R497" i="18"/>
  <c r="AA497" i="18"/>
  <c r="R395" i="18"/>
  <c r="AA395" i="18"/>
  <c r="N79" i="18"/>
  <c r="M79" i="18"/>
  <c r="G79" i="18"/>
  <c r="F79" i="18"/>
  <c r="E79" i="18"/>
  <c r="AJ78" i="18"/>
  <c r="AI78" i="18"/>
  <c r="G78" i="18"/>
  <c r="F78" i="18"/>
  <c r="E78" i="18"/>
  <c r="AH66" i="18"/>
  <c r="AC66" i="18"/>
  <c r="AB66" i="18"/>
  <c r="AA66" i="18"/>
  <c r="Z66" i="18"/>
  <c r="Y79" i="18" a="1"/>
  <c r="Y162" i="18"/>
  <c r="AH162" i="18"/>
  <c r="Y149" i="18"/>
  <c r="AH149" i="18"/>
  <c r="T79" i="18" a="1"/>
  <c r="T255" i="18"/>
  <c r="AC255" i="18"/>
  <c r="S79" i="18" a="1"/>
  <c r="S225" i="18"/>
  <c r="AB225" i="18"/>
  <c r="S193" i="18"/>
  <c r="AB193" i="18"/>
  <c r="R79" i="18" a="1"/>
  <c r="R239" i="18"/>
  <c r="AA239" i="18"/>
  <c r="G77" i="18"/>
  <c r="F77" i="18"/>
  <c r="E77" i="18"/>
  <c r="G76" i="18"/>
  <c r="F76" i="18"/>
  <c r="E76" i="18"/>
  <c r="AI66" i="18"/>
  <c r="C52" i="18"/>
  <c r="AO8" i="18"/>
  <c r="O74" i="18"/>
  <c r="O75" i="18" a="1"/>
  <c r="O399" i="18"/>
  <c r="O253" i="18"/>
  <c r="H41" i="18"/>
  <c r="G41" i="18"/>
  <c r="C41" i="18"/>
  <c r="F41" i="18"/>
  <c r="E41" i="18"/>
  <c r="H40" i="18"/>
  <c r="G40" i="18"/>
  <c r="F40" i="18"/>
  <c r="E40" i="18"/>
  <c r="H39" i="18"/>
  <c r="G39" i="18"/>
  <c r="F39" i="18"/>
  <c r="E39" i="18"/>
  <c r="C39" i="18"/>
  <c r="I36" i="18"/>
  <c r="C36" i="18"/>
  <c r="H36" i="18"/>
  <c r="G36" i="18"/>
  <c r="F36" i="18"/>
  <c r="E36" i="18"/>
  <c r="J35" i="18"/>
  <c r="I35" i="18"/>
  <c r="H35" i="18"/>
  <c r="G35" i="18"/>
  <c r="F35" i="18"/>
  <c r="E35" i="18"/>
  <c r="D35" i="18"/>
  <c r="I34" i="18"/>
  <c r="H34" i="18"/>
  <c r="G34" i="18"/>
  <c r="F34" i="18"/>
  <c r="E34" i="18"/>
  <c r="AO10" i="18"/>
  <c r="AL10" i="18"/>
  <c r="AO9" i="18"/>
  <c r="AL9" i="18"/>
  <c r="AL8" i="18"/>
  <c r="AO7" i="18"/>
  <c r="AL7" i="18"/>
  <c r="C3" i="18"/>
  <c r="R309" i="18"/>
  <c r="AA309" i="18"/>
  <c r="R308" i="18"/>
  <c r="AA308" i="18"/>
  <c r="R366" i="18"/>
  <c r="AA366" i="18"/>
  <c r="C40" i="18"/>
  <c r="T272" i="18"/>
  <c r="AC272" i="18"/>
  <c r="T249" i="18"/>
  <c r="AC249" i="18"/>
  <c r="T226" i="18"/>
  <c r="AC226" i="18"/>
  <c r="AN15" i="18"/>
  <c r="Y157" i="18"/>
  <c r="AH157" i="18"/>
  <c r="Y166" i="18"/>
  <c r="AH166" i="18"/>
  <c r="R383" i="18"/>
  <c r="AA383" i="18"/>
  <c r="R105" i="18"/>
  <c r="AA105" i="18"/>
  <c r="R526" i="18"/>
  <c r="AA526" i="18"/>
  <c r="R384" i="18"/>
  <c r="AA384" i="18"/>
  <c r="R93" i="18"/>
  <c r="AA93" i="18"/>
  <c r="R300" i="18"/>
  <c r="AA300" i="18"/>
  <c r="R201" i="18"/>
  <c r="AA201" i="18"/>
  <c r="R290" i="18"/>
  <c r="AA290" i="18"/>
  <c r="R159" i="18"/>
  <c r="AA159" i="18"/>
  <c r="R297" i="18"/>
  <c r="AA297" i="18"/>
  <c r="R440" i="18"/>
  <c r="AA440" i="18"/>
  <c r="R298" i="18"/>
  <c r="AA298" i="18"/>
  <c r="R113" i="18"/>
  <c r="AA113" i="18"/>
  <c r="R529" i="18"/>
  <c r="AA529" i="18"/>
  <c r="R102" i="18"/>
  <c r="AA102" i="18"/>
  <c r="R467" i="18"/>
  <c r="AA467" i="18"/>
  <c r="R132" i="18"/>
  <c r="AA132" i="18"/>
  <c r="R408" i="18"/>
  <c r="AA408" i="18"/>
  <c r="R418" i="18"/>
  <c r="AA418" i="18"/>
  <c r="R441" i="18"/>
  <c r="AA441" i="18"/>
  <c r="R379" i="18"/>
  <c r="AA379" i="18"/>
  <c r="R450" i="18"/>
  <c r="AA450" i="18"/>
  <c r="R295" i="18"/>
  <c r="AA295" i="18"/>
  <c r="R281" i="18"/>
  <c r="AA281" i="18"/>
  <c r="R451" i="18"/>
  <c r="AA451" i="18"/>
  <c r="R291" i="18"/>
  <c r="AA291" i="18"/>
  <c r="R251" i="18"/>
  <c r="AA251" i="18"/>
  <c r="R386" i="18"/>
  <c r="AA386" i="18"/>
  <c r="R185" i="18"/>
  <c r="AA185" i="18"/>
  <c r="Y245" i="18"/>
  <c r="AH245" i="18"/>
  <c r="T118" i="18"/>
  <c r="AC118" i="18"/>
  <c r="T383" i="18"/>
  <c r="AC383" i="18"/>
  <c r="R509" i="18"/>
  <c r="AA509" i="18"/>
  <c r="R303" i="18"/>
  <c r="AA303" i="18"/>
  <c r="R488" i="18"/>
  <c r="AA488" i="18"/>
  <c r="R195" i="18"/>
  <c r="AA195" i="18"/>
  <c r="R315" i="18"/>
  <c r="R265" i="18"/>
  <c r="AA265" i="18"/>
  <c r="R275" i="18"/>
  <c r="AA275" i="18"/>
  <c r="R271" i="18"/>
  <c r="AA271" i="18"/>
  <c r="R175" i="18"/>
  <c r="AA175" i="18"/>
  <c r="R270" i="18"/>
  <c r="AA270" i="18"/>
  <c r="R274" i="18"/>
  <c r="AA274" i="18"/>
  <c r="R318" i="18"/>
  <c r="AA318" i="18"/>
  <c r="R489" i="18"/>
  <c r="AA489" i="18"/>
  <c r="R304" i="18"/>
  <c r="AA304" i="18"/>
  <c r="Y87" i="18"/>
  <c r="AH87" i="18"/>
  <c r="R361" i="18"/>
  <c r="AA361" i="18"/>
  <c r="R362" i="18"/>
  <c r="AA362" i="18"/>
  <c r="R353" i="18"/>
  <c r="AA353" i="18"/>
  <c r="Y127" i="18"/>
  <c r="AH127" i="18"/>
  <c r="R457" i="18"/>
  <c r="AA457" i="18"/>
  <c r="R325" i="18"/>
  <c r="AA325" i="18"/>
  <c r="R321" i="18"/>
  <c r="AA321" i="18"/>
  <c r="R393" i="18"/>
  <c r="AA393" i="18"/>
  <c r="T346" i="18"/>
  <c r="AC346" i="18"/>
  <c r="T207" i="18"/>
  <c r="AC207" i="18"/>
  <c r="T490" i="18"/>
  <c r="AC490" i="18"/>
  <c r="T415" i="18"/>
  <c r="AC415" i="18"/>
  <c r="T210" i="18"/>
  <c r="AC210" i="18"/>
  <c r="T160" i="18"/>
  <c r="AC160" i="18"/>
  <c r="T333" i="18"/>
  <c r="AC333" i="18"/>
  <c r="T497" i="18"/>
  <c r="AC497" i="18"/>
  <c r="T447" i="18"/>
  <c r="AC447" i="18"/>
  <c r="T181" i="18"/>
  <c r="AC181" i="18"/>
  <c r="T524" i="18"/>
  <c r="AC524" i="18"/>
  <c r="T244" i="18"/>
  <c r="AC244" i="18"/>
  <c r="T355" i="18"/>
  <c r="AC355" i="18"/>
  <c r="T112" i="18"/>
  <c r="AC112" i="18"/>
  <c r="T202" i="18"/>
  <c r="AC202" i="18"/>
  <c r="T488" i="18"/>
  <c r="AC488" i="18"/>
  <c r="T132" i="18"/>
  <c r="AC132" i="18"/>
  <c r="Y454" i="18"/>
  <c r="AH454" i="18"/>
  <c r="Y317" i="18"/>
  <c r="AH317" i="18"/>
  <c r="Y433" i="18"/>
  <c r="AH433" i="18"/>
  <c r="Y441" i="18"/>
  <c r="AH441" i="18"/>
  <c r="Y257" i="18"/>
  <c r="AH257" i="18"/>
  <c r="Y229" i="18"/>
  <c r="AH229" i="18"/>
  <c r="Y221" i="18"/>
  <c r="AH221" i="18"/>
  <c r="Y163" i="18"/>
  <c r="AH163" i="18"/>
  <c r="Y195" i="18"/>
  <c r="AH195" i="18"/>
  <c r="Y155" i="18"/>
  <c r="AH155" i="18"/>
  <c r="Y366" i="18"/>
  <c r="AH366" i="18"/>
  <c r="Y327" i="18"/>
  <c r="AH327" i="18"/>
  <c r="Y458" i="18"/>
  <c r="AH458" i="18"/>
  <c r="Y217" i="18"/>
  <c r="AH217" i="18"/>
  <c r="R456" i="18"/>
  <c r="AA456" i="18"/>
  <c r="R343" i="18"/>
  <c r="AA343" i="18"/>
  <c r="R143" i="18"/>
  <c r="AA143" i="18"/>
  <c r="R98" i="18"/>
  <c r="AA98" i="18"/>
  <c r="R434" i="18"/>
  <c r="AA434" i="18"/>
  <c r="R228" i="18"/>
  <c r="AA228" i="18"/>
  <c r="R447" i="18"/>
  <c r="AA447" i="18"/>
  <c r="R392" i="18"/>
  <c r="AA392" i="18"/>
  <c r="R138" i="18"/>
  <c r="AA138" i="18"/>
  <c r="R242" i="18"/>
  <c r="AA242" i="18"/>
  <c r="R397" i="18"/>
  <c r="AA397" i="18"/>
  <c r="R194" i="18"/>
  <c r="AA194" i="18"/>
  <c r="R89" i="18"/>
  <c r="AA89" i="18"/>
  <c r="R305" i="18"/>
  <c r="AA305" i="18"/>
  <c r="R323" i="18"/>
  <c r="AA323" i="18"/>
  <c r="R115" i="18"/>
  <c r="AA115" i="18"/>
  <c r="R465" i="18"/>
  <c r="AA465" i="18"/>
  <c r="R121" i="18"/>
  <c r="AA121" i="18"/>
  <c r="R328" i="18"/>
  <c r="AA328" i="18"/>
  <c r="R417" i="18"/>
  <c r="AA417" i="18"/>
  <c r="R423" i="18"/>
  <c r="AA423" i="18"/>
  <c r="R492" i="18"/>
  <c r="AA492" i="18"/>
  <c r="R136" i="18"/>
  <c r="AA136" i="18"/>
  <c r="R184" i="18"/>
  <c r="AA184" i="18"/>
  <c r="R433" i="18"/>
  <c r="AA433" i="18"/>
  <c r="R247" i="18"/>
  <c r="AA247" i="18"/>
  <c r="R140" i="18"/>
  <c r="AA140" i="18"/>
  <c r="R149" i="18"/>
  <c r="AA149" i="18"/>
  <c r="R114" i="18"/>
  <c r="AA114" i="18"/>
  <c r="R161" i="18"/>
  <c r="AA161" i="18"/>
  <c r="R227" i="18"/>
  <c r="AA227" i="18"/>
  <c r="R344" i="18"/>
  <c r="AA344" i="18"/>
  <c r="R523" i="18"/>
  <c r="AA523" i="18"/>
  <c r="R246" i="18"/>
  <c r="AA246" i="18"/>
  <c r="R109" i="18"/>
  <c r="AA109" i="18"/>
  <c r="R249" i="18"/>
  <c r="AA249" i="18"/>
  <c r="R110" i="18"/>
  <c r="AA110" i="18"/>
  <c r="R329" i="18"/>
  <c r="AA329" i="18"/>
  <c r="R186" i="18"/>
  <c r="AA186" i="18"/>
  <c r="R122" i="18"/>
  <c r="AA122" i="18"/>
  <c r="R151" i="18"/>
  <c r="AA151" i="18"/>
  <c r="R234" i="18"/>
  <c r="AA234" i="18"/>
  <c r="R285" i="18"/>
  <c r="AA285" i="18"/>
  <c r="R211" i="18"/>
  <c r="AA211" i="18"/>
  <c r="R83" i="18"/>
  <c r="AA83" i="18"/>
  <c r="R495" i="18"/>
  <c r="AA495" i="18"/>
  <c r="R111" i="18"/>
  <c r="AA111" i="18"/>
  <c r="R179" i="18"/>
  <c r="AA179" i="18"/>
  <c r="R385" i="18"/>
  <c r="AA385" i="18"/>
  <c r="R238" i="18"/>
  <c r="AA238" i="18"/>
  <c r="R507" i="18"/>
  <c r="AA507" i="18"/>
  <c r="R454" i="18"/>
  <c r="AA454" i="18"/>
  <c r="R284" i="18"/>
  <c r="AA284" i="18"/>
  <c r="R99" i="18"/>
  <c r="AA99" i="18"/>
  <c r="R103" i="18"/>
  <c r="AA103" i="18"/>
  <c r="R415" i="18"/>
  <c r="AA415" i="18"/>
  <c r="R91" i="18"/>
  <c r="AA91" i="18"/>
  <c r="R349" i="18"/>
  <c r="AA349" i="18"/>
  <c r="R80" i="18"/>
  <c r="AA80" i="18"/>
  <c r="R288" i="18"/>
  <c r="AA288" i="18"/>
  <c r="R337" i="18"/>
  <c r="AA337" i="18"/>
  <c r="R226" i="18"/>
  <c r="AA226" i="18"/>
  <c r="R223" i="18"/>
  <c r="AA223" i="18"/>
  <c r="R104" i="18"/>
  <c r="AA104" i="18"/>
  <c r="R436" i="18"/>
  <c r="AA436" i="18"/>
  <c r="R152" i="18"/>
  <c r="AA152" i="18"/>
  <c r="R356" i="18"/>
  <c r="AA356" i="18"/>
  <c r="R401" i="18"/>
  <c r="AA401" i="18"/>
  <c r="R419" i="18"/>
  <c r="AA419" i="18"/>
  <c r="R176" i="18"/>
  <c r="AA176" i="18"/>
  <c r="R424" i="18"/>
  <c r="AA424" i="18"/>
  <c r="R240" i="18"/>
  <c r="AA240" i="18"/>
  <c r="R473" i="18"/>
  <c r="AA473" i="18"/>
  <c r="R327" i="18"/>
  <c r="AA327" i="18"/>
  <c r="R373" i="18"/>
  <c r="AA373" i="18"/>
  <c r="R81" i="18"/>
  <c r="AA81" i="18"/>
  <c r="R187" i="18"/>
  <c r="AA187" i="18"/>
  <c r="R382" i="18"/>
  <c r="AA382" i="18"/>
  <c r="R147" i="18"/>
  <c r="AA147" i="18"/>
  <c r="R233" i="18"/>
  <c r="AA233" i="18"/>
  <c r="R437" i="18"/>
  <c r="AA437" i="18"/>
  <c r="Y277" i="18"/>
  <c r="AH277" i="18"/>
  <c r="Y293" i="18"/>
  <c r="AH293" i="18"/>
  <c r="Y222" i="18"/>
  <c r="AH222" i="18"/>
  <c r="Y175" i="18"/>
  <c r="AH175" i="18"/>
  <c r="Y152" i="18"/>
  <c r="AH152" i="18"/>
  <c r="Y282" i="18"/>
  <c r="AH282" i="18"/>
  <c r="Y427" i="18"/>
  <c r="AH427" i="18"/>
  <c r="Y106" i="18"/>
  <c r="AH106" i="18"/>
  <c r="Y407" i="18"/>
  <c r="AH407" i="18"/>
  <c r="Y142" i="18"/>
  <c r="AH142" i="18"/>
  <c r="Y466" i="18"/>
  <c r="AH466" i="18"/>
  <c r="Y302" i="18"/>
  <c r="AH302" i="18"/>
  <c r="Y250" i="18"/>
  <c r="AH250" i="18"/>
  <c r="Y491" i="18"/>
  <c r="AH491" i="18"/>
  <c r="Y463" i="18"/>
  <c r="AH463" i="18"/>
  <c r="Y275" i="18"/>
  <c r="AH275" i="18"/>
  <c r="Y115" i="18"/>
  <c r="AH115" i="18"/>
  <c r="Y465" i="18"/>
  <c r="AH465" i="18"/>
  <c r="Y333" i="18"/>
  <c r="AH333" i="18"/>
  <c r="Y261" i="18"/>
  <c r="AH261" i="18"/>
  <c r="Y329" i="18"/>
  <c r="AH329" i="18"/>
  <c r="Y326" i="18"/>
  <c r="AH326" i="18"/>
  <c r="Y256" i="18"/>
  <c r="AH256" i="18"/>
  <c r="Y177" i="18"/>
  <c r="AH177" i="18"/>
  <c r="Y445" i="18"/>
  <c r="AH445" i="18"/>
  <c r="Y401" i="18"/>
  <c r="AH401" i="18"/>
  <c r="Y188" i="18"/>
  <c r="AH188" i="18"/>
  <c r="Y167" i="18"/>
  <c r="AH167" i="18"/>
  <c r="Y303" i="18"/>
  <c r="AH303" i="18"/>
  <c r="Y134" i="18"/>
  <c r="AH134" i="18"/>
  <c r="Y241" i="18"/>
  <c r="AH241" i="18"/>
  <c r="Y517" i="18"/>
  <c r="AH517" i="18"/>
  <c r="Y455" i="18"/>
  <c r="AH455" i="18"/>
  <c r="Y392" i="18"/>
  <c r="AH392" i="18"/>
  <c r="Y334" i="18"/>
  <c r="AH334" i="18"/>
  <c r="Y168" i="18"/>
  <c r="AH168" i="18"/>
  <c r="Y428" i="18"/>
  <c r="AH428" i="18"/>
  <c r="Y179" i="18"/>
  <c r="AH179" i="18"/>
  <c r="Y247" i="18"/>
  <c r="AH247" i="18"/>
  <c r="Y219" i="18"/>
  <c r="AH219" i="18"/>
  <c r="Y315" i="18"/>
  <c r="I59" i="18"/>
  <c r="Y349" i="18"/>
  <c r="AH349" i="18"/>
  <c r="Y510" i="18"/>
  <c r="AH510" i="18"/>
  <c r="Y386" i="18"/>
  <c r="AH386" i="18"/>
  <c r="Y254" i="18"/>
  <c r="AH254" i="18"/>
  <c r="Y197" i="18"/>
  <c r="AH197" i="18"/>
  <c r="Y211" i="18"/>
  <c r="AH211" i="18"/>
  <c r="Y240" i="18"/>
  <c r="AH240" i="18"/>
  <c r="Y487" i="18"/>
  <c r="AH487" i="18"/>
  <c r="Y515" i="18"/>
  <c r="AH515" i="18"/>
  <c r="Y265" i="18"/>
  <c r="AH265" i="18"/>
  <c r="Y304" i="18"/>
  <c r="AH304" i="18"/>
  <c r="Y479" i="18"/>
  <c r="AH479" i="18"/>
  <c r="Q79" i="18" a="1"/>
  <c r="Q305" i="18" a="1"/>
  <c r="Q356" i="18"/>
  <c r="Z356" i="18"/>
  <c r="Q390" i="18"/>
  <c r="Z390" i="18"/>
  <c r="R387" i="18"/>
  <c r="AA387" i="18"/>
  <c r="R292" i="18"/>
  <c r="AA292" i="18"/>
  <c r="R267" i="18"/>
  <c r="AA267" i="18"/>
  <c r="R403" i="18"/>
  <c r="AA403" i="18"/>
  <c r="R398" i="18"/>
  <c r="AA398" i="18"/>
  <c r="R334" i="18"/>
  <c r="AA334" i="18"/>
  <c r="R310" i="18"/>
  <c r="AA310" i="18"/>
  <c r="R255" i="18"/>
  <c r="AA255" i="18"/>
  <c r="R314" i="18"/>
  <c r="AA314" i="18"/>
  <c r="R411" i="18"/>
  <c r="AA411" i="18"/>
  <c r="R357" i="18"/>
  <c r="AA357" i="18"/>
  <c r="R264" i="18"/>
  <c r="AA264" i="18"/>
  <c r="R171" i="18"/>
  <c r="AA171" i="18"/>
  <c r="R88" i="18"/>
  <c r="AA88" i="18"/>
  <c r="R116" i="18"/>
  <c r="AA116" i="18"/>
  <c r="R528" i="18"/>
  <c r="AA528" i="18"/>
  <c r="R402" i="18"/>
  <c r="AA402" i="18"/>
  <c r="R404" i="18"/>
  <c r="AA404" i="18"/>
  <c r="R518" i="18"/>
  <c r="AA518" i="18"/>
  <c r="R262" i="18"/>
  <c r="AA262" i="18"/>
  <c r="R515" i="18"/>
  <c r="AA515" i="18"/>
  <c r="R225" i="18"/>
  <c r="AA225" i="18"/>
  <c r="R282" i="18"/>
  <c r="AA282" i="18"/>
  <c r="R502" i="18"/>
  <c r="AA502" i="18"/>
  <c r="R198" i="18"/>
  <c r="AA198" i="18"/>
  <c r="R351" i="18"/>
  <c r="AA351" i="18"/>
  <c r="R87" i="18"/>
  <c r="AA87" i="18"/>
  <c r="R500" i="18"/>
  <c r="AA500" i="18"/>
  <c r="R311" i="18"/>
  <c r="AA311" i="18"/>
  <c r="R369" i="18"/>
  <c r="AA369" i="18"/>
  <c r="R482" i="18"/>
  <c r="AA482" i="18"/>
  <c r="R263" i="18"/>
  <c r="AA263" i="18"/>
  <c r="R119" i="18"/>
  <c r="AA119" i="18"/>
  <c r="R205" i="18"/>
  <c r="AA205" i="18"/>
  <c r="R316" i="18"/>
  <c r="AA316" i="18"/>
  <c r="R203" i="18"/>
  <c r="AA203" i="18"/>
  <c r="R106" i="18"/>
  <c r="AA106" i="18"/>
  <c r="R522" i="18"/>
  <c r="AA522" i="18"/>
  <c r="R283" i="18"/>
  <c r="AA283" i="18"/>
  <c r="R352" i="18"/>
  <c r="AA352" i="18"/>
  <c r="R221" i="18"/>
  <c r="AA221" i="18"/>
  <c r="R128" i="18"/>
  <c r="AA128" i="18"/>
  <c r="R459" i="18"/>
  <c r="AA459" i="18"/>
  <c r="R455" i="18"/>
  <c r="AA455" i="18"/>
  <c r="R164" i="18"/>
  <c r="AA164" i="18"/>
  <c r="R241" i="18"/>
  <c r="AA241" i="18"/>
  <c r="R218" i="18"/>
  <c r="AA218" i="18"/>
  <c r="R338" i="18"/>
  <c r="AA338" i="18"/>
  <c r="R166" i="18"/>
  <c r="AA166" i="18"/>
  <c r="R469" i="18"/>
  <c r="AA469" i="18"/>
  <c r="R181" i="18"/>
  <c r="AA181" i="18"/>
  <c r="R499" i="18"/>
  <c r="AA499" i="18"/>
  <c r="R355" i="18"/>
  <c r="AA355" i="18"/>
  <c r="R127" i="18"/>
  <c r="AA127" i="18"/>
  <c r="R322" i="18"/>
  <c r="AA322" i="18"/>
  <c r="R480" i="18"/>
  <c r="AA480" i="18"/>
  <c r="R126" i="18"/>
  <c r="AA126" i="18"/>
  <c r="R268" i="18"/>
  <c r="AA268" i="18"/>
  <c r="R139" i="18"/>
  <c r="AA139" i="18"/>
  <c r="R527" i="18"/>
  <c r="AA527" i="18"/>
  <c r="R220" i="18"/>
  <c r="AA220" i="18"/>
  <c r="R481" i="18"/>
  <c r="AA481" i="18"/>
  <c r="R427" i="18"/>
  <c r="AA427" i="18"/>
  <c r="R339" i="18"/>
  <c r="AA339" i="18"/>
  <c r="R94" i="18"/>
  <c r="AA94" i="18"/>
  <c r="R182" i="18"/>
  <c r="AA182" i="18"/>
  <c r="R258" i="18"/>
  <c r="AA258" i="18"/>
  <c r="R129" i="18"/>
  <c r="AA129" i="18"/>
  <c r="R231" i="18"/>
  <c r="AA231" i="18"/>
  <c r="R391" i="18"/>
  <c r="AA391" i="18"/>
  <c r="R350" i="18"/>
  <c r="AA350" i="18"/>
  <c r="R428" i="18"/>
  <c r="AA428" i="18"/>
  <c r="R214" i="18"/>
  <c r="AA214" i="18"/>
  <c r="R154" i="18"/>
  <c r="AA154" i="18"/>
  <c r="R335" i="18"/>
  <c r="AA335" i="18"/>
  <c r="R406" i="18"/>
  <c r="AA406" i="18"/>
  <c r="R439" i="18"/>
  <c r="AA439" i="18"/>
  <c r="R504" i="18"/>
  <c r="AA504" i="18"/>
  <c r="R117" i="18"/>
  <c r="AA117" i="18"/>
  <c r="R92" i="18"/>
  <c r="AA92" i="18"/>
  <c r="R368" i="18"/>
  <c r="AA368" i="18"/>
  <c r="R324" i="18"/>
  <c r="AA324" i="18"/>
  <c r="R107" i="18"/>
  <c r="AA107" i="18"/>
  <c r="R278" i="18"/>
  <c r="AA278" i="18"/>
  <c r="R302" i="18"/>
  <c r="AA302" i="18"/>
  <c r="R364" i="18"/>
  <c r="AA364" i="18"/>
  <c r="R358" i="18"/>
  <c r="AA358" i="18"/>
  <c r="R484" i="18"/>
  <c r="AA484" i="18"/>
  <c r="R253" i="18"/>
  <c r="AA253" i="18"/>
  <c r="R475" i="18"/>
  <c r="AA475" i="18"/>
  <c r="R320" i="18"/>
  <c r="AA320" i="18"/>
  <c r="R133" i="18"/>
  <c r="AA133" i="18"/>
  <c r="R496" i="18"/>
  <c r="AA496" i="18"/>
  <c r="R525" i="18"/>
  <c r="AA525" i="18"/>
  <c r="R359" i="18"/>
  <c r="AA359" i="18"/>
  <c r="R174" i="18"/>
  <c r="AA174" i="18"/>
  <c r="R254" i="18"/>
  <c r="AA254" i="18"/>
  <c r="R134" i="18"/>
  <c r="AA134" i="18"/>
  <c r="R517" i="18"/>
  <c r="AA517" i="18"/>
  <c r="R85" i="18"/>
  <c r="AA85" i="18"/>
  <c r="R420" i="18"/>
  <c r="AA420" i="18"/>
  <c r="R345" i="18"/>
  <c r="AA345" i="18"/>
  <c r="R135" i="18"/>
  <c r="AA135" i="18"/>
  <c r="R266" i="18"/>
  <c r="AA266" i="18"/>
  <c r="R405" i="18"/>
  <c r="AA405" i="18"/>
  <c r="R101" i="18"/>
  <c r="AA101" i="18"/>
  <c r="R232" i="18"/>
  <c r="AA232" i="18"/>
  <c r="R250" i="18"/>
  <c r="AA250" i="18"/>
  <c r="R472" i="18"/>
  <c r="AA472" i="18"/>
  <c r="R336" i="18"/>
  <c r="AA336" i="18"/>
  <c r="R317" i="18"/>
  <c r="AA317" i="18"/>
  <c r="R452" i="18"/>
  <c r="AA452" i="18"/>
  <c r="R158" i="18"/>
  <c r="AA158" i="18"/>
  <c r="R276" i="18"/>
  <c r="AA276" i="18"/>
  <c r="R124" i="18"/>
  <c r="AA124" i="18"/>
  <c r="R90" i="18"/>
  <c r="AA90" i="18"/>
  <c r="R477" i="18"/>
  <c r="AA477" i="18"/>
  <c r="R516" i="18"/>
  <c r="AA516" i="18"/>
  <c r="R252" i="18"/>
  <c r="AA252" i="18"/>
  <c r="R286" i="18"/>
  <c r="AA286" i="18"/>
  <c r="R306" i="18"/>
  <c r="AA306" i="18"/>
  <c r="R466" i="18"/>
  <c r="AA466" i="18"/>
  <c r="R485" i="18"/>
  <c r="AA485" i="18"/>
  <c r="R494" i="18"/>
  <c r="AA494" i="18"/>
  <c r="R407" i="18"/>
  <c r="AA407" i="18"/>
  <c r="R331" i="18"/>
  <c r="AA331" i="18"/>
  <c r="R141" i="18"/>
  <c r="AA141" i="18"/>
  <c r="R521" i="18"/>
  <c r="AA521" i="18"/>
  <c r="R289" i="18"/>
  <c r="AA289" i="18"/>
  <c r="R178" i="18"/>
  <c r="AA178" i="18"/>
  <c r="R197" i="18"/>
  <c r="AA197" i="18"/>
  <c r="R514" i="18"/>
  <c r="AA514" i="18"/>
  <c r="R443" i="18"/>
  <c r="AA443" i="18"/>
  <c r="R153" i="18"/>
  <c r="AA153" i="18"/>
  <c r="R460" i="18"/>
  <c r="AA460" i="18"/>
  <c r="R422" i="18"/>
  <c r="AA422" i="18"/>
  <c r="R131" i="18"/>
  <c r="AA131" i="18"/>
  <c r="R340" i="18"/>
  <c r="AA340" i="18"/>
  <c r="R193" i="18"/>
  <c r="AA193" i="18"/>
  <c r="R301" i="18"/>
  <c r="AA301" i="18"/>
  <c r="R478" i="18"/>
  <c r="AA478" i="18"/>
  <c r="R505" i="18"/>
  <c r="AA505" i="18"/>
  <c r="T470" i="18"/>
  <c r="AC470" i="18"/>
  <c r="T388" i="18"/>
  <c r="AC388" i="18"/>
  <c r="T373" i="18"/>
  <c r="AC373" i="18"/>
  <c r="T96" i="18"/>
  <c r="AC96" i="18"/>
  <c r="T237" i="18"/>
  <c r="AC237" i="18"/>
  <c r="T437" i="18"/>
  <c r="AC437" i="18"/>
  <c r="T413" i="18"/>
  <c r="AC413" i="18"/>
  <c r="T295" i="18"/>
  <c r="AC295" i="18"/>
  <c r="T225" i="18"/>
  <c r="AC225" i="18"/>
  <c r="T481" i="18"/>
  <c r="AC481" i="18"/>
  <c r="T377" i="18"/>
  <c r="AC377" i="18"/>
  <c r="T115" i="18"/>
  <c r="AC115" i="18"/>
  <c r="T504" i="18"/>
  <c r="AC504" i="18"/>
  <c r="T322" i="18"/>
  <c r="AC322" i="18"/>
  <c r="T484" i="18"/>
  <c r="AC484" i="18"/>
  <c r="T411" i="18"/>
  <c r="AC411" i="18"/>
  <c r="T378" i="18"/>
  <c r="AC378" i="18"/>
  <c r="T240" i="18"/>
  <c r="AC240" i="18"/>
  <c r="T130" i="18"/>
  <c r="AC130" i="18"/>
  <c r="T103" i="18"/>
  <c r="AC103" i="18"/>
  <c r="T230" i="18"/>
  <c r="AC230" i="18"/>
  <c r="T353" i="18"/>
  <c r="AC353" i="18"/>
  <c r="D34" i="18"/>
  <c r="C35" i="18"/>
  <c r="C37" i="18"/>
  <c r="Q225" i="18"/>
  <c r="Z225" i="18"/>
  <c r="Q83" i="18"/>
  <c r="Z83" i="18"/>
  <c r="Q107" i="18"/>
  <c r="Z107" i="18"/>
  <c r="Q133" i="18"/>
  <c r="Z133" i="18"/>
  <c r="Q433" i="18"/>
  <c r="Z433" i="18"/>
  <c r="AH315" i="18"/>
  <c r="Q511" i="18"/>
  <c r="Z511" i="18"/>
  <c r="Q206" i="18"/>
  <c r="Z206" i="18"/>
  <c r="Q115" i="18"/>
  <c r="Z115" i="18"/>
  <c r="Q98" i="18"/>
  <c r="Z98" i="18"/>
  <c r="Q290" i="18"/>
  <c r="Z290" i="18"/>
  <c r="Q254" i="18"/>
  <c r="Z254" i="18"/>
  <c r="Q211" i="18"/>
  <c r="Z211" i="18"/>
  <c r="Q139" i="18"/>
  <c r="Z139" i="18"/>
  <c r="Q89" i="18"/>
  <c r="Z89" i="18"/>
  <c r="Q171" i="18"/>
  <c r="Z171" i="18"/>
  <c r="Q303" i="18"/>
  <c r="Z303" i="18"/>
  <c r="Q227" i="18"/>
  <c r="Z227" i="18"/>
  <c r="Q159" i="18"/>
  <c r="Z159" i="18"/>
  <c r="Q204" i="18"/>
  <c r="Z204" i="18"/>
  <c r="Q235" i="18"/>
  <c r="Z235" i="18"/>
  <c r="Q162" i="18"/>
  <c r="Z162" i="18"/>
  <c r="Q125" i="18"/>
  <c r="Z125" i="18"/>
  <c r="Q295" i="18"/>
  <c r="Z295" i="18"/>
  <c r="Q113" i="18"/>
  <c r="Z113" i="18"/>
  <c r="Q95" i="18"/>
  <c r="Z95" i="18"/>
  <c r="Q117" i="18"/>
  <c r="Z117" i="18"/>
  <c r="Q80" i="18"/>
  <c r="Z80" i="18"/>
  <c r="Q177" i="18"/>
  <c r="Z177" i="18"/>
  <c r="Q146" i="18"/>
  <c r="Z146" i="18"/>
  <c r="Q376" i="18"/>
  <c r="Z376" i="18"/>
  <c r="Q409" i="18"/>
  <c r="Z409" i="18"/>
  <c r="Q176" i="18"/>
  <c r="Z176" i="18"/>
  <c r="Q275" i="18"/>
  <c r="Z275" i="18"/>
  <c r="Q359" i="18"/>
  <c r="Z359" i="18"/>
  <c r="Q487" i="18"/>
  <c r="Z487" i="18"/>
  <c r="Q339" i="18"/>
  <c r="Z339" i="18"/>
  <c r="Q352" i="18"/>
  <c r="Z352" i="18"/>
  <c r="Q416" i="18"/>
  <c r="Z416" i="18"/>
  <c r="Q270" i="18"/>
  <c r="Z270" i="18"/>
  <c r="Q406" i="18"/>
  <c r="Z406" i="18"/>
  <c r="Q490" i="18"/>
  <c r="Z490" i="18"/>
  <c r="Q348" i="18"/>
  <c r="Z348" i="18"/>
  <c r="Q361" i="18"/>
  <c r="Z361" i="18"/>
  <c r="Q512" i="18"/>
  <c r="Z512" i="18"/>
  <c r="Q461" i="18"/>
  <c r="Z461" i="18"/>
  <c r="Q460" i="18"/>
  <c r="Z460" i="18"/>
  <c r="Q528" i="18"/>
  <c r="Z528" i="18"/>
  <c r="Q360" i="18"/>
  <c r="Z360" i="18"/>
  <c r="Q492" i="18"/>
  <c r="Z492" i="18"/>
  <c r="Q378" i="18"/>
  <c r="Z378" i="18"/>
  <c r="Q318" i="18"/>
  <c r="Z318" i="18"/>
  <c r="Q384" i="18"/>
  <c r="Z384" i="18"/>
  <c r="Q400" i="18"/>
  <c r="Z400" i="18"/>
  <c r="Q344" i="18"/>
  <c r="Z344" i="18"/>
  <c r="Q495" i="18"/>
  <c r="Z495" i="18"/>
  <c r="Q317" i="18"/>
  <c r="Z317" i="18"/>
  <c r="Q407" i="18"/>
  <c r="Z407" i="18"/>
  <c r="Q523" i="18"/>
  <c r="Z523" i="18"/>
  <c r="Q505" i="18"/>
  <c r="Z505" i="18"/>
  <c r="Q515" i="18"/>
  <c r="Z515" i="18"/>
  <c r="Q231" i="18"/>
  <c r="Z231" i="18"/>
  <c r="Q145" i="18"/>
  <c r="Z145" i="18"/>
  <c r="Q455" i="18"/>
  <c r="Z455" i="18"/>
  <c r="Q440" i="18"/>
  <c r="Z440" i="18"/>
  <c r="Q282" i="18"/>
  <c r="Z282" i="18"/>
  <c r="Q143" i="18"/>
  <c r="Z143" i="18"/>
  <c r="Q510" i="18"/>
  <c r="Z510" i="18"/>
  <c r="Q412" i="18"/>
  <c r="Z412" i="18"/>
  <c r="Q387" i="18"/>
  <c r="Z387" i="18"/>
  <c r="Q482" i="18"/>
  <c r="Z482" i="18"/>
  <c r="Q507" i="18"/>
  <c r="Z507" i="18"/>
  <c r="Q299" i="18"/>
  <c r="Z299" i="18"/>
  <c r="Q151" i="18"/>
  <c r="Z151" i="18"/>
  <c r="Q110" i="18"/>
  <c r="Z110" i="18"/>
  <c r="Q496" i="18"/>
  <c r="Z496" i="18"/>
  <c r="Y210" i="18"/>
  <c r="AH210" i="18"/>
  <c r="Y154" i="18"/>
  <c r="AH154" i="18"/>
  <c r="Y414" i="18"/>
  <c r="AH414" i="18"/>
  <c r="Y314" i="18"/>
  <c r="AH314" i="18"/>
  <c r="Y410" i="18"/>
  <c r="AH410" i="18"/>
  <c r="Y353" i="18"/>
  <c r="AH353" i="18"/>
  <c r="Y201" i="18"/>
  <c r="AH201" i="18"/>
  <c r="Y462" i="18"/>
  <c r="AH462" i="18"/>
  <c r="Y79" i="18"/>
  <c r="AH79" i="18"/>
  <c r="Y144" i="18"/>
  <c r="AH144" i="18"/>
  <c r="Y325" i="18"/>
  <c r="AH325" i="18"/>
  <c r="Y476" i="18"/>
  <c r="AH476" i="18"/>
  <c r="Y227" i="18"/>
  <c r="AH227" i="18"/>
  <c r="Y100" i="18"/>
  <c r="AH100" i="18"/>
  <c r="Y85" i="18"/>
  <c r="AH85" i="18"/>
  <c r="Y416" i="18"/>
  <c r="AH416" i="18"/>
  <c r="Y104" i="18"/>
  <c r="AH104" i="18"/>
  <c r="Y200" i="18"/>
  <c r="AH200" i="18"/>
  <c r="Y468" i="18"/>
  <c r="AH468" i="18"/>
  <c r="Y318" i="18"/>
  <c r="AH318" i="18"/>
  <c r="Y434" i="18"/>
  <c r="AH434" i="18"/>
  <c r="Y124" i="18"/>
  <c r="AH124" i="18"/>
  <c r="Y324" i="18"/>
  <c r="AH324" i="18"/>
  <c r="Y391" i="18"/>
  <c r="AH391" i="18"/>
  <c r="Y244" i="18"/>
  <c r="AH244" i="18"/>
  <c r="Y511" i="18"/>
  <c r="AH511" i="18"/>
  <c r="Y459" i="18"/>
  <c r="AH459" i="18"/>
  <c r="Y389" i="18"/>
  <c r="AH389" i="18"/>
  <c r="Y448" i="18"/>
  <c r="AH448" i="18"/>
  <c r="Y415" i="18"/>
  <c r="AH415" i="18"/>
  <c r="Y488" i="18"/>
  <c r="AH488" i="18"/>
  <c r="Y98" i="18"/>
  <c r="AH98" i="18"/>
  <c r="Y374" i="18"/>
  <c r="AH374" i="18"/>
  <c r="Y412" i="18"/>
  <c r="AH412" i="18"/>
  <c r="Y294" i="18"/>
  <c r="AH294" i="18"/>
  <c r="Y402" i="18"/>
  <c r="AH402" i="18"/>
  <c r="Y248" i="18"/>
  <c r="AH248" i="18"/>
  <c r="Y204" i="18"/>
  <c r="AH204" i="18"/>
  <c r="Y96" i="18"/>
  <c r="AH96" i="18"/>
  <c r="Y118" i="18"/>
  <c r="AH118" i="18"/>
  <c r="Y82" i="18"/>
  <c r="AH82" i="18"/>
  <c r="Y190" i="18"/>
  <c r="AH190" i="18"/>
  <c r="Y117" i="18"/>
  <c r="AH117" i="18"/>
  <c r="Y331" i="18"/>
  <c r="AH331" i="18"/>
  <c r="Y394" i="18"/>
  <c r="AH394" i="18"/>
  <c r="Y409" i="18"/>
  <c r="AH409" i="18"/>
  <c r="Y399" i="18"/>
  <c r="AH399" i="18"/>
  <c r="Y359" i="18"/>
  <c r="AH359" i="18"/>
  <c r="Y470" i="18"/>
  <c r="AH470" i="18"/>
  <c r="Y129" i="18"/>
  <c r="AH129" i="18"/>
  <c r="Y84" i="18"/>
  <c r="AH84" i="18"/>
  <c r="Y102" i="18"/>
  <c r="AH102" i="18"/>
  <c r="Y426" i="18"/>
  <c r="AH426" i="18"/>
  <c r="Y352" i="18"/>
  <c r="AH352" i="18"/>
  <c r="Y383" i="18"/>
  <c r="AH383" i="18"/>
  <c r="Y92" i="18"/>
  <c r="AH92" i="18"/>
  <c r="Y130" i="18"/>
  <c r="AH130" i="18"/>
  <c r="Y311" i="18"/>
  <c r="AH311" i="18"/>
  <c r="Y266" i="18"/>
  <c r="AH266" i="18"/>
  <c r="Y421" i="18"/>
  <c r="AH421" i="18"/>
  <c r="Y86" i="18"/>
  <c r="AH86" i="18"/>
  <c r="Y362" i="18"/>
  <c r="AH362" i="18"/>
  <c r="Y278" i="18"/>
  <c r="AH278" i="18"/>
  <c r="Y316" i="18"/>
  <c r="AH316" i="18"/>
  <c r="Y119" i="18"/>
  <c r="AH119" i="18"/>
  <c r="Y80" i="18"/>
  <c r="AH80" i="18"/>
  <c r="Y143" i="18"/>
  <c r="AH143" i="18"/>
  <c r="Y417" i="18"/>
  <c r="AH417" i="18"/>
  <c r="Y290" i="18"/>
  <c r="AH290" i="18"/>
  <c r="Y452" i="18"/>
  <c r="AH452" i="18"/>
  <c r="Y494" i="18"/>
  <c r="AH494" i="18"/>
  <c r="Y83" i="18"/>
  <c r="AH83" i="18"/>
  <c r="Y313" i="18"/>
  <c r="AH313" i="18"/>
  <c r="Y289" i="18"/>
  <c r="AH289" i="18"/>
  <c r="Y509" i="18"/>
  <c r="AH509" i="18"/>
  <c r="Y516" i="18"/>
  <c r="AH516" i="18"/>
  <c r="Y258" i="18"/>
  <c r="AH258" i="18"/>
  <c r="Y220" i="18"/>
  <c r="AH220" i="18"/>
  <c r="Y203" i="18"/>
  <c r="AH203" i="18"/>
  <c r="Y310" i="18"/>
  <c r="AH310" i="18"/>
  <c r="Y432" i="18"/>
  <c r="AH432" i="18"/>
  <c r="Y496" i="18"/>
  <c r="AH496" i="18"/>
  <c r="Y501" i="18"/>
  <c r="AH501" i="18"/>
  <c r="Y396" i="18"/>
  <c r="AH396" i="18"/>
  <c r="Y489" i="18"/>
  <c r="AH489" i="18"/>
  <c r="Y376" i="18"/>
  <c r="AH376" i="18"/>
  <c r="Y385" i="18"/>
  <c r="AH385" i="18"/>
  <c r="Y180" i="18"/>
  <c r="AH180" i="18"/>
  <c r="Y354" i="18"/>
  <c r="AH354" i="18"/>
  <c r="Y140" i="18"/>
  <c r="AH140" i="18"/>
  <c r="Y356" i="18"/>
  <c r="AH356" i="18"/>
  <c r="Y271" i="18"/>
  <c r="AH271" i="18"/>
  <c r="Y225" i="18"/>
  <c r="AH225" i="18"/>
  <c r="Y191" i="18"/>
  <c r="AH191" i="18"/>
  <c r="Y234" i="18"/>
  <c r="AH234" i="18"/>
  <c r="Y521" i="18"/>
  <c r="AH521" i="18"/>
  <c r="Y351" i="18"/>
  <c r="AH351" i="18"/>
  <c r="Y214" i="18"/>
  <c r="AH214" i="18"/>
  <c r="Y388" i="18"/>
  <c r="AH388" i="18"/>
  <c r="Y405" i="18"/>
  <c r="AH405" i="18"/>
  <c r="Y323" i="18"/>
  <c r="AH323" i="18"/>
  <c r="Y451" i="18"/>
  <c r="AH451" i="18"/>
  <c r="Y215" i="18"/>
  <c r="AH215" i="18"/>
  <c r="Y525" i="18"/>
  <c r="AH525" i="18"/>
  <c r="Y344" i="18"/>
  <c r="AH344" i="18"/>
  <c r="Y406" i="18"/>
  <c r="AH406" i="18"/>
  <c r="Y107" i="18"/>
  <c r="AH107" i="18"/>
  <c r="Y123" i="18"/>
  <c r="AH123" i="18"/>
  <c r="Y173" i="18"/>
  <c r="AH173" i="18"/>
  <c r="Y461" i="18"/>
  <c r="AH461" i="18"/>
  <c r="Y328" i="18"/>
  <c r="AH328" i="18"/>
  <c r="Y345" i="18"/>
  <c r="AH345" i="18"/>
  <c r="Y233" i="18"/>
  <c r="AH233" i="18"/>
  <c r="Y444" i="18"/>
  <c r="AH444" i="18"/>
  <c r="Y276" i="18"/>
  <c r="AH276" i="18"/>
  <c r="Y81" i="18"/>
  <c r="AH81" i="18"/>
  <c r="Y493" i="18"/>
  <c r="AH493" i="18"/>
  <c r="Y223" i="18"/>
  <c r="AH223" i="18"/>
  <c r="Y512" i="18"/>
  <c r="AH512" i="18"/>
  <c r="Y286" i="18"/>
  <c r="AH286" i="18"/>
  <c r="Y192" i="18"/>
  <c r="AH192" i="18"/>
  <c r="Y342" i="18"/>
  <c r="AH342" i="18"/>
  <c r="Y239" i="18"/>
  <c r="AH239" i="18"/>
  <c r="Y418" i="18"/>
  <c r="AH418" i="18"/>
  <c r="Y486" i="18"/>
  <c r="AH486" i="18"/>
  <c r="Y420" i="18"/>
  <c r="AH420" i="18"/>
  <c r="Y373" i="18"/>
  <c r="AH373" i="18"/>
  <c r="Y357" i="18"/>
  <c r="AH357" i="18"/>
  <c r="Y393" i="18"/>
  <c r="AH393" i="18"/>
  <c r="Y508" i="18"/>
  <c r="AH508" i="18"/>
  <c r="D36" i="18"/>
  <c r="Y300" i="18"/>
  <c r="AH300" i="18"/>
  <c r="Y518" i="18"/>
  <c r="AH518" i="18"/>
  <c r="Y413" i="18"/>
  <c r="AH413" i="18"/>
  <c r="Y339" i="18"/>
  <c r="AH339" i="18"/>
  <c r="Y137" i="18"/>
  <c r="AH137" i="18"/>
  <c r="Y440" i="18"/>
  <c r="AH440" i="18"/>
  <c r="F59" i="18"/>
  <c r="D60" i="18"/>
  <c r="AA315" i="18"/>
  <c r="Y507" i="18"/>
  <c r="AH507" i="18"/>
  <c r="Y90" i="18"/>
  <c r="AH90" i="18"/>
  <c r="Y185" i="18"/>
  <c r="AH185" i="18"/>
  <c r="Y478" i="18"/>
  <c r="AH478" i="18"/>
  <c r="Y172" i="18"/>
  <c r="AH172" i="18"/>
  <c r="Y332" i="18"/>
  <c r="AH332" i="18"/>
  <c r="Y159" i="18"/>
  <c r="AH159" i="18"/>
  <c r="Y269" i="18"/>
  <c r="AH269" i="18"/>
  <c r="Y297" i="18"/>
  <c r="AH297" i="18"/>
  <c r="Y355" i="18"/>
  <c r="AH355" i="18"/>
  <c r="Y255" i="18"/>
  <c r="AH255" i="18"/>
  <c r="Y472" i="18"/>
  <c r="AH472" i="18"/>
  <c r="Y480" i="18"/>
  <c r="AH480" i="18"/>
  <c r="Y400" i="18"/>
  <c r="AH400" i="18"/>
  <c r="Y138" i="18"/>
  <c r="AH138" i="18"/>
  <c r="Y259" i="18"/>
  <c r="AH259" i="18"/>
  <c r="Y514" i="18"/>
  <c r="AH514" i="18"/>
  <c r="Y295" i="18"/>
  <c r="AH295" i="18"/>
  <c r="Y330" i="18"/>
  <c r="AH330" i="18"/>
  <c r="Y335" i="18"/>
  <c r="AH335" i="18"/>
  <c r="Y126" i="18"/>
  <c r="AH126" i="18"/>
  <c r="Y301" i="18"/>
  <c r="AH301" i="18"/>
  <c r="Y382" i="18"/>
  <c r="AH382" i="18"/>
  <c r="D33" i="18"/>
  <c r="C34" i="18"/>
  <c r="S383" i="18"/>
  <c r="AB383" i="18"/>
  <c r="T128" i="18"/>
  <c r="AC128" i="18"/>
  <c r="T254" i="18"/>
  <c r="AC254" i="18"/>
  <c r="T256" i="18"/>
  <c r="AC256" i="18"/>
  <c r="T328" i="18"/>
  <c r="AC328" i="18"/>
  <c r="T344" i="18"/>
  <c r="AC344" i="18"/>
  <c r="T433" i="18"/>
  <c r="AC433" i="18"/>
  <c r="T381" i="18"/>
  <c r="AC381" i="18"/>
  <c r="T317" i="18"/>
  <c r="AC317" i="18"/>
  <c r="T251" i="18"/>
  <c r="AC251" i="18"/>
  <c r="R196" i="18"/>
  <c r="AA196" i="18"/>
  <c r="R210" i="18"/>
  <c r="AA210" i="18"/>
  <c r="R487" i="18"/>
  <c r="AA487" i="18"/>
  <c r="R508" i="18"/>
  <c r="AA508" i="18"/>
  <c r="R435" i="18"/>
  <c r="AA435" i="18"/>
  <c r="R296" i="18"/>
  <c r="AA296" i="18"/>
  <c r="R150" i="18"/>
  <c r="AA150" i="18"/>
  <c r="R209" i="18"/>
  <c r="AA209" i="18"/>
  <c r="R372" i="18"/>
  <c r="AA372" i="18"/>
  <c r="R261" i="18"/>
  <c r="AA261" i="18"/>
  <c r="R442" i="18"/>
  <c r="AA442" i="18"/>
  <c r="R189" i="18"/>
  <c r="AA189" i="18"/>
  <c r="R430" i="18"/>
  <c r="AA430" i="18"/>
  <c r="R463" i="18"/>
  <c r="AA463" i="18"/>
  <c r="R330" i="18"/>
  <c r="AA330" i="18"/>
  <c r="R236" i="18"/>
  <c r="AA236" i="18"/>
  <c r="R165" i="18"/>
  <c r="AA165" i="18"/>
  <c r="R212" i="18"/>
  <c r="AA212" i="18"/>
  <c r="R312" i="18"/>
  <c r="AA312" i="18"/>
  <c r="R280" i="18"/>
  <c r="AA280" i="18"/>
  <c r="R512" i="18"/>
  <c r="AA512" i="18"/>
  <c r="R79" i="18"/>
  <c r="AA79" i="18"/>
  <c r="R381" i="18"/>
  <c r="AA381" i="18"/>
  <c r="R173" i="18"/>
  <c r="AA173" i="18"/>
  <c r="R474" i="18"/>
  <c r="AA474" i="18"/>
  <c r="R120" i="18"/>
  <c r="AA120" i="18"/>
  <c r="R170" i="18"/>
  <c r="AA170" i="18"/>
  <c r="R293" i="18"/>
  <c r="AA293" i="18"/>
  <c r="R365" i="18"/>
  <c r="AA365" i="18"/>
  <c r="R448" i="18"/>
  <c r="AA448" i="18"/>
  <c r="R376" i="18"/>
  <c r="AA376" i="18"/>
  <c r="R491" i="18"/>
  <c r="AA491" i="18"/>
  <c r="R160" i="18"/>
  <c r="AA160" i="18"/>
  <c r="R177" i="18"/>
  <c r="AA177" i="18"/>
  <c r="R333" i="18"/>
  <c r="AA333" i="18"/>
  <c r="R200" i="18"/>
  <c r="AA200" i="18"/>
  <c r="R453" i="18"/>
  <c r="AA453" i="18"/>
  <c r="R354" i="18"/>
  <c r="AA354" i="18"/>
  <c r="R96" i="18"/>
  <c r="AA96" i="18"/>
  <c r="R237" i="18"/>
  <c r="AA237" i="18"/>
  <c r="R464" i="18"/>
  <c r="AA464" i="18"/>
  <c r="R256" i="18"/>
  <c r="AA256" i="18"/>
  <c r="R204" i="18"/>
  <c r="AA204" i="18"/>
  <c r="R490" i="18"/>
  <c r="AA490" i="18"/>
  <c r="R416" i="18"/>
  <c r="AA416" i="18"/>
  <c r="R471" i="18"/>
  <c r="AA471" i="18"/>
  <c r="R414" i="18"/>
  <c r="AA414" i="18"/>
  <c r="R190" i="18"/>
  <c r="AA190" i="18"/>
  <c r="R145" i="18"/>
  <c r="AA145" i="18"/>
  <c r="R409" i="18"/>
  <c r="AA409" i="18"/>
  <c r="Y243" i="18"/>
  <c r="AH243" i="18"/>
  <c r="Y397" i="18"/>
  <c r="AH397" i="18"/>
  <c r="Y133" i="18"/>
  <c r="AH133" i="18"/>
  <c r="Y196" i="18"/>
  <c r="AH196" i="18"/>
  <c r="Y288" i="18"/>
  <c r="AH288" i="18"/>
  <c r="Y371" i="18"/>
  <c r="AH371" i="18"/>
  <c r="Y322" i="18"/>
  <c r="AH322" i="18"/>
  <c r="Y141" i="18"/>
  <c r="AH141" i="18"/>
  <c r="Y208" i="18"/>
  <c r="AH208" i="18"/>
  <c r="Y439" i="18"/>
  <c r="AH439" i="18"/>
  <c r="Y456" i="18"/>
  <c r="AH456" i="18"/>
  <c r="Y307" i="18"/>
  <c r="AH307" i="18"/>
  <c r="Y209" i="18"/>
  <c r="AH209" i="18"/>
  <c r="Y131" i="18"/>
  <c r="AH131" i="18"/>
  <c r="Y378" i="18"/>
  <c r="AH378" i="18"/>
  <c r="Y308" i="18"/>
  <c r="AH308" i="18"/>
  <c r="Y320" i="18"/>
  <c r="AH320" i="18"/>
  <c r="Y425" i="18"/>
  <c r="AH425" i="18"/>
  <c r="Y146" i="18"/>
  <c r="AH146" i="18"/>
  <c r="Y523" i="18"/>
  <c r="AH523" i="18"/>
  <c r="Y135" i="18"/>
  <c r="AH135" i="18"/>
  <c r="Y93" i="18"/>
  <c r="AH93" i="18"/>
  <c r="Y150" i="18"/>
  <c r="AH150" i="18"/>
  <c r="Y156" i="18"/>
  <c r="AH156" i="18"/>
  <c r="Y267" i="18"/>
  <c r="AH267" i="18"/>
  <c r="Y387" i="18"/>
  <c r="AH387" i="18"/>
  <c r="Y372" i="18"/>
  <c r="AH372" i="18"/>
  <c r="Y471" i="18"/>
  <c r="AH471" i="18"/>
  <c r="Y419" i="18"/>
  <c r="AH419" i="18"/>
  <c r="Y450" i="18"/>
  <c r="AH450" i="18"/>
  <c r="Y198" i="18"/>
  <c r="AH198" i="18"/>
  <c r="Y116" i="18"/>
  <c r="AH116" i="18"/>
  <c r="Y189" i="18"/>
  <c r="AH189" i="18"/>
  <c r="Y481" i="18"/>
  <c r="AH481" i="18"/>
  <c r="Y424" i="18"/>
  <c r="AH424" i="18"/>
  <c r="Y404" i="18"/>
  <c r="AH404" i="18"/>
  <c r="Y194" i="18"/>
  <c r="AH194" i="18"/>
  <c r="Y88" i="18"/>
  <c r="AH88" i="18"/>
  <c r="I28" i="18"/>
  <c r="Y253" i="18"/>
  <c r="AH253" i="18"/>
  <c r="Y482" i="18"/>
  <c r="AH482" i="18"/>
  <c r="Y284" i="18"/>
  <c r="AH284" i="18"/>
  <c r="Y337" i="18"/>
  <c r="AH337" i="18"/>
  <c r="Y213" i="18"/>
  <c r="AH213" i="18"/>
  <c r="Y186" i="18"/>
  <c r="AH186" i="18"/>
  <c r="Y171" i="18"/>
  <c r="AH171" i="18"/>
  <c r="Y216" i="18"/>
  <c r="AH216" i="18"/>
  <c r="Y506" i="18"/>
  <c r="AH506" i="18"/>
  <c r="Y381" i="18"/>
  <c r="AH381" i="18"/>
  <c r="Y273" i="18"/>
  <c r="AH273" i="18"/>
  <c r="Y475" i="18"/>
  <c r="AH475" i="18"/>
  <c r="Y437" i="18"/>
  <c r="AH437" i="18"/>
  <c r="Y161" i="18"/>
  <c r="AH161" i="18"/>
  <c r="Y443" i="18"/>
  <c r="AH443" i="18"/>
  <c r="Y346" i="18"/>
  <c r="AH346" i="18"/>
  <c r="Y430" i="18"/>
  <c r="AH430" i="18"/>
  <c r="Y368" i="18"/>
  <c r="AH368" i="18"/>
  <c r="Y164" i="18"/>
  <c r="AH164" i="18"/>
  <c r="Y377" i="18"/>
  <c r="AH377" i="18"/>
  <c r="Y298" i="18"/>
  <c r="AH298" i="18"/>
  <c r="Y403" i="18"/>
  <c r="AH403" i="18"/>
  <c r="Y321" i="18"/>
  <c r="AH321" i="18"/>
  <c r="Y292" i="18"/>
  <c r="AH292" i="18"/>
  <c r="Y423" i="18"/>
  <c r="AH423" i="18"/>
  <c r="Y375" i="18"/>
  <c r="AH375" i="18"/>
  <c r="Y338" i="18"/>
  <c r="AH338" i="18"/>
  <c r="Y212" i="18"/>
  <c r="AH212" i="18"/>
  <c r="Y348" i="18"/>
  <c r="AH348" i="18"/>
  <c r="Y183" i="18"/>
  <c r="AH183" i="18"/>
  <c r="Y469" i="18"/>
  <c r="AH469" i="18"/>
  <c r="Y109" i="18"/>
  <c r="AH109" i="18"/>
  <c r="Y447" i="18"/>
  <c r="AH447" i="18"/>
  <c r="Y236" i="18"/>
  <c r="AH236" i="18"/>
  <c r="Y132" i="18"/>
  <c r="AH132" i="18"/>
  <c r="Y435" i="18"/>
  <c r="AH435" i="18"/>
  <c r="Y522" i="18"/>
  <c r="AH522" i="18"/>
  <c r="Y158" i="18"/>
  <c r="AH158" i="18"/>
  <c r="Y484" i="18"/>
  <c r="AH484" i="18"/>
  <c r="Y274" i="18"/>
  <c r="AH274" i="18"/>
  <c r="Y238" i="18"/>
  <c r="AH238" i="18"/>
  <c r="Y193" i="18"/>
  <c r="AH193" i="18"/>
  <c r="Y340" i="18"/>
  <c r="AH340" i="18"/>
  <c r="Y369" i="18"/>
  <c r="AH369" i="18"/>
  <c r="Y262" i="18"/>
  <c r="AH262" i="18"/>
  <c r="Y120" i="18"/>
  <c r="AH120" i="18"/>
  <c r="Y457" i="18"/>
  <c r="AH457" i="18"/>
  <c r="Y108" i="18"/>
  <c r="AH108" i="18"/>
  <c r="Y358" i="18"/>
  <c r="AH358" i="18"/>
  <c r="Y285" i="18"/>
  <c r="AH285" i="18"/>
  <c r="Y125" i="18"/>
  <c r="AH125" i="18"/>
  <c r="Y477" i="18"/>
  <c r="AH477" i="18"/>
  <c r="Y112" i="18"/>
  <c r="AH112" i="18"/>
  <c r="Y380" i="18"/>
  <c r="AH380" i="18"/>
  <c r="Y184" i="18"/>
  <c r="AH184" i="18"/>
  <c r="Y306" i="18"/>
  <c r="AH306" i="18"/>
  <c r="Y529" i="18"/>
  <c r="AH529" i="18"/>
  <c r="Y408" i="18"/>
  <c r="AH408" i="18"/>
  <c r="Y89" i="18"/>
  <c r="AH89" i="18"/>
  <c r="AI89" i="18"/>
  <c r="AJ89" i="18"/>
  <c r="Y453" i="18"/>
  <c r="AH453" i="18"/>
  <c r="Y113" i="18"/>
  <c r="AH113" i="18"/>
  <c r="Y305" i="18"/>
  <c r="AH305" i="18"/>
  <c r="Y99" i="18"/>
  <c r="AH99" i="18"/>
  <c r="Y296" i="18"/>
  <c r="AH296" i="18"/>
  <c r="Y319" i="18"/>
  <c r="AH319" i="18"/>
  <c r="Y105" i="18"/>
  <c r="AH105" i="18"/>
  <c r="Y384" i="18"/>
  <c r="AH384" i="18"/>
  <c r="Y218" i="18"/>
  <c r="AH218" i="18"/>
  <c r="Y503" i="18"/>
  <c r="AH503" i="18"/>
  <c r="Y249" i="18"/>
  <c r="AH249" i="18"/>
  <c r="Y95" i="18"/>
  <c r="AH95" i="18"/>
  <c r="Y299" i="18"/>
  <c r="AH299" i="18"/>
  <c r="Y205" i="18"/>
  <c r="AH205" i="18"/>
  <c r="Y350" i="18"/>
  <c r="AH350" i="18"/>
  <c r="Y145" i="18"/>
  <c r="AH145" i="18"/>
  <c r="Y312" i="18"/>
  <c r="AH312" i="18"/>
  <c r="Y199" i="18"/>
  <c r="AH199" i="18"/>
  <c r="Y176" i="18"/>
  <c r="AH176" i="18"/>
  <c r="Y499" i="18"/>
  <c r="AH499" i="18"/>
  <c r="Y148" i="18"/>
  <c r="AH148" i="18"/>
  <c r="Y429" i="18"/>
  <c r="AH429" i="18"/>
  <c r="Y500" i="18"/>
  <c r="AH500" i="18"/>
  <c r="Y151" i="18"/>
  <c r="AH151" i="18"/>
  <c r="Y270" i="18"/>
  <c r="AH270" i="18"/>
  <c r="Y136" i="18"/>
  <c r="AH136" i="18"/>
  <c r="Y526" i="18"/>
  <c r="AH526" i="18"/>
  <c r="Y246" i="18"/>
  <c r="AH246" i="18"/>
  <c r="Y202" i="18"/>
  <c r="AH202" i="18"/>
  <c r="Y101" i="18"/>
  <c r="AH101" i="18"/>
  <c r="Y91" i="18"/>
  <c r="AH91" i="18"/>
  <c r="Y111" i="18"/>
  <c r="AH111" i="18"/>
  <c r="Y490" i="18"/>
  <c r="AH490" i="18"/>
  <c r="Y231" i="18"/>
  <c r="AH231" i="18"/>
  <c r="Y524" i="18"/>
  <c r="AH524" i="18"/>
  <c r="Y103" i="18"/>
  <c r="AH103" i="18"/>
  <c r="Y110" i="18"/>
  <c r="AH110" i="18"/>
  <c r="Y237" i="18"/>
  <c r="AH237" i="18"/>
  <c r="Y473" i="18"/>
  <c r="AH473" i="18"/>
  <c r="Y364" i="18"/>
  <c r="AH364" i="18"/>
  <c r="Y182" i="18"/>
  <c r="AH182" i="18"/>
  <c r="Y347" i="18"/>
  <c r="AH347" i="18"/>
  <c r="Y128" i="18"/>
  <c r="AH128" i="18"/>
  <c r="Y495" i="18"/>
  <c r="AH495" i="18"/>
  <c r="Y504" i="18"/>
  <c r="AH504" i="18"/>
  <c r="Y272" i="18"/>
  <c r="AH272" i="18"/>
  <c r="Y442" i="18"/>
  <c r="AH442" i="18"/>
  <c r="Y268" i="18"/>
  <c r="AH268" i="18"/>
  <c r="Y283" i="18"/>
  <c r="AH283" i="18"/>
  <c r="Y379" i="18"/>
  <c r="AH379" i="18"/>
  <c r="Y474" i="18"/>
  <c r="AH474" i="18"/>
  <c r="Y174" i="18"/>
  <c r="AH174" i="18"/>
  <c r="Y483" i="18"/>
  <c r="AH483" i="18"/>
  <c r="Y260" i="18"/>
  <c r="AH260" i="18"/>
  <c r="Y206" i="18"/>
  <c r="AH206" i="18"/>
  <c r="Y97" i="18"/>
  <c r="AH97" i="18"/>
  <c r="Y370" i="18"/>
  <c r="AH370" i="18"/>
  <c r="Y527" i="18"/>
  <c r="AH527" i="18"/>
  <c r="Y232" i="18"/>
  <c r="AH232" i="18"/>
  <c r="Y520" i="18"/>
  <c r="AH520" i="18"/>
  <c r="Y497" i="18"/>
  <c r="AH497" i="18"/>
  <c r="Y165" i="18"/>
  <c r="AH165" i="18"/>
  <c r="Y242" i="18"/>
  <c r="AH242" i="18"/>
  <c r="Y226" i="18"/>
  <c r="AH226" i="18"/>
  <c r="Y341" i="18"/>
  <c r="AH341" i="18"/>
  <c r="Y147" i="18"/>
  <c r="AH147" i="18"/>
  <c r="Y395" i="18"/>
  <c r="AH395" i="18"/>
  <c r="Y502" i="18"/>
  <c r="AH502" i="18"/>
  <c r="Y464" i="18"/>
  <c r="AH464" i="18"/>
  <c r="Y181" i="18"/>
  <c r="AH181" i="18"/>
  <c r="Y363" i="18"/>
  <c r="AH363" i="18"/>
  <c r="Y411" i="18"/>
  <c r="AH411" i="18"/>
  <c r="Y187" i="18"/>
  <c r="AH187" i="18"/>
  <c r="Y251" i="18"/>
  <c r="AH251" i="18"/>
  <c r="Y114" i="18"/>
  <c r="AH114" i="18"/>
  <c r="Y287" i="18"/>
  <c r="AH287" i="18"/>
  <c r="Y281" i="18"/>
  <c r="AH281" i="18"/>
  <c r="Y365" i="18"/>
  <c r="AH365" i="18"/>
  <c r="Y153" i="18"/>
  <c r="AH153" i="18"/>
  <c r="Y436" i="18"/>
  <c r="AH436" i="18"/>
  <c r="Y122" i="18"/>
  <c r="AH122" i="18"/>
  <c r="Y390" i="18"/>
  <c r="AH390" i="18"/>
  <c r="Y398" i="18"/>
  <c r="AH398" i="18"/>
  <c r="Y485" i="18"/>
  <c r="AH485" i="18"/>
  <c r="Y361" i="18"/>
  <c r="AH361" i="18"/>
  <c r="Y446" i="18"/>
  <c r="AH446" i="18"/>
  <c r="Y449" i="18"/>
  <c r="AH449" i="18"/>
  <c r="Y230" i="18"/>
  <c r="AH230" i="18"/>
  <c r="Y360" i="18"/>
  <c r="AH360" i="18"/>
  <c r="Y309" i="18"/>
  <c r="AH309" i="18"/>
  <c r="Y467" i="18"/>
  <c r="AH467" i="18"/>
  <c r="Y235" i="18"/>
  <c r="AH235" i="18"/>
  <c r="Y264" i="18"/>
  <c r="AH264" i="18"/>
  <c r="Y367" i="18"/>
  <c r="AH367" i="18"/>
  <c r="Y279" i="18"/>
  <c r="AH279" i="18"/>
  <c r="Y228" i="18"/>
  <c r="AH228" i="18"/>
  <c r="Y513" i="18"/>
  <c r="AH513" i="18"/>
  <c r="Y121" i="18"/>
  <c r="AH121" i="18"/>
  <c r="Y291" i="18"/>
  <c r="AH291" i="18"/>
  <c r="Y460" i="18"/>
  <c r="AH460" i="18"/>
  <c r="Y94" i="18"/>
  <c r="AH94" i="18"/>
  <c r="Y263" i="18"/>
  <c r="AH263" i="18"/>
  <c r="Y336" i="18"/>
  <c r="AH336" i="18"/>
  <c r="AH69" i="18"/>
  <c r="M30" i="18"/>
  <c r="Y505" i="18"/>
  <c r="AH505" i="18"/>
  <c r="Y431" i="18"/>
  <c r="AH431" i="18"/>
  <c r="Y160" i="18"/>
  <c r="AH160" i="18"/>
  <c r="Y170" i="18"/>
  <c r="AH170" i="18"/>
  <c r="Y252" i="18"/>
  <c r="AH252" i="18"/>
  <c r="Y280" i="18"/>
  <c r="AH280" i="18"/>
  <c r="Y207" i="18"/>
  <c r="AH207" i="18"/>
  <c r="Y528" i="18"/>
  <c r="AH528" i="18"/>
  <c r="Y178" i="18"/>
  <c r="AH178" i="18"/>
  <c r="Y438" i="18"/>
  <c r="AH438" i="18"/>
  <c r="Y498" i="18"/>
  <c r="AH498" i="18"/>
  <c r="Y422" i="18"/>
  <c r="AH422" i="18"/>
  <c r="Y492" i="18"/>
  <c r="AH492" i="18"/>
  <c r="Y169" i="18"/>
  <c r="AH169" i="18"/>
  <c r="Y224" i="18"/>
  <c r="AH224" i="18"/>
  <c r="Y139" i="18"/>
  <c r="AH139" i="18"/>
  <c r="Y519" i="18"/>
  <c r="AH519" i="18"/>
  <c r="Y343" i="18"/>
  <c r="AH343" i="18"/>
  <c r="X500" i="18" a="1"/>
  <c r="X500" i="18"/>
  <c r="AG500" i="18"/>
  <c r="X485" i="18" a="1"/>
  <c r="X485" i="18"/>
  <c r="AG485" i="18"/>
  <c r="X476" i="18" a="1"/>
  <c r="X476" i="18"/>
  <c r="AG476" i="18"/>
  <c r="X458" i="18" a="1"/>
  <c r="X458" i="18"/>
  <c r="AG458" i="18"/>
  <c r="X442" i="18" a="1"/>
  <c r="X442" i="18"/>
  <c r="AG442" i="18"/>
  <c r="X433" i="18" a="1"/>
  <c r="X433" i="18"/>
  <c r="AG433" i="18"/>
  <c r="X423" i="18" a="1"/>
  <c r="X423" i="18"/>
  <c r="AG423" i="18"/>
  <c r="X408" i="18" a="1"/>
  <c r="X408" i="18"/>
  <c r="AG408" i="18"/>
  <c r="X392" i="18" a="1"/>
  <c r="X392" i="18"/>
  <c r="AG392" i="18"/>
  <c r="X367" i="18" a="1"/>
  <c r="X367" i="18"/>
  <c r="AG367" i="18"/>
  <c r="X343" i="18" a="1"/>
  <c r="X343" i="18"/>
  <c r="AG343" i="18"/>
  <c r="AG69" i="18"/>
  <c r="L30" i="18"/>
  <c r="X327" i="18" a="1"/>
  <c r="X327" i="18"/>
  <c r="AG327" i="18"/>
  <c r="X319" i="18" a="1"/>
  <c r="X319" i="18"/>
  <c r="AG319" i="18"/>
  <c r="X302" i="18" a="1"/>
  <c r="X302" i="18"/>
  <c r="AG302" i="18"/>
  <c r="X294" i="18" a="1"/>
  <c r="X294" i="18"/>
  <c r="AG294" i="18"/>
  <c r="X269" i="18" a="1"/>
  <c r="X269" i="18"/>
  <c r="AG269" i="18"/>
  <c r="X261" i="18" a="1"/>
  <c r="X261" i="18"/>
  <c r="AG261" i="18"/>
  <c r="X252" i="18" a="1"/>
  <c r="X252" i="18"/>
  <c r="AG252" i="18"/>
  <c r="X210" i="18" a="1"/>
  <c r="X210" i="18"/>
  <c r="AG210" i="18"/>
  <c r="X176" i="18" a="1"/>
  <c r="X176" i="18"/>
  <c r="AG176" i="18"/>
  <c r="X167" i="18" a="1"/>
  <c r="X167" i="18"/>
  <c r="AG167" i="18"/>
  <c r="AG67" i="18"/>
  <c r="X140" i="18" a="1"/>
  <c r="X140" i="18"/>
  <c r="AG140" i="18"/>
  <c r="X115" i="18" a="1"/>
  <c r="X115" i="18"/>
  <c r="AG115" i="18"/>
  <c r="X99" i="18" a="1"/>
  <c r="X99" i="18"/>
  <c r="AG99" i="18"/>
  <c r="AG68" i="18"/>
  <c r="W507" i="18" a="1"/>
  <c r="W507" i="18"/>
  <c r="AF507" i="18"/>
  <c r="W498" i="18" a="1"/>
  <c r="W498" i="18"/>
  <c r="AF498" i="18"/>
  <c r="W465" i="18" a="1"/>
  <c r="W465" i="18"/>
  <c r="AF465" i="18"/>
  <c r="W449" i="18" a="1"/>
  <c r="W449" i="18"/>
  <c r="AF449" i="18"/>
  <c r="W432" i="18" a="1"/>
  <c r="W432" i="18"/>
  <c r="AF432" i="18"/>
  <c r="W407" i="18" a="1"/>
  <c r="W407" i="18"/>
  <c r="AF407" i="18"/>
  <c r="W374" i="18" a="1"/>
  <c r="W374" i="18"/>
  <c r="AF374" i="18"/>
  <c r="W364" i="18" a="1"/>
  <c r="W364" i="18"/>
  <c r="AF364" i="18"/>
  <c r="W347" i="18" a="1"/>
  <c r="W347" i="18"/>
  <c r="AF347" i="18"/>
  <c r="W330" i="18" a="1"/>
  <c r="W330" i="18"/>
  <c r="AF330" i="18"/>
  <c r="AF69" i="18"/>
  <c r="K30" i="18"/>
  <c r="W312" i="18" a="1"/>
  <c r="W312" i="18"/>
  <c r="AF312" i="18"/>
  <c r="W304" i="18" a="1"/>
  <c r="W304" i="18"/>
  <c r="AF304" i="18"/>
  <c r="W296" i="18" a="1"/>
  <c r="W296" i="18"/>
  <c r="AF296" i="18"/>
  <c r="W287" i="18" a="1"/>
  <c r="W287" i="18"/>
  <c r="AF287" i="18"/>
  <c r="W270" i="18" a="1"/>
  <c r="W270" i="18"/>
  <c r="AF270" i="18"/>
  <c r="W245" i="18" a="1"/>
  <c r="W245" i="18"/>
  <c r="AF245" i="18"/>
  <c r="W220" i="18" a="1"/>
  <c r="W220" i="18"/>
  <c r="AF220" i="18"/>
  <c r="W203" i="18" a="1"/>
  <c r="W203" i="18"/>
  <c r="AF203" i="18"/>
  <c r="W186" i="18" a="1"/>
  <c r="W186" i="18"/>
  <c r="AF186" i="18"/>
  <c r="W178" i="18" a="1"/>
  <c r="W178" i="18"/>
  <c r="AF178" i="18"/>
  <c r="AF68" i="18"/>
  <c r="W169" i="18" a="1"/>
  <c r="W169" i="18"/>
  <c r="AF169" i="18"/>
  <c r="AF67" i="18"/>
  <c r="AE69" i="18"/>
  <c r="J30" i="18"/>
  <c r="AE67" i="18"/>
  <c r="AE68" i="18"/>
  <c r="AD68" i="18"/>
  <c r="AD69" i="18"/>
  <c r="I30" i="18"/>
  <c r="AD67" i="18"/>
  <c r="T172" i="18"/>
  <c r="AC172" i="18"/>
  <c r="T327" i="18"/>
  <c r="AC327" i="18"/>
  <c r="T203" i="18"/>
  <c r="AC203" i="18"/>
  <c r="T199" i="18"/>
  <c r="AC199" i="18"/>
  <c r="T441" i="18"/>
  <c r="AC441" i="18"/>
  <c r="T134" i="18"/>
  <c r="AC134" i="18"/>
  <c r="T175" i="18"/>
  <c r="AC175" i="18"/>
  <c r="T311" i="18"/>
  <c r="AC311" i="18"/>
  <c r="T479" i="18"/>
  <c r="AC479" i="18"/>
  <c r="T399" i="18"/>
  <c r="AC399" i="18"/>
  <c r="T501" i="18"/>
  <c r="AC501" i="18"/>
  <c r="T196" i="18"/>
  <c r="AC196" i="18"/>
  <c r="T465" i="18"/>
  <c r="AC465" i="18"/>
  <c r="T133" i="18"/>
  <c r="AC133" i="18"/>
  <c r="T423" i="18"/>
  <c r="AC423" i="18"/>
  <c r="T385" i="18"/>
  <c r="AC385" i="18"/>
  <c r="T189" i="18"/>
  <c r="AC189" i="18"/>
  <c r="T301" i="18"/>
  <c r="AC301" i="18"/>
  <c r="T194" i="18"/>
  <c r="AC194" i="18"/>
  <c r="T526" i="18"/>
  <c r="AC526" i="18"/>
  <c r="T283" i="18"/>
  <c r="AC283" i="18"/>
  <c r="T144" i="18"/>
  <c r="AC144" i="18"/>
  <c r="T466" i="18"/>
  <c r="AC466" i="18"/>
  <c r="T217" i="18"/>
  <c r="AC217" i="18"/>
  <c r="T216" i="18"/>
  <c r="AC216" i="18"/>
  <c r="T503" i="18"/>
  <c r="AC503" i="18"/>
  <c r="T106" i="18"/>
  <c r="AC106" i="18"/>
  <c r="T270" i="18"/>
  <c r="AC270" i="18"/>
  <c r="T517" i="18"/>
  <c r="AC517" i="18"/>
  <c r="T248" i="18"/>
  <c r="AC248" i="18"/>
  <c r="T368" i="18"/>
  <c r="AC368" i="18"/>
  <c r="T384" i="18"/>
  <c r="AC384" i="18"/>
  <c r="T307" i="18"/>
  <c r="AC307" i="18"/>
  <c r="T404" i="18"/>
  <c r="AC404" i="18"/>
  <c r="T505" i="18"/>
  <c r="AC505" i="18"/>
  <c r="AI505" i="18"/>
  <c r="AJ505" i="18"/>
  <c r="T435" i="18"/>
  <c r="AC435" i="18"/>
  <c r="T493" i="18"/>
  <c r="AC493" i="18"/>
  <c r="T426" i="18"/>
  <c r="AC426" i="18"/>
  <c r="T452" i="18"/>
  <c r="AC452" i="18"/>
  <c r="T474" i="18"/>
  <c r="AC474" i="18"/>
  <c r="T94" i="18"/>
  <c r="AC94" i="18"/>
  <c r="T109" i="18"/>
  <c r="AC109" i="18"/>
  <c r="T167" i="18"/>
  <c r="AC167" i="18"/>
  <c r="T92" i="18"/>
  <c r="AC92" i="18"/>
  <c r="T401" i="18"/>
  <c r="AC401" i="18"/>
  <c r="T158" i="18"/>
  <c r="AC158" i="18"/>
  <c r="T232" i="18"/>
  <c r="AC232" i="18"/>
  <c r="T422" i="18"/>
  <c r="AC422" i="18"/>
  <c r="T239" i="18"/>
  <c r="AC239" i="18"/>
  <c r="T187" i="18"/>
  <c r="AC187" i="18"/>
  <c r="T180" i="18"/>
  <c r="AC180" i="18"/>
  <c r="T502" i="18"/>
  <c r="AC502" i="18"/>
  <c r="T483" i="18"/>
  <c r="AC483" i="18"/>
  <c r="T183" i="18"/>
  <c r="AC183" i="18"/>
  <c r="T363" i="18"/>
  <c r="AC363" i="18"/>
  <c r="T220" i="18"/>
  <c r="AC220" i="18"/>
  <c r="T191" i="18"/>
  <c r="AC191" i="18"/>
  <c r="T136" i="18"/>
  <c r="AC136" i="18"/>
  <c r="T469" i="18"/>
  <c r="AC469" i="18"/>
  <c r="T476" i="18"/>
  <c r="AC476" i="18"/>
  <c r="T477" i="18"/>
  <c r="AC477" i="18"/>
  <c r="T245" i="18"/>
  <c r="AC245" i="18"/>
  <c r="T279" i="18"/>
  <c r="AC279" i="18"/>
  <c r="T506" i="18"/>
  <c r="AC506" i="18"/>
  <c r="T313" i="18"/>
  <c r="AC313" i="18"/>
  <c r="T121" i="18"/>
  <c r="AC121" i="18"/>
  <c r="T491" i="18"/>
  <c r="AC491" i="18"/>
  <c r="T293" i="18"/>
  <c r="AC293" i="18"/>
  <c r="T289" i="18"/>
  <c r="AC289" i="18"/>
  <c r="T271" i="18"/>
  <c r="AC271" i="18"/>
  <c r="T291" i="18"/>
  <c r="AC291" i="18"/>
  <c r="T168" i="18"/>
  <c r="AC168" i="18"/>
  <c r="T182" i="18"/>
  <c r="AC182" i="18"/>
  <c r="T162" i="18"/>
  <c r="AC162" i="18"/>
  <c r="T521" i="18"/>
  <c r="AC521" i="18"/>
  <c r="T482" i="18"/>
  <c r="AC482" i="18"/>
  <c r="T407" i="18"/>
  <c r="AC407" i="18"/>
  <c r="AI407" i="18"/>
  <c r="AJ407" i="18"/>
  <c r="T298" i="18"/>
  <c r="AC298" i="18"/>
  <c r="T164" i="18"/>
  <c r="AC164" i="18"/>
  <c r="T140" i="18"/>
  <c r="AC140" i="18"/>
  <c r="T464" i="18"/>
  <c r="AC464" i="18"/>
  <c r="T138" i="18"/>
  <c r="AC138" i="18"/>
  <c r="T510" i="18"/>
  <c r="AC510" i="18"/>
  <c r="T171" i="18"/>
  <c r="AC171" i="18"/>
  <c r="T314" i="18"/>
  <c r="AC314" i="18"/>
  <c r="T380" i="18"/>
  <c r="AC380" i="18"/>
  <c r="T228" i="18"/>
  <c r="AC228" i="18"/>
  <c r="T102" i="18"/>
  <c r="AC102" i="18"/>
  <c r="T310" i="18"/>
  <c r="AC310" i="18"/>
  <c r="T316" i="18"/>
  <c r="AC316" i="18"/>
  <c r="T88" i="18"/>
  <c r="AC88" i="18"/>
  <c r="T208" i="18"/>
  <c r="AC208" i="18"/>
  <c r="T473" i="18"/>
  <c r="AC473" i="18"/>
  <c r="T137" i="18"/>
  <c r="AC137" i="18"/>
  <c r="T487" i="18"/>
  <c r="AC487" i="18"/>
  <c r="T147" i="18"/>
  <c r="AC147" i="18"/>
  <c r="T454" i="18"/>
  <c r="AC454" i="18"/>
  <c r="T370" i="18"/>
  <c r="AC370" i="18"/>
  <c r="T81" i="18"/>
  <c r="AC81" i="18"/>
  <c r="T391" i="18"/>
  <c r="AC391" i="18"/>
  <c r="T127" i="18"/>
  <c r="AC127" i="18"/>
  <c r="T420" i="18"/>
  <c r="AC420" i="18"/>
  <c r="T396" i="18"/>
  <c r="AC396" i="18"/>
  <c r="T359" i="18"/>
  <c r="AC359" i="18"/>
  <c r="AI359" i="18"/>
  <c r="AJ359" i="18"/>
  <c r="T440" i="18"/>
  <c r="AC440" i="18"/>
  <c r="T268" i="18"/>
  <c r="AC268" i="18"/>
  <c r="T303" i="18"/>
  <c r="AC303" i="18"/>
  <c r="T456" i="18"/>
  <c r="AC456" i="18"/>
  <c r="T223" i="18"/>
  <c r="AC223" i="18"/>
  <c r="T83" i="18"/>
  <c r="AC83" i="18"/>
  <c r="T438" i="18"/>
  <c r="AC438" i="18"/>
  <c r="T458" i="18"/>
  <c r="AC458" i="18"/>
  <c r="T358" i="18"/>
  <c r="AC358" i="18"/>
  <c r="T274" i="18"/>
  <c r="AC274" i="18"/>
  <c r="T116" i="18"/>
  <c r="AC116" i="18"/>
  <c r="T82" i="18"/>
  <c r="AC82" i="18"/>
  <c r="T480" i="18"/>
  <c r="AC480" i="18"/>
  <c r="T486" i="18"/>
  <c r="AC486" i="18"/>
  <c r="T461" i="18"/>
  <c r="AC461" i="18"/>
  <c r="T475" i="18"/>
  <c r="AC475" i="18"/>
  <c r="T146" i="18"/>
  <c r="AC146" i="18"/>
  <c r="T108" i="18"/>
  <c r="AC108" i="18"/>
  <c r="T495" i="18"/>
  <c r="AC495" i="18"/>
  <c r="T86" i="18"/>
  <c r="AC86" i="18"/>
  <c r="T449" i="18"/>
  <c r="AC449" i="18"/>
  <c r="T99" i="18"/>
  <c r="AC99" i="18"/>
  <c r="T371" i="18"/>
  <c r="AC371" i="18"/>
  <c r="T349" i="18"/>
  <c r="AC349" i="18"/>
  <c r="T290" i="18"/>
  <c r="AC290" i="18"/>
  <c r="T219" i="18"/>
  <c r="AC219" i="18"/>
  <c r="T95" i="18"/>
  <c r="AC95" i="18"/>
  <c r="T229" i="18"/>
  <c r="AC229" i="18"/>
  <c r="T394" i="18"/>
  <c r="AC394" i="18"/>
  <c r="T299" i="18"/>
  <c r="AC299" i="18"/>
  <c r="T424" i="18"/>
  <c r="AC424" i="18"/>
  <c r="T250" i="18"/>
  <c r="AC250" i="18"/>
  <c r="T402" i="18"/>
  <c r="AC402" i="18"/>
  <c r="T393" i="18"/>
  <c r="AC393" i="18"/>
  <c r="T242" i="18"/>
  <c r="AC242" i="18"/>
  <c r="T499" i="18"/>
  <c r="AC499" i="18"/>
  <c r="T336" i="18"/>
  <c r="AC336" i="18"/>
  <c r="T427" i="18"/>
  <c r="AC427" i="18"/>
  <c r="T345" i="18"/>
  <c r="AC345" i="18"/>
  <c r="T397" i="18"/>
  <c r="AC397" i="18"/>
  <c r="T376" i="18"/>
  <c r="AC376" i="18"/>
  <c r="T425" i="18"/>
  <c r="AC425" i="18"/>
  <c r="T179" i="18"/>
  <c r="AC179" i="18"/>
  <c r="T265" i="18"/>
  <c r="AC265" i="18"/>
  <c r="T392" i="18"/>
  <c r="AC392" i="18"/>
  <c r="T509" i="18"/>
  <c r="AC509" i="18"/>
  <c r="T382" i="18"/>
  <c r="AC382" i="18"/>
  <c r="T529" i="18"/>
  <c r="AC529" i="18"/>
  <c r="T186" i="18"/>
  <c r="AC186" i="18"/>
  <c r="T142" i="18"/>
  <c r="AC142" i="18"/>
  <c r="T107" i="18"/>
  <c r="AC107" i="18"/>
  <c r="T201" i="18"/>
  <c r="AC201" i="18"/>
  <c r="T321" i="18"/>
  <c r="AC321" i="18"/>
  <c r="T323" i="18"/>
  <c r="AC323" i="18"/>
  <c r="T243" i="18"/>
  <c r="AC243" i="18"/>
  <c r="T261" i="18"/>
  <c r="AC261" i="18"/>
  <c r="T400" i="18"/>
  <c r="AC400" i="18"/>
  <c r="T348" i="18"/>
  <c r="AC348" i="18"/>
  <c r="T267" i="18"/>
  <c r="AC267" i="18"/>
  <c r="T436" i="18"/>
  <c r="AC436" i="18"/>
  <c r="T318" i="18"/>
  <c r="AC318" i="18"/>
  <c r="T492" i="18"/>
  <c r="AC492" i="18"/>
  <c r="T459" i="18"/>
  <c r="AC459" i="18"/>
  <c r="T522" i="18"/>
  <c r="AC522" i="18"/>
  <c r="T253" i="18"/>
  <c r="AC253" i="18"/>
  <c r="T305" i="18"/>
  <c r="AC305" i="18"/>
  <c r="T105" i="18"/>
  <c r="AC105" i="18"/>
  <c r="T80" i="18"/>
  <c r="AC80" i="18"/>
  <c r="T284" i="18"/>
  <c r="AC284" i="18"/>
  <c r="T357" i="18"/>
  <c r="AC357" i="18"/>
  <c r="T263" i="18"/>
  <c r="AC263" i="18"/>
  <c r="T341" i="18"/>
  <c r="AC341" i="18"/>
  <c r="T417" i="18"/>
  <c r="AC417" i="18"/>
  <c r="T498" i="18"/>
  <c r="AC498" i="18"/>
  <c r="T246" i="18"/>
  <c r="AC246" i="18"/>
  <c r="T347" i="18"/>
  <c r="AC347" i="18"/>
  <c r="T453" i="18"/>
  <c r="AC453" i="18"/>
  <c r="T89" i="18"/>
  <c r="AC89" i="18"/>
  <c r="T262" i="18"/>
  <c r="AC262" i="18"/>
  <c r="T418" i="18"/>
  <c r="AC418" i="18"/>
  <c r="T450" i="18"/>
  <c r="AC450" i="18"/>
  <c r="T372" i="18"/>
  <c r="AC372" i="18"/>
  <c r="T511" i="18"/>
  <c r="AC511" i="18"/>
  <c r="T104" i="18"/>
  <c r="AC104" i="18"/>
  <c r="T306" i="18"/>
  <c r="AC306" i="18"/>
  <c r="T512" i="18"/>
  <c r="AC512" i="18"/>
  <c r="T152" i="18"/>
  <c r="AC152" i="18"/>
  <c r="T430" i="18"/>
  <c r="AC430" i="18"/>
  <c r="T281" i="18"/>
  <c r="AC281" i="18"/>
  <c r="T231" i="18"/>
  <c r="AC231" i="18"/>
  <c r="T369" i="18"/>
  <c r="AC369" i="18"/>
  <c r="T429" i="18"/>
  <c r="AC429" i="18"/>
  <c r="T351" i="18"/>
  <c r="AC351" i="18"/>
  <c r="T515" i="18"/>
  <c r="AC515" i="18"/>
  <c r="AI515" i="18"/>
  <c r="AJ515" i="18"/>
  <c r="T472" i="18"/>
  <c r="AC472" i="18"/>
  <c r="T87" i="18"/>
  <c r="AC87" i="18"/>
  <c r="T170" i="18"/>
  <c r="AC170" i="18"/>
  <c r="T525" i="18"/>
  <c r="AC525" i="18"/>
  <c r="T209" i="18"/>
  <c r="AC209" i="18"/>
  <c r="T126" i="18"/>
  <c r="AC126" i="18"/>
  <c r="T288" i="18"/>
  <c r="AC288" i="18"/>
  <c r="T143" i="18"/>
  <c r="AC143" i="18"/>
  <c r="T523" i="18"/>
  <c r="AC523" i="18"/>
  <c r="T460" i="18"/>
  <c r="AC460" i="18"/>
  <c r="T294" i="18"/>
  <c r="AC294" i="18"/>
  <c r="T485" i="18"/>
  <c r="AC485" i="18"/>
  <c r="T185" i="18"/>
  <c r="AC185" i="18"/>
  <c r="T324" i="18"/>
  <c r="AC324" i="18"/>
  <c r="T403" i="18"/>
  <c r="AC403" i="18"/>
  <c r="T90" i="18"/>
  <c r="AC90" i="18"/>
  <c r="T84" i="18"/>
  <c r="AC84" i="18"/>
  <c r="T153" i="18"/>
  <c r="AC153" i="18"/>
  <c r="T157" i="18"/>
  <c r="AC157" i="18"/>
  <c r="T98" i="18"/>
  <c r="AC98" i="18"/>
  <c r="T334" i="18"/>
  <c r="AC334" i="18"/>
  <c r="T406" i="18"/>
  <c r="AC406" i="18"/>
  <c r="AI406" i="18"/>
  <c r="AJ406" i="18"/>
  <c r="T278" i="18"/>
  <c r="AC278" i="18"/>
  <c r="T277" i="18"/>
  <c r="AC277" i="18"/>
  <c r="T365" i="18"/>
  <c r="AC365" i="18"/>
  <c r="T192" i="18"/>
  <c r="AC192" i="18"/>
  <c r="T356" i="18"/>
  <c r="AC356" i="18"/>
  <c r="T233" i="18"/>
  <c r="AC233" i="18"/>
  <c r="T198" i="18"/>
  <c r="AC198" i="18"/>
  <c r="T282" i="18"/>
  <c r="AC282" i="18"/>
  <c r="T496" i="18"/>
  <c r="AC496" i="18"/>
  <c r="T468" i="18"/>
  <c r="AC468" i="18"/>
  <c r="T360" i="18"/>
  <c r="AC360" i="18"/>
  <c r="T227" i="18"/>
  <c r="AC227" i="18"/>
  <c r="T329" i="18"/>
  <c r="AC329" i="18"/>
  <c r="T367" i="18"/>
  <c r="AC367" i="18"/>
  <c r="T419" i="18"/>
  <c r="AC419" i="18"/>
  <c r="T269" i="18"/>
  <c r="AC269" i="18"/>
  <c r="T280" i="18"/>
  <c r="AC280" i="18"/>
  <c r="T375" i="18"/>
  <c r="AC375" i="18"/>
  <c r="T410" i="18"/>
  <c r="AC410" i="18"/>
  <c r="T154" i="18"/>
  <c r="AC154" i="18"/>
  <c r="T330" i="18"/>
  <c r="AC330" i="18"/>
  <c r="T300" i="18"/>
  <c r="AC300" i="18"/>
  <c r="T350" i="18"/>
  <c r="AC350" i="18"/>
  <c r="T478" i="18"/>
  <c r="AC478" i="18"/>
  <c r="T507" i="18"/>
  <c r="AC507" i="18"/>
  <c r="T149" i="18"/>
  <c r="AC149" i="18"/>
  <c r="T85" i="18"/>
  <c r="AC85" i="18"/>
  <c r="T259" i="18"/>
  <c r="AC259" i="18"/>
  <c r="T111" i="18"/>
  <c r="AC111" i="18"/>
  <c r="T139" i="18"/>
  <c r="AC139" i="18"/>
  <c r="T527" i="18"/>
  <c r="AC527" i="18"/>
  <c r="T195" i="18"/>
  <c r="AC195" i="18"/>
  <c r="T177" i="18"/>
  <c r="AC177" i="18"/>
  <c r="T342" i="18"/>
  <c r="AC342" i="18"/>
  <c r="T213" i="18"/>
  <c r="AC213" i="18"/>
  <c r="T218" i="18"/>
  <c r="AC218" i="18"/>
  <c r="T141" i="18"/>
  <c r="AC141" i="18"/>
  <c r="T129" i="18"/>
  <c r="AC129" i="18"/>
  <c r="T114" i="18"/>
  <c r="AC114" i="18"/>
  <c r="T514" i="18"/>
  <c r="AC514" i="18"/>
  <c r="T206" i="18"/>
  <c r="AC206" i="18"/>
  <c r="T409" i="18"/>
  <c r="AC409" i="18"/>
  <c r="T338" i="18"/>
  <c r="AC338" i="18"/>
  <c r="T467" i="18"/>
  <c r="AC467" i="18"/>
  <c r="T200" i="18"/>
  <c r="AC200" i="18"/>
  <c r="T176" i="18"/>
  <c r="AC176" i="18"/>
  <c r="T434" i="18"/>
  <c r="AC434" i="18"/>
  <c r="T286" i="18"/>
  <c r="AC286" i="18"/>
  <c r="T386" i="18"/>
  <c r="AC386" i="18"/>
  <c r="T193" i="18"/>
  <c r="AC193" i="18"/>
  <c r="T235" i="18"/>
  <c r="AC235" i="18"/>
  <c r="T169" i="18"/>
  <c r="AC169" i="18"/>
  <c r="T234" i="18"/>
  <c r="AC234" i="18"/>
  <c r="T408" i="18"/>
  <c r="AC408" i="18"/>
  <c r="T352" i="18"/>
  <c r="AC352" i="18"/>
  <c r="T446" i="18"/>
  <c r="AC446" i="18"/>
  <c r="T131" i="18"/>
  <c r="AC131" i="18"/>
  <c r="T165" i="18"/>
  <c r="AC165" i="18"/>
  <c r="T302" i="18"/>
  <c r="AC302" i="18"/>
  <c r="T197" i="18"/>
  <c r="AC197" i="18"/>
  <c r="T174" i="18"/>
  <c r="AC174" i="18"/>
  <c r="T178" i="18"/>
  <c r="AC178" i="18"/>
  <c r="T97" i="18"/>
  <c r="AC97" i="18"/>
  <c r="T319" i="18"/>
  <c r="AC319" i="18"/>
  <c r="T518" i="18"/>
  <c r="AC518" i="18"/>
  <c r="T91" i="18"/>
  <c r="AC91" i="18"/>
  <c r="T214" i="18"/>
  <c r="AC214" i="18"/>
  <c r="T100" i="18"/>
  <c r="AC100" i="18"/>
  <c r="T471" i="18"/>
  <c r="AC471" i="18"/>
  <c r="T173" i="18"/>
  <c r="AC173" i="18"/>
  <c r="T257" i="18"/>
  <c r="AC257" i="18"/>
  <c r="T320" i="18"/>
  <c r="AC320" i="18"/>
  <c r="T439" i="18"/>
  <c r="AC439" i="18"/>
  <c r="T79" i="18"/>
  <c r="AC79" i="18"/>
  <c r="T414" i="18"/>
  <c r="AC414" i="18"/>
  <c r="T264" i="18"/>
  <c r="AC264" i="18"/>
  <c r="T462" i="18"/>
  <c r="AC462" i="18"/>
  <c r="T412" i="18"/>
  <c r="AC412" i="18"/>
  <c r="T292" i="18"/>
  <c r="AC292" i="18"/>
  <c r="T145" i="18"/>
  <c r="AC145" i="18"/>
  <c r="T513" i="18"/>
  <c r="AC513" i="18"/>
  <c r="T442" i="18"/>
  <c r="AC442" i="18"/>
  <c r="T457" i="18"/>
  <c r="AC457" i="18"/>
  <c r="T266" i="18"/>
  <c r="AC266" i="18"/>
  <c r="T148" i="18"/>
  <c r="AC148" i="18"/>
  <c r="T222" i="18"/>
  <c r="AC222" i="18"/>
  <c r="T135" i="18"/>
  <c r="AC135" i="18"/>
  <c r="T416" i="18"/>
  <c r="AC416" i="18"/>
  <c r="T252" i="18"/>
  <c r="AC252" i="18"/>
  <c r="T516" i="18"/>
  <c r="AC516" i="18"/>
  <c r="T332" i="18"/>
  <c r="AC332" i="18"/>
  <c r="T489" i="18"/>
  <c r="AC489" i="18"/>
  <c r="T494" i="18"/>
  <c r="AC494" i="18"/>
  <c r="T362" i="18"/>
  <c r="AC362" i="18"/>
  <c r="T325" i="18"/>
  <c r="AC325" i="18"/>
  <c r="T163" i="18"/>
  <c r="AC163" i="18"/>
  <c r="T260" i="18"/>
  <c r="AC260" i="18"/>
  <c r="T184" i="18"/>
  <c r="AC184" i="18"/>
  <c r="T308" i="18"/>
  <c r="AC308" i="18"/>
  <c r="T159" i="18"/>
  <c r="AC159" i="18"/>
  <c r="T161" i="18"/>
  <c r="AC161" i="18"/>
  <c r="T451" i="18"/>
  <c r="AC451" i="18"/>
  <c r="T258" i="18"/>
  <c r="AC258" i="18"/>
  <c r="T463" i="18"/>
  <c r="AC463" i="18"/>
  <c r="T443" i="18"/>
  <c r="AC443" i="18"/>
  <c r="T93" i="18"/>
  <c r="AC93" i="18"/>
  <c r="T166" i="18"/>
  <c r="AC166" i="18"/>
  <c r="T125" i="18"/>
  <c r="AC125" i="18"/>
  <c r="T150" i="18"/>
  <c r="AC150" i="18"/>
  <c r="T113" i="18"/>
  <c r="AC113" i="18"/>
  <c r="T122" i="18"/>
  <c r="AC122" i="18"/>
  <c r="T326" i="18"/>
  <c r="AC326" i="18"/>
  <c r="T390" i="18"/>
  <c r="AC390" i="18"/>
  <c r="T273" i="18"/>
  <c r="AC273" i="18"/>
  <c r="T120" i="18"/>
  <c r="AC120" i="18"/>
  <c r="T190" i="18"/>
  <c r="AC190" i="18"/>
  <c r="T315" i="18"/>
  <c r="T117" i="18"/>
  <c r="AC117" i="18"/>
  <c r="T366" i="18"/>
  <c r="AC366" i="18"/>
  <c r="T119" i="18"/>
  <c r="AC119" i="18"/>
  <c r="T340" i="18"/>
  <c r="AC340" i="18"/>
  <c r="T339" i="18"/>
  <c r="AC339" i="18"/>
  <c r="T188" i="18"/>
  <c r="AC188" i="18"/>
  <c r="T156" i="18"/>
  <c r="AC156" i="18"/>
  <c r="T395" i="18"/>
  <c r="AC395" i="18"/>
  <c r="T204" i="18"/>
  <c r="AC204" i="18"/>
  <c r="T519" i="18"/>
  <c r="AC519" i="18"/>
  <c r="T296" i="18"/>
  <c r="AC296" i="18"/>
  <c r="T312" i="18"/>
  <c r="AC312" i="18"/>
  <c r="T387" i="18"/>
  <c r="AC387" i="18"/>
  <c r="T247" i="18"/>
  <c r="AC247" i="18"/>
  <c r="T500" i="18"/>
  <c r="AC500" i="18"/>
  <c r="T155" i="18"/>
  <c r="AC155" i="18"/>
  <c r="T211" i="18"/>
  <c r="AC211" i="18"/>
  <c r="T151" i="18"/>
  <c r="AC151" i="18"/>
  <c r="T528" i="18"/>
  <c r="AC528" i="18"/>
  <c r="T205" i="18"/>
  <c r="AC205" i="18"/>
  <c r="T241" i="18"/>
  <c r="AC241" i="18"/>
  <c r="T421" i="18"/>
  <c r="AC421" i="18"/>
  <c r="T275" i="18"/>
  <c r="AC275" i="18"/>
  <c r="T236" i="18"/>
  <c r="AC236" i="18"/>
  <c r="T224" i="18"/>
  <c r="AC224" i="18"/>
  <c r="T405" i="18"/>
  <c r="AC405" i="18"/>
  <c r="T110" i="18"/>
  <c r="AC110" i="18"/>
  <c r="AI110" i="18"/>
  <c r="AJ110" i="18"/>
  <c r="T221" i="18"/>
  <c r="AC221" i="18"/>
  <c r="T455" i="18"/>
  <c r="AC455" i="18"/>
  <c r="T276" i="18"/>
  <c r="AC276" i="18"/>
  <c r="T238" i="18"/>
  <c r="AC238" i="18"/>
  <c r="T364" i="18"/>
  <c r="AC364" i="18"/>
  <c r="T285" i="18"/>
  <c r="AC285" i="18"/>
  <c r="T379" i="18"/>
  <c r="AC379" i="18"/>
  <c r="T448" i="18"/>
  <c r="AC448" i="18"/>
  <c r="T343" i="18"/>
  <c r="AC343" i="18"/>
  <c r="T337" i="18"/>
  <c r="AC337" i="18"/>
  <c r="T445" i="18"/>
  <c r="AC445" i="18"/>
  <c r="T508" i="18"/>
  <c r="AC508" i="18"/>
  <c r="T335" i="18"/>
  <c r="AC335" i="18"/>
  <c r="T124" i="18"/>
  <c r="AC124" i="18"/>
  <c r="T331" i="18"/>
  <c r="AC331" i="18"/>
  <c r="T101" i="18"/>
  <c r="AC101" i="18"/>
  <c r="T428" i="18"/>
  <c r="AC428" i="18"/>
  <c r="T297" i="18"/>
  <c r="AC297" i="18"/>
  <c r="T398" i="18"/>
  <c r="AC398" i="18"/>
  <c r="T123" i="18"/>
  <c r="AC123" i="18"/>
  <c r="T431" i="18"/>
  <c r="AC431" i="18"/>
  <c r="T212" i="18"/>
  <c r="AC212" i="18"/>
  <c r="T520" i="18"/>
  <c r="AC520" i="18"/>
  <c r="T444" i="18"/>
  <c r="AC444" i="18"/>
  <c r="T432" i="18"/>
  <c r="AC432" i="18"/>
  <c r="T309" i="18"/>
  <c r="AC309" i="18"/>
  <c r="T361" i="18"/>
  <c r="AC361" i="18"/>
  <c r="T304" i="18"/>
  <c r="AC304" i="18"/>
  <c r="T287" i="18"/>
  <c r="AC287" i="18"/>
  <c r="T215" i="18"/>
  <c r="AC215" i="18"/>
  <c r="T374" i="18"/>
  <c r="AC374" i="18"/>
  <c r="T389" i="18"/>
  <c r="AC389" i="18"/>
  <c r="T354" i="18"/>
  <c r="AC354" i="18"/>
  <c r="G81" i="18"/>
  <c r="S526" i="18"/>
  <c r="AB526" i="18"/>
  <c r="S200" i="18"/>
  <c r="AB200" i="18"/>
  <c r="F81" i="18"/>
  <c r="S107" i="18"/>
  <c r="AB107" i="18"/>
  <c r="AI107" i="18"/>
  <c r="AJ107" i="18"/>
  <c r="S220" i="18"/>
  <c r="AB220" i="18"/>
  <c r="S268" i="18"/>
  <c r="AB268" i="18"/>
  <c r="S468" i="18"/>
  <c r="AB468" i="18"/>
  <c r="S257" i="18"/>
  <c r="AB257" i="18"/>
  <c r="S86" i="18"/>
  <c r="AB86" i="18"/>
  <c r="S209" i="18"/>
  <c r="AB209" i="18"/>
  <c r="S95" i="18"/>
  <c r="AB95" i="18"/>
  <c r="S341" i="18"/>
  <c r="AB341" i="18"/>
  <c r="S414" i="18"/>
  <c r="AB414" i="18"/>
  <c r="S384" i="18"/>
  <c r="AB384" i="18"/>
  <c r="S336" i="18"/>
  <c r="AB336" i="18"/>
  <c r="S363" i="18"/>
  <c r="AB363" i="18"/>
  <c r="S100" i="18"/>
  <c r="AB100" i="18"/>
  <c r="S321" i="18"/>
  <c r="AB321" i="18"/>
  <c r="S160" i="18"/>
  <c r="AB160" i="18"/>
  <c r="S308" i="18"/>
  <c r="AB308" i="18"/>
  <c r="S390" i="18"/>
  <c r="AB390" i="18"/>
  <c r="S256" i="18"/>
  <c r="AB256" i="18"/>
  <c r="S282" i="18"/>
  <c r="AB282" i="18"/>
  <c r="S492" i="18"/>
  <c r="AB492" i="18"/>
  <c r="S432" i="18"/>
  <c r="AB432" i="18"/>
  <c r="S198" i="18"/>
  <c r="AB198" i="18"/>
  <c r="S473" i="18"/>
  <c r="AB473" i="18"/>
  <c r="S118" i="18"/>
  <c r="AB118" i="18"/>
  <c r="S115" i="18"/>
  <c r="AB115" i="18"/>
  <c r="AI115" i="18"/>
  <c r="AJ115" i="18"/>
  <c r="S222" i="18"/>
  <c r="AB222" i="18"/>
  <c r="S229" i="18"/>
  <c r="AB229" i="18"/>
  <c r="S514" i="18"/>
  <c r="AB514" i="18"/>
  <c r="S171" i="18"/>
  <c r="AB171" i="18"/>
  <c r="S303" i="18"/>
  <c r="AB303" i="18"/>
  <c r="S265" i="18"/>
  <c r="AB265" i="18"/>
  <c r="S201" i="18"/>
  <c r="AB201" i="18"/>
  <c r="S367" i="18"/>
  <c r="AB367" i="18"/>
  <c r="S117" i="18"/>
  <c r="AB117" i="18"/>
  <c r="AI117" i="18"/>
  <c r="AJ117" i="18"/>
  <c r="S84" i="18"/>
  <c r="AB84" i="18"/>
  <c r="S172" i="18"/>
  <c r="AB172" i="18"/>
  <c r="S96" i="18"/>
  <c r="AB96" i="18"/>
  <c r="S338" i="18"/>
  <c r="AB338" i="18"/>
  <c r="S455" i="18"/>
  <c r="AB455" i="18"/>
  <c r="S170" i="18"/>
  <c r="AB170" i="18"/>
  <c r="S204" i="18"/>
  <c r="AB204" i="18"/>
  <c r="S184" i="18"/>
  <c r="AB184" i="18"/>
  <c r="S168" i="18"/>
  <c r="AB168" i="18"/>
  <c r="S370" i="18"/>
  <c r="AB370" i="18"/>
  <c r="S296" i="18"/>
  <c r="AB296" i="18"/>
  <c r="S501" i="18"/>
  <c r="AB501" i="18"/>
  <c r="S169" i="18"/>
  <c r="AB169" i="18"/>
  <c r="S508" i="18"/>
  <c r="AB508" i="18"/>
  <c r="S217" i="18"/>
  <c r="AB217" i="18"/>
  <c r="S318" i="18"/>
  <c r="AB318" i="18"/>
  <c r="S375" i="18"/>
  <c r="AB375" i="18"/>
  <c r="S389" i="18"/>
  <c r="AB389" i="18"/>
  <c r="S271" i="18"/>
  <c r="AB271" i="18"/>
  <c r="S243" i="18"/>
  <c r="AB243" i="18"/>
  <c r="S307" i="18"/>
  <c r="AB307" i="18"/>
  <c r="S477" i="18"/>
  <c r="AB477" i="18"/>
  <c r="S196" i="18"/>
  <c r="AB196" i="18"/>
  <c r="S523" i="18"/>
  <c r="AB523" i="18"/>
  <c r="AI523" i="18"/>
  <c r="AJ523" i="18"/>
  <c r="S348" i="18"/>
  <c r="AB348" i="18"/>
  <c r="S391" i="18"/>
  <c r="AB391" i="18"/>
  <c r="S416" i="18"/>
  <c r="AB416" i="18"/>
  <c r="S230" i="18"/>
  <c r="AB230" i="18"/>
  <c r="S388" i="18"/>
  <c r="AB388" i="18"/>
  <c r="S136" i="18"/>
  <c r="AB136" i="18"/>
  <c r="S484" i="18"/>
  <c r="AB484" i="18"/>
  <c r="S439" i="18"/>
  <c r="AB439" i="18"/>
  <c r="S276" i="18"/>
  <c r="AB276" i="18"/>
  <c r="S474" i="18"/>
  <c r="AB474" i="18"/>
  <c r="S521" i="18"/>
  <c r="AB521" i="18"/>
  <c r="S517" i="18"/>
  <c r="AB517" i="18"/>
  <c r="S470" i="18"/>
  <c r="AB470" i="18"/>
  <c r="S202" i="18"/>
  <c r="AB202" i="18"/>
  <c r="S528" i="18"/>
  <c r="AB528" i="18"/>
  <c r="S326" i="18"/>
  <c r="AB326" i="18"/>
  <c r="S445" i="18"/>
  <c r="AB445" i="18"/>
  <c r="S378" i="18"/>
  <c r="AB378" i="18"/>
  <c r="S339" i="18"/>
  <c r="AB339" i="18"/>
  <c r="AI339" i="18"/>
  <c r="AJ339" i="18"/>
  <c r="S412" i="18"/>
  <c r="AB412" i="18"/>
  <c r="S258" i="18"/>
  <c r="AB258" i="18"/>
  <c r="S158" i="18"/>
  <c r="AB158" i="18"/>
  <c r="S403" i="18"/>
  <c r="AB403" i="18"/>
  <c r="S137" i="18"/>
  <c r="AB137" i="18"/>
  <c r="S114" i="18"/>
  <c r="AB114" i="18"/>
  <c r="S272" i="18"/>
  <c r="AB272" i="18"/>
  <c r="S480" i="18"/>
  <c r="AB480" i="18"/>
  <c r="S280" i="18"/>
  <c r="AB280" i="18"/>
  <c r="S335" i="18"/>
  <c r="AB335" i="18"/>
  <c r="S426" i="18"/>
  <c r="AB426" i="18"/>
  <c r="S305" i="18"/>
  <c r="AB305" i="18"/>
  <c r="S489" i="18"/>
  <c r="AB489" i="18"/>
  <c r="S186" i="18"/>
  <c r="AB186" i="18"/>
  <c r="S166" i="18"/>
  <c r="AB166" i="18"/>
  <c r="S111" i="18"/>
  <c r="AB111" i="18"/>
  <c r="S281" i="18"/>
  <c r="AB281" i="18"/>
  <c r="S397" i="18"/>
  <c r="AB397" i="18"/>
  <c r="S228" i="18"/>
  <c r="AB228" i="18"/>
  <c r="S380" i="18"/>
  <c r="AB380" i="18"/>
  <c r="S313" i="18"/>
  <c r="AB313" i="18"/>
  <c r="S293" i="18"/>
  <c r="AB293" i="18"/>
  <c r="S524" i="18"/>
  <c r="AB524" i="18"/>
  <c r="S185" i="18"/>
  <c r="AB185" i="18"/>
  <c r="S124" i="18"/>
  <c r="AB124" i="18"/>
  <c r="S135" i="18"/>
  <c r="AB135" i="18"/>
  <c r="S207" i="18"/>
  <c r="AB207" i="18"/>
  <c r="S440" i="18"/>
  <c r="AB440" i="18"/>
  <c r="S386" i="18"/>
  <c r="AB386" i="18"/>
  <c r="S180" i="18"/>
  <c r="AB180" i="18"/>
  <c r="S242" i="18"/>
  <c r="AB242" i="18"/>
  <c r="S227" i="18"/>
  <c r="AB227" i="18"/>
  <c r="S498" i="18"/>
  <c r="AB498" i="18"/>
  <c r="S161" i="18"/>
  <c r="AB161" i="18"/>
  <c r="S211" i="18"/>
  <c r="AB211" i="18"/>
  <c r="AI211" i="18"/>
  <c r="AJ211" i="18"/>
  <c r="S149" i="18"/>
  <c r="AB149" i="18"/>
  <c r="S529" i="18"/>
  <c r="AB529" i="18"/>
  <c r="S113" i="18"/>
  <c r="AB113" i="18"/>
  <c r="S152" i="18"/>
  <c r="AB152" i="18"/>
  <c r="S376" i="18"/>
  <c r="AB376" i="18"/>
  <c r="AI376" i="18"/>
  <c r="AJ376" i="18"/>
  <c r="S494" i="18"/>
  <c r="AB494" i="18"/>
  <c r="S340" i="18"/>
  <c r="AB340" i="18"/>
  <c r="S251" i="18"/>
  <c r="AB251" i="18"/>
  <c r="S409" i="18"/>
  <c r="AB409" i="18"/>
  <c r="S165" i="18"/>
  <c r="AB165" i="18"/>
  <c r="S302" i="18"/>
  <c r="AB302" i="18"/>
  <c r="S324" i="18"/>
  <c r="AB324" i="18"/>
  <c r="S288" i="18"/>
  <c r="AB288" i="18"/>
  <c r="S372" i="18"/>
  <c r="AB372" i="18"/>
  <c r="S342" i="18"/>
  <c r="AB342" i="18"/>
  <c r="S231" i="18"/>
  <c r="AB231" i="18"/>
  <c r="S295" i="18"/>
  <c r="AB295" i="18"/>
  <c r="AI295" i="18"/>
  <c r="AJ295" i="18"/>
  <c r="S368" i="18"/>
  <c r="AB368" i="18"/>
  <c r="S356" i="18"/>
  <c r="AB356" i="18"/>
  <c r="AI356" i="18"/>
  <c r="AJ356" i="18"/>
  <c r="S520" i="18"/>
  <c r="AB520" i="18"/>
  <c r="S206" i="18"/>
  <c r="AB206" i="18"/>
  <c r="S266" i="18"/>
  <c r="AB266" i="18"/>
  <c r="S219" i="18"/>
  <c r="AB219" i="18"/>
  <c r="S195" i="18"/>
  <c r="AB195" i="18"/>
  <c r="S245" i="18"/>
  <c r="AB245" i="18"/>
  <c r="S516" i="18"/>
  <c r="AB516" i="18"/>
  <c r="S352" i="18"/>
  <c r="AB352" i="18"/>
  <c r="AI352" i="18"/>
  <c r="AJ352" i="18"/>
  <c r="S90" i="18"/>
  <c r="AB90" i="18"/>
  <c r="S309" i="18"/>
  <c r="AB309" i="18"/>
  <c r="S133" i="18"/>
  <c r="AB133" i="18"/>
  <c r="AI133" i="18"/>
  <c r="AJ133" i="18"/>
  <c r="S155" i="18"/>
  <c r="AB155" i="18"/>
  <c r="S431" i="18"/>
  <c r="AB431" i="18"/>
  <c r="S456" i="18"/>
  <c r="AB456" i="18"/>
  <c r="S451" i="18"/>
  <c r="AB451" i="18"/>
  <c r="S503" i="18"/>
  <c r="AB503" i="18"/>
  <c r="S212" i="18"/>
  <c r="AB212" i="18"/>
  <c r="S396" i="18"/>
  <c r="AB396" i="18"/>
  <c r="S362" i="18"/>
  <c r="AB362" i="18"/>
  <c r="S252" i="18"/>
  <c r="AB252" i="18"/>
  <c r="S511" i="18"/>
  <c r="AB511" i="18"/>
  <c r="S138" i="18"/>
  <c r="AB138" i="18"/>
  <c r="S354" i="18"/>
  <c r="AB354" i="18"/>
  <c r="S141" i="18"/>
  <c r="AB141" i="18"/>
  <c r="S447" i="18"/>
  <c r="AB447" i="18"/>
  <c r="S112" i="18"/>
  <c r="AB112" i="18"/>
  <c r="S466" i="18"/>
  <c r="AB466" i="18"/>
  <c r="S418" i="18"/>
  <c r="AB418" i="18"/>
  <c r="S392" i="18"/>
  <c r="AB392" i="18"/>
  <c r="S294" i="18"/>
  <c r="AB294" i="18"/>
  <c r="S461" i="18"/>
  <c r="AB461" i="18"/>
  <c r="S274" i="18"/>
  <c r="AB274" i="18"/>
  <c r="S148" i="18"/>
  <c r="AB148" i="18"/>
  <c r="S248" i="18"/>
  <c r="AB248" i="18"/>
  <c r="S233" i="18"/>
  <c r="AB233" i="18"/>
  <c r="S130" i="18"/>
  <c r="AB130" i="18"/>
  <c r="S491" i="18"/>
  <c r="AB491" i="18"/>
  <c r="S325" i="18"/>
  <c r="AB325" i="18"/>
  <c r="S244" i="18"/>
  <c r="AB244" i="18"/>
  <c r="S330" i="18"/>
  <c r="AB330" i="18"/>
  <c r="S437" i="18"/>
  <c r="AB437" i="18"/>
  <c r="S316" i="18"/>
  <c r="AB316" i="18"/>
  <c r="S194" i="18"/>
  <c r="AB194" i="18"/>
  <c r="S300" i="18"/>
  <c r="AB300" i="18"/>
  <c r="S203" i="18"/>
  <c r="AB203" i="18"/>
  <c r="S469" i="18"/>
  <c r="AB469" i="18"/>
  <c r="S328" i="18"/>
  <c r="AB328" i="18"/>
  <c r="S410" i="18"/>
  <c r="AB410" i="18"/>
  <c r="S515" i="18"/>
  <c r="AB515" i="18"/>
  <c r="S442" i="18"/>
  <c r="AB442" i="18"/>
  <c r="S104" i="18"/>
  <c r="AB104" i="18"/>
  <c r="S402" i="18"/>
  <c r="AB402" i="18"/>
  <c r="S522" i="18"/>
  <c r="AB522" i="18"/>
  <c r="S234" i="18"/>
  <c r="AB234" i="18"/>
  <c r="S153" i="18"/>
  <c r="AB153" i="18"/>
  <c r="S159" i="18"/>
  <c r="AB159" i="18"/>
  <c r="AI159" i="18"/>
  <c r="AJ159" i="18"/>
  <c r="S192" i="18"/>
  <c r="AB192" i="18"/>
  <c r="S355" i="18"/>
  <c r="AB355" i="18"/>
  <c r="S286" i="18"/>
  <c r="AB286" i="18"/>
  <c r="S270" i="18"/>
  <c r="AB270" i="18"/>
  <c r="S238" i="18"/>
  <c r="AB238" i="18"/>
  <c r="S191" i="18"/>
  <c r="AB191" i="18"/>
  <c r="S261" i="18"/>
  <c r="AB261" i="18"/>
  <c r="S140" i="18"/>
  <c r="AB140" i="18"/>
  <c r="S312" i="18"/>
  <c r="AB312" i="18"/>
  <c r="S82" i="18"/>
  <c r="AB82" i="18"/>
  <c r="S105" i="18"/>
  <c r="AB105" i="18"/>
  <c r="S490" i="18"/>
  <c r="AB490" i="18"/>
  <c r="AI490" i="18"/>
  <c r="AJ490" i="18"/>
  <c r="S83" i="18"/>
  <c r="AB83" i="18"/>
  <c r="S125" i="18"/>
  <c r="AB125" i="18"/>
  <c r="S371" i="18"/>
  <c r="AB371" i="18"/>
  <c r="S399" i="18"/>
  <c r="AB399" i="18"/>
  <c r="S81" i="18"/>
  <c r="AB81" i="18"/>
  <c r="S493" i="18"/>
  <c r="AB493" i="18"/>
  <c r="S289" i="18"/>
  <c r="AB289" i="18"/>
  <c r="S512" i="18"/>
  <c r="AB512" i="18"/>
  <c r="AI512" i="18"/>
  <c r="AJ512" i="18"/>
  <c r="S487" i="18"/>
  <c r="AB487" i="18"/>
  <c r="AI487" i="18"/>
  <c r="AJ487" i="18"/>
  <c r="S221" i="18"/>
  <c r="AB221" i="18"/>
  <c r="S128" i="18"/>
  <c r="AB128" i="18"/>
  <c r="S496" i="18"/>
  <c r="AB496" i="18"/>
  <c r="AI496" i="18"/>
  <c r="AJ496" i="18"/>
  <c r="S199" i="18"/>
  <c r="AB199" i="18"/>
  <c r="S116" i="18"/>
  <c r="AB116" i="18"/>
  <c r="S404" i="18"/>
  <c r="AB404" i="18"/>
  <c r="S357" i="18"/>
  <c r="AB357" i="18"/>
  <c r="S458" i="18"/>
  <c r="AB458" i="18"/>
  <c r="S527" i="18"/>
  <c r="AB527" i="18"/>
  <c r="S215" i="18"/>
  <c r="AB215" i="18"/>
  <c r="S472" i="18"/>
  <c r="AB472" i="18"/>
  <c r="S92" i="18"/>
  <c r="AB92" i="18"/>
  <c r="S131" i="18"/>
  <c r="AB131" i="18"/>
  <c r="S446" i="18"/>
  <c r="AB446" i="18"/>
  <c r="S174" i="18"/>
  <c r="AB174" i="18"/>
  <c r="S224" i="18"/>
  <c r="AB224" i="18"/>
  <c r="S353" i="18"/>
  <c r="AB353" i="18"/>
  <c r="S465" i="18"/>
  <c r="AB465" i="18"/>
  <c r="S232" i="18"/>
  <c r="AB232" i="18"/>
  <c r="S123" i="18"/>
  <c r="AB123" i="18"/>
  <c r="S253" i="18"/>
  <c r="AB253" i="18"/>
  <c r="S189" i="18"/>
  <c r="AB189" i="18"/>
  <c r="S450" i="18"/>
  <c r="AB450" i="18"/>
  <c r="S89" i="18"/>
  <c r="AB89" i="18"/>
  <c r="S87" i="18"/>
  <c r="AB87" i="18"/>
  <c r="S369" i="18"/>
  <c r="AB369" i="18"/>
  <c r="S429" i="18"/>
  <c r="AB429" i="18"/>
  <c r="S259" i="18"/>
  <c r="AB259" i="18"/>
  <c r="S507" i="18"/>
  <c r="AB507" i="18"/>
  <c r="AI507" i="18"/>
  <c r="AJ507" i="18"/>
  <c r="S405" i="18"/>
  <c r="AB405" i="18"/>
  <c r="S146" i="18"/>
  <c r="AB146" i="18"/>
  <c r="S510" i="18"/>
  <c r="AB510" i="18"/>
  <c r="S235" i="18"/>
  <c r="AB235" i="18"/>
  <c r="S190" i="18"/>
  <c r="AB190" i="18"/>
  <c r="S460" i="18"/>
  <c r="AB460" i="18"/>
  <c r="S444" i="18"/>
  <c r="AB444" i="18"/>
  <c r="S205" i="18"/>
  <c r="AB205" i="18"/>
  <c r="S297" i="18"/>
  <c r="AB297" i="18"/>
  <c r="S273" i="18"/>
  <c r="AB273" i="18"/>
  <c r="S406" i="18"/>
  <c r="AB406" i="18"/>
  <c r="S246" i="18"/>
  <c r="AB246" i="18"/>
  <c r="S476" i="18"/>
  <c r="AB476" i="18"/>
  <c r="S183" i="18"/>
  <c r="AB183" i="18"/>
  <c r="S143" i="18"/>
  <c r="AB143" i="18"/>
  <c r="AI143" i="18"/>
  <c r="AJ143" i="18"/>
  <c r="S142" i="18"/>
  <c r="AB142" i="18"/>
  <c r="S80" i="18"/>
  <c r="AB80" i="18"/>
  <c r="S214" i="18"/>
  <c r="AB214" i="18"/>
  <c r="S486" i="18"/>
  <c r="AB486" i="18"/>
  <c r="S275" i="18"/>
  <c r="AB275" i="18"/>
  <c r="AI275" i="18"/>
  <c r="AJ275" i="18"/>
  <c r="S213" i="18"/>
  <c r="AB213" i="18"/>
  <c r="S157" i="18"/>
  <c r="AB157" i="18"/>
  <c r="S182" i="18"/>
  <c r="AB182" i="18"/>
  <c r="S449" i="18"/>
  <c r="AB449" i="18"/>
  <c r="S101" i="18"/>
  <c r="AB101" i="18"/>
  <c r="S310" i="18"/>
  <c r="AB310" i="18"/>
  <c r="S283" i="18"/>
  <c r="AB283" i="18"/>
  <c r="S250" i="18"/>
  <c r="AB250" i="18"/>
  <c r="S173" i="18"/>
  <c r="AB173" i="18"/>
  <c r="S347" i="18"/>
  <c r="AB347" i="18"/>
  <c r="S413" i="18"/>
  <c r="AB413" i="18"/>
  <c r="S485" i="18"/>
  <c r="AB485" i="18"/>
  <c r="S425" i="18"/>
  <c r="AB425" i="18"/>
  <c r="S287" i="18"/>
  <c r="AB287" i="18"/>
  <c r="S176" i="18"/>
  <c r="AB176" i="18"/>
  <c r="AI176" i="18"/>
  <c r="AJ176" i="18"/>
  <c r="S254" i="18"/>
  <c r="AB254" i="18"/>
  <c r="AI254" i="18"/>
  <c r="AJ254" i="18"/>
  <c r="S443" i="18"/>
  <c r="AB443" i="18"/>
  <c r="S479" i="18"/>
  <c r="AB479" i="18"/>
  <c r="S241" i="18"/>
  <c r="AB241" i="18"/>
  <c r="S400" i="18"/>
  <c r="AB400" i="18"/>
  <c r="S181" i="18"/>
  <c r="AB181" i="18"/>
  <c r="S162" i="18"/>
  <c r="AB162" i="18"/>
  <c r="AI162" i="18"/>
  <c r="AJ162" i="18"/>
  <c r="S85" i="18"/>
  <c r="AB85" i="18"/>
  <c r="S260" i="18"/>
  <c r="AB260" i="18"/>
  <c r="S299" i="18"/>
  <c r="AB299" i="18"/>
  <c r="S103" i="18"/>
  <c r="AB103" i="18"/>
  <c r="S249" i="18"/>
  <c r="AB249" i="18"/>
  <c r="S422" i="18"/>
  <c r="AB422" i="18"/>
  <c r="S327" i="18"/>
  <c r="AB327" i="18"/>
  <c r="S320" i="18"/>
  <c r="AB320" i="18"/>
  <c r="S381" i="18"/>
  <c r="AB381" i="18"/>
  <c r="S197" i="18"/>
  <c r="AB197" i="18"/>
  <c r="S505" i="18"/>
  <c r="AB505" i="18"/>
  <c r="S337" i="18"/>
  <c r="AB337" i="18"/>
  <c r="S332" i="18"/>
  <c r="AB332" i="18"/>
  <c r="S175" i="18"/>
  <c r="AB175" i="18"/>
  <c r="S351" i="18"/>
  <c r="AB351" i="18"/>
  <c r="S188" i="18"/>
  <c r="AB188" i="18"/>
  <c r="S277" i="18"/>
  <c r="AB277" i="18"/>
  <c r="S301" i="18"/>
  <c r="AB301" i="18"/>
  <c r="S208" i="18"/>
  <c r="AB208" i="18"/>
  <c r="S139" i="18"/>
  <c r="AB139" i="18"/>
  <c r="S314" i="18"/>
  <c r="AB314" i="18"/>
  <c r="S382" i="18"/>
  <c r="AB382" i="18"/>
  <c r="S500" i="18"/>
  <c r="AB500" i="18"/>
  <c r="S497" i="18"/>
  <c r="AB497" i="18"/>
  <c r="S411" i="18"/>
  <c r="AB411" i="18"/>
  <c r="S317" i="18"/>
  <c r="AB317" i="18"/>
  <c r="S359" i="18"/>
  <c r="AB359" i="18"/>
  <c r="S279" i="18"/>
  <c r="AB279" i="18"/>
  <c r="S459" i="18"/>
  <c r="AB459" i="18"/>
  <c r="S377" i="18"/>
  <c r="AB377" i="18"/>
  <c r="S94" i="18"/>
  <c r="AB94" i="18"/>
  <c r="S322" i="18"/>
  <c r="AB322" i="18"/>
  <c r="S329" i="18"/>
  <c r="AB329" i="18"/>
  <c r="S506" i="18"/>
  <c r="AB506" i="18"/>
  <c r="S453" i="18"/>
  <c r="AB453" i="18"/>
  <c r="S482" i="18"/>
  <c r="AB482" i="18"/>
  <c r="AI482" i="18"/>
  <c r="AJ482" i="18"/>
  <c r="S163" i="18"/>
  <c r="AB163" i="18"/>
  <c r="S99" i="18"/>
  <c r="AB99" i="18"/>
  <c r="S441" i="18"/>
  <c r="AB441" i="18"/>
  <c r="S463" i="18"/>
  <c r="AB463" i="18"/>
  <c r="S164" i="18"/>
  <c r="AB164" i="18"/>
  <c r="S331" i="18"/>
  <c r="AB331" i="18"/>
  <c r="S226" i="18"/>
  <c r="AB226" i="18"/>
  <c r="S120" i="18"/>
  <c r="AB120" i="18"/>
  <c r="S106" i="18"/>
  <c r="AB106" i="18"/>
  <c r="S151" i="18"/>
  <c r="AB151" i="18"/>
  <c r="S223" i="18"/>
  <c r="AB223" i="18"/>
  <c r="S333" i="18"/>
  <c r="AB333" i="18"/>
  <c r="S109" i="18"/>
  <c r="AB109" i="18"/>
  <c r="S408" i="18"/>
  <c r="AB408" i="18"/>
  <c r="S298" i="18"/>
  <c r="AB298" i="18"/>
  <c r="S346" i="18"/>
  <c r="AB346" i="18"/>
  <c r="S304" i="18"/>
  <c r="AB304" i="18"/>
  <c r="S134" i="18"/>
  <c r="AB134" i="18"/>
  <c r="S407" i="18"/>
  <c r="AB407" i="18"/>
  <c r="S145" i="18"/>
  <c r="AB145" i="18"/>
  <c r="S278" i="18"/>
  <c r="AB278" i="18"/>
  <c r="S415" i="18"/>
  <c r="AB415" i="18"/>
  <c r="S358" i="18"/>
  <c r="AB358" i="18"/>
  <c r="S452" i="18"/>
  <c r="AB452" i="18"/>
  <c r="S334" i="18"/>
  <c r="AB334" i="18"/>
  <c r="S93" i="18"/>
  <c r="AB93" i="18"/>
  <c r="S122" i="18"/>
  <c r="AB122" i="18"/>
  <c r="S361" i="18"/>
  <c r="AB361" i="18"/>
  <c r="S374" i="18"/>
  <c r="AB374" i="18"/>
  <c r="S284" i="18"/>
  <c r="AB284" i="18"/>
  <c r="S179" i="18"/>
  <c r="AB179" i="18"/>
  <c r="S126" i="18"/>
  <c r="AB126" i="18"/>
  <c r="S267" i="18"/>
  <c r="AB267" i="18"/>
  <c r="S417" i="18"/>
  <c r="AB417" i="18"/>
  <c r="S435" i="18"/>
  <c r="AB435" i="18"/>
  <c r="S464" i="18"/>
  <c r="AB464" i="18"/>
  <c r="S127" i="18"/>
  <c r="AB127" i="18"/>
  <c r="S350" i="18"/>
  <c r="AB350" i="18"/>
  <c r="S344" i="18"/>
  <c r="AB344" i="18"/>
  <c r="AI344" i="18"/>
  <c r="AJ344" i="18"/>
  <c r="S239" i="18"/>
  <c r="AB239" i="18"/>
  <c r="S150" i="18"/>
  <c r="AB150" i="18"/>
  <c r="S269" i="18"/>
  <c r="AB269" i="18"/>
  <c r="S475" i="18"/>
  <c r="AB475" i="18"/>
  <c r="S345" i="18"/>
  <c r="AB345" i="18"/>
  <c r="S255" i="18"/>
  <c r="AB255" i="18"/>
  <c r="S360" i="18"/>
  <c r="AB360" i="18"/>
  <c r="S319" i="18"/>
  <c r="AB319" i="18"/>
  <c r="S88" i="18"/>
  <c r="AB88" i="18"/>
  <c r="S237" i="18"/>
  <c r="AB237" i="18"/>
  <c r="S395" i="18"/>
  <c r="AB395" i="18"/>
  <c r="S178" i="18"/>
  <c r="AB178" i="18"/>
  <c r="AI80" i="18"/>
  <c r="AJ80" i="18"/>
  <c r="S495" i="18"/>
  <c r="AB495" i="18"/>
  <c r="S467" i="18"/>
  <c r="AB467" i="18"/>
  <c r="S430" i="18"/>
  <c r="AB430" i="18"/>
  <c r="S436" i="18"/>
  <c r="AB436" i="18"/>
  <c r="S343" i="18"/>
  <c r="AB343" i="18"/>
  <c r="S513" i="18"/>
  <c r="AB513" i="18"/>
  <c r="S428" i="18"/>
  <c r="AB428" i="18"/>
  <c r="S427" i="18"/>
  <c r="AB427" i="18"/>
  <c r="S216" i="18"/>
  <c r="AB216" i="18"/>
  <c r="S433" i="18"/>
  <c r="AB433" i="18"/>
  <c r="S154" i="18"/>
  <c r="AB154" i="18"/>
  <c r="S379" i="18"/>
  <c r="AB379" i="18"/>
  <c r="S364" i="18"/>
  <c r="AB364" i="18"/>
  <c r="S373" i="18"/>
  <c r="AB373" i="18"/>
  <c r="S247" i="18"/>
  <c r="AB247" i="18"/>
  <c r="S401" i="18"/>
  <c r="AB401" i="18"/>
  <c r="S119" i="18"/>
  <c r="AB119" i="18"/>
  <c r="S262" i="18"/>
  <c r="AB262" i="18"/>
  <c r="S91" i="18"/>
  <c r="AB91" i="18"/>
  <c r="S419" i="18"/>
  <c r="AB419" i="18"/>
  <c r="S525" i="18"/>
  <c r="AB525" i="18"/>
  <c r="S471" i="18"/>
  <c r="AB471" i="18"/>
  <c r="S366" i="18"/>
  <c r="AB366" i="18"/>
  <c r="S218" i="18"/>
  <c r="AB218" i="18"/>
  <c r="S236" i="18"/>
  <c r="AB236" i="18"/>
  <c r="S187" i="18"/>
  <c r="AB187" i="18"/>
  <c r="S132" i="18"/>
  <c r="AB132" i="18"/>
  <c r="S434" i="18"/>
  <c r="AB434" i="18"/>
  <c r="S315" i="18"/>
  <c r="S79" i="18"/>
  <c r="AB79" i="18"/>
  <c r="S421" i="18"/>
  <c r="AB421" i="18"/>
  <c r="S478" i="18"/>
  <c r="AB478" i="18"/>
  <c r="S147" i="18"/>
  <c r="AB147" i="18"/>
  <c r="S311" i="18"/>
  <c r="AB311" i="18"/>
  <c r="S438" i="18"/>
  <c r="AB438" i="18"/>
  <c r="S102" i="18"/>
  <c r="AB102" i="18"/>
  <c r="S306" i="18"/>
  <c r="AB306" i="18"/>
  <c r="S263" i="18"/>
  <c r="AB263" i="18"/>
  <c r="S483" i="18"/>
  <c r="AB483" i="18"/>
  <c r="S291" i="18"/>
  <c r="AB291" i="18"/>
  <c r="S509" i="18"/>
  <c r="AB509" i="18"/>
  <c r="S420" i="18"/>
  <c r="AB420" i="18"/>
  <c r="S167" i="18"/>
  <c r="AB167" i="18"/>
  <c r="S398" i="18"/>
  <c r="AB398" i="18"/>
  <c r="S129" i="18"/>
  <c r="AB129" i="18"/>
  <c r="S98" i="18"/>
  <c r="AB98" i="18"/>
  <c r="S519" i="18"/>
  <c r="AB519" i="18"/>
  <c r="S110" i="18"/>
  <c r="AB110" i="18"/>
  <c r="S424" i="18"/>
  <c r="AB424" i="18"/>
  <c r="S144" i="18"/>
  <c r="AB144" i="18"/>
  <c r="S454" i="18"/>
  <c r="AB454" i="18"/>
  <c r="S292" i="18"/>
  <c r="AB292" i="18"/>
  <c r="S349" i="18"/>
  <c r="AB349" i="18"/>
  <c r="S210" i="18"/>
  <c r="AB210" i="18"/>
  <c r="S97" i="18"/>
  <c r="AB97" i="18"/>
  <c r="S448" i="18"/>
  <c r="AB448" i="18"/>
  <c r="S240" i="18"/>
  <c r="AB240" i="18"/>
  <c r="S518" i="18"/>
  <c r="AB518" i="18"/>
  <c r="S121" i="18"/>
  <c r="AB121" i="18"/>
  <c r="S264" i="18"/>
  <c r="AB264" i="18"/>
  <c r="S177" i="18"/>
  <c r="AB177" i="18"/>
  <c r="AI177" i="18"/>
  <c r="AJ177" i="18"/>
  <c r="S108" i="18"/>
  <c r="AB108" i="18"/>
  <c r="S504" i="18"/>
  <c r="AB504" i="18"/>
  <c r="S499" i="18"/>
  <c r="AB499" i="18"/>
  <c r="S502" i="18"/>
  <c r="AB502" i="18"/>
  <c r="S462" i="18"/>
  <c r="AB462" i="18"/>
  <c r="S488" i="18"/>
  <c r="AB488" i="18"/>
  <c r="S285" i="18"/>
  <c r="AB285" i="18"/>
  <c r="S365" i="18"/>
  <c r="AB365" i="18"/>
  <c r="S423" i="18"/>
  <c r="AB423" i="18"/>
  <c r="S385" i="18"/>
  <c r="AB385" i="18"/>
  <c r="S387" i="18"/>
  <c r="AB387" i="18"/>
  <c r="S481" i="18"/>
  <c r="AB481" i="18"/>
  <c r="S323" i="18"/>
  <c r="AB323" i="18"/>
  <c r="S393" i="18"/>
  <c r="AB393" i="18"/>
  <c r="S394" i="18"/>
  <c r="AB394" i="18"/>
  <c r="S156" i="18"/>
  <c r="AB156" i="18"/>
  <c r="S457" i="18"/>
  <c r="AB457" i="18"/>
  <c r="S290" i="18"/>
  <c r="AB290" i="18"/>
  <c r="AI492" i="18"/>
  <c r="AJ492" i="18"/>
  <c r="AI318" i="18"/>
  <c r="AJ318" i="18"/>
  <c r="AI145" i="18"/>
  <c r="AJ145" i="18"/>
  <c r="AI204" i="18"/>
  <c r="AJ204" i="18"/>
  <c r="D66" i="18"/>
  <c r="D64" i="18"/>
  <c r="D62" i="18"/>
  <c r="O476" i="18"/>
  <c r="O81" i="18"/>
  <c r="R313" i="18"/>
  <c r="AA313" i="18"/>
  <c r="R287" i="18"/>
  <c r="AA287" i="18"/>
  <c r="R493" i="18"/>
  <c r="AA493" i="18"/>
  <c r="R510" i="18"/>
  <c r="AA510" i="18"/>
  <c r="R125" i="18"/>
  <c r="AA125" i="18"/>
  <c r="R180" i="18"/>
  <c r="AA180" i="18"/>
  <c r="R162" i="18"/>
  <c r="AA162" i="18"/>
  <c r="R208" i="18"/>
  <c r="AA208" i="18"/>
  <c r="R347" i="18"/>
  <c r="AA347" i="18"/>
  <c r="R432" i="18"/>
  <c r="AA432" i="18"/>
  <c r="R229" i="18"/>
  <c r="AA229" i="18"/>
  <c r="R524" i="18"/>
  <c r="AA524" i="18"/>
  <c r="R410" i="18"/>
  <c r="AA410" i="18"/>
  <c r="R476" i="18"/>
  <c r="AA476" i="18"/>
  <c r="R244" i="18"/>
  <c r="AA244" i="18"/>
  <c r="R95" i="18"/>
  <c r="AA95" i="18"/>
  <c r="R167" i="18"/>
  <c r="AA167" i="18"/>
  <c r="R413" i="18"/>
  <c r="AA413" i="18"/>
  <c r="R259" i="18"/>
  <c r="AA259" i="18"/>
  <c r="R192" i="18"/>
  <c r="AA192" i="18"/>
  <c r="R501" i="18"/>
  <c r="AA501" i="18"/>
  <c r="R86" i="18"/>
  <c r="AA86" i="18"/>
  <c r="AA68" i="18"/>
  <c r="F29" i="18"/>
  <c r="R224" i="18"/>
  <c r="AA224" i="18"/>
  <c r="R157" i="18"/>
  <c r="AA157" i="18"/>
  <c r="R468" i="18"/>
  <c r="AA468" i="18"/>
  <c r="R486" i="18"/>
  <c r="AA486" i="18"/>
  <c r="R100" i="18"/>
  <c r="AA100" i="18"/>
  <c r="R279" i="18"/>
  <c r="AA279" i="18"/>
  <c r="R498" i="18"/>
  <c r="AA498" i="18"/>
  <c r="AI225" i="18"/>
  <c r="AJ225" i="18"/>
  <c r="R215" i="18"/>
  <c r="AA215" i="18"/>
  <c r="R156" i="18"/>
  <c r="AA156" i="18"/>
  <c r="R168" i="18"/>
  <c r="AA168" i="18"/>
  <c r="R346" i="18"/>
  <c r="AA346" i="18"/>
  <c r="R370" i="18"/>
  <c r="AA370" i="18"/>
  <c r="R367" i="18"/>
  <c r="AA367" i="18"/>
  <c r="AI98" i="18"/>
  <c r="AJ98" i="18"/>
  <c r="R461" i="18"/>
  <c r="AA461" i="18"/>
  <c r="R513" i="18"/>
  <c r="AA513" i="18"/>
  <c r="R479" i="18"/>
  <c r="AA479" i="18"/>
  <c r="R363" i="18"/>
  <c r="AA363" i="18"/>
  <c r="R146" i="18"/>
  <c r="AA146" i="18"/>
  <c r="R449" i="18"/>
  <c r="AA449" i="18"/>
  <c r="R213" i="18"/>
  <c r="AA213" i="18"/>
  <c r="R235" i="18"/>
  <c r="AA235" i="18"/>
  <c r="R389" i="18"/>
  <c r="AA389" i="18"/>
  <c r="R245" i="18"/>
  <c r="AA245" i="18"/>
  <c r="R108" i="18"/>
  <c r="AA108" i="18"/>
  <c r="R222" i="18"/>
  <c r="AA222" i="18"/>
  <c r="R188" i="18"/>
  <c r="AA188" i="18"/>
  <c r="R470" i="18"/>
  <c r="AA470" i="18"/>
  <c r="R299" i="18"/>
  <c r="AA299" i="18"/>
  <c r="R520" i="18"/>
  <c r="AA520" i="18"/>
  <c r="R202" i="18"/>
  <c r="AA202" i="18"/>
  <c r="R394" i="18"/>
  <c r="AA394" i="18"/>
  <c r="R371" i="18"/>
  <c r="AA371" i="18"/>
  <c r="R396" i="18"/>
  <c r="AA396" i="18"/>
  <c r="R446" i="18"/>
  <c r="AA446" i="18"/>
  <c r="R399" i="18"/>
  <c r="AA399" i="18"/>
  <c r="R219" i="18"/>
  <c r="AA219" i="18"/>
  <c r="R426" i="18"/>
  <c r="AA426" i="18"/>
  <c r="R230" i="18"/>
  <c r="AA230" i="18"/>
  <c r="R388" i="18"/>
  <c r="AA388" i="18"/>
  <c r="R191" i="18"/>
  <c r="AA191" i="18"/>
  <c r="R319" i="18"/>
  <c r="AA319" i="18"/>
  <c r="R82" i="18"/>
  <c r="AA82" i="18"/>
  <c r="R248" i="18"/>
  <c r="AA248" i="18"/>
  <c r="R217" i="18"/>
  <c r="AA217" i="18"/>
  <c r="R172" i="18"/>
  <c r="AA172" i="18"/>
  <c r="R112" i="18"/>
  <c r="AA112" i="18"/>
  <c r="R348" i="18"/>
  <c r="AA348" i="18"/>
  <c r="R155" i="18"/>
  <c r="AA155" i="18"/>
  <c r="R425" i="18"/>
  <c r="AA425" i="18"/>
  <c r="E81" i="18"/>
  <c r="AI460" i="18"/>
  <c r="AJ460" i="18"/>
  <c r="R431" i="18"/>
  <c r="AA431" i="18"/>
  <c r="R273" i="18"/>
  <c r="AA273" i="18"/>
  <c r="R294" i="18"/>
  <c r="AA294" i="18"/>
  <c r="R326" i="18"/>
  <c r="AA326" i="18"/>
  <c r="R483" i="18"/>
  <c r="AA483" i="18"/>
  <c r="R400" i="18"/>
  <c r="AA400" i="18"/>
  <c r="R243" i="18"/>
  <c r="AA243" i="18"/>
  <c r="AI528" i="18"/>
  <c r="AJ528" i="18"/>
  <c r="R360" i="18"/>
  <c r="AA360" i="18"/>
  <c r="R412" i="18"/>
  <c r="AA412" i="18"/>
  <c r="R144" i="18"/>
  <c r="AA144" i="18"/>
  <c r="R332" i="18"/>
  <c r="AA332" i="18"/>
  <c r="AA69" i="18"/>
  <c r="F30" i="18"/>
  <c r="R503" i="18"/>
  <c r="AA503" i="18"/>
  <c r="R260" i="18"/>
  <c r="AA260" i="18"/>
  <c r="R506" i="18"/>
  <c r="AA506" i="18"/>
  <c r="R199" i="18"/>
  <c r="AA199" i="18"/>
  <c r="AI317" i="18"/>
  <c r="AJ317" i="18"/>
  <c r="R342" i="18"/>
  <c r="AA342" i="18"/>
  <c r="R142" i="18"/>
  <c r="AA142" i="18"/>
  <c r="R207" i="18"/>
  <c r="AA207" i="18"/>
  <c r="R511" i="18"/>
  <c r="AA511" i="18"/>
  <c r="R377" i="18"/>
  <c r="AA377" i="18"/>
  <c r="R123" i="18"/>
  <c r="AA123" i="18"/>
  <c r="R269" i="18"/>
  <c r="AA269" i="18"/>
  <c r="R375" i="18"/>
  <c r="AA375" i="18"/>
  <c r="R307" i="18"/>
  <c r="AA307" i="18"/>
  <c r="R390" i="18"/>
  <c r="AA390" i="18"/>
  <c r="R438" i="18"/>
  <c r="AA438" i="18"/>
  <c r="R380" i="18"/>
  <c r="AA380" i="18"/>
  <c r="R444" i="18"/>
  <c r="AA444" i="18"/>
  <c r="R458" i="18"/>
  <c r="AA458" i="18"/>
  <c r="R445" i="18"/>
  <c r="AA445" i="18"/>
  <c r="R183" i="18"/>
  <c r="AA183" i="18"/>
  <c r="R169" i="18"/>
  <c r="AA169" i="18"/>
  <c r="R84" i="18"/>
  <c r="AA84" i="18"/>
  <c r="R421" i="18"/>
  <c r="AA421" i="18"/>
  <c r="R519" i="18"/>
  <c r="AA519" i="18"/>
  <c r="R341" i="18"/>
  <c r="AA341" i="18"/>
  <c r="R118" i="18"/>
  <c r="AA118" i="18"/>
  <c r="R257" i="18"/>
  <c r="AA257" i="18"/>
  <c r="R216" i="18"/>
  <c r="AA216" i="18"/>
  <c r="R130" i="18"/>
  <c r="AA130" i="18"/>
  <c r="R206" i="18"/>
  <c r="AA206" i="18"/>
  <c r="R272" i="18"/>
  <c r="AA272" i="18"/>
  <c r="R374" i="18"/>
  <c r="AA374" i="18"/>
  <c r="R137" i="18"/>
  <c r="AA137" i="18"/>
  <c r="AI433" i="18"/>
  <c r="AJ433" i="18"/>
  <c r="R97" i="18"/>
  <c r="AA97" i="18"/>
  <c r="R277" i="18"/>
  <c r="AA277" i="18"/>
  <c r="R163" i="18"/>
  <c r="AA163" i="18"/>
  <c r="R429" i="18"/>
  <c r="AA429" i="18"/>
  <c r="R462" i="18"/>
  <c r="AA462" i="18"/>
  <c r="R378" i="18"/>
  <c r="AA378" i="18"/>
  <c r="R148" i="18"/>
  <c r="AA148" i="18"/>
  <c r="Q241" i="18"/>
  <c r="Z241" i="18"/>
  <c r="Q195" i="18"/>
  <c r="Z195" i="18"/>
  <c r="Q172" i="18"/>
  <c r="Z172" i="18"/>
  <c r="Q278" i="18"/>
  <c r="Z278" i="18"/>
  <c r="Q191" i="18"/>
  <c r="Z191" i="18"/>
  <c r="Q196" i="18"/>
  <c r="Z196" i="18"/>
  <c r="Q289" i="18"/>
  <c r="Z289" i="18"/>
  <c r="Q253" i="18"/>
  <c r="Z253" i="18"/>
  <c r="Q210" i="18"/>
  <c r="Z210" i="18"/>
  <c r="Q141" i="18"/>
  <c r="Z141" i="18"/>
  <c r="Q102" i="18"/>
  <c r="Z102" i="18"/>
  <c r="Q271" i="18"/>
  <c r="Z271" i="18"/>
  <c r="Q93" i="18"/>
  <c r="Z93" i="18"/>
  <c r="Q109" i="18"/>
  <c r="Z109" i="18"/>
  <c r="AI109" i="18"/>
  <c r="AJ109" i="18"/>
  <c r="Q228" i="18"/>
  <c r="Z228" i="18"/>
  <c r="Q243" i="18"/>
  <c r="Z243" i="18"/>
  <c r="Q284" i="18"/>
  <c r="Z284" i="18"/>
  <c r="Q185" i="18"/>
  <c r="Z185" i="18"/>
  <c r="Q302" i="18"/>
  <c r="Z302" i="18"/>
  <c r="Q164" i="18"/>
  <c r="Z164" i="18"/>
  <c r="Q192" i="18"/>
  <c r="Z192" i="18"/>
  <c r="Q230" i="18"/>
  <c r="Z230" i="18"/>
  <c r="Q147" i="18"/>
  <c r="Z147" i="18"/>
  <c r="Q148" i="18"/>
  <c r="Z148" i="18"/>
  <c r="Q218" i="18"/>
  <c r="Z218" i="18"/>
  <c r="Q190" i="18"/>
  <c r="Z190" i="18"/>
  <c r="AI190" i="18"/>
  <c r="AJ190" i="18"/>
  <c r="Q121" i="18"/>
  <c r="Z121" i="18"/>
  <c r="Q222" i="18"/>
  <c r="Z222" i="18"/>
  <c r="Q126" i="18"/>
  <c r="Z126" i="18"/>
  <c r="Q97" i="18"/>
  <c r="Z97" i="18"/>
  <c r="Q212" i="18"/>
  <c r="Z212" i="18"/>
  <c r="Q124" i="18"/>
  <c r="Z124" i="18"/>
  <c r="Q239" i="18"/>
  <c r="Z239" i="18"/>
  <c r="Q233" i="18"/>
  <c r="Z233" i="18"/>
  <c r="Q201" i="18"/>
  <c r="Z201" i="18"/>
  <c r="Q168" i="18"/>
  <c r="Z168" i="18"/>
  <c r="Q276" i="18"/>
  <c r="Z276" i="18"/>
  <c r="Q105" i="18"/>
  <c r="Z105" i="18"/>
  <c r="AI105" i="18"/>
  <c r="AJ105" i="18"/>
  <c r="Q179" i="18"/>
  <c r="Z179" i="18"/>
  <c r="Q86" i="18"/>
  <c r="Z86" i="18"/>
  <c r="Q300" i="18"/>
  <c r="Z300" i="18"/>
  <c r="Q208" i="18"/>
  <c r="Z208" i="18"/>
  <c r="Q274" i="18"/>
  <c r="Z274" i="18"/>
  <c r="Q261" i="18"/>
  <c r="Z261" i="18"/>
  <c r="Q173" i="18"/>
  <c r="Z173" i="18"/>
  <c r="Q216" i="18"/>
  <c r="Z216" i="18"/>
  <c r="Q118" i="18"/>
  <c r="Z118" i="18"/>
  <c r="Q288" i="18"/>
  <c r="Z288" i="18"/>
  <c r="Q135" i="18"/>
  <c r="Z135" i="18"/>
  <c r="Q136" i="18"/>
  <c r="Z136" i="18"/>
  <c r="Q120" i="18"/>
  <c r="Z120" i="18"/>
  <c r="Q82" i="18"/>
  <c r="Z82" i="18"/>
  <c r="Q279" i="18"/>
  <c r="Z279" i="18"/>
  <c r="Q223" i="18"/>
  <c r="Z223" i="18"/>
  <c r="Q79" i="18"/>
  <c r="Z79" i="18"/>
  <c r="Q219" i="18"/>
  <c r="Z219" i="18"/>
  <c r="Q215" i="18"/>
  <c r="Z215" i="18"/>
  <c r="Q114" i="18"/>
  <c r="Z114" i="18"/>
  <c r="Q94" i="18"/>
  <c r="Z94" i="18"/>
  <c r="Q259" i="18"/>
  <c r="Z259" i="18"/>
  <c r="Q272" i="18"/>
  <c r="Z272" i="18"/>
  <c r="Q134" i="18"/>
  <c r="Z134" i="18"/>
  <c r="Q99" i="18"/>
  <c r="Z99" i="18"/>
  <c r="Q128" i="18"/>
  <c r="Z128" i="18"/>
  <c r="Q214" i="18"/>
  <c r="Z214" i="18"/>
  <c r="Q106" i="18"/>
  <c r="Z106" i="18"/>
  <c r="Q199" i="18"/>
  <c r="Z199" i="18"/>
  <c r="Q226" i="18"/>
  <c r="Z226" i="18"/>
  <c r="Q85" i="18"/>
  <c r="Z85" i="18"/>
  <c r="Q256" i="18"/>
  <c r="Z256" i="18"/>
  <c r="Q240" i="18"/>
  <c r="Z240" i="18"/>
  <c r="Q213" i="18"/>
  <c r="Z213" i="18"/>
  <c r="Q150" i="18"/>
  <c r="Z150" i="18"/>
  <c r="Q250" i="18"/>
  <c r="Z250" i="18"/>
  <c r="Q283" i="18"/>
  <c r="Z283" i="18"/>
  <c r="Q202" i="18"/>
  <c r="Z202" i="18"/>
  <c r="Q273" i="18"/>
  <c r="Z273" i="18"/>
  <c r="Q252" i="18"/>
  <c r="Z252" i="18"/>
  <c r="Q238" i="18"/>
  <c r="Z238" i="18"/>
  <c r="Q205" i="18"/>
  <c r="Z205" i="18"/>
  <c r="Q198" i="18"/>
  <c r="Z198" i="18"/>
  <c r="AI198" i="18"/>
  <c r="AJ198" i="18"/>
  <c r="Q131" i="18"/>
  <c r="Z131" i="18"/>
  <c r="AI131" i="18"/>
  <c r="AJ131" i="18"/>
  <c r="Q103" i="18"/>
  <c r="Z103" i="18"/>
  <c r="AI103" i="18"/>
  <c r="AJ103" i="18"/>
  <c r="Q293" i="18"/>
  <c r="Z293" i="18"/>
  <c r="Q292" i="18"/>
  <c r="Z292" i="18"/>
  <c r="Q224" i="18"/>
  <c r="Z224" i="18"/>
  <c r="Q181" i="18"/>
  <c r="Z181" i="18"/>
  <c r="Q174" i="18"/>
  <c r="Z174" i="18"/>
  <c r="Q249" i="18"/>
  <c r="Z249" i="18"/>
  <c r="AI249" i="18"/>
  <c r="AJ249" i="18"/>
  <c r="Q182" i="18"/>
  <c r="Z182" i="18"/>
  <c r="Q197" i="18"/>
  <c r="Z197" i="18"/>
  <c r="Q153" i="18"/>
  <c r="Z153" i="18"/>
  <c r="Q100" i="18"/>
  <c r="Z100" i="18"/>
  <c r="Q167" i="18"/>
  <c r="Z167" i="18"/>
  <c r="Q81" i="18"/>
  <c r="Z81" i="18"/>
  <c r="AI81" i="18"/>
  <c r="AJ81" i="18"/>
  <c r="Q123" i="18"/>
  <c r="Z123" i="18"/>
  <c r="AI123" i="18"/>
  <c r="AJ123" i="18"/>
  <c r="Q245" i="18"/>
  <c r="Z245" i="18"/>
  <c r="Q132" i="18"/>
  <c r="Z132" i="18"/>
  <c r="Q166" i="18"/>
  <c r="Z166" i="18"/>
  <c r="Q184" i="18"/>
  <c r="Z184" i="18"/>
  <c r="Q220" i="18"/>
  <c r="Z220" i="18"/>
  <c r="Q137" i="18"/>
  <c r="Z137" i="18"/>
  <c r="Q101" i="18"/>
  <c r="Z101" i="18"/>
  <c r="Q242" i="18"/>
  <c r="Z242" i="18"/>
  <c r="AI242" i="18"/>
  <c r="AJ242" i="18"/>
  <c r="Q142" i="18"/>
  <c r="Z142" i="18"/>
  <c r="Q251" i="18"/>
  <c r="Z251" i="18"/>
  <c r="Q194" i="18"/>
  <c r="Z194" i="18"/>
  <c r="Q96" i="18"/>
  <c r="Z96" i="18"/>
  <c r="Q266" i="18"/>
  <c r="Z266" i="18"/>
  <c r="Q304" i="18"/>
  <c r="Z304" i="18"/>
  <c r="Q178" i="18"/>
  <c r="Z178" i="18"/>
  <c r="Q156" i="18"/>
  <c r="Z156" i="18"/>
  <c r="Q158" i="18"/>
  <c r="Z158" i="18"/>
  <c r="Q138" i="18"/>
  <c r="Z138" i="18"/>
  <c r="Q161" i="18"/>
  <c r="Z161" i="18"/>
  <c r="Q189" i="18"/>
  <c r="Z189" i="18"/>
  <c r="Q193" i="18"/>
  <c r="Z193" i="18"/>
  <c r="Q287" i="18"/>
  <c r="Z287" i="18"/>
  <c r="Q255" i="18"/>
  <c r="Z255" i="18"/>
  <c r="Q116" i="18"/>
  <c r="Z116" i="18"/>
  <c r="Q170" i="18"/>
  <c r="Z170" i="18"/>
  <c r="Q286" i="18"/>
  <c r="Z286" i="18"/>
  <c r="Q84" i="18"/>
  <c r="Z84" i="18"/>
  <c r="Q165" i="18"/>
  <c r="Z165" i="18"/>
  <c r="Q236" i="18"/>
  <c r="Z236" i="18"/>
  <c r="AI236" i="18"/>
  <c r="AJ236" i="18"/>
  <c r="Q129" i="18"/>
  <c r="Z129" i="18"/>
  <c r="Q301" i="18"/>
  <c r="Z301" i="18"/>
  <c r="Q169" i="18"/>
  <c r="Z169" i="18"/>
  <c r="Q285" i="18"/>
  <c r="Z285" i="18"/>
  <c r="Q277" i="18"/>
  <c r="Z277" i="18"/>
  <c r="Q144" i="18"/>
  <c r="Z144" i="18"/>
  <c r="Q175" i="18"/>
  <c r="Z175" i="18"/>
  <c r="Q200" i="18"/>
  <c r="Z200" i="18"/>
  <c r="AI200" i="18"/>
  <c r="AJ200" i="18"/>
  <c r="Q247" i="18"/>
  <c r="Z247" i="18"/>
  <c r="Q265" i="18"/>
  <c r="Z265" i="18"/>
  <c r="Q267" i="18"/>
  <c r="Z267" i="18"/>
  <c r="Q119" i="18"/>
  <c r="Z119" i="18"/>
  <c r="Q104" i="18"/>
  <c r="Z104" i="18"/>
  <c r="AI104" i="18"/>
  <c r="AJ104" i="18"/>
  <c r="Q258" i="18"/>
  <c r="Z258" i="18"/>
  <c r="Q112" i="18"/>
  <c r="Z112" i="18"/>
  <c r="Q262" i="18"/>
  <c r="Z262" i="18"/>
  <c r="Q130" i="18"/>
  <c r="Z130" i="18"/>
  <c r="Q207" i="18"/>
  <c r="Z207" i="18"/>
  <c r="Q188" i="18"/>
  <c r="Z188" i="18"/>
  <c r="Q234" i="18"/>
  <c r="Z234" i="18"/>
  <c r="Q122" i="18"/>
  <c r="Z122" i="18"/>
  <c r="Q260" i="18"/>
  <c r="Z260" i="18"/>
  <c r="Q186" i="18"/>
  <c r="Z186" i="18"/>
  <c r="Q281" i="18"/>
  <c r="Z281" i="18"/>
  <c r="Q209" i="18"/>
  <c r="Z209" i="18"/>
  <c r="Q263" i="18"/>
  <c r="Z263" i="18"/>
  <c r="Q246" i="18"/>
  <c r="Z246" i="18"/>
  <c r="Q229" i="18"/>
  <c r="Z229" i="18"/>
  <c r="Q183" i="18"/>
  <c r="Z183" i="18"/>
  <c r="Q180" i="18"/>
  <c r="Z180" i="18"/>
  <c r="AI180" i="18"/>
  <c r="AJ180" i="18"/>
  <c r="Q160" i="18"/>
  <c r="Z160" i="18"/>
  <c r="Q157" i="18"/>
  <c r="Z157" i="18"/>
  <c r="Q291" i="18"/>
  <c r="Z291" i="18"/>
  <c r="Q187" i="18"/>
  <c r="Z187" i="18"/>
  <c r="Q155" i="18"/>
  <c r="Z155" i="18"/>
  <c r="Q127" i="18"/>
  <c r="Z127" i="18"/>
  <c r="Q462" i="18"/>
  <c r="Z462" i="18"/>
  <c r="Q405" i="18"/>
  <c r="Z405" i="18"/>
  <c r="Q435" i="18"/>
  <c r="Z435" i="18"/>
  <c r="Q484" i="18"/>
  <c r="Z484" i="18"/>
  <c r="Q377" i="18"/>
  <c r="Z377" i="18"/>
  <c r="Q508" i="18"/>
  <c r="Z508" i="18"/>
  <c r="AI508" i="18"/>
  <c r="AJ508" i="18"/>
  <c r="Q504" i="18"/>
  <c r="Z504" i="18"/>
  <c r="Q419" i="18"/>
  <c r="Z419" i="18"/>
  <c r="Q343" i="18"/>
  <c r="Z343" i="18"/>
  <c r="Q152" i="18"/>
  <c r="Z152" i="18"/>
  <c r="Q257" i="18"/>
  <c r="Z257" i="18"/>
  <c r="Q217" i="18"/>
  <c r="Z217" i="18"/>
  <c r="Q321" i="18"/>
  <c r="Z321" i="18"/>
  <c r="Q464" i="18"/>
  <c r="Z464" i="18"/>
  <c r="Q324" i="18"/>
  <c r="Z324" i="18"/>
  <c r="Q451" i="18"/>
  <c r="Z451" i="18"/>
  <c r="Q368" i="18"/>
  <c r="Z368" i="18"/>
  <c r="Q485" i="18"/>
  <c r="Z485" i="18"/>
  <c r="Q395" i="18"/>
  <c r="Z395" i="18"/>
  <c r="Q367" i="18"/>
  <c r="Z367" i="18"/>
  <c r="Q423" i="18"/>
  <c r="Z423" i="18"/>
  <c r="Q436" i="18"/>
  <c r="Z436" i="18"/>
  <c r="AI436" i="18"/>
  <c r="AJ436" i="18"/>
  <c r="Q203" i="18"/>
  <c r="Z203" i="18"/>
  <c r="Q491" i="18"/>
  <c r="Z491" i="18"/>
  <c r="Q529" i="18"/>
  <c r="Z529" i="18"/>
  <c r="Q366" i="18"/>
  <c r="Z366" i="18"/>
  <c r="Q422" i="18"/>
  <c r="Z422" i="18"/>
  <c r="Q396" i="18"/>
  <c r="Z396" i="18"/>
  <c r="Q355" i="18"/>
  <c r="Z355" i="18"/>
  <c r="Q398" i="18"/>
  <c r="Z398" i="18"/>
  <c r="AI398" i="18"/>
  <c r="AJ398" i="18"/>
  <c r="Q526" i="18"/>
  <c r="Z526" i="18"/>
  <c r="Q468" i="18"/>
  <c r="Z468" i="18"/>
  <c r="Q472" i="18"/>
  <c r="Z472" i="18"/>
  <c r="Q434" i="18"/>
  <c r="Z434" i="18"/>
  <c r="Q311" i="18"/>
  <c r="Z311" i="18"/>
  <c r="Q450" i="18"/>
  <c r="Z450" i="18"/>
  <c r="Q497" i="18"/>
  <c r="Z497" i="18"/>
  <c r="Q479" i="18"/>
  <c r="Z479" i="18"/>
  <c r="Q502" i="18"/>
  <c r="Z502" i="18"/>
  <c r="AI502" i="18"/>
  <c r="AJ502" i="18"/>
  <c r="Q426" i="18"/>
  <c r="Z426" i="18"/>
  <c r="Q415" i="18"/>
  <c r="Z415" i="18"/>
  <c r="Q335" i="18"/>
  <c r="Z335" i="18"/>
  <c r="Q503" i="18"/>
  <c r="Z503" i="18"/>
  <c r="Q362" i="18"/>
  <c r="Z362" i="18"/>
  <c r="Q431" i="18"/>
  <c r="Z431" i="18"/>
  <c r="Q332" i="18"/>
  <c r="Z332" i="18"/>
  <c r="Q413" i="18"/>
  <c r="Z413" i="18"/>
  <c r="Q342" i="18"/>
  <c r="Z342" i="18"/>
  <c r="Q473" i="18"/>
  <c r="Z473" i="18"/>
  <c r="AI473" i="18"/>
  <c r="AJ473" i="18"/>
  <c r="Q477" i="18"/>
  <c r="Z477" i="18"/>
  <c r="Q371" i="18"/>
  <c r="Z371" i="18"/>
  <c r="Q350" i="18"/>
  <c r="Z350" i="18"/>
  <c r="Q448" i="18"/>
  <c r="Z448" i="18"/>
  <c r="Q494" i="18"/>
  <c r="Z494" i="18"/>
  <c r="Q323" i="18"/>
  <c r="Z323" i="18"/>
  <c r="Q310" i="18"/>
  <c r="Z310" i="18"/>
  <c r="Q394" i="18"/>
  <c r="Z394" i="18"/>
  <c r="Q520" i="18"/>
  <c r="Z520" i="18"/>
  <c r="Q480" i="18"/>
  <c r="Z480" i="18"/>
  <c r="AI480" i="18"/>
  <c r="AJ480" i="18"/>
  <c r="Q421" i="18"/>
  <c r="Z421" i="18"/>
  <c r="AI421" i="18"/>
  <c r="AJ421" i="18"/>
  <c r="Q375" i="18"/>
  <c r="Z375" i="18"/>
  <c r="AI375" i="18"/>
  <c r="AJ375" i="18"/>
  <c r="Q331" i="18"/>
  <c r="Z331" i="18"/>
  <c r="Q316" i="18"/>
  <c r="Z316" i="18"/>
  <c r="Q446" i="18"/>
  <c r="Z446" i="18"/>
  <c r="Q437" i="18"/>
  <c r="Z437" i="18"/>
  <c r="Q408" i="18"/>
  <c r="Z408" i="18"/>
  <c r="Q439" i="18"/>
  <c r="Z439" i="18"/>
  <c r="Q354" i="18"/>
  <c r="Z354" i="18"/>
  <c r="Q372" i="18"/>
  <c r="Z372" i="18"/>
  <c r="Q391" i="18"/>
  <c r="Z391" i="18"/>
  <c r="Q420" i="18"/>
  <c r="Z420" i="18"/>
  <c r="Q393" i="18"/>
  <c r="Z393" i="18"/>
  <c r="Q351" i="18"/>
  <c r="Z351" i="18"/>
  <c r="Q315" i="18"/>
  <c r="Q382" i="18"/>
  <c r="Z382" i="18"/>
  <c r="Q513" i="18"/>
  <c r="Z513" i="18"/>
  <c r="Q430" i="18"/>
  <c r="Z430" i="18"/>
  <c r="Q475" i="18"/>
  <c r="Z475" i="18"/>
  <c r="AI475" i="18"/>
  <c r="AJ475" i="18"/>
  <c r="Q514" i="18"/>
  <c r="Z514" i="18"/>
  <c r="AI514" i="18"/>
  <c r="AJ514" i="18"/>
  <c r="Q403" i="18"/>
  <c r="Z403" i="18"/>
  <c r="Q519" i="18"/>
  <c r="Z519" i="18"/>
  <c r="Q312" i="18"/>
  <c r="Z312" i="18"/>
  <c r="AI312" i="18"/>
  <c r="AJ312" i="18"/>
  <c r="Q432" i="18"/>
  <c r="Z432" i="18"/>
  <c r="AI432" i="18"/>
  <c r="AJ432" i="18"/>
  <c r="Q441" i="18"/>
  <c r="Z441" i="18"/>
  <c r="Q467" i="18"/>
  <c r="Z467" i="18"/>
  <c r="Q466" i="18"/>
  <c r="Z466" i="18"/>
  <c r="Q424" i="18"/>
  <c r="Z424" i="18"/>
  <c r="Q346" i="18"/>
  <c r="Z346" i="18"/>
  <c r="Q363" i="18"/>
  <c r="Z363" i="18"/>
  <c r="Q429" i="18"/>
  <c r="Z429" i="18"/>
  <c r="Q414" i="18"/>
  <c r="Z414" i="18"/>
  <c r="Q469" i="18"/>
  <c r="Z469" i="18"/>
  <c r="Q330" i="18"/>
  <c r="Z330" i="18"/>
  <c r="Q457" i="18"/>
  <c r="Z457" i="18"/>
  <c r="Q524" i="18"/>
  <c r="Z524" i="18"/>
  <c r="Q314" i="18"/>
  <c r="Z314" i="18"/>
  <c r="Q306" i="18"/>
  <c r="Z306" i="18"/>
  <c r="Q463" i="18"/>
  <c r="Z463" i="18"/>
  <c r="Q334" i="18"/>
  <c r="Z334" i="18"/>
  <c r="Q465" i="18"/>
  <c r="Z465" i="18"/>
  <c r="AI465" i="18"/>
  <c r="AJ465" i="18"/>
  <c r="Q488" i="18"/>
  <c r="Z488" i="18"/>
  <c r="Q358" i="18"/>
  <c r="Z358" i="18"/>
  <c r="Q509" i="18"/>
  <c r="Z509" i="18"/>
  <c r="Q319" i="18"/>
  <c r="Z319" i="18"/>
  <c r="Q369" i="18"/>
  <c r="Z369" i="18"/>
  <c r="Q483" i="18"/>
  <c r="Z483" i="18"/>
  <c r="Q341" i="18"/>
  <c r="Z341" i="18"/>
  <c r="Q370" i="18"/>
  <c r="Z370" i="18"/>
  <c r="Q418" i="18"/>
  <c r="Z418" i="18"/>
  <c r="Q500" i="18"/>
  <c r="Z500" i="18"/>
  <c r="Q336" i="18"/>
  <c r="Z336" i="18"/>
  <c r="Q337" i="18"/>
  <c r="Z337" i="18"/>
  <c r="Q327" i="18"/>
  <c r="Z327" i="18"/>
  <c r="Q453" i="18"/>
  <c r="Z453" i="18"/>
  <c r="Q499" i="18"/>
  <c r="Z499" i="18"/>
  <c r="Q445" i="18"/>
  <c r="Z445" i="18"/>
  <c r="Q459" i="18"/>
  <c r="Z459" i="18"/>
  <c r="Q427" i="18"/>
  <c r="Z427" i="18"/>
  <c r="Q506" i="18"/>
  <c r="Z506" i="18"/>
  <c r="Q452" i="18"/>
  <c r="Z452" i="18"/>
  <c r="Q447" i="18"/>
  <c r="Z447" i="18"/>
  <c r="Q493" i="18"/>
  <c r="Z493" i="18"/>
  <c r="Q308" i="18"/>
  <c r="Z308" i="18"/>
  <c r="Q481" i="18"/>
  <c r="Z481" i="18"/>
  <c r="Q471" i="18"/>
  <c r="Z471" i="18"/>
  <c r="Q456" i="18"/>
  <c r="Z456" i="18"/>
  <c r="Q476" i="18"/>
  <c r="Z476" i="18"/>
  <c r="Q357" i="18"/>
  <c r="Z357" i="18"/>
  <c r="Q517" i="18"/>
  <c r="Z517" i="18"/>
  <c r="Q486" i="18"/>
  <c r="Z486" i="18"/>
  <c r="Q501" i="18"/>
  <c r="Z501" i="18"/>
  <c r="Q353" i="18"/>
  <c r="Z353" i="18"/>
  <c r="Q458" i="18"/>
  <c r="Z458" i="18"/>
  <c r="Q329" i="18"/>
  <c r="Z329" i="18"/>
  <c r="Q386" i="18"/>
  <c r="Z386" i="18"/>
  <c r="Q305" i="18"/>
  <c r="Z305" i="18"/>
  <c r="Q388" i="18"/>
  <c r="Z388" i="18"/>
  <c r="AI388" i="18"/>
  <c r="AJ388" i="18"/>
  <c r="Q338" i="18"/>
  <c r="Z338" i="18"/>
  <c r="Q404" i="18"/>
  <c r="Z404" i="18"/>
  <c r="Q322" i="18"/>
  <c r="Z322" i="18"/>
  <c r="Q444" i="18"/>
  <c r="Z444" i="18"/>
  <c r="Q411" i="18"/>
  <c r="Z411" i="18"/>
  <c r="Q328" i="18"/>
  <c r="Z328" i="18"/>
  <c r="Q385" i="18"/>
  <c r="Z385" i="18"/>
  <c r="Q380" i="18"/>
  <c r="Z380" i="18"/>
  <c r="Q373" i="18"/>
  <c r="Z373" i="18"/>
  <c r="Q364" i="18"/>
  <c r="Z364" i="18"/>
  <c r="AI364" i="18"/>
  <c r="AJ364" i="18"/>
  <c r="Q333" i="18"/>
  <c r="Z333" i="18"/>
  <c r="AI333" i="18"/>
  <c r="AJ333" i="18"/>
  <c r="Q381" i="18"/>
  <c r="Z381" i="18"/>
  <c r="Q313" i="18"/>
  <c r="Z313" i="18"/>
  <c r="Q474" i="18"/>
  <c r="Z474" i="18"/>
  <c r="Q525" i="18"/>
  <c r="Z525" i="18"/>
  <c r="Q443" i="18"/>
  <c r="Z443" i="18"/>
  <c r="Q309" i="18"/>
  <c r="Z309" i="18"/>
  <c r="Q399" i="18"/>
  <c r="Z399" i="18"/>
  <c r="Q470" i="18"/>
  <c r="Z470" i="18"/>
  <c r="Q521" i="18"/>
  <c r="Z521" i="18"/>
  <c r="Q374" i="18"/>
  <c r="Z374" i="18"/>
  <c r="Q383" i="18"/>
  <c r="Z383" i="18"/>
  <c r="AI383" i="18"/>
  <c r="AJ383" i="18"/>
  <c r="Q397" i="18"/>
  <c r="Z397" i="18"/>
  <c r="Q438" i="18"/>
  <c r="Z438" i="18"/>
  <c r="Q392" i="18"/>
  <c r="Z392" i="18"/>
  <c r="Q365" i="18"/>
  <c r="Z365" i="18"/>
  <c r="Q163" i="18"/>
  <c r="Z163" i="18"/>
  <c r="Q478" i="18"/>
  <c r="Z478" i="18"/>
  <c r="Q307" i="18"/>
  <c r="Z307" i="18"/>
  <c r="Q154" i="18"/>
  <c r="Z154" i="18"/>
  <c r="Q340" i="18"/>
  <c r="Z340" i="18"/>
  <c r="Q389" i="18"/>
  <c r="Z389" i="18"/>
  <c r="Q516" i="18"/>
  <c r="Z516" i="18"/>
  <c r="Q379" i="18"/>
  <c r="Z379" i="18"/>
  <c r="Q90" i="18"/>
  <c r="Z90" i="18"/>
  <c r="Q111" i="18"/>
  <c r="Z111" i="18"/>
  <c r="Q221" i="18"/>
  <c r="Z221" i="18"/>
  <c r="Q527" i="18"/>
  <c r="Z527" i="18"/>
  <c r="Q345" i="18"/>
  <c r="Z345" i="18"/>
  <c r="Q498" i="18"/>
  <c r="Z498" i="18"/>
  <c r="Q349" i="18"/>
  <c r="Z349" i="18"/>
  <c r="Q428" i="18"/>
  <c r="Z428" i="18"/>
  <c r="AI428" i="18"/>
  <c r="AJ428" i="18"/>
  <c r="Q280" i="18"/>
  <c r="Z280" i="18"/>
  <c r="Q449" i="18"/>
  <c r="Z449" i="18"/>
  <c r="Q522" i="18"/>
  <c r="Z522" i="18"/>
  <c r="Q248" i="18"/>
  <c r="Z248" i="18"/>
  <c r="Q297" i="18"/>
  <c r="Z297" i="18"/>
  <c r="Q149" i="18"/>
  <c r="Z149" i="18"/>
  <c r="Q518" i="18"/>
  <c r="Z518" i="18"/>
  <c r="Q108" i="18"/>
  <c r="Z108" i="18"/>
  <c r="Q325" i="18"/>
  <c r="Z325" i="18"/>
  <c r="Q401" i="18"/>
  <c r="Z401" i="18"/>
  <c r="Q296" i="18"/>
  <c r="Z296" i="18"/>
  <c r="Q454" i="18"/>
  <c r="Z454" i="18"/>
  <c r="Q269" i="18"/>
  <c r="Z269" i="18"/>
  <c r="Q92" i="18"/>
  <c r="Z92" i="18"/>
  <c r="Q442" i="18"/>
  <c r="Z442" i="18"/>
  <c r="Q425" i="18"/>
  <c r="Z425" i="18"/>
  <c r="Q88" i="18"/>
  <c r="Z88" i="18"/>
  <c r="Q232" i="18"/>
  <c r="Z232" i="18"/>
  <c r="Q402" i="18"/>
  <c r="Z402" i="18"/>
  <c r="Q489" i="18"/>
  <c r="Z489" i="18"/>
  <c r="Q294" i="18"/>
  <c r="Z294" i="18"/>
  <c r="Q244" i="18"/>
  <c r="Z244" i="18"/>
  <c r="Q87" i="18"/>
  <c r="Z87" i="18"/>
  <c r="Q268" i="18"/>
  <c r="Z268" i="18"/>
  <c r="Q298" i="18"/>
  <c r="Z298" i="18"/>
  <c r="Q91" i="18"/>
  <c r="Z91" i="18"/>
  <c r="Q237" i="18"/>
  <c r="Z237" i="18"/>
  <c r="Q320" i="18"/>
  <c r="Z320" i="18"/>
  <c r="Q264" i="18"/>
  <c r="Z264" i="18"/>
  <c r="Q410" i="18"/>
  <c r="Z410" i="18"/>
  <c r="Q417" i="18"/>
  <c r="Z417" i="18"/>
  <c r="AI417" i="18"/>
  <c r="AJ417" i="18"/>
  <c r="Q326" i="18"/>
  <c r="Z326" i="18"/>
  <c r="Q140" i="18"/>
  <c r="Z140" i="18"/>
  <c r="AI140" i="18"/>
  <c r="AJ140" i="18"/>
  <c r="Q347" i="18"/>
  <c r="Z347" i="18"/>
  <c r="O384" i="18"/>
  <c r="O459" i="18"/>
  <c r="AI522" i="18"/>
  <c r="AJ522" i="18"/>
  <c r="AI422" i="18"/>
  <c r="AJ422" i="18"/>
  <c r="AI151" i="18"/>
  <c r="AJ151" i="18"/>
  <c r="AI498" i="18"/>
  <c r="AJ498" i="18"/>
  <c r="AI495" i="18"/>
  <c r="AJ495" i="18"/>
  <c r="AI113" i="18"/>
  <c r="AJ113" i="18"/>
  <c r="AI387" i="18"/>
  <c r="AJ387" i="18"/>
  <c r="AI361" i="18"/>
  <c r="AJ361" i="18"/>
  <c r="AI139" i="18"/>
  <c r="AJ139" i="18"/>
  <c r="AI101" i="18"/>
  <c r="AJ101" i="18"/>
  <c r="AI519" i="18"/>
  <c r="AJ519" i="18"/>
  <c r="AI146" i="18"/>
  <c r="AJ146" i="18"/>
  <c r="AI193" i="18"/>
  <c r="AJ193" i="18"/>
  <c r="AI187" i="18"/>
  <c r="AJ187" i="18"/>
  <c r="AH68" i="18"/>
  <c r="I29" i="18"/>
  <c r="AI378" i="18"/>
  <c r="AJ378" i="18"/>
  <c r="AI384" i="18"/>
  <c r="AJ384" i="18"/>
  <c r="AI210" i="18"/>
  <c r="AJ210" i="18"/>
  <c r="AI327" i="18"/>
  <c r="AJ327" i="18"/>
  <c r="AI343" i="18"/>
  <c r="AJ343" i="18"/>
  <c r="AI220" i="18"/>
  <c r="AJ220" i="18"/>
  <c r="AI270" i="18"/>
  <c r="AJ270" i="18"/>
  <c r="AI409" i="18"/>
  <c r="AJ409" i="18"/>
  <c r="AC69" i="18"/>
  <c r="H30" i="18"/>
  <c r="AI290" i="18"/>
  <c r="AJ290" i="18"/>
  <c r="AI368" i="18"/>
  <c r="AJ368" i="18"/>
  <c r="AI83" i="18"/>
  <c r="AJ83" i="18"/>
  <c r="AI527" i="18"/>
  <c r="AJ527" i="18"/>
  <c r="AI235" i="18"/>
  <c r="AJ235" i="18"/>
  <c r="AI227" i="18"/>
  <c r="AJ227" i="18"/>
  <c r="AI510" i="18"/>
  <c r="AJ510" i="18"/>
  <c r="AI282" i="18"/>
  <c r="AJ282" i="18"/>
  <c r="AI166" i="18"/>
  <c r="AJ166" i="18"/>
  <c r="AI526" i="18"/>
  <c r="AJ526" i="18"/>
  <c r="AI253" i="18"/>
  <c r="AJ253" i="18"/>
  <c r="AI303" i="18"/>
  <c r="AJ303" i="18"/>
  <c r="AI268" i="18"/>
  <c r="AJ268" i="18"/>
  <c r="AI449" i="18"/>
  <c r="AJ449" i="18"/>
  <c r="AI392" i="18"/>
  <c r="AJ392" i="18"/>
  <c r="AI150" i="18"/>
  <c r="AJ150" i="18"/>
  <c r="AI171" i="18"/>
  <c r="AJ171" i="18"/>
  <c r="AI161" i="18"/>
  <c r="AJ161" i="18"/>
  <c r="AI138" i="18"/>
  <c r="AJ138" i="18"/>
  <c r="AI305" i="18"/>
  <c r="AJ305" i="18"/>
  <c r="AI469" i="18"/>
  <c r="AJ469" i="18"/>
  <c r="AI125" i="18"/>
  <c r="AJ125" i="18"/>
  <c r="AC315" i="18"/>
  <c r="AC67" i="18"/>
  <c r="H28" i="18"/>
  <c r="H59" i="18"/>
  <c r="AI379" i="18"/>
  <c r="AJ379" i="18"/>
  <c r="AI517" i="18"/>
  <c r="AJ517" i="18"/>
  <c r="AI257" i="18"/>
  <c r="AJ257" i="18"/>
  <c r="AI209" i="18"/>
  <c r="AJ209" i="18"/>
  <c r="AI231" i="18"/>
  <c r="AJ231" i="18"/>
  <c r="AI454" i="18"/>
  <c r="AJ454" i="18"/>
  <c r="AI516" i="18"/>
  <c r="AJ516" i="18"/>
  <c r="AI426" i="18"/>
  <c r="AJ426" i="18"/>
  <c r="AI152" i="18"/>
  <c r="AJ152" i="18"/>
  <c r="AI281" i="18"/>
  <c r="AJ281" i="18"/>
  <c r="AI440" i="18"/>
  <c r="AJ440" i="18"/>
  <c r="AI416" i="18"/>
  <c r="AJ416" i="18"/>
  <c r="AI455" i="18"/>
  <c r="AJ455" i="18"/>
  <c r="AI412" i="18"/>
  <c r="AJ412" i="18"/>
  <c r="AI360" i="18"/>
  <c r="AJ360" i="18"/>
  <c r="AI341" i="18"/>
  <c r="AJ341" i="18"/>
  <c r="AI467" i="18"/>
  <c r="AJ467" i="18"/>
  <c r="AI251" i="18"/>
  <c r="AJ251" i="18"/>
  <c r="AI357" i="18"/>
  <c r="AJ357" i="18"/>
  <c r="AI483" i="18"/>
  <c r="AJ483" i="18"/>
  <c r="AI441" i="18"/>
  <c r="AJ441" i="18"/>
  <c r="AI331" i="18"/>
  <c r="AJ331" i="18"/>
  <c r="AI301" i="18"/>
  <c r="AJ301" i="18"/>
  <c r="AI142" i="18"/>
  <c r="AJ142" i="18"/>
  <c r="AI272" i="18"/>
  <c r="AJ272" i="18"/>
  <c r="AI179" i="18"/>
  <c r="AJ179" i="18"/>
  <c r="AI284" i="18"/>
  <c r="AJ284" i="18"/>
  <c r="AI389" i="18"/>
  <c r="AJ389" i="18"/>
  <c r="AI476" i="18"/>
  <c r="AJ476" i="18"/>
  <c r="AI369" i="18"/>
  <c r="AJ369" i="18"/>
  <c r="AI129" i="18"/>
  <c r="AJ129" i="18"/>
  <c r="AI259" i="18"/>
  <c r="AJ259" i="18"/>
  <c r="AI243" i="18"/>
  <c r="AJ243" i="18"/>
  <c r="AI326" i="18"/>
  <c r="AJ326" i="18"/>
  <c r="AI401" i="18"/>
  <c r="AJ401" i="18"/>
  <c r="AI340" i="18"/>
  <c r="AJ340" i="18"/>
  <c r="AI456" i="18"/>
  <c r="AJ456" i="18"/>
  <c r="AI319" i="18"/>
  <c r="AJ319" i="18"/>
  <c r="AI479" i="18"/>
  <c r="AJ479" i="18"/>
  <c r="AI260" i="18"/>
  <c r="AJ260" i="18"/>
  <c r="AI228" i="18"/>
  <c r="AJ228" i="18"/>
  <c r="AI390" i="18"/>
  <c r="AJ390" i="18"/>
  <c r="AI325" i="18"/>
  <c r="AJ325" i="18"/>
  <c r="AI471" i="18"/>
  <c r="AJ471" i="18"/>
  <c r="AI497" i="18"/>
  <c r="AJ497" i="18"/>
  <c r="AI504" i="18"/>
  <c r="AJ504" i="18"/>
  <c r="AI122" i="18"/>
  <c r="AJ122" i="18"/>
  <c r="AI165" i="18"/>
  <c r="AJ165" i="18"/>
  <c r="AI137" i="18"/>
  <c r="AJ137" i="18"/>
  <c r="AI114" i="18"/>
  <c r="AJ114" i="18"/>
  <c r="AI108" i="18"/>
  <c r="AJ108" i="18"/>
  <c r="AI373" i="18"/>
  <c r="AJ373" i="18"/>
  <c r="AI358" i="18"/>
  <c r="AJ358" i="18"/>
  <c r="AI450" i="18"/>
  <c r="AJ450" i="18"/>
  <c r="AI234" i="18"/>
  <c r="AJ234" i="18"/>
  <c r="AI238" i="18"/>
  <c r="AJ238" i="18"/>
  <c r="AI201" i="18"/>
  <c r="AJ201" i="18"/>
  <c r="AI93" i="18"/>
  <c r="AJ93" i="18"/>
  <c r="AI308" i="18"/>
  <c r="AJ308" i="18"/>
  <c r="AI271" i="18"/>
  <c r="AJ271" i="18"/>
  <c r="AI461" i="18"/>
  <c r="AJ461" i="18"/>
  <c r="AI102" i="18"/>
  <c r="AJ102" i="18"/>
  <c r="AI248" i="18"/>
  <c r="AJ248" i="18"/>
  <c r="AI411" i="18"/>
  <c r="AJ411" i="18"/>
  <c r="AI452" i="18"/>
  <c r="AJ452" i="18"/>
  <c r="AI463" i="18"/>
  <c r="AJ463" i="18"/>
  <c r="AI494" i="18"/>
  <c r="AJ494" i="18"/>
  <c r="AI405" i="18"/>
  <c r="AJ405" i="18"/>
  <c r="AI255" i="18"/>
  <c r="AJ255" i="18"/>
  <c r="AI212" i="18"/>
  <c r="AJ212" i="18"/>
  <c r="AI120" i="18"/>
  <c r="AJ120" i="18"/>
  <c r="AI126" i="18"/>
  <c r="AJ126" i="18"/>
  <c r="AI289" i="18"/>
  <c r="AJ289" i="18"/>
  <c r="AI404" i="18"/>
  <c r="AJ404" i="18"/>
  <c r="AI351" i="18"/>
  <c r="AJ351" i="18"/>
  <c r="AI155" i="18"/>
  <c r="AJ155" i="18"/>
  <c r="AI189" i="18"/>
  <c r="AJ189" i="18"/>
  <c r="AI244" i="18"/>
  <c r="AJ244" i="18"/>
  <c r="AI397" i="18"/>
  <c r="AJ397" i="18"/>
  <c r="AI338" i="18"/>
  <c r="AJ338" i="18"/>
  <c r="AI457" i="18"/>
  <c r="AJ457" i="18"/>
  <c r="AI393" i="18"/>
  <c r="AJ393" i="18"/>
  <c r="AI477" i="18"/>
  <c r="AJ477" i="18"/>
  <c r="AI119" i="18"/>
  <c r="AJ119" i="18"/>
  <c r="AI100" i="18"/>
  <c r="AJ100" i="18"/>
  <c r="AI240" i="18"/>
  <c r="AJ240" i="18"/>
  <c r="AI135" i="18"/>
  <c r="AJ135" i="18"/>
  <c r="AI121" i="18"/>
  <c r="AJ121" i="18"/>
  <c r="AI191" i="18"/>
  <c r="AJ191" i="18"/>
  <c r="AI294" i="18"/>
  <c r="AJ294" i="18"/>
  <c r="AI349" i="18"/>
  <c r="AJ349" i="18"/>
  <c r="AI499" i="18"/>
  <c r="AJ499" i="18"/>
  <c r="AI330" i="18"/>
  <c r="AJ330" i="18"/>
  <c r="AI420" i="18"/>
  <c r="AJ420" i="18"/>
  <c r="AI395" i="18"/>
  <c r="AJ395" i="18"/>
  <c r="AI291" i="18"/>
  <c r="AJ291" i="18"/>
  <c r="AI267" i="18"/>
  <c r="AJ267" i="18"/>
  <c r="AI153" i="18"/>
  <c r="AJ153" i="18"/>
  <c r="AI256" i="18"/>
  <c r="AJ256" i="18"/>
  <c r="AI288" i="18"/>
  <c r="AJ288" i="18"/>
  <c r="AI278" i="18"/>
  <c r="AJ278" i="18"/>
  <c r="AI374" i="18"/>
  <c r="AJ374" i="18"/>
  <c r="AI453" i="18"/>
  <c r="AJ453" i="18"/>
  <c r="AI391" i="18"/>
  <c r="AJ391" i="18"/>
  <c r="AI342" i="18"/>
  <c r="AJ342" i="18"/>
  <c r="AI366" i="18"/>
  <c r="AJ366" i="18"/>
  <c r="AI485" i="18"/>
  <c r="AJ485" i="18"/>
  <c r="AI265" i="18"/>
  <c r="AJ265" i="18"/>
  <c r="AI158" i="18"/>
  <c r="AJ158" i="18"/>
  <c r="AI85" i="18"/>
  <c r="AJ85" i="18"/>
  <c r="AI218" i="18"/>
  <c r="AJ218" i="18"/>
  <c r="AI402" i="18"/>
  <c r="AJ402" i="18"/>
  <c r="AI345" i="18"/>
  <c r="AJ345" i="18"/>
  <c r="AI386" i="18"/>
  <c r="AJ386" i="18"/>
  <c r="AI414" i="18"/>
  <c r="AJ414" i="18"/>
  <c r="AI372" i="18"/>
  <c r="AJ372" i="18"/>
  <c r="AI529" i="18"/>
  <c r="AJ529" i="18"/>
  <c r="AI160" i="18"/>
  <c r="AJ160" i="18"/>
  <c r="AI247" i="18"/>
  <c r="AJ247" i="18"/>
  <c r="AI182" i="18"/>
  <c r="AJ182" i="18"/>
  <c r="AI195" i="18"/>
  <c r="AJ195" i="18"/>
  <c r="AI95" i="18"/>
  <c r="AJ95" i="18"/>
  <c r="AI232" i="18"/>
  <c r="AJ232" i="18"/>
  <c r="AI337" i="18"/>
  <c r="AJ337" i="18"/>
  <c r="AI147" i="18"/>
  <c r="AJ147" i="18"/>
  <c r="AI241" i="18"/>
  <c r="AJ241" i="18"/>
  <c r="AI88" i="18"/>
  <c r="AJ88" i="18"/>
  <c r="AI336" i="18"/>
  <c r="AJ336" i="18"/>
  <c r="AI175" i="18"/>
  <c r="AJ175" i="18"/>
  <c r="AI106" i="18"/>
  <c r="AJ106" i="18"/>
  <c r="AI261" i="18"/>
  <c r="AJ261" i="18"/>
  <c r="AI299" i="18"/>
  <c r="AJ299" i="18"/>
  <c r="AI221" i="18"/>
  <c r="AJ221" i="18"/>
  <c r="AI309" i="18"/>
  <c r="AJ309" i="18"/>
  <c r="AI500" i="18"/>
  <c r="AJ500" i="18"/>
  <c r="AI362" i="18"/>
  <c r="AJ362" i="18"/>
  <c r="AI274" i="18"/>
  <c r="AJ274" i="18"/>
  <c r="AI443" i="18"/>
  <c r="AJ443" i="18"/>
  <c r="AI437" i="18"/>
  <c r="AJ437" i="18"/>
  <c r="AI277" i="18"/>
  <c r="AJ277" i="18"/>
  <c r="AI224" i="18"/>
  <c r="AJ224" i="18"/>
  <c r="AI90" i="18"/>
  <c r="AJ90" i="18"/>
  <c r="AI466" i="18"/>
  <c r="AJ466" i="18"/>
  <c r="AB315" i="18"/>
  <c r="AB68" i="18"/>
  <c r="G29" i="18"/>
  <c r="G59" i="18"/>
  <c r="AI489" i="18"/>
  <c r="AJ489" i="18"/>
  <c r="AI197" i="18"/>
  <c r="AJ197" i="18"/>
  <c r="AI521" i="18"/>
  <c r="AJ521" i="18"/>
  <c r="AI226" i="18"/>
  <c r="AJ226" i="18"/>
  <c r="AI354" i="18"/>
  <c r="AJ354" i="18"/>
  <c r="AI491" i="18"/>
  <c r="AJ491" i="18"/>
  <c r="AI451" i="18"/>
  <c r="AJ451" i="18"/>
  <c r="AI178" i="18"/>
  <c r="AJ178" i="18"/>
  <c r="AI199" i="18"/>
  <c r="AJ199" i="18"/>
  <c r="AI173" i="18"/>
  <c r="AJ173" i="18"/>
  <c r="AI399" i="18"/>
  <c r="AJ399" i="18"/>
  <c r="AI439" i="18"/>
  <c r="AJ439" i="18"/>
  <c r="AI324" i="18"/>
  <c r="AJ324" i="18"/>
  <c r="AI304" i="18"/>
  <c r="AJ304" i="18"/>
  <c r="AI174" i="18"/>
  <c r="AJ174" i="18"/>
  <c r="AI353" i="18"/>
  <c r="AJ353" i="18"/>
  <c r="AI408" i="18"/>
  <c r="AJ408" i="18"/>
  <c r="AI464" i="18"/>
  <c r="AJ464" i="18"/>
  <c r="AI266" i="18"/>
  <c r="AJ266" i="18"/>
  <c r="AI181" i="18"/>
  <c r="AJ181" i="18"/>
  <c r="AI214" i="18"/>
  <c r="AJ214" i="18"/>
  <c r="AI348" i="18"/>
  <c r="AJ348" i="18"/>
  <c r="AI442" i="18"/>
  <c r="AJ442" i="18"/>
  <c r="AI111" i="18"/>
  <c r="AJ111" i="18"/>
  <c r="AI501" i="18"/>
  <c r="AJ501" i="18"/>
  <c r="AI418" i="18"/>
  <c r="AJ418" i="18"/>
  <c r="AI424" i="18"/>
  <c r="AJ424" i="18"/>
  <c r="AI503" i="18"/>
  <c r="AJ503" i="18"/>
  <c r="AI321" i="18"/>
  <c r="AJ321" i="18"/>
  <c r="AI246" i="18"/>
  <c r="AJ246" i="18"/>
  <c r="AI96" i="18"/>
  <c r="AJ96" i="18"/>
  <c r="AI128" i="18"/>
  <c r="AJ128" i="18"/>
  <c r="AI208" i="18"/>
  <c r="AJ208" i="18"/>
  <c r="AI164" i="18"/>
  <c r="AJ164" i="18"/>
  <c r="AI92" i="18"/>
  <c r="AJ92" i="18"/>
  <c r="AI525" i="18"/>
  <c r="AJ525" i="18"/>
  <c r="AI486" i="18"/>
  <c r="AJ486" i="18"/>
  <c r="AI370" i="18"/>
  <c r="AJ370" i="18"/>
  <c r="AI446" i="18"/>
  <c r="AJ446" i="18"/>
  <c r="AI335" i="18"/>
  <c r="AJ335" i="18"/>
  <c r="AI217" i="18"/>
  <c r="AJ217" i="18"/>
  <c r="AI263" i="18"/>
  <c r="AJ263" i="18"/>
  <c r="AI285" i="18"/>
  <c r="AJ285" i="18"/>
  <c r="AI194" i="18"/>
  <c r="AJ194" i="18"/>
  <c r="AI292" i="18"/>
  <c r="AJ292" i="18"/>
  <c r="AI99" i="18"/>
  <c r="AJ99" i="18"/>
  <c r="AI300" i="18"/>
  <c r="AJ300" i="18"/>
  <c r="AI302" i="18"/>
  <c r="AJ302" i="18"/>
  <c r="AI269" i="18"/>
  <c r="AJ269" i="18"/>
  <c r="AI474" i="18"/>
  <c r="AJ474" i="18"/>
  <c r="AI316" i="18"/>
  <c r="AJ316" i="18"/>
  <c r="AI415" i="18"/>
  <c r="AJ415" i="18"/>
  <c r="AI169" i="18"/>
  <c r="AJ169" i="18"/>
  <c r="AI293" i="18"/>
  <c r="AJ293" i="18"/>
  <c r="AI134" i="18"/>
  <c r="AJ134" i="18"/>
  <c r="AI86" i="18"/>
  <c r="AJ86" i="18"/>
  <c r="AI185" i="18"/>
  <c r="AJ185" i="18"/>
  <c r="AI347" i="18"/>
  <c r="AJ347" i="18"/>
  <c r="AI264" i="18"/>
  <c r="AJ264" i="18"/>
  <c r="AI311" i="18"/>
  <c r="AJ311" i="18"/>
  <c r="AI377" i="18"/>
  <c r="AJ377" i="18"/>
  <c r="AI286" i="18"/>
  <c r="AJ286" i="18"/>
  <c r="AI252" i="18"/>
  <c r="AJ252" i="18"/>
  <c r="AI219" i="18"/>
  <c r="AJ219" i="18"/>
  <c r="AI233" i="18"/>
  <c r="AJ233" i="18"/>
  <c r="AI310" i="18"/>
  <c r="AJ310" i="18"/>
  <c r="AI381" i="18"/>
  <c r="AJ381" i="18"/>
  <c r="AI186" i="18"/>
  <c r="AJ186" i="18"/>
  <c r="AI419" i="18"/>
  <c r="AJ419" i="18"/>
  <c r="AI94" i="18"/>
  <c r="AJ94" i="18"/>
  <c r="AI276" i="18"/>
  <c r="AJ276" i="18"/>
  <c r="AI205" i="18"/>
  <c r="AI410" i="18"/>
  <c r="AJ410" i="18"/>
  <c r="AI154" i="18"/>
  <c r="AJ154" i="18"/>
  <c r="AI481" i="18"/>
  <c r="AJ481" i="18"/>
  <c r="AI403" i="18"/>
  <c r="AJ403" i="18"/>
  <c r="AI84" i="18"/>
  <c r="AJ84" i="18"/>
  <c r="AI518" i="18"/>
  <c r="AJ518" i="18"/>
  <c r="AI488" i="18"/>
  <c r="AJ488" i="18"/>
  <c r="AI184" i="18"/>
  <c r="AJ184" i="18"/>
  <c r="AI320" i="18"/>
  <c r="AJ320" i="18"/>
  <c r="AI149" i="18"/>
  <c r="AJ149" i="18"/>
  <c r="AI478" i="18"/>
  <c r="AJ478" i="18"/>
  <c r="AI385" i="18"/>
  <c r="AJ385" i="18"/>
  <c r="AI434" i="18"/>
  <c r="AJ434" i="18"/>
  <c r="AI484" i="18"/>
  <c r="AJ484" i="18"/>
  <c r="AI170" i="18"/>
  <c r="AJ170" i="18"/>
  <c r="AI273" i="18"/>
  <c r="AJ273" i="18"/>
  <c r="AI239" i="18"/>
  <c r="AJ239" i="18"/>
  <c r="AI237" i="18"/>
  <c r="AJ237" i="18"/>
  <c r="AI297" i="18"/>
  <c r="AJ297" i="18"/>
  <c r="AI328" i="18"/>
  <c r="AJ328" i="18"/>
  <c r="AI334" i="18"/>
  <c r="AJ334" i="18"/>
  <c r="AI430" i="18"/>
  <c r="AJ430" i="18"/>
  <c r="AI323" i="18"/>
  <c r="AJ323" i="18"/>
  <c r="AI472" i="18"/>
  <c r="AJ472" i="18"/>
  <c r="AI435" i="18"/>
  <c r="AJ435" i="18"/>
  <c r="AI116" i="18"/>
  <c r="AJ116" i="18"/>
  <c r="AI132" i="18"/>
  <c r="AJ132" i="18"/>
  <c r="AI223" i="18"/>
  <c r="AJ223" i="18"/>
  <c r="AI124" i="18"/>
  <c r="AJ124" i="18"/>
  <c r="AI141" i="18"/>
  <c r="AJ141" i="18"/>
  <c r="AI400" i="18"/>
  <c r="AJ400" i="18"/>
  <c r="AI296" i="18"/>
  <c r="AJ296" i="18"/>
  <c r="AI509" i="18"/>
  <c r="AJ509" i="18"/>
  <c r="AI91" i="18"/>
  <c r="AJ91" i="18"/>
  <c r="AI365" i="18"/>
  <c r="AJ365" i="18"/>
  <c r="AI513" i="18"/>
  <c r="AJ513" i="18"/>
  <c r="AI262" i="18"/>
  <c r="AJ262" i="18"/>
  <c r="AI245" i="18"/>
  <c r="AJ245" i="18"/>
  <c r="AI283" i="18"/>
  <c r="AJ283" i="18"/>
  <c r="AI279" i="18"/>
  <c r="AJ279" i="18"/>
  <c r="AI298" i="18"/>
  <c r="AJ298" i="18"/>
  <c r="AI506" i="18"/>
  <c r="AJ506" i="18"/>
  <c r="AI306" i="18"/>
  <c r="AJ306" i="18"/>
  <c r="AI382" i="18"/>
  <c r="AJ382" i="18"/>
  <c r="AI448" i="18"/>
  <c r="AJ448" i="18"/>
  <c r="AI203" i="18"/>
  <c r="AJ203" i="18"/>
  <c r="AI250" i="18"/>
  <c r="AJ250" i="18"/>
  <c r="AI511" i="18"/>
  <c r="AJ511" i="18"/>
  <c r="AI258" i="18"/>
  <c r="AJ258" i="18"/>
  <c r="AI322" i="18"/>
  <c r="AJ322" i="18"/>
  <c r="AI427" i="18"/>
  <c r="AJ427" i="18"/>
  <c r="AI314" i="18"/>
  <c r="AJ314" i="18"/>
  <c r="AI350" i="18"/>
  <c r="AJ350" i="18"/>
  <c r="AI127" i="18"/>
  <c r="AJ127" i="18"/>
  <c r="AI87" i="18"/>
  <c r="AJ87" i="18"/>
  <c r="AI280" i="18"/>
  <c r="AJ280" i="18"/>
  <c r="AI459" i="18"/>
  <c r="AJ459" i="18"/>
  <c r="AI355" i="18"/>
  <c r="AJ355" i="18"/>
  <c r="AI423" i="18"/>
  <c r="AJ423" i="18"/>
  <c r="AI136" i="18"/>
  <c r="AJ136" i="18"/>
  <c r="AI196" i="18"/>
  <c r="AJ196" i="18"/>
  <c r="AB69" i="18"/>
  <c r="G30" i="18"/>
  <c r="AI163" i="18"/>
  <c r="AJ163" i="18"/>
  <c r="AI130" i="18"/>
  <c r="AJ130" i="18"/>
  <c r="AI202" i="18"/>
  <c r="AJ202" i="18"/>
  <c r="AI444" i="18"/>
  <c r="AJ444" i="18"/>
  <c r="AI462" i="18"/>
  <c r="AJ462" i="18"/>
  <c r="AI112" i="18"/>
  <c r="AJ112" i="18"/>
  <c r="AI287" i="18"/>
  <c r="AJ287" i="18"/>
  <c r="AI82" i="18"/>
  <c r="AJ82" i="18"/>
  <c r="AI97" i="18"/>
  <c r="AJ97" i="18"/>
  <c r="AI438" i="18"/>
  <c r="AJ438" i="18"/>
  <c r="AI371" i="18"/>
  <c r="AJ371" i="18"/>
  <c r="AI167" i="18"/>
  <c r="AJ167" i="18"/>
  <c r="AI213" i="18"/>
  <c r="AJ213" i="18"/>
  <c r="AI222" i="18"/>
  <c r="AJ222" i="18"/>
  <c r="AA67" i="18"/>
  <c r="F28" i="18"/>
  <c r="AI215" i="18"/>
  <c r="AJ215" i="18"/>
  <c r="AI394" i="18"/>
  <c r="AJ394" i="18"/>
  <c r="AI188" i="18"/>
  <c r="AJ188" i="18"/>
  <c r="AI524" i="18"/>
  <c r="AJ524" i="18"/>
  <c r="AI445" i="18"/>
  <c r="AJ445" i="18"/>
  <c r="AI396" i="18"/>
  <c r="AJ396" i="18"/>
  <c r="AI367" i="18"/>
  <c r="AJ367" i="18"/>
  <c r="AI313" i="18"/>
  <c r="AJ313" i="18"/>
  <c r="AI380" i="18"/>
  <c r="AJ380" i="18"/>
  <c r="AI493" i="18"/>
  <c r="AJ493" i="18"/>
  <c r="AI468" i="18"/>
  <c r="AJ468" i="18"/>
  <c r="AI157" i="18"/>
  <c r="AJ157" i="18"/>
  <c r="AI118" i="18"/>
  <c r="AJ118" i="18"/>
  <c r="AI172" i="18"/>
  <c r="AJ172" i="18"/>
  <c r="AI413" i="18"/>
  <c r="AJ413" i="18"/>
  <c r="AI156" i="18"/>
  <c r="AJ156" i="18"/>
  <c r="AI216" i="18"/>
  <c r="AJ216" i="18"/>
  <c r="AI148" i="18"/>
  <c r="AJ148" i="18"/>
  <c r="AI429" i="18"/>
  <c r="AJ429" i="18"/>
  <c r="AI307" i="18"/>
  <c r="AJ307" i="18"/>
  <c r="AI470" i="18"/>
  <c r="AJ470" i="18"/>
  <c r="AI363" i="18"/>
  <c r="AJ363" i="18"/>
  <c r="AI431" i="18"/>
  <c r="AJ431" i="18"/>
  <c r="AI183" i="18"/>
  <c r="AJ183" i="18"/>
  <c r="AI230" i="18"/>
  <c r="AJ230" i="18"/>
  <c r="AI168" i="18"/>
  <c r="AJ168" i="18"/>
  <c r="AI520" i="18"/>
  <c r="AJ520" i="18"/>
  <c r="AI332" i="18"/>
  <c r="AJ332" i="18"/>
  <c r="AI458" i="18"/>
  <c r="AJ458" i="18"/>
  <c r="AI425" i="18"/>
  <c r="AJ425" i="18"/>
  <c r="AI346" i="18"/>
  <c r="AJ346" i="18"/>
  <c r="AI229" i="18"/>
  <c r="AJ229" i="18"/>
  <c r="AI144" i="18"/>
  <c r="AJ144" i="18"/>
  <c r="AI192" i="18"/>
  <c r="AJ192" i="18"/>
  <c r="E31" i="18"/>
  <c r="AI447" i="18"/>
  <c r="AJ447" i="18"/>
  <c r="AJ205" i="18"/>
  <c r="AK206" i="18"/>
  <c r="AK207" i="18"/>
  <c r="AI79" i="18"/>
  <c r="AJ79" i="18"/>
  <c r="D63" i="18"/>
  <c r="Z315" i="18"/>
  <c r="D65" i="18"/>
  <c r="D67" i="18"/>
  <c r="E59" i="18"/>
  <c r="D59" i="18"/>
  <c r="D61" i="18"/>
  <c r="Z69" i="18"/>
  <c r="E30" i="18"/>
  <c r="AI329" i="18"/>
  <c r="AC68" i="18"/>
  <c r="H29" i="18"/>
  <c r="AB67" i="18"/>
  <c r="G28" i="18"/>
  <c r="AI315" i="18"/>
  <c r="AJ315" i="18"/>
  <c r="AI207" i="18"/>
  <c r="AJ207" i="18"/>
  <c r="AI206" i="18"/>
  <c r="AJ206" i="18"/>
  <c r="D30" i="18"/>
  <c r="C32" i="18"/>
  <c r="AM15" i="18"/>
  <c r="Z67" i="18"/>
  <c r="E28" i="18"/>
  <c r="AJ329" i="18"/>
  <c r="AI69" i="18"/>
  <c r="C30" i="18"/>
  <c r="AI68" i="18"/>
  <c r="C29" i="18"/>
  <c r="AI67" i="18"/>
  <c r="C28" i="18"/>
  <c r="Z68" i="18"/>
  <c r="E29" i="18"/>
  <c r="D29" i="18"/>
  <c r="C47" i="18"/>
  <c r="AO15" i="18"/>
  <c r="F83" i="18"/>
  <c r="F89" i="18"/>
  <c r="C45" i="18"/>
  <c r="F85" i="18"/>
  <c r="F91" i="18"/>
  <c r="F84" i="18"/>
  <c r="F88" i="18"/>
  <c r="F94" i="18"/>
  <c r="F92" i="18"/>
  <c r="F87" i="18"/>
  <c r="F93" i="18"/>
  <c r="F86" i="18"/>
  <c r="F90" i="18"/>
  <c r="F95" i="18"/>
  <c r="D28" i="18"/>
  <c r="D27" i="18"/>
  <c r="E87" i="18"/>
  <c r="E84" i="18"/>
  <c r="E85" i="18"/>
  <c r="E88" i="18"/>
  <c r="E92" i="18"/>
  <c r="E86" i="18"/>
  <c r="E93" i="18"/>
  <c r="E83" i="18"/>
  <c r="E89" i="18"/>
  <c r="C44" i="18"/>
  <c r="E91" i="18"/>
  <c r="E94" i="18"/>
  <c r="E90" i="18"/>
  <c r="E95" i="18"/>
  <c r="G94" i="18"/>
  <c r="G84" i="18"/>
  <c r="G87" i="18"/>
  <c r="G85" i="18"/>
  <c r="AL15" i="18"/>
  <c r="G86" i="18"/>
  <c r="G90" i="18"/>
  <c r="G95" i="18"/>
  <c r="G83" i="18"/>
  <c r="G91" i="18"/>
  <c r="G92" i="18"/>
  <c r="G93" i="18"/>
  <c r="G88" i="18"/>
  <c r="G89" i="18"/>
  <c r="C46" i="18"/>
  <c r="E46" i="18"/>
  <c r="O318" i="18"/>
  <c r="O472" i="18"/>
  <c r="O306" i="18"/>
  <c r="O170" i="18"/>
  <c r="O145" i="18"/>
  <c r="O452" i="18"/>
  <c r="O434" i="18"/>
  <c r="O256" i="18"/>
  <c r="O413" i="18"/>
  <c r="O126" i="18"/>
  <c r="O482" i="18"/>
  <c r="O475" i="18"/>
  <c r="O273" i="18"/>
  <c r="O367" i="18"/>
  <c r="O510" i="18"/>
  <c r="O357" i="18"/>
  <c r="O315" i="18"/>
  <c r="O310" i="18"/>
  <c r="O422" i="18"/>
  <c r="O400" i="18"/>
  <c r="O124" i="18"/>
  <c r="O146" i="18"/>
  <c r="O260" i="18"/>
  <c r="O171" i="18"/>
  <c r="O348" i="18"/>
  <c r="O264" i="18"/>
  <c r="O333" i="18"/>
  <c r="O185" i="18"/>
  <c r="O457" i="18"/>
  <c r="O451" i="18"/>
  <c r="O128" i="18"/>
  <c r="O477" i="18"/>
  <c r="O406" i="18"/>
  <c r="O131" i="18"/>
  <c r="O466" i="18"/>
  <c r="O284" i="18"/>
  <c r="O443" i="18"/>
  <c r="O340" i="18"/>
  <c r="O516" i="18"/>
  <c r="O338" i="18"/>
  <c r="O281" i="18"/>
  <c r="O244" i="18"/>
  <c r="O527" i="18"/>
  <c r="O266" i="18"/>
  <c r="O257" i="18"/>
  <c r="O358" i="18"/>
  <c r="O296" i="18"/>
  <c r="O276" i="18"/>
  <c r="O188" i="18"/>
  <c r="O392" i="18"/>
  <c r="O83" i="18"/>
  <c r="O354" i="18"/>
  <c r="O108" i="18"/>
  <c r="O261" i="18"/>
  <c r="O148" i="18"/>
  <c r="O250" i="18"/>
  <c r="O243" i="18"/>
  <c r="O94" i="18"/>
  <c r="O496" i="18"/>
  <c r="O523" i="18"/>
  <c r="O307" i="18"/>
  <c r="O376" i="18"/>
  <c r="O129" i="18"/>
  <c r="O237" i="18"/>
  <c r="O140" i="18"/>
  <c r="O407" i="18"/>
  <c r="O301" i="18"/>
  <c r="O213" i="18"/>
  <c r="O217" i="18"/>
  <c r="O389" i="18"/>
  <c r="O456" i="18"/>
  <c r="O507" i="18"/>
  <c r="O525" i="18"/>
  <c r="O120" i="18"/>
  <c r="O380" i="18"/>
  <c r="O316" i="18"/>
  <c r="O491" i="18"/>
  <c r="O268" i="18"/>
  <c r="O368" i="18"/>
  <c r="O100" i="18"/>
  <c r="O449" i="18"/>
  <c r="O517" i="18"/>
  <c r="O184" i="18"/>
  <c r="O513" i="18"/>
  <c r="O224" i="18"/>
  <c r="O169" i="18"/>
  <c r="O439" i="18"/>
  <c r="O499" i="18"/>
  <c r="O487" i="18"/>
  <c r="O356" i="18"/>
  <c r="O321" i="18"/>
  <c r="O440" i="18"/>
  <c r="O411" i="18"/>
  <c r="O238" i="18"/>
  <c r="O88" i="18"/>
  <c r="O308" i="18"/>
  <c r="O218" i="18" l="1"/>
  <c r="O226" i="18"/>
  <c r="O103" i="18"/>
  <c r="O97" i="18"/>
  <c r="O196" i="18"/>
  <c r="O144" i="18"/>
  <c r="O111" i="18"/>
  <c r="O335" i="18"/>
  <c r="O331" i="18"/>
  <c r="O334" i="18"/>
  <c r="O346" i="18"/>
  <c r="O155" i="18"/>
  <c r="O150" i="18"/>
  <c r="O408" i="18"/>
  <c r="O134" i="18"/>
  <c r="O518" i="18"/>
  <c r="O503" i="18"/>
  <c r="O347" i="18"/>
  <c r="O379" i="18"/>
  <c r="O137" i="18"/>
  <c r="O426" i="18"/>
  <c r="O179" i="18"/>
  <c r="O147" i="18"/>
  <c r="O76" i="18"/>
  <c r="O102" i="18"/>
  <c r="O455" i="18"/>
  <c r="O317" i="18"/>
  <c r="O149" i="18"/>
  <c r="O246" i="18"/>
  <c r="O87" i="18"/>
  <c r="O397" i="18"/>
  <c r="O339" i="18"/>
  <c r="O80" i="18"/>
  <c r="O117" i="18"/>
  <c r="O132" i="18"/>
  <c r="O403" i="18"/>
  <c r="O526" i="18"/>
  <c r="O512" i="18"/>
  <c r="O387" i="18"/>
  <c r="O303" i="18"/>
  <c r="O205" i="18"/>
  <c r="O381" i="18"/>
  <c r="O282" i="18"/>
  <c r="O156" i="18"/>
  <c r="O415" i="18"/>
  <c r="O164" i="18"/>
  <c r="O229" i="18"/>
  <c r="O417" i="18"/>
  <c r="O420" i="18"/>
  <c r="O293" i="18"/>
  <c r="O195" i="18"/>
  <c r="O470" i="18"/>
  <c r="O365" i="18"/>
  <c r="O192" i="18"/>
  <c r="O483" i="18"/>
  <c r="O504" i="18"/>
  <c r="O410" i="18"/>
  <c r="O342" i="18"/>
  <c r="O438" i="18"/>
  <c r="O305" i="18"/>
  <c r="O332" i="18"/>
  <c r="O241" i="18"/>
  <c r="O106" i="18"/>
  <c r="O481" i="18"/>
  <c r="O92" i="18"/>
  <c r="O202" i="18"/>
  <c r="O115" i="18"/>
  <c r="O409" i="18"/>
  <c r="O225" i="18"/>
  <c r="O436" i="18"/>
  <c r="O295" i="18"/>
  <c r="O441" i="18"/>
  <c r="O289" i="18"/>
  <c r="O352" i="18"/>
  <c r="O488" i="18"/>
  <c r="O265" i="18"/>
  <c r="O361" i="18"/>
  <c r="O181" i="18"/>
  <c r="O182" i="18"/>
  <c r="O290" i="18"/>
  <c r="O191" i="18"/>
  <c r="O114" i="18"/>
  <c r="O421" i="18"/>
  <c r="O435" i="18"/>
  <c r="O329" i="18"/>
  <c r="O349" i="18"/>
  <c r="O528" i="18"/>
  <c r="O214" i="18"/>
  <c r="O462" i="18"/>
  <c r="O255" i="18"/>
  <c r="O215" i="18"/>
  <c r="O464" i="18"/>
  <c r="O304" i="18"/>
  <c r="O91" i="18"/>
  <c r="O161" i="18"/>
  <c r="O247" i="18"/>
  <c r="O116" i="18"/>
  <c r="O187" i="18"/>
  <c r="O122" i="18"/>
  <c r="O85" i="18"/>
  <c r="O515" i="18"/>
  <c r="O474" i="18"/>
  <c r="O208" i="18"/>
  <c r="O98" i="18"/>
  <c r="O203" i="18"/>
  <c r="O428" i="18"/>
  <c r="O388" i="18"/>
  <c r="O473" i="18"/>
  <c r="O363" i="18"/>
  <c r="O524" i="18"/>
  <c r="O302" i="18"/>
  <c r="O220" i="18"/>
  <c r="O89" i="18"/>
  <c r="O469" i="18"/>
  <c r="O248" i="18"/>
  <c r="O84" i="18"/>
  <c r="O183" i="18"/>
  <c r="O162" i="18"/>
  <c r="O508" i="18"/>
  <c r="O519" i="18"/>
  <c r="O479" i="18"/>
  <c r="O330" i="18"/>
  <c r="O211" i="18"/>
  <c r="O377" i="18"/>
  <c r="O351" i="18"/>
  <c r="O135" i="18"/>
  <c r="O278" i="18"/>
  <c r="O254" i="18"/>
  <c r="O194" i="18"/>
  <c r="O75" i="18"/>
  <c r="D52" i="18" s="1"/>
  <c r="O445" i="18"/>
  <c r="O325" i="18"/>
  <c r="O199" i="18"/>
  <c r="O353" i="18"/>
  <c r="O511" i="18"/>
  <c r="O136" i="18"/>
  <c r="O197" i="18"/>
  <c r="O123" i="18"/>
  <c r="O267" i="18"/>
  <c r="O109" i="18"/>
  <c r="O151" i="18"/>
  <c r="O489" i="18"/>
  <c r="O235" i="18"/>
  <c r="O460" i="18"/>
  <c r="O465" i="18"/>
  <c r="O165" i="18"/>
  <c r="O270" i="18"/>
  <c r="O177" i="18"/>
  <c r="O158" i="18"/>
  <c r="O141" i="18"/>
  <c r="O180" i="18"/>
  <c r="O502" i="18"/>
  <c r="O294" i="18"/>
  <c r="O506" i="18"/>
  <c r="O404" i="18"/>
  <c r="O385" i="18"/>
  <c r="O274" i="18"/>
  <c r="O398" i="18"/>
  <c r="O101" i="18"/>
  <c r="O245" i="18"/>
  <c r="O345" i="18"/>
  <c r="O326" i="18"/>
  <c r="O429" i="18"/>
  <c r="O219" i="18"/>
  <c r="O324" i="18"/>
  <c r="O454" i="18"/>
  <c r="O300" i="18"/>
  <c r="O176" i="18"/>
  <c r="O133" i="18"/>
  <c r="O427" i="18"/>
  <c r="O374" i="18"/>
  <c r="O95" i="18"/>
  <c r="O484" i="18"/>
  <c r="O442" i="18"/>
  <c r="O96" i="18"/>
  <c r="O444" i="18"/>
  <c r="O127" i="18"/>
  <c r="O418" i="18"/>
  <c r="O498" i="18"/>
  <c r="O271" i="18"/>
  <c r="O337" i="18"/>
  <c r="O382" i="18"/>
  <c r="O446" i="18"/>
  <c r="O232" i="18"/>
  <c r="O391" i="18"/>
  <c r="O492" i="18"/>
  <c r="O105" i="18"/>
  <c r="O344" i="18"/>
  <c r="O283" i="18"/>
  <c r="O360" i="18"/>
  <c r="O78" i="18"/>
  <c r="O416" i="18"/>
  <c r="O486" i="18"/>
  <c r="O431" i="18"/>
  <c r="O372" i="18"/>
  <c r="O230" i="18"/>
  <c r="O112" i="18"/>
  <c r="O198" i="18"/>
  <c r="O314" i="18"/>
  <c r="O90" i="18"/>
  <c r="O371" i="18"/>
  <c r="O313" i="18"/>
  <c r="O216" i="18"/>
  <c r="O174" i="18"/>
  <c r="O99" i="18"/>
  <c r="O370" i="18"/>
  <c r="O453" i="18"/>
  <c r="O447" i="18"/>
  <c r="O430" i="18"/>
  <c r="O359" i="18"/>
  <c r="O336" i="18"/>
  <c r="O159" i="18"/>
  <c r="O383" i="18"/>
  <c r="O401" i="18"/>
  <c r="O138" i="18"/>
  <c r="O153" i="18"/>
  <c r="O320" i="18"/>
  <c r="O288" i="18"/>
  <c r="O118" i="18"/>
  <c r="O433" i="18"/>
  <c r="O79" i="18"/>
  <c r="O425" i="18"/>
  <c r="O529" i="18"/>
  <c r="O286" i="18"/>
  <c r="O514" i="18"/>
  <c r="O262" i="18"/>
  <c r="O186" i="18"/>
  <c r="O478" i="18"/>
  <c r="O509" i="18"/>
  <c r="O395" i="18"/>
  <c r="O468" i="18"/>
  <c r="O402" i="18"/>
  <c r="O113" i="18"/>
  <c r="O242" i="18"/>
  <c r="O366" i="18"/>
  <c r="O277" i="18"/>
  <c r="O493" i="18"/>
  <c r="O393" i="18"/>
  <c r="O432" i="18"/>
  <c r="O322" i="18"/>
  <c r="O204" i="18"/>
  <c r="O505" i="18"/>
  <c r="O341" i="18"/>
  <c r="O285" i="18"/>
  <c r="O419" i="18"/>
  <c r="O142" i="18"/>
  <c r="O104" i="18"/>
  <c r="O207" i="18"/>
  <c r="O369" i="18"/>
  <c r="O258" i="18"/>
  <c r="O298" i="18"/>
  <c r="O119" i="18"/>
  <c r="O189" i="18"/>
  <c r="O378" i="18"/>
  <c r="O210" i="18"/>
  <c r="O130" i="18"/>
  <c r="O461" i="18"/>
  <c r="O291" i="18"/>
  <c r="O323" i="18"/>
  <c r="O228" i="18"/>
  <c r="O240" i="18"/>
  <c r="O86" i="18"/>
  <c r="O259" i="18"/>
  <c r="O190" i="18"/>
  <c r="O168" i="18"/>
  <c r="O350" i="18"/>
  <c r="O222" i="18"/>
  <c r="O152" i="18"/>
  <c r="O458" i="18"/>
  <c r="O424" i="18"/>
  <c r="O287" i="18"/>
  <c r="O405" i="18"/>
  <c r="O448" i="18"/>
  <c r="O178" i="18"/>
  <c r="O233" i="18"/>
  <c r="O520" i="18"/>
  <c r="O160" i="18"/>
  <c r="O269" i="18"/>
  <c r="O390" i="18"/>
  <c r="O328" i="18"/>
  <c r="O521" i="18"/>
  <c r="O423" i="18"/>
  <c r="O236" i="18"/>
  <c r="O221" i="18"/>
  <c r="O394" i="18"/>
  <c r="O373" i="18"/>
  <c r="O414" i="18"/>
  <c r="O490" i="18"/>
  <c r="O343" i="18"/>
  <c r="O234" i="18"/>
  <c r="O163" i="18"/>
  <c r="O494" i="18"/>
  <c r="O231" i="18"/>
  <c r="O201" i="18"/>
  <c r="O375" i="18"/>
  <c r="O125" i="18"/>
  <c r="O252" i="18"/>
  <c r="O501" i="18"/>
  <c r="O275" i="18"/>
  <c r="O280" i="18"/>
  <c r="O471" i="18"/>
  <c r="O172" i="18"/>
  <c r="O251" i="18"/>
  <c r="O263" i="18"/>
  <c r="O206" i="18"/>
  <c r="O110" i="18"/>
  <c r="O173" i="18"/>
  <c r="O121" i="18"/>
  <c r="O167" i="18"/>
  <c r="O312" i="18"/>
  <c r="O485" i="18"/>
  <c r="O77" i="18"/>
  <c r="O497" i="18"/>
  <c r="O522" i="18"/>
  <c r="O93" i="18"/>
  <c r="O450" i="18"/>
  <c r="O467" i="18"/>
  <c r="O193" i="18"/>
  <c r="O227" i="18"/>
  <c r="O107" i="18"/>
  <c r="O249" i="18"/>
  <c r="O200" i="18"/>
  <c r="O166" i="18"/>
  <c r="O364" i="18"/>
  <c r="O175" i="18"/>
  <c r="O500" i="18"/>
  <c r="O82" i="18"/>
  <c r="O223" i="18"/>
  <c r="O272" i="18"/>
  <c r="O495" i="18"/>
  <c r="O212" i="18"/>
  <c r="O297" i="18"/>
  <c r="O279" i="18"/>
  <c r="O437" i="18"/>
  <c r="O292" i="18"/>
  <c r="O239" i="18"/>
  <c r="O463" i="18"/>
  <c r="O327" i="18"/>
  <c r="O209" i="18"/>
  <c r="O386" i="18"/>
  <c r="O143" i="18"/>
  <c r="O355" i="18"/>
  <c r="O309" i="18"/>
  <c r="O480" i="18"/>
  <c r="O362" i="18"/>
  <c r="O154" i="18"/>
  <c r="O311" i="18"/>
  <c r="O139" i="18"/>
  <c r="O157" i="18"/>
  <c r="O299" i="18"/>
  <c r="O412" i="18"/>
  <c r="O319" i="18"/>
  <c r="O396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E. Lüpfert</author>
  </authors>
  <commentList>
    <comment ref="C52" authorId="0" shapeId="0" xr:uid="{5FBB5F39-77F2-414E-9A00-AB3490D0AB72}">
      <text>
        <r>
          <rPr>
            <b/>
            <sz val="8"/>
            <color indexed="81"/>
            <rFont val="Tahoma"/>
            <family val="2"/>
          </rPr>
          <t>Choose correct reference spectrum</t>
        </r>
      </text>
    </comment>
  </commentList>
</comments>
</file>

<file path=xl/sharedStrings.xml><?xml version="1.0" encoding="utf-8"?>
<sst xmlns="http://schemas.openxmlformats.org/spreadsheetml/2006/main" count="483" uniqueCount="176">
  <si>
    <t xml:space="preserve">   Values for reports</t>
  </si>
  <si>
    <t>Solar weighted transmittance τ(SW,8º)</t>
  </si>
  <si>
    <t>usa tablas en AC5</t>
  </si>
  <si>
    <r>
      <t>ρ</t>
    </r>
    <r>
      <rPr>
        <vertAlign val="subscript"/>
        <sz val="10"/>
        <color indexed="9"/>
        <rFont val="Arial"/>
        <family val="2"/>
      </rPr>
      <t>s</t>
    </r>
    <r>
      <rPr>
        <sz val="10"/>
        <color indexed="9"/>
        <rFont val="Arial"/>
        <family val="2"/>
      </rPr>
      <t>(660nm,15°,7.5mrad)</t>
    </r>
  </si>
  <si>
    <r>
      <t>ρ</t>
    </r>
    <r>
      <rPr>
        <vertAlign val="subscript"/>
        <sz val="10"/>
        <color indexed="9"/>
        <rFont val="Arial"/>
        <family val="2"/>
      </rPr>
      <t>s</t>
    </r>
    <r>
      <rPr>
        <sz val="10"/>
        <color indexed="9"/>
        <rFont val="Arial"/>
        <family val="2"/>
      </rPr>
      <t>(660nm,15°,12.5mrad)</t>
    </r>
  </si>
  <si>
    <r>
      <t>ρ</t>
    </r>
    <r>
      <rPr>
        <vertAlign val="subscript"/>
        <sz val="10"/>
        <color indexed="9"/>
        <rFont val="Arial"/>
        <family val="2"/>
      </rPr>
      <t>s</t>
    </r>
    <r>
      <rPr>
        <sz val="10"/>
        <color indexed="9"/>
        <rFont val="Arial"/>
        <family val="2"/>
      </rPr>
      <t>(660nm,15°,23mrad)</t>
    </r>
  </si>
  <si>
    <r>
      <t xml:space="preserve">Solar weighted direct reflectance </t>
    </r>
    <r>
      <rPr>
        <sz val="11"/>
        <color indexed="9"/>
        <rFont val="Arial"/>
        <family val="2"/>
      </rPr>
      <t>ρ</t>
    </r>
    <r>
      <rPr>
        <vertAlign val="subscript"/>
        <sz val="10"/>
        <color indexed="9"/>
        <rFont val="Arial"/>
        <family val="2"/>
      </rPr>
      <t>SWD</t>
    </r>
    <r>
      <rPr>
        <sz val="10"/>
        <color indexed="9"/>
        <rFont val="Arial"/>
        <family val="2"/>
      </rPr>
      <t xml:space="preserve"> (25mrad acceptanceangle)</t>
    </r>
  </si>
  <si>
    <r>
      <t>ρ</t>
    </r>
    <r>
      <rPr>
        <vertAlign val="subscript"/>
        <sz val="11"/>
        <color indexed="9"/>
        <rFont val="Arial"/>
        <family val="2"/>
      </rPr>
      <t>s</t>
    </r>
    <r>
      <rPr>
        <sz val="11"/>
        <color indexed="9"/>
        <rFont val="Arial"/>
        <family val="2"/>
      </rPr>
      <t>(SW,15°,12.5mrad)</t>
    </r>
    <r>
      <rPr>
        <sz val="10"/>
        <color indexed="9"/>
        <rFont val="Arial"/>
        <family val="2"/>
      </rPr>
      <t xml:space="preserve"> ISO9050:</t>
    </r>
  </si>
  <si>
    <r>
      <t>ρ</t>
    </r>
    <r>
      <rPr>
        <vertAlign val="subscript"/>
        <sz val="10"/>
        <color indexed="9"/>
        <rFont val="Arial"/>
        <family val="2"/>
      </rPr>
      <t>SWD25</t>
    </r>
    <r>
      <rPr>
        <sz val="10"/>
        <color indexed="9"/>
        <rFont val="Arial"/>
        <family val="2"/>
      </rPr>
      <t xml:space="preserve">  ASTM E891:</t>
    </r>
  </si>
  <si>
    <r>
      <t>ρ</t>
    </r>
    <r>
      <rPr>
        <b/>
        <vertAlign val="subscript"/>
        <sz val="11"/>
        <color indexed="9"/>
        <rFont val="Arial"/>
        <family val="2"/>
      </rPr>
      <t>s</t>
    </r>
    <r>
      <rPr>
        <b/>
        <sz val="11"/>
        <color indexed="9"/>
        <rFont val="Arial"/>
        <family val="2"/>
      </rPr>
      <t>(SW,15°,12.5mrad)</t>
    </r>
    <r>
      <rPr>
        <b/>
        <vertAlign val="subscript"/>
        <sz val="10"/>
        <color indexed="9"/>
        <rFont val="Arial"/>
        <family val="2"/>
      </rPr>
      <t xml:space="preserve"> </t>
    </r>
    <r>
      <rPr>
        <b/>
        <sz val="10"/>
        <color indexed="9"/>
        <rFont val="Arial"/>
        <family val="2"/>
      </rPr>
      <t xml:space="preserve"> ASTM G173-03:</t>
    </r>
  </si>
  <si>
    <t>Transmittance of transparent materials</t>
  </si>
  <si>
    <r>
      <t>τ</t>
    </r>
    <r>
      <rPr>
        <b/>
        <vertAlign val="subscript"/>
        <sz val="10"/>
        <rFont val="Arial"/>
        <family val="2"/>
      </rPr>
      <t>h</t>
    </r>
    <r>
      <rPr>
        <sz val="10"/>
        <rFont val="Arial"/>
        <family val="2"/>
      </rPr>
      <t>(SW,8°,h)</t>
    </r>
  </si>
  <si>
    <r>
      <t>τ</t>
    </r>
    <r>
      <rPr>
        <b/>
        <vertAlign val="subscript"/>
        <sz val="10"/>
        <rFont val="Arial"/>
        <family val="2"/>
      </rPr>
      <t>h</t>
    </r>
    <r>
      <rPr>
        <sz val="10"/>
        <rFont val="Arial"/>
        <family val="2"/>
      </rPr>
      <t>(280-2500nm,8°,h)</t>
    </r>
  </si>
  <si>
    <t>λ [nm]</t>
  </si>
  <si>
    <t>Zeroline</t>
  </si>
  <si>
    <t>Baseline</t>
  </si>
  <si>
    <t>ρ gemittelt</t>
  </si>
  <si>
    <t xml:space="preserve">PE UV       SUBTECH     SPECTRUM    ASCII       PEDS        4.00        </t>
  </si>
  <si>
    <t>Analyst</t>
  </si>
  <si>
    <t>Lambda 950</t>
  </si>
  <si>
    <t>950N6110204</t>
  </si>
  <si>
    <t>PerkinElmer UV WinLab 5.2.0.0646 / 1.61.00 Lambda 900</t>
  </si>
  <si>
    <t>3350/servo 860,8/2</t>
  </si>
  <si>
    <t>UV/VIS</t>
  </si>
  <si>
    <t>CommonBeamDepol,RBeamAtt,SBeamAtt,150mm sphere / downward view</t>
  </si>
  <si>
    <t>Program</t>
  </si>
  <si>
    <t>3350/0,2 860,8/0,2</t>
  </si>
  <si>
    <t xml:space="preserve"> </t>
  </si>
  <si>
    <t>Front</t>
  </si>
  <si>
    <t>S:100 R:100</t>
  </si>
  <si>
    <t>#HDR</t>
  </si>
  <si>
    <t>#GR</t>
  </si>
  <si>
    <t>nm</t>
  </si>
  <si>
    <t>%T</t>
  </si>
  <si>
    <t>1.0</t>
  </si>
  <si>
    <t>0.0</t>
  </si>
  <si>
    <t>#DATA</t>
  </si>
  <si>
    <t>Standard</t>
  </si>
  <si>
    <t>ok</t>
  </si>
  <si>
    <t>Devices&amp;Services Reflektometer</t>
  </si>
  <si>
    <t>1. Messung</t>
  </si>
  <si>
    <t>2. Messung</t>
  </si>
  <si>
    <t>3. Messung</t>
  </si>
  <si>
    <t>4. Messung</t>
  </si>
  <si>
    <t>5. Messung</t>
  </si>
  <si>
    <t>CHARM</t>
  </si>
  <si>
    <t>α Effektiver Strahldurchmesser [mrad]</t>
  </si>
  <si>
    <t>α Streuung senkrecht [mrad]</t>
  </si>
  <si>
    <t>α Streuung waagerecht [mrad]</t>
  </si>
  <si>
    <t>Einstellungen:</t>
  </si>
  <si>
    <t>Schwellwert Dunkelbild</t>
  </si>
  <si>
    <t>Schwellwert Strahldurchmesser</t>
  </si>
  <si>
    <t>Gain</t>
  </si>
  <si>
    <t>Dateiname Bild</t>
  </si>
  <si>
    <t>Belichtungszeit [ms]</t>
  </si>
  <si>
    <t>Auswertung Reflexionsgrad hemisphärisch</t>
  </si>
  <si>
    <t>R15, SNr., Referenz 97.9</t>
  </si>
  <si>
    <t>Intervall</t>
  </si>
  <si>
    <t>Messungen</t>
  </si>
  <si>
    <t>Referenz-Spektren</t>
  </si>
  <si>
    <t>Messdaten hemisphärisch</t>
  </si>
  <si>
    <t>average solar weighted</t>
  </si>
  <si>
    <t>ASTM E891</t>
  </si>
  <si>
    <t>Name (Test)</t>
  </si>
  <si>
    <t>Solar Spectra</t>
  </si>
  <si>
    <t>Reference Spectra</t>
  </si>
  <si>
    <t>Sun</t>
  </si>
  <si>
    <t>interpolation</t>
  </si>
  <si>
    <t>D:\Eigene Dateien\Quarz\Spiegel\Originaldaten\081002_Labsphere\Zeroline.asc</t>
  </si>
  <si>
    <t>D:\Eigene Dateien\Quarz\Spiegel\Originaldaten\081002_Labsphere\Baseline.asc</t>
  </si>
  <si>
    <t>D:\Eigene Dateien\Quarz\Spiegel\Originaldaten\081002_Labsphere\Miro2-5162 front.asc</t>
  </si>
  <si>
    <t>D:\Eigene Dateien\Quarz\Spiegel\Originaldaten\081002_Labsphere\Miro2-5163.asc</t>
  </si>
  <si>
    <t>Zeroline.asc</t>
  </si>
  <si>
    <t>Baseline.asc</t>
  </si>
  <si>
    <t>Miro2-5162 front.asc</t>
  </si>
  <si>
    <t>Miro2-5163.asc</t>
  </si>
  <si>
    <t>11:19:18.00</t>
  </si>
  <si>
    <t>11:15:28.00</t>
  </si>
  <si>
    <t>11:28:38.00</t>
  </si>
  <si>
    <t>11:44:29.00</t>
  </si>
  <si>
    <t>on</t>
  </si>
  <si>
    <t>S:0 R:100</t>
  </si>
  <si>
    <t>ISO9050</t>
  </si>
  <si>
    <t>ASTM G173-03</t>
  </si>
  <si>
    <t>5 nm</t>
  </si>
  <si>
    <t>Sample</t>
  </si>
  <si>
    <t>Results</t>
  </si>
  <si>
    <r>
      <t>ρ</t>
    </r>
    <r>
      <rPr>
        <vertAlign val="subscript"/>
        <sz val="10"/>
        <color indexed="23"/>
        <rFont val="Arial"/>
        <family val="2"/>
      </rPr>
      <t>SWH</t>
    </r>
    <r>
      <rPr>
        <sz val="10"/>
        <color indexed="23"/>
        <rFont val="Arial"/>
        <family val="2"/>
      </rPr>
      <t xml:space="preserve">  ASTM E891</t>
    </r>
  </si>
  <si>
    <t>Averaged beamdiversion α in mrad (halfwidthangle)</t>
  </si>
  <si>
    <t>α circular</t>
  </si>
  <si>
    <t>α horizontal</t>
  </si>
  <si>
    <t>α vertical:</t>
  </si>
  <si>
    <r>
      <t>average R</t>
    </r>
    <r>
      <rPr>
        <vertAlign val="subscript"/>
        <sz val="10"/>
        <rFont val="Arial"/>
        <family val="2"/>
      </rPr>
      <t>hem</t>
    </r>
  </si>
  <si>
    <t>Name Sample (Kd)</t>
  </si>
  <si>
    <t>Name Sample (intern)</t>
  </si>
  <si>
    <t>Comment</t>
  </si>
  <si>
    <t>Date of measurement</t>
  </si>
  <si>
    <t>ID measurement</t>
  </si>
  <si>
    <t>Operator</t>
  </si>
  <si>
    <t>Check</t>
  </si>
  <si>
    <t>Reference-mirror</t>
  </si>
  <si>
    <t>Spiegel5 2500-250 Zeiten</t>
  </si>
  <si>
    <t>StDv</t>
  </si>
  <si>
    <t>Spectrum PE-100123 is only calibrated from 250-2200nm</t>
  </si>
  <si>
    <t>report print area "Form1"</t>
  </si>
  <si>
    <t>reference-spectra and solarspectra included</t>
  </si>
  <si>
    <t>intern comments</t>
  </si>
  <si>
    <t>overview</t>
  </si>
  <si>
    <t>Direct reflectivity (at 660nm, not weighted)</t>
  </si>
  <si>
    <t>Intern comments about measurements</t>
  </si>
  <si>
    <t>Instrument</t>
  </si>
  <si>
    <t>Perkin Elmer Lambda1050 Spectrophotometer</t>
  </si>
  <si>
    <t>Used referencestandard:</t>
  </si>
  <si>
    <t>Used method:</t>
  </si>
  <si>
    <t xml:space="preserve">Used sample holder: </t>
  </si>
  <si>
    <t>Used light trap:</t>
  </si>
  <si>
    <t>Quality Baseline 100%:</t>
  </si>
  <si>
    <t>Quality Zeroline 0%:</t>
  </si>
  <si>
    <t>Sequence</t>
  </si>
  <si>
    <t>Sample treating</t>
  </si>
  <si>
    <t>Sample cleaning</t>
  </si>
  <si>
    <t>Other comments</t>
  </si>
  <si>
    <t>Aperture 46 mrad (or 7 mrad)</t>
  </si>
  <si>
    <t>Aperture 25 mrad</t>
  </si>
  <si>
    <t>Aperture 15 mrad</t>
  </si>
  <si>
    <t>Mean</t>
  </si>
  <si>
    <t>Report:</t>
  </si>
  <si>
    <t>Manufacturer</t>
  </si>
  <si>
    <t>Reference</t>
  </si>
  <si>
    <t>Sample ID</t>
  </si>
  <si>
    <t>Sample name</t>
  </si>
  <si>
    <t>Stdv</t>
  </si>
  <si>
    <t>Sample was turned 45° per measurement</t>
  </si>
  <si>
    <t>Measurement information</t>
  </si>
  <si>
    <t>Meas date</t>
  </si>
  <si>
    <t>Sample type</t>
  </si>
  <si>
    <t>Solar norm</t>
  </si>
  <si>
    <t>Weighting factor neu ermittelt Steffi 201101</t>
  </si>
  <si>
    <t>G-03006</t>
  </si>
  <si>
    <t>G-95003</t>
  </si>
  <si>
    <t>PS-D-2</t>
  </si>
  <si>
    <t>PAV-D-2</t>
  </si>
  <si>
    <t>MASTER 0,95mm</t>
  </si>
  <si>
    <t>MASTER 1,6 mm</t>
  </si>
  <si>
    <t>MASTER 3mm</t>
  </si>
  <si>
    <t>MASTER 4mm</t>
  </si>
  <si>
    <t>MASTER 1st silver</t>
  </si>
  <si>
    <t>MASTER 1st alu</t>
  </si>
  <si>
    <t>Gloss (spec660 / hem660)</t>
  </si>
  <si>
    <t>G-03007</t>
  </si>
  <si>
    <t>G-95004</t>
  </si>
  <si>
    <t>G-95008</t>
  </si>
  <si>
    <t>6. Messung</t>
  </si>
  <si>
    <t>OPAC Code</t>
  </si>
  <si>
    <t>Material Code</t>
  </si>
  <si>
    <t>Project</t>
  </si>
  <si>
    <t>Test/Site</t>
  </si>
  <si>
    <t>Position/Observations</t>
  </si>
  <si>
    <t>Date exposed</t>
  </si>
  <si>
    <t>Date collected</t>
  </si>
  <si>
    <t>Duration (months)</t>
  </si>
  <si>
    <t>Comments</t>
  </si>
  <si>
    <t>Origin/Manufacturer</t>
  </si>
  <si>
    <t>Thickness (mm)</t>
  </si>
  <si>
    <t>Size (cm x cm)</t>
  </si>
  <si>
    <t>M1</t>
  </si>
  <si>
    <t>M2</t>
  </si>
  <si>
    <t>M3</t>
  </si>
  <si>
    <t>Global Sectral IEC 60904-3</t>
  </si>
  <si>
    <r>
      <t>τ(SW)</t>
    </r>
    <r>
      <rPr>
        <b/>
        <sz val="10"/>
        <rFont val="Arial"/>
        <family val="2"/>
      </rPr>
      <t xml:space="preserve">  IEC 60904-3</t>
    </r>
  </si>
  <si>
    <t>M4</t>
  </si>
  <si>
    <t>M5</t>
  </si>
  <si>
    <t>M6</t>
  </si>
  <si>
    <t>M7</t>
  </si>
  <si>
    <t>M8</t>
  </si>
  <si>
    <t>M9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</si>
</sst>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2" formatCode="0.0000"/>
    <numFmt numFmtId="183" formatCode="0.000"/>
    <numFmt numFmtId="187" formatCode="0.0"/>
    <numFmt numFmtId="190" formatCode="dd/mm/yy;@"/>
  </numFmts>
  <fonts count="41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color indexed="17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9"/>
      <name val="Arial"/>
      <family val="2"/>
    </font>
    <font>
      <sz val="6"/>
      <name val="Arial"/>
      <family val="2"/>
    </font>
    <font>
      <b/>
      <sz val="8"/>
      <color indexed="81"/>
      <name val="Tahoma"/>
      <family val="2"/>
    </font>
    <font>
      <sz val="10"/>
      <color indexed="17"/>
      <name val="Arial"/>
      <family val="2"/>
    </font>
    <font>
      <sz val="10"/>
      <color indexed="22"/>
      <name val="Arial"/>
      <family val="2"/>
    </font>
    <font>
      <b/>
      <i/>
      <sz val="12"/>
      <name val="Arial"/>
      <family val="2"/>
    </font>
    <font>
      <b/>
      <u/>
      <sz val="14"/>
      <name val="Arial"/>
      <family val="2"/>
    </font>
    <font>
      <vertAlign val="subscript"/>
      <sz val="10"/>
      <name val="Arial"/>
      <family val="2"/>
    </font>
    <font>
      <b/>
      <vertAlign val="subscript"/>
      <sz val="10"/>
      <name val="Arial"/>
      <family val="2"/>
    </font>
    <font>
      <sz val="11"/>
      <name val="Arial"/>
      <family val="2"/>
    </font>
    <font>
      <sz val="11"/>
      <color indexed="23"/>
      <name val="Arial"/>
      <family val="2"/>
    </font>
    <font>
      <vertAlign val="subscript"/>
      <sz val="10"/>
      <color indexed="23"/>
      <name val="Arial"/>
      <family val="2"/>
    </font>
    <font>
      <sz val="10"/>
      <color indexed="23"/>
      <name val="Arial"/>
      <family val="2"/>
    </font>
    <font>
      <b/>
      <sz val="11"/>
      <name val="Arial"/>
      <family val="2"/>
    </font>
    <font>
      <sz val="10"/>
      <color indexed="9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indexed="23"/>
      <name val="Arial"/>
      <family val="2"/>
    </font>
    <font>
      <b/>
      <i/>
      <sz val="10"/>
      <name val="Arial"/>
      <family val="2"/>
    </font>
    <font>
      <sz val="11"/>
      <name val="Symbol"/>
      <family val="1"/>
      <charset val="2"/>
    </font>
    <font>
      <b/>
      <i/>
      <sz val="10"/>
      <color indexed="10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vertAlign val="subscript"/>
      <sz val="10"/>
      <color indexed="9"/>
      <name val="Arial"/>
      <family val="2"/>
    </font>
    <font>
      <sz val="11"/>
      <color indexed="9"/>
      <name val="Arial"/>
      <family val="2"/>
    </font>
    <font>
      <vertAlign val="subscript"/>
      <sz val="11"/>
      <color indexed="9"/>
      <name val="Arial"/>
      <family val="2"/>
    </font>
    <font>
      <b/>
      <sz val="11"/>
      <color indexed="9"/>
      <name val="Arial"/>
      <family val="2"/>
    </font>
    <font>
      <b/>
      <vertAlign val="subscript"/>
      <sz val="11"/>
      <color indexed="9"/>
      <name val="Arial"/>
      <family val="2"/>
    </font>
    <font>
      <b/>
      <vertAlign val="subscript"/>
      <sz val="10"/>
      <color indexed="9"/>
      <name val="Arial"/>
      <family val="2"/>
    </font>
    <font>
      <sz val="11"/>
      <color theme="1"/>
      <name val="Calibri"/>
      <family val="2"/>
      <scheme val="minor"/>
    </font>
    <font>
      <sz val="10"/>
      <color theme="0" tint="-0.34998626667073579"/>
      <name val="Arial"/>
      <family val="2"/>
    </font>
    <font>
      <b/>
      <sz val="10"/>
      <color theme="0" tint="-0.34998626667073579"/>
      <name val="Arial"/>
      <family val="2"/>
    </font>
    <font>
      <sz val="8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theme="4" tint="0.39997558519241921"/>
      </top>
      <bottom style="medium">
        <color indexed="64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37" fillId="0" borderId="0"/>
    <xf numFmtId="9" fontId="1" fillId="0" borderId="0" applyFont="0" applyFill="0" applyBorder="0" applyAlignment="0" applyProtection="0"/>
  </cellStyleXfs>
  <cellXfs count="285">
    <xf numFmtId="0" fontId="0" fillId="0" borderId="0" xfId="0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0" xfId="0" applyFont="1"/>
    <xf numFmtId="0" fontId="0" fillId="0" borderId="0" xfId="0" applyFill="1"/>
    <xf numFmtId="0" fontId="0" fillId="0" borderId="1" xfId="0" applyFill="1" applyBorder="1"/>
    <xf numFmtId="0" fontId="0" fillId="0" borderId="5" xfId="0" applyFill="1" applyBorder="1"/>
    <xf numFmtId="0" fontId="3" fillId="0" borderId="0" xfId="1" applyAlignment="1" applyProtection="1"/>
    <xf numFmtId="0" fontId="0" fillId="0" borderId="0" xfId="0" applyBorder="1"/>
    <xf numFmtId="0" fontId="0" fillId="0" borderId="7" xfId="0" applyBorder="1"/>
    <xf numFmtId="2" fontId="0" fillId="0" borderId="0" xfId="0" applyNumberFormat="1" applyBorder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8" xfId="0" applyFill="1" applyBorder="1"/>
    <xf numFmtId="0" fontId="0" fillId="2" borderId="9" xfId="0" applyFill="1" applyBorder="1"/>
    <xf numFmtId="2" fontId="0" fillId="2" borderId="9" xfId="0" applyNumberFormat="1" applyFill="1" applyBorder="1"/>
    <xf numFmtId="2" fontId="0" fillId="2" borderId="10" xfId="0" applyNumberFormat="1" applyFill="1" applyBorder="1"/>
    <xf numFmtId="0" fontId="0" fillId="2" borderId="11" xfId="0" applyFill="1" applyBorder="1"/>
    <xf numFmtId="2" fontId="0" fillId="2" borderId="0" xfId="0" applyNumberFormat="1" applyFill="1" applyBorder="1"/>
    <xf numFmtId="2" fontId="0" fillId="2" borderId="12" xfId="0" applyNumberFormat="1" applyFill="1" applyBorder="1"/>
    <xf numFmtId="0" fontId="2" fillId="2" borderId="11" xfId="0" applyFont="1" applyFill="1" applyBorder="1"/>
    <xf numFmtId="0" fontId="2" fillId="3" borderId="13" xfId="0" applyFont="1" applyFill="1" applyBorder="1"/>
    <xf numFmtId="0" fontId="2" fillId="3" borderId="12" xfId="0" applyFont="1" applyFill="1" applyBorder="1"/>
    <xf numFmtId="0" fontId="2" fillId="2" borderId="8" xfId="0" applyFont="1" applyFill="1" applyBorder="1"/>
    <xf numFmtId="0" fontId="2" fillId="3" borderId="7" xfId="0" applyFont="1" applyFill="1" applyBorder="1"/>
    <xf numFmtId="0" fontId="2" fillId="3" borderId="0" xfId="0" applyFont="1" applyFill="1" applyBorder="1"/>
    <xf numFmtId="0" fontId="2" fillId="2" borderId="9" xfId="0" applyFont="1" applyFill="1" applyBorder="1"/>
    <xf numFmtId="0" fontId="0" fillId="2" borderId="14" xfId="0" applyFill="1" applyBorder="1"/>
    <xf numFmtId="2" fontId="0" fillId="2" borderId="7" xfId="0" applyNumberFormat="1" applyFill="1" applyBorder="1"/>
    <xf numFmtId="2" fontId="0" fillId="2" borderId="13" xfId="0" applyNumberFormat="1" applyFill="1" applyBorder="1"/>
    <xf numFmtId="0" fontId="2" fillId="2" borderId="14" xfId="0" applyFont="1" applyFill="1" applyBorder="1"/>
    <xf numFmtId="0" fontId="2" fillId="2" borderId="7" xfId="0" applyFont="1" applyFill="1" applyBorder="1"/>
    <xf numFmtId="0" fontId="2" fillId="2" borderId="0" xfId="0" applyFont="1" applyFill="1" applyBorder="1"/>
    <xf numFmtId="0" fontId="0" fillId="0" borderId="0" xfId="0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Fill="1" applyBorder="1"/>
    <xf numFmtId="0" fontId="0" fillId="0" borderId="0" xfId="0" applyBorder="1" applyAlignment="1">
      <alignment horizontal="center"/>
    </xf>
    <xf numFmtId="0" fontId="6" fillId="0" borderId="5" xfId="0" applyFont="1" applyBorder="1"/>
    <xf numFmtId="0" fontId="2" fillId="0" borderId="7" xfId="0" applyFont="1" applyBorder="1"/>
    <xf numFmtId="0" fontId="2" fillId="0" borderId="14" xfId="0" applyFont="1" applyBorder="1"/>
    <xf numFmtId="0" fontId="2" fillId="0" borderId="11" xfId="0" applyFont="1" applyBorder="1"/>
    <xf numFmtId="0" fontId="2" fillId="0" borderId="8" xfId="0" applyFont="1" applyBorder="1"/>
    <xf numFmtId="0" fontId="0" fillId="2" borderId="7" xfId="0" applyFill="1" applyBorder="1"/>
    <xf numFmtId="0" fontId="0" fillId="2" borderId="0" xfId="0" applyFill="1" applyBorder="1"/>
    <xf numFmtId="0" fontId="2" fillId="3" borderId="9" xfId="0" applyFont="1" applyFill="1" applyBorder="1"/>
    <xf numFmtId="0" fontId="2" fillId="3" borderId="15" xfId="0" applyFont="1" applyFill="1" applyBorder="1"/>
    <xf numFmtId="0" fontId="2" fillId="3" borderId="16" xfId="0" applyFont="1" applyFill="1" applyBorder="1"/>
    <xf numFmtId="0" fontId="2" fillId="3" borderId="17" xfId="0" applyFont="1" applyFill="1" applyBorder="1"/>
    <xf numFmtId="0" fontId="0" fillId="3" borderId="16" xfId="0" applyFill="1" applyBorder="1"/>
    <xf numFmtId="0" fontId="0" fillId="3" borderId="17" xfId="0" applyFill="1" applyBorder="1"/>
    <xf numFmtId="0" fontId="0" fillId="0" borderId="18" xfId="0" applyBorder="1"/>
    <xf numFmtId="2" fontId="2" fillId="2" borderId="7" xfId="0" applyNumberFormat="1" applyFont="1" applyFill="1" applyBorder="1"/>
    <xf numFmtId="2" fontId="2" fillId="2" borderId="0" xfId="0" applyNumberFormat="1" applyFont="1" applyFill="1" applyBorder="1"/>
    <xf numFmtId="2" fontId="2" fillId="2" borderId="9" xfId="0" applyNumberFormat="1" applyFont="1" applyFill="1" applyBorder="1"/>
    <xf numFmtId="0" fontId="2" fillId="0" borderId="0" xfId="0" applyFont="1" applyBorder="1"/>
    <xf numFmtId="0" fontId="0" fillId="0" borderId="4" xfId="0" applyBorder="1" applyAlignment="1">
      <alignment horizontal="right"/>
    </xf>
    <xf numFmtId="0" fontId="9" fillId="0" borderId="18" xfId="0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0" fontId="7" fillId="0" borderId="0" xfId="0" applyFont="1" applyAlignment="1">
      <alignment horizontal="right"/>
    </xf>
    <xf numFmtId="0" fontId="7" fillId="0" borderId="9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190" fontId="0" fillId="0" borderId="1" xfId="0" applyNumberFormat="1" applyBorder="1"/>
    <xf numFmtId="0" fontId="9" fillId="0" borderId="0" xfId="0" applyFont="1" applyBorder="1" applyAlignment="1">
      <alignment horizontal="right"/>
    </xf>
    <xf numFmtId="0" fontId="7" fillId="0" borderId="4" xfId="0" applyFont="1" applyBorder="1" applyAlignment="1">
      <alignment horizontal="right"/>
    </xf>
    <xf numFmtId="0" fontId="2" fillId="3" borderId="9" xfId="0" applyFont="1" applyFill="1" applyBorder="1" applyAlignment="1">
      <alignment horizontal="right"/>
    </xf>
    <xf numFmtId="0" fontId="5" fillId="0" borderId="3" xfId="0" applyFont="1" applyBorder="1"/>
    <xf numFmtId="0" fontId="6" fillId="0" borderId="6" xfId="0" applyFont="1" applyBorder="1" applyAlignment="1">
      <alignment horizontal="right"/>
    </xf>
    <xf numFmtId="0" fontId="2" fillId="0" borderId="19" xfId="0" applyFont="1" applyBorder="1" applyAlignment="1">
      <alignment horizontal="center"/>
    </xf>
    <xf numFmtId="187" fontId="2" fillId="0" borderId="0" xfId="0" applyNumberFormat="1" applyFont="1" applyFill="1" applyAlignment="1">
      <alignment horizontal="center"/>
    </xf>
    <xf numFmtId="0" fontId="2" fillId="0" borderId="4" xfId="0" applyFont="1" applyFill="1" applyBorder="1" applyAlignment="1">
      <alignment horizontal="right"/>
    </xf>
    <xf numFmtId="2" fontId="0" fillId="0" borderId="18" xfId="0" applyNumberFormat="1" applyBorder="1"/>
    <xf numFmtId="0" fontId="6" fillId="0" borderId="0" xfId="0" applyFont="1" applyFill="1"/>
    <xf numFmtId="0" fontId="6" fillId="0" borderId="0" xfId="0" applyFont="1" applyFill="1" applyBorder="1"/>
    <xf numFmtId="0" fontId="6" fillId="0" borderId="20" xfId="0" applyFont="1" applyFill="1" applyBorder="1"/>
    <xf numFmtId="0" fontId="5" fillId="0" borderId="4" xfId="0" applyFont="1" applyBorder="1"/>
    <xf numFmtId="0" fontId="4" fillId="0" borderId="4" xfId="0" applyFont="1" applyBorder="1"/>
    <xf numFmtId="0" fontId="6" fillId="4" borderId="0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11" fillId="4" borderId="0" xfId="0" applyFont="1" applyFill="1" applyBorder="1"/>
    <xf numFmtId="0" fontId="11" fillId="4" borderId="9" xfId="0" applyFont="1" applyFill="1" applyBorder="1"/>
    <xf numFmtId="0" fontId="6" fillId="4" borderId="0" xfId="0" applyFont="1" applyFill="1" applyBorder="1"/>
    <xf numFmtId="0" fontId="6" fillId="4" borderId="9" xfId="0" applyFont="1" applyFill="1" applyBorder="1"/>
    <xf numFmtId="0" fontId="6" fillId="4" borderId="12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2" fillId="4" borderId="11" xfId="0" applyFont="1" applyFill="1" applyBorder="1"/>
    <xf numFmtId="0" fontId="2" fillId="2" borderId="13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6" fillId="4" borderId="14" xfId="0" applyFont="1" applyFill="1" applyBorder="1"/>
    <xf numFmtId="0" fontId="6" fillId="4" borderId="11" xfId="0" applyFont="1" applyFill="1" applyBorder="1"/>
    <xf numFmtId="0" fontId="6" fillId="4" borderId="8" xfId="0" applyFont="1" applyFill="1" applyBorder="1"/>
    <xf numFmtId="0" fontId="6" fillId="3" borderId="10" xfId="0" applyFont="1" applyFill="1" applyBorder="1" applyAlignment="1">
      <alignment horizontal="right"/>
    </xf>
    <xf numFmtId="0" fontId="6" fillId="4" borderId="7" xfId="0" applyFont="1" applyFill="1" applyBorder="1"/>
    <xf numFmtId="2" fontId="6" fillId="2" borderId="7" xfId="0" applyNumberFormat="1" applyFont="1" applyFill="1" applyBorder="1"/>
    <xf numFmtId="2" fontId="6" fillId="2" borderId="0" xfId="0" applyNumberFormat="1" applyFont="1" applyFill="1" applyBorder="1"/>
    <xf numFmtId="2" fontId="6" fillId="2" borderId="9" xfId="0" applyNumberFormat="1" applyFont="1" applyFill="1" applyBorder="1"/>
    <xf numFmtId="0" fontId="6" fillId="3" borderId="16" xfId="0" applyFont="1" applyFill="1" applyBorder="1"/>
    <xf numFmtId="0" fontId="6" fillId="0" borderId="0" xfId="0" applyFont="1"/>
    <xf numFmtId="0" fontId="6" fillId="0" borderId="0" xfId="0" applyFont="1" applyBorder="1"/>
    <xf numFmtId="0" fontId="2" fillId="4" borderId="7" xfId="0" applyFont="1" applyFill="1" applyBorder="1"/>
    <xf numFmtId="0" fontId="2" fillId="0" borderId="0" xfId="0" applyFont="1" applyFill="1" applyBorder="1"/>
    <xf numFmtId="0" fontId="6" fillId="4" borderId="13" xfId="0" applyFont="1" applyFill="1" applyBorder="1"/>
    <xf numFmtId="0" fontId="11" fillId="4" borderId="12" xfId="0" applyFont="1" applyFill="1" applyBorder="1"/>
    <xf numFmtId="2" fontId="0" fillId="0" borderId="0" xfId="0" applyNumberFormat="1" applyFill="1" applyBorder="1"/>
    <xf numFmtId="2" fontId="0" fillId="0" borderId="0" xfId="0" applyNumberFormat="1" applyFill="1" applyBorder="1" applyAlignment="1">
      <alignment horizontal="right"/>
    </xf>
    <xf numFmtId="0" fontId="6" fillId="0" borderId="0" xfId="0" applyFont="1" applyFill="1" applyBorder="1" applyAlignment="1">
      <alignment horizontal="center"/>
    </xf>
    <xf numFmtId="2" fontId="0" fillId="0" borderId="7" xfId="0" applyNumberFormat="1" applyBorder="1"/>
    <xf numFmtId="2" fontId="0" fillId="0" borderId="9" xfId="0" applyNumberFormat="1" applyBorder="1"/>
    <xf numFmtId="0" fontId="0" fillId="0" borderId="17" xfId="0" applyBorder="1"/>
    <xf numFmtId="2" fontId="0" fillId="0" borderId="13" xfId="0" applyNumberFormat="1" applyBorder="1"/>
    <xf numFmtId="2" fontId="0" fillId="0" borderId="12" xfId="0" applyNumberFormat="1" applyBorder="1"/>
    <xf numFmtId="2" fontId="0" fillId="0" borderId="10" xfId="0" applyNumberFormat="1" applyBorder="1"/>
    <xf numFmtId="0" fontId="2" fillId="4" borderId="9" xfId="0" applyFont="1" applyFill="1" applyBorder="1" applyAlignment="1"/>
    <xf numFmtId="0" fontId="2" fillId="4" borderId="9" xfId="0" applyFont="1" applyFill="1" applyBorder="1" applyAlignment="1">
      <alignment horizontal="left"/>
    </xf>
    <xf numFmtId="0" fontId="2" fillId="0" borderId="4" xfId="0" applyFont="1" applyBorder="1"/>
    <xf numFmtId="0" fontId="2" fillId="0" borderId="18" xfId="0" applyFont="1" applyBorder="1"/>
    <xf numFmtId="10" fontId="0" fillId="0" borderId="18" xfId="0" applyNumberFormat="1" applyBorder="1"/>
    <xf numFmtId="10" fontId="0" fillId="0" borderId="0" xfId="0" applyNumberFormat="1" applyBorder="1"/>
    <xf numFmtId="10" fontId="6" fillId="0" borderId="18" xfId="4" applyNumberFormat="1" applyFont="1" applyBorder="1" applyAlignment="1">
      <alignment horizontal="right"/>
    </xf>
    <xf numFmtId="10" fontId="6" fillId="0" borderId="0" xfId="4" applyNumberFormat="1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10" fontId="12" fillId="0" borderId="18" xfId="0" applyNumberFormat="1" applyFont="1" applyBorder="1"/>
    <xf numFmtId="10" fontId="12" fillId="0" borderId="0" xfId="0" applyNumberFormat="1" applyFont="1" applyBorder="1"/>
    <xf numFmtId="0" fontId="2" fillId="5" borderId="0" xfId="0" applyFont="1" applyFill="1"/>
    <xf numFmtId="0" fontId="13" fillId="5" borderId="0" xfId="0" applyFont="1" applyFill="1"/>
    <xf numFmtId="0" fontId="14" fillId="0" borderId="0" xfId="0" applyFont="1"/>
    <xf numFmtId="0" fontId="0" fillId="5" borderId="0" xfId="0" applyFill="1"/>
    <xf numFmtId="0" fontId="6" fillId="0" borderId="4" xfId="0" applyFont="1" applyBorder="1"/>
    <xf numFmtId="0" fontId="6" fillId="0" borderId="18" xfId="0" applyFont="1" applyBorder="1"/>
    <xf numFmtId="0" fontId="17" fillId="0" borderId="1" xfId="0" applyFont="1" applyBorder="1"/>
    <xf numFmtId="0" fontId="18" fillId="0" borderId="1" xfId="0" applyFont="1" applyBorder="1"/>
    <xf numFmtId="0" fontId="21" fillId="0" borderId="5" xfId="0" applyFont="1" applyBorder="1"/>
    <xf numFmtId="0" fontId="0" fillId="0" borderId="21" xfId="0" applyBorder="1"/>
    <xf numFmtId="2" fontId="0" fillId="0" borderId="22" xfId="0" applyNumberFormat="1" applyBorder="1"/>
    <xf numFmtId="182" fontId="22" fillId="0" borderId="20" xfId="0" applyNumberFormat="1" applyFont="1" applyBorder="1" applyAlignment="1">
      <alignment horizontal="center"/>
    </xf>
    <xf numFmtId="183" fontId="2" fillId="0" borderId="6" xfId="4" applyNumberFormat="1" applyFont="1" applyBorder="1" applyAlignment="1">
      <alignment horizontal="center"/>
    </xf>
    <xf numFmtId="183" fontId="6" fillId="0" borderId="3" xfId="4" applyNumberFormat="1" applyFont="1" applyFill="1" applyBorder="1" applyAlignment="1">
      <alignment horizontal="center"/>
    </xf>
    <xf numFmtId="183" fontId="6" fillId="0" borderId="4" xfId="4" applyNumberFormat="1" applyFont="1" applyBorder="1" applyAlignment="1">
      <alignment horizontal="center"/>
    </xf>
    <xf numFmtId="183" fontId="6" fillId="0" borderId="6" xfId="4" applyNumberFormat="1" applyFont="1" applyBorder="1" applyAlignment="1">
      <alignment horizontal="center"/>
    </xf>
    <xf numFmtId="0" fontId="0" fillId="0" borderId="20" xfId="0" applyBorder="1"/>
    <xf numFmtId="0" fontId="6" fillId="0" borderId="19" xfId="0" applyFont="1" applyFill="1" applyBorder="1"/>
    <xf numFmtId="1" fontId="0" fillId="0" borderId="20" xfId="0" applyNumberFormat="1" applyBorder="1"/>
    <xf numFmtId="0" fontId="2" fillId="0" borderId="0" xfId="0" applyFont="1" applyFill="1"/>
    <xf numFmtId="0" fontId="6" fillId="0" borderId="2" xfId="0" applyFont="1" applyBorder="1"/>
    <xf numFmtId="0" fontId="6" fillId="0" borderId="2" xfId="0" applyFont="1" applyBorder="1" applyAlignment="1">
      <alignment horizontal="left"/>
    </xf>
    <xf numFmtId="0" fontId="6" fillId="0" borderId="1" xfId="0" applyFont="1" applyBorder="1"/>
    <xf numFmtId="49" fontId="6" fillId="0" borderId="1" xfId="0" applyNumberFormat="1" applyFont="1" applyBorder="1" applyAlignment="1">
      <alignment horizontal="left"/>
    </xf>
    <xf numFmtId="14" fontId="6" fillId="0" borderId="1" xfId="0" applyNumberFormat="1" applyFont="1" applyBorder="1" applyAlignment="1">
      <alignment horizontal="left"/>
    </xf>
    <xf numFmtId="0" fontId="6" fillId="0" borderId="23" xfId="0" applyFont="1" applyBorder="1"/>
    <xf numFmtId="49" fontId="6" fillId="0" borderId="23" xfId="0" applyNumberFormat="1" applyFont="1" applyBorder="1" applyAlignment="1">
      <alignment horizontal="left"/>
    </xf>
    <xf numFmtId="0" fontId="6" fillId="0" borderId="24" xfId="0" applyFont="1" applyBorder="1"/>
    <xf numFmtId="14" fontId="6" fillId="0" borderId="24" xfId="0" applyNumberFormat="1" applyFont="1" applyBorder="1" applyAlignment="1">
      <alignment horizontal="left"/>
    </xf>
    <xf numFmtId="0" fontId="6" fillId="0" borderId="1" xfId="0" applyNumberFormat="1" applyFont="1" applyBorder="1" applyAlignment="1">
      <alignment horizontal="left"/>
    </xf>
    <xf numFmtId="49" fontId="6" fillId="0" borderId="24" xfId="0" applyNumberFormat="1" applyFont="1" applyBorder="1" applyAlignment="1">
      <alignment horizontal="left" wrapText="1"/>
    </xf>
    <xf numFmtId="49" fontId="6" fillId="0" borderId="1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horizontal="left" wrapText="1"/>
    </xf>
    <xf numFmtId="0" fontId="6" fillId="0" borderId="0" xfId="0" applyFont="1" applyBorder="1" applyAlignment="1">
      <alignment wrapText="1"/>
    </xf>
    <xf numFmtId="183" fontId="6" fillId="0" borderId="3" xfId="4" applyNumberFormat="1" applyFont="1" applyBorder="1" applyAlignment="1">
      <alignment horizontal="center"/>
    </xf>
    <xf numFmtId="183" fontId="20" fillId="0" borderId="4" xfId="4" applyNumberFormat="1" applyFont="1" applyBorder="1" applyAlignment="1">
      <alignment horizontal="center"/>
    </xf>
    <xf numFmtId="183" fontId="6" fillId="0" borderId="20" xfId="0" applyNumberFormat="1" applyFont="1" applyBorder="1"/>
    <xf numFmtId="183" fontId="6" fillId="0" borderId="0" xfId="0" applyNumberFormat="1" applyFont="1" applyFill="1"/>
    <xf numFmtId="183" fontId="6" fillId="0" borderId="0" xfId="0" applyNumberFormat="1" applyFont="1"/>
    <xf numFmtId="0" fontId="24" fillId="0" borderId="0" xfId="0" applyFont="1" applyFill="1"/>
    <xf numFmtId="0" fontId="6" fillId="0" borderId="21" xfId="0" applyFont="1" applyFill="1" applyBorder="1"/>
    <xf numFmtId="183" fontId="6" fillId="0" borderId="20" xfId="0" applyNumberFormat="1" applyFont="1" applyBorder="1" applyAlignment="1">
      <alignment horizontal="center"/>
    </xf>
    <xf numFmtId="0" fontId="17" fillId="0" borderId="0" xfId="0" applyFont="1" applyFill="1" applyBorder="1"/>
    <xf numFmtId="0" fontId="6" fillId="0" borderId="0" xfId="0" applyFont="1" applyAlignment="1">
      <alignment horizontal="center"/>
    </xf>
    <xf numFmtId="0" fontId="0" fillId="0" borderId="19" xfId="0" applyBorder="1"/>
    <xf numFmtId="183" fontId="6" fillId="0" borderId="19" xfId="0" applyNumberFormat="1" applyFont="1" applyBorder="1" applyAlignment="1">
      <alignment horizontal="center"/>
    </xf>
    <xf numFmtId="183" fontId="6" fillId="0" borderId="19" xfId="0" applyNumberFormat="1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6" fillId="0" borderId="18" xfId="0" applyFont="1" applyFill="1" applyBorder="1"/>
    <xf numFmtId="0" fontId="6" fillId="0" borderId="25" xfId="0" applyFont="1" applyFill="1" applyBorder="1"/>
    <xf numFmtId="0" fontId="1" fillId="0" borderId="0" xfId="0" applyFont="1" applyFill="1" applyBorder="1"/>
    <xf numFmtId="0" fontId="23" fillId="0" borderId="0" xfId="0" applyFont="1" applyFill="1" applyBorder="1"/>
    <xf numFmtId="0" fontId="0" fillId="0" borderId="12" xfId="0" applyFill="1" applyBorder="1"/>
    <xf numFmtId="0" fontId="2" fillId="6" borderId="0" xfId="0" applyFont="1" applyFill="1"/>
    <xf numFmtId="0" fontId="0" fillId="6" borderId="0" xfId="0" applyFill="1"/>
    <xf numFmtId="0" fontId="2" fillId="6" borderId="26" xfId="0" applyFont="1" applyFill="1" applyBorder="1"/>
    <xf numFmtId="0" fontId="0" fillId="6" borderId="27" xfId="0" applyFill="1" applyBorder="1"/>
    <xf numFmtId="0" fontId="0" fillId="6" borderId="3" xfId="0" applyFill="1" applyBorder="1"/>
    <xf numFmtId="49" fontId="0" fillId="0" borderId="0" xfId="0" applyNumberFormat="1" applyBorder="1"/>
    <xf numFmtId="0" fontId="2" fillId="0" borderId="18" xfId="0" applyFont="1" applyFill="1" applyBorder="1"/>
    <xf numFmtId="0" fontId="0" fillId="0" borderId="25" xfId="0" applyBorder="1"/>
    <xf numFmtId="0" fontId="2" fillId="0" borderId="0" xfId="0" applyFont="1" applyBorder="1" applyAlignment="1">
      <alignment horizontal="center"/>
    </xf>
    <xf numFmtId="183" fontId="6" fillId="0" borderId="0" xfId="0" applyNumberFormat="1" applyFont="1" applyFill="1" applyBorder="1" applyAlignment="1">
      <alignment horizontal="center"/>
    </xf>
    <xf numFmtId="183" fontId="6" fillId="0" borderId="0" xfId="0" applyNumberFormat="1" applyFont="1" applyBorder="1" applyAlignment="1">
      <alignment horizontal="center"/>
    </xf>
    <xf numFmtId="0" fontId="2" fillId="0" borderId="25" xfId="0" applyFont="1" applyBorder="1"/>
    <xf numFmtId="0" fontId="2" fillId="0" borderId="0" xfId="0" applyFont="1" applyFill="1" applyBorder="1" applyAlignment="1">
      <alignment horizontal="center"/>
    </xf>
    <xf numFmtId="182" fontId="0" fillId="0" borderId="0" xfId="0" applyNumberFormat="1" applyAlignment="1">
      <alignment horizontal="left"/>
    </xf>
    <xf numFmtId="0" fontId="0" fillId="0" borderId="20" xfId="0" applyFill="1" applyBorder="1"/>
    <xf numFmtId="0" fontId="25" fillId="4" borderId="0" xfId="0" applyFont="1" applyFill="1" applyBorder="1" applyAlignment="1">
      <alignment horizontal="left"/>
    </xf>
    <xf numFmtId="0" fontId="20" fillId="4" borderId="0" xfId="0" applyFont="1" applyFill="1" applyBorder="1"/>
    <xf numFmtId="0" fontId="25" fillId="4" borderId="0" xfId="0" applyFont="1" applyFill="1" applyBorder="1" applyAlignment="1"/>
    <xf numFmtId="0" fontId="20" fillId="4" borderId="0" xfId="0" applyFont="1" applyFill="1" applyBorder="1" applyAlignment="1">
      <alignment horizontal="center"/>
    </xf>
    <xf numFmtId="0" fontId="25" fillId="4" borderId="0" xfId="0" applyFont="1" applyFill="1" applyBorder="1" applyAlignment="1">
      <alignment horizontal="center"/>
    </xf>
    <xf numFmtId="0" fontId="25" fillId="4" borderId="0" xfId="0" applyFont="1" applyFill="1" applyBorder="1"/>
    <xf numFmtId="183" fontId="0" fillId="0" borderId="18" xfId="0" applyNumberFormat="1" applyBorder="1"/>
    <xf numFmtId="183" fontId="1" fillId="0" borderId="4" xfId="4" applyNumberFormat="1" applyBorder="1"/>
    <xf numFmtId="0" fontId="1" fillId="0" borderId="12" xfId="0" applyFont="1" applyFill="1" applyBorder="1"/>
    <xf numFmtId="0" fontId="29" fillId="7" borderId="0" xfId="0" applyFont="1" applyFill="1"/>
    <xf numFmtId="0" fontId="30" fillId="7" borderId="0" xfId="0" applyFont="1" applyFill="1"/>
    <xf numFmtId="0" fontId="30" fillId="7" borderId="14" xfId="0" applyFont="1" applyFill="1" applyBorder="1"/>
    <xf numFmtId="0" fontId="29" fillId="7" borderId="11" xfId="0" applyFont="1" applyFill="1" applyBorder="1"/>
    <xf numFmtId="0" fontId="29" fillId="7" borderId="8" xfId="0" applyFont="1" applyFill="1" applyBorder="1"/>
    <xf numFmtId="0" fontId="30" fillId="7" borderId="7" xfId="0" applyFont="1" applyFill="1" applyBorder="1" applyAlignment="1"/>
    <xf numFmtId="0" fontId="30" fillId="7" borderId="0" xfId="0" applyFont="1" applyFill="1" applyBorder="1" applyAlignment="1"/>
    <xf numFmtId="0" fontId="30" fillId="7" borderId="9" xfId="0" applyFont="1" applyFill="1" applyBorder="1" applyAlignment="1"/>
    <xf numFmtId="0" fontId="29" fillId="7" borderId="7" xfId="0" applyFont="1" applyFill="1" applyBorder="1" applyAlignment="1"/>
    <xf numFmtId="0" fontId="29" fillId="7" borderId="0" xfId="0" applyFont="1" applyFill="1" applyBorder="1" applyAlignment="1"/>
    <xf numFmtId="0" fontId="29" fillId="7" borderId="9" xfId="0" applyFont="1" applyFill="1" applyBorder="1" applyAlignment="1"/>
    <xf numFmtId="0" fontId="29" fillId="7" borderId="7" xfId="0" applyFont="1" applyFill="1" applyBorder="1"/>
    <xf numFmtId="0" fontId="29" fillId="7" borderId="0" xfId="0" applyFont="1" applyFill="1" applyBorder="1"/>
    <xf numFmtId="0" fontId="29" fillId="7" borderId="9" xfId="0" applyFont="1" applyFill="1" applyBorder="1"/>
    <xf numFmtId="2" fontId="29" fillId="7" borderId="7" xfId="0" applyNumberFormat="1" applyFont="1" applyFill="1" applyBorder="1"/>
    <xf numFmtId="2" fontId="29" fillId="7" borderId="0" xfId="0" applyNumberFormat="1" applyFont="1" applyFill="1" applyBorder="1"/>
    <xf numFmtId="2" fontId="29" fillId="7" borderId="9" xfId="0" applyNumberFormat="1" applyFont="1" applyFill="1" applyBorder="1"/>
    <xf numFmtId="2" fontId="30" fillId="7" borderId="7" xfId="0" applyNumberFormat="1" applyFont="1" applyFill="1" applyBorder="1"/>
    <xf numFmtId="2" fontId="30" fillId="7" borderId="0" xfId="0" applyNumberFormat="1" applyFont="1" applyFill="1" applyBorder="1"/>
    <xf numFmtId="2" fontId="30" fillId="7" borderId="9" xfId="0" applyNumberFormat="1" applyFont="1" applyFill="1" applyBorder="1"/>
    <xf numFmtId="2" fontId="29" fillId="7" borderId="13" xfId="0" applyNumberFormat="1" applyFont="1" applyFill="1" applyBorder="1"/>
    <xf numFmtId="2" fontId="29" fillId="7" borderId="12" xfId="0" applyNumberFormat="1" applyFont="1" applyFill="1" applyBorder="1"/>
    <xf numFmtId="2" fontId="29" fillId="7" borderId="10" xfId="0" applyNumberFormat="1" applyFont="1" applyFill="1" applyBorder="1"/>
    <xf numFmtId="0" fontId="2" fillId="8" borderId="0" xfId="0" applyFont="1" applyFill="1" applyBorder="1"/>
    <xf numFmtId="0" fontId="0" fillId="8" borderId="0" xfId="0" applyFill="1" applyBorder="1"/>
    <xf numFmtId="0" fontId="2" fillId="8" borderId="25" xfId="0" applyFont="1" applyFill="1" applyBorder="1"/>
    <xf numFmtId="0" fontId="2" fillId="8" borderId="19" xfId="0" applyFont="1" applyFill="1" applyBorder="1"/>
    <xf numFmtId="183" fontId="26" fillId="0" borderId="0" xfId="0" applyNumberFormat="1" applyFont="1" applyFill="1" applyAlignment="1">
      <alignment horizontal="center" vertical="center"/>
    </xf>
    <xf numFmtId="183" fontId="27" fillId="0" borderId="0" xfId="0" applyNumberFormat="1" applyFont="1" applyFill="1" applyAlignment="1">
      <alignment horizontal="center" vertical="center"/>
    </xf>
    <xf numFmtId="183" fontId="26" fillId="0" borderId="0" xfId="0" applyNumberFormat="1" applyFont="1" applyFill="1" applyAlignment="1">
      <alignment horizontal="center" vertical="center" wrapText="1"/>
    </xf>
    <xf numFmtId="183" fontId="28" fillId="0" borderId="0" xfId="0" applyNumberFormat="1" applyFont="1" applyFill="1" applyAlignment="1">
      <alignment horizontal="center" vertical="center" wrapText="1"/>
    </xf>
    <xf numFmtId="183" fontId="0" fillId="0" borderId="18" xfId="0" applyNumberFormat="1" applyFill="1" applyBorder="1"/>
    <xf numFmtId="183" fontId="0" fillId="0" borderId="0" xfId="0" applyNumberFormat="1" applyFill="1" applyBorder="1"/>
    <xf numFmtId="183" fontId="0" fillId="0" borderId="0" xfId="0" applyNumberFormat="1" applyFill="1"/>
    <xf numFmtId="0" fontId="22" fillId="0" borderId="0" xfId="0" applyFont="1" applyFill="1"/>
    <xf numFmtId="183" fontId="22" fillId="0" borderId="0" xfId="0" applyNumberFormat="1" applyFont="1" applyFill="1"/>
    <xf numFmtId="0" fontId="22" fillId="0" borderId="21" xfId="0" applyFont="1" applyFill="1" applyBorder="1"/>
    <xf numFmtId="183" fontId="22" fillId="0" borderId="3" xfId="4" applyNumberFormat="1" applyFont="1" applyFill="1" applyBorder="1" applyAlignment="1">
      <alignment horizontal="center"/>
    </xf>
    <xf numFmtId="183" fontId="22" fillId="0" borderId="4" xfId="4" applyNumberFormat="1" applyFont="1" applyBorder="1" applyAlignment="1">
      <alignment horizontal="center"/>
    </xf>
    <xf numFmtId="183" fontId="22" fillId="0" borderId="6" xfId="4" applyNumberFormat="1" applyFont="1" applyBorder="1" applyAlignment="1">
      <alignment horizontal="center"/>
    </xf>
    <xf numFmtId="0" fontId="22" fillId="0" borderId="20" xfId="0" applyFont="1" applyFill="1" applyBorder="1"/>
    <xf numFmtId="183" fontId="22" fillId="0" borderId="20" xfId="0" applyNumberFormat="1" applyFont="1" applyBorder="1"/>
    <xf numFmtId="0" fontId="32" fillId="0" borderId="2" xfId="0" applyFont="1" applyBorder="1"/>
    <xf numFmtId="0" fontId="32" fillId="0" borderId="1" xfId="0" applyFont="1" applyBorder="1"/>
    <xf numFmtId="0" fontId="34" fillId="0" borderId="5" xfId="0" applyFont="1" applyBorder="1"/>
    <xf numFmtId="183" fontId="8" fillId="0" borderId="6" xfId="4" applyNumberFormat="1" applyFont="1" applyBorder="1" applyAlignment="1">
      <alignment horizontal="center"/>
    </xf>
    <xf numFmtId="0" fontId="22" fillId="0" borderId="20" xfId="0" applyFont="1" applyBorder="1"/>
    <xf numFmtId="183" fontId="29" fillId="0" borderId="4" xfId="4" applyNumberFormat="1" applyFont="1" applyBorder="1"/>
    <xf numFmtId="0" fontId="29" fillId="0" borderId="4" xfId="0" applyFont="1" applyBorder="1"/>
    <xf numFmtId="0" fontId="0" fillId="0" borderId="15" xfId="0" applyFill="1" applyBorder="1"/>
    <xf numFmtId="0" fontId="0" fillId="0" borderId="16" xfId="0" applyFill="1" applyBorder="1"/>
    <xf numFmtId="0" fontId="2" fillId="0" borderId="17" xfId="0" applyFont="1" applyFill="1" applyBorder="1" applyAlignment="1">
      <alignment horizontal="center"/>
    </xf>
    <xf numFmtId="0" fontId="2" fillId="0" borderId="15" xfId="0" applyFont="1" applyFill="1" applyBorder="1"/>
    <xf numFmtId="2" fontId="0" fillId="0" borderId="16" xfId="0" applyNumberFormat="1" applyFill="1" applyBorder="1"/>
    <xf numFmtId="2" fontId="0" fillId="0" borderId="17" xfId="0" applyNumberFormat="1" applyFill="1" applyBorder="1"/>
    <xf numFmtId="187" fontId="2" fillId="0" borderId="0" xfId="0" applyNumberFormat="1" applyFont="1" applyFill="1" applyBorder="1" applyAlignment="1">
      <alignment horizontal="center"/>
    </xf>
    <xf numFmtId="183" fontId="6" fillId="0" borderId="0" xfId="0" applyNumberFormat="1" applyFont="1" applyFill="1" applyBorder="1" applyAlignment="1"/>
    <xf numFmtId="183" fontId="0" fillId="0" borderId="0" xfId="0" applyNumberFormat="1" applyFill="1" applyBorder="1" applyAlignment="1"/>
    <xf numFmtId="14" fontId="0" fillId="0" borderId="4" xfId="0" applyNumberFormat="1" applyBorder="1" applyAlignment="1">
      <alignment horizontal="left"/>
    </xf>
    <xf numFmtId="49" fontId="0" fillId="0" borderId="4" xfId="0" applyNumberFormat="1" applyBorder="1"/>
    <xf numFmtId="0" fontId="2" fillId="0" borderId="4" xfId="0" applyFont="1" applyBorder="1" applyAlignment="1">
      <alignment horizontal="center"/>
    </xf>
    <xf numFmtId="183" fontId="6" fillId="0" borderId="4" xfId="0" applyNumberFormat="1" applyFont="1" applyBorder="1" applyAlignment="1">
      <alignment horizontal="center"/>
    </xf>
    <xf numFmtId="183" fontId="6" fillId="0" borderId="6" xfId="0" applyNumberFormat="1" applyFont="1" applyBorder="1" applyAlignment="1">
      <alignment horizontal="center"/>
    </xf>
    <xf numFmtId="0" fontId="38" fillId="3" borderId="7" xfId="0" applyFont="1" applyFill="1" applyBorder="1"/>
    <xf numFmtId="0" fontId="38" fillId="3" borderId="0" xfId="0" applyFont="1" applyFill="1" applyBorder="1"/>
    <xf numFmtId="0" fontId="38" fillId="3" borderId="9" xfId="0" applyFont="1" applyFill="1" applyBorder="1" applyAlignment="1">
      <alignment horizontal="right"/>
    </xf>
    <xf numFmtId="2" fontId="38" fillId="3" borderId="7" xfId="0" applyNumberFormat="1" applyFont="1" applyFill="1" applyBorder="1"/>
    <xf numFmtId="2" fontId="38" fillId="3" borderId="0" xfId="0" applyNumberFormat="1" applyFont="1" applyFill="1" applyBorder="1"/>
    <xf numFmtId="2" fontId="38" fillId="3" borderId="9" xfId="0" applyNumberFormat="1" applyFont="1" applyFill="1" applyBorder="1" applyAlignment="1">
      <alignment horizontal="right"/>
    </xf>
    <xf numFmtId="2" fontId="39" fillId="3" borderId="7" xfId="0" applyNumberFormat="1" applyFont="1" applyFill="1" applyBorder="1"/>
    <xf numFmtId="2" fontId="39" fillId="3" borderId="0" xfId="0" applyNumberFormat="1" applyFont="1" applyFill="1" applyBorder="1"/>
    <xf numFmtId="2" fontId="39" fillId="3" borderId="9" xfId="0" applyNumberFormat="1" applyFont="1" applyFill="1" applyBorder="1" applyAlignment="1">
      <alignment horizontal="right"/>
    </xf>
    <xf numFmtId="2" fontId="38" fillId="3" borderId="13" xfId="0" applyNumberFormat="1" applyFont="1" applyFill="1" applyBorder="1"/>
    <xf numFmtId="2" fontId="38" fillId="3" borderId="12" xfId="0" applyNumberFormat="1" applyFont="1" applyFill="1" applyBorder="1"/>
    <xf numFmtId="2" fontId="38" fillId="3" borderId="10" xfId="0" applyNumberFormat="1" applyFont="1" applyFill="1" applyBorder="1" applyAlignment="1">
      <alignment horizontal="right"/>
    </xf>
    <xf numFmtId="11" fontId="40" fillId="9" borderId="28" xfId="0" applyNumberFormat="1" applyFont="1" applyFill="1" applyBorder="1" applyAlignment="1">
      <alignment horizontal="center" vertical="center" wrapText="1"/>
    </xf>
    <xf numFmtId="11" fontId="40" fillId="0" borderId="28" xfId="0" applyNumberFormat="1" applyFont="1" applyBorder="1" applyAlignment="1">
      <alignment horizontal="center" vertical="center" wrapText="1"/>
    </xf>
  </cellXfs>
  <cellStyles count="5">
    <cellStyle name="Hyperlink" xfId="1" builtinId="8"/>
    <cellStyle name="Normal" xfId="0" builtinId="0"/>
    <cellStyle name="Normal 2" xfId="2" xr:uid="{10F2BD66-FEAD-40B4-85B9-E8EB5EF9C9A9}"/>
    <cellStyle name="Normal 3" xfId="3" xr:uid="{C952E1E6-6E48-4F9E-B80D-E441A14FF575}"/>
    <cellStyle name="Percent" xfId="4" builtinId="5"/>
  </cellStyles>
  <dxfs count="3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trans5_PV_5nm!$C$3</c:f>
          <c:strCache>
            <c:ptCount val="1"/>
            <c:pt idx="0">
              <c:v>Name (Test) - </c:v>
            </c:pt>
          </c:strCache>
        </c:strRef>
      </c:tx>
      <c:layout>
        <c:manualLayout>
          <c:xMode val="edge"/>
          <c:yMode val="edge"/>
          <c:x val="0.41218721662072744"/>
          <c:y val="3.2911520577694288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8566480746109061E-2"/>
          <c:y val="0.13164556962025317"/>
          <c:w val="0.85842444140702256"/>
          <c:h val="0.66835443037974684"/>
        </c:manualLayout>
      </c:layout>
      <c:scatterChart>
        <c:scatterStyle val="lineMarker"/>
        <c:varyColors val="0"/>
        <c:ser>
          <c:idx val="0"/>
          <c:order val="0"/>
          <c:tx>
            <c:strRef>
              <c:f>trans5_PV_5nm!$Z$77</c:f>
              <c:strCache>
                <c:ptCount val="1"/>
                <c:pt idx="0">
                  <c:v>M1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trans5_PV_5nm!$L$79:$L$529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trans5_PV_5nm!$Z$79:$Z$529</c:f>
              <c:numCache>
                <c:formatCode>0.00</c:formatCode>
                <c:ptCount val="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FC-4528-AFBA-C090FFED497D}"/>
            </c:ext>
          </c:extLst>
        </c:ser>
        <c:ser>
          <c:idx val="1"/>
          <c:order val="1"/>
          <c:tx>
            <c:strRef>
              <c:f>trans5_PV_5nm!$AA$77</c:f>
              <c:strCache>
                <c:ptCount val="1"/>
                <c:pt idx="0">
                  <c:v>M2</c:v>
                </c:pt>
              </c:strCache>
            </c:strRef>
          </c:tx>
          <c:spPr>
            <a:ln w="12700">
              <a:solidFill>
                <a:srgbClr val="993366"/>
              </a:solidFill>
              <a:prstDash val="solid"/>
            </a:ln>
          </c:spPr>
          <c:marker>
            <c:symbol val="none"/>
          </c:marker>
          <c:xVal>
            <c:numRef>
              <c:f>trans5_PV_5nm!$L$79:$L$529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trans5_PV_5nm!$AA$79:$AA$529</c:f>
              <c:numCache>
                <c:formatCode>0.00</c:formatCode>
                <c:ptCount val="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FC-4528-AFBA-C090FFED497D}"/>
            </c:ext>
          </c:extLst>
        </c:ser>
        <c:ser>
          <c:idx val="2"/>
          <c:order val="2"/>
          <c:tx>
            <c:strRef>
              <c:f>trans5_PV_5nm!$AB$77</c:f>
              <c:strCache>
                <c:ptCount val="1"/>
                <c:pt idx="0">
                  <c:v>M3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none"/>
          </c:marker>
          <c:xVal>
            <c:numRef>
              <c:f>trans5_PV_5nm!$L$79:$L$529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trans5_PV_5nm!$AB$79:$AB$529</c:f>
              <c:numCache>
                <c:formatCode>0.00</c:formatCode>
                <c:ptCount val="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CFC-4528-AFBA-C090FFED497D}"/>
            </c:ext>
          </c:extLst>
        </c:ser>
        <c:ser>
          <c:idx val="3"/>
          <c:order val="3"/>
          <c:tx>
            <c:strRef>
              <c:f>trans5_PV_5nm!$AC$77</c:f>
              <c:strCache>
                <c:ptCount val="1"/>
                <c:pt idx="0">
                  <c:v>M4</c:v>
                </c:pt>
              </c:strCache>
            </c:strRef>
          </c:tx>
          <c:spPr>
            <a:ln w="12700">
              <a:solidFill>
                <a:srgbClr val="339966"/>
              </a:solidFill>
              <a:prstDash val="solid"/>
            </a:ln>
          </c:spPr>
          <c:marker>
            <c:symbol val="none"/>
          </c:marker>
          <c:xVal>
            <c:numRef>
              <c:f>trans5_PV_5nm!$L$79:$L$529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trans5_PV_5nm!$AC$79:$AC$529</c:f>
              <c:numCache>
                <c:formatCode>0.00</c:formatCode>
                <c:ptCount val="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CFC-4528-AFBA-C090FFED4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9614912"/>
        <c:axId val="1"/>
      </c:scatterChart>
      <c:valAx>
        <c:axId val="519614912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193555338079889"/>
              <c:y val="0.8784808878585608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Transmittance %</a:t>
                </a:r>
              </a:p>
            </c:rich>
          </c:tx>
          <c:layout>
            <c:manualLayout>
              <c:xMode val="edge"/>
              <c:yMode val="edge"/>
              <c:x val="8.9605760511406989E-3"/>
              <c:y val="0.3341772253087653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19614912"/>
        <c:crosses val="autoZero"/>
        <c:crossBetween val="midCat"/>
        <c:majorUnit val="2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0753229962560268"/>
          <c:y val="0.93065670090731034"/>
          <c:w val="0.56786288259007534"/>
          <c:h val="5.922352345550718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4921259845" footer="0.492125984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Averaged  Hemispherical Transmittance</a:t>
            </a:r>
          </a:p>
        </c:rich>
      </c:tx>
      <c:layout>
        <c:manualLayout>
          <c:xMode val="edge"/>
          <c:yMode val="edge"/>
          <c:x val="0.28657657725670199"/>
          <c:y val="2.910596426492713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547657940436962E-2"/>
          <c:y val="0.13513527231604924"/>
          <c:w val="0.85067998603646133"/>
          <c:h val="0.73804648726457667"/>
        </c:manualLayout>
      </c:layout>
      <c:scatterChart>
        <c:scatterStyle val="lineMarker"/>
        <c:varyColors val="0"/>
        <c:ser>
          <c:idx val="4"/>
          <c:order val="0"/>
          <c:tx>
            <c:strRef>
              <c:f>trans5_PV_5nm!$AI$78</c:f>
              <c:strCache>
                <c:ptCount val="1"/>
                <c:pt idx="0">
                  <c:v>Name (Test)</c:v>
                </c:pt>
              </c:strCache>
            </c:strRef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trans5_PV_5nm!$L$79:$L$529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trans5_PV_5nm!$AI$79:$AI$529</c:f>
              <c:numCache>
                <c:formatCode>0.00</c:formatCode>
                <c:ptCount val="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 formatCode="General">
                  <c:v>0</c:v>
                </c:pt>
                <c:pt idx="103" formatCode="General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8E-494E-B4D3-2116D8C0A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2333840"/>
        <c:axId val="1"/>
      </c:scatterChart>
      <c:valAx>
        <c:axId val="622333840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1779844633514768"/>
              <c:y val="0.931393711769292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lgDashDot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Transmittance in %</a:t>
                </a:r>
              </a:p>
            </c:rich>
          </c:tx>
          <c:layout>
            <c:manualLayout>
              <c:xMode val="edge"/>
              <c:yMode val="edge"/>
              <c:x val="7.5415405289103957E-3"/>
              <c:y val="0.3700627065968218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622333840"/>
        <c:crosses val="autoZero"/>
        <c:crossBetween val="midCat"/>
        <c:majorUnit val="10"/>
        <c:minorUnit val="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72677316342168641"/>
          <c:y val="0.64576746944288865"/>
          <c:w val="0.93962751300382763"/>
          <c:h val="0.8173212971809485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4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4921259845" footer="0.4921259845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trans5_PV_5nm!$C$3</c:f>
          <c:strCache>
            <c:ptCount val="1"/>
            <c:pt idx="0">
              <c:v>Name (Test) - </c:v>
            </c:pt>
          </c:strCache>
        </c:strRef>
      </c:tx>
      <c:layout>
        <c:manualLayout>
          <c:xMode val="edge"/>
          <c:yMode val="edge"/>
          <c:x val="0.42397172512526843"/>
          <c:y val="3.313255946099520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5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8.7656606084216798E-2"/>
          <c:y val="0.13855421686746988"/>
          <c:w val="0.87298824018566934"/>
          <c:h val="0.64759036144578308"/>
        </c:manualLayout>
      </c:layout>
      <c:scatterChart>
        <c:scatterStyle val="lineMarker"/>
        <c:varyColors val="0"/>
        <c:ser>
          <c:idx val="0"/>
          <c:order val="0"/>
          <c:tx>
            <c:strRef>
              <c:f>trans5_PV_5nm!$Z$77</c:f>
              <c:strCache>
                <c:ptCount val="1"/>
                <c:pt idx="0">
                  <c:v>M1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trans5_PV_5nm!$L$79:$L$529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trans5_PV_5nm!$Z$79:$Z$529</c:f>
              <c:numCache>
                <c:formatCode>0.00</c:formatCode>
                <c:ptCount val="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CA-47E1-8ED3-589947AC3914}"/>
            </c:ext>
          </c:extLst>
        </c:ser>
        <c:ser>
          <c:idx val="1"/>
          <c:order val="1"/>
          <c:tx>
            <c:strRef>
              <c:f>trans5_PV_5nm!$AA$77</c:f>
              <c:strCache>
                <c:ptCount val="1"/>
                <c:pt idx="0">
                  <c:v>M2</c:v>
                </c:pt>
              </c:strCache>
            </c:strRef>
          </c:tx>
          <c:spPr>
            <a:ln w="12700">
              <a:solidFill>
                <a:srgbClr val="993366"/>
              </a:solidFill>
              <a:prstDash val="solid"/>
            </a:ln>
          </c:spPr>
          <c:marker>
            <c:symbol val="none"/>
          </c:marker>
          <c:xVal>
            <c:numRef>
              <c:f>trans5_PV_5nm!$L$79:$L$529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trans5_PV_5nm!$AA$79:$AA$529</c:f>
              <c:numCache>
                <c:formatCode>0.00</c:formatCode>
                <c:ptCount val="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CA-47E1-8ED3-589947AC3914}"/>
            </c:ext>
          </c:extLst>
        </c:ser>
        <c:ser>
          <c:idx val="2"/>
          <c:order val="2"/>
          <c:tx>
            <c:strRef>
              <c:f>trans5_PV_5nm!$AB$77</c:f>
              <c:strCache>
                <c:ptCount val="1"/>
                <c:pt idx="0">
                  <c:v>M3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none"/>
          </c:marker>
          <c:xVal>
            <c:numRef>
              <c:f>trans5_PV_5nm!$L$79:$L$529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trans5_PV_5nm!$AB$79:$AB$529</c:f>
              <c:numCache>
                <c:formatCode>0.00</c:formatCode>
                <c:ptCount val="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CA-47E1-8ED3-589947AC3914}"/>
            </c:ext>
          </c:extLst>
        </c:ser>
        <c:ser>
          <c:idx val="3"/>
          <c:order val="3"/>
          <c:tx>
            <c:strRef>
              <c:f>trans5_PV_5nm!$AC$77</c:f>
              <c:strCache>
                <c:ptCount val="1"/>
                <c:pt idx="0">
                  <c:v>M4</c:v>
                </c:pt>
              </c:strCache>
            </c:strRef>
          </c:tx>
          <c:spPr>
            <a:ln w="12700">
              <a:solidFill>
                <a:srgbClr val="339966"/>
              </a:solidFill>
              <a:prstDash val="solid"/>
            </a:ln>
          </c:spPr>
          <c:marker>
            <c:symbol val="none"/>
          </c:marker>
          <c:xVal>
            <c:numRef>
              <c:f>trans5_PV_5nm!$L$79:$L$529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trans5_PV_5nm!$AC$79:$AC$529</c:f>
              <c:numCache>
                <c:formatCode>0.00</c:formatCode>
                <c:ptCount val="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4CA-47E1-8ED3-589947AC3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636736"/>
        <c:axId val="1"/>
      </c:scatterChart>
      <c:valAx>
        <c:axId val="621636736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3291624910522547"/>
              <c:y val="0.8674697621560192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  <c:max val="100"/>
          <c:min val="8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Transmittance in %</a:t>
                </a:r>
              </a:p>
            </c:rich>
          </c:tx>
          <c:layout>
            <c:manualLayout>
              <c:xMode val="edge"/>
              <c:yMode val="edge"/>
              <c:x val="8.9445239799570506E-3"/>
              <c:y val="0.3283133371215195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621636736"/>
        <c:crosses val="autoZero"/>
        <c:crossBetween val="midCat"/>
        <c:majorUnit val="4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3864405869720828"/>
          <c:y val="0.91961847552561082"/>
          <c:w val="0.5022890121689334"/>
          <c:h val="6.8043510025164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4921259845" footer="0.492125984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Averaged Hemispherical Transmittance</a:t>
            </a:r>
          </a:p>
        </c:rich>
      </c:tx>
      <c:layout>
        <c:manualLayout>
          <c:xMode val="edge"/>
          <c:yMode val="edge"/>
          <c:x val="0.3042170382907744"/>
          <c:y val="3.118038654259126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397663454842411E-2"/>
          <c:y val="0.13585746102449889"/>
          <c:w val="0.85090424018160549"/>
          <c:h val="0.73051224944320714"/>
        </c:manualLayout>
      </c:layout>
      <c:scatterChart>
        <c:scatterStyle val="lineMarker"/>
        <c:varyColors val="0"/>
        <c:ser>
          <c:idx val="4"/>
          <c:order val="0"/>
          <c:tx>
            <c:strRef>
              <c:f>trans5_PV_5nm!$AI$78</c:f>
              <c:strCache>
                <c:ptCount val="1"/>
                <c:pt idx="0">
                  <c:v>Name (Test)</c:v>
                </c:pt>
              </c:strCache>
            </c:strRef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trans5_PV_5nm!$L$79:$L$529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trans5_PV_5nm!$AI$79:$AI$529</c:f>
              <c:numCache>
                <c:formatCode>0.00</c:formatCode>
                <c:ptCount val="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 formatCode="General">
                  <c:v>0</c:v>
                </c:pt>
                <c:pt idx="103" formatCode="General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F6-492B-BDA2-20A4F525C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631648"/>
        <c:axId val="1"/>
      </c:scatterChart>
      <c:valAx>
        <c:axId val="624631648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2620511688375406"/>
              <c:y val="0.928730613218802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  <c:max val="100"/>
          <c:min val="8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Transmittance in %</a:t>
                </a:r>
              </a:p>
            </c:rich>
          </c:tx>
          <c:layout>
            <c:manualLayout>
              <c:xMode val="edge"/>
              <c:yMode val="edge"/>
              <c:x val="7.5301101381018967E-3"/>
              <c:y val="0.3697105702696253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624631648"/>
        <c:crosses val="autoZero"/>
        <c:crossBetween val="midCat"/>
        <c:majorUnit val="4"/>
        <c:minorUnit val="1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72825334216400517"/>
          <c:y val="0.62880887616320691"/>
          <c:w val="0.93878646944832833"/>
          <c:h val="0.8545740873299929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4921259845" footer="0.492125984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Solar spectra </a:t>
            </a:r>
          </a:p>
        </c:rich>
      </c:tx>
      <c:layout>
        <c:manualLayout>
          <c:xMode val="edge"/>
          <c:yMode val="edge"/>
          <c:x val="0.41322321842122678"/>
          <c:y val="3.35194614868725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92561983471074"/>
          <c:y val="0.16480469405318998"/>
          <c:w val="0.8165289256198347"/>
          <c:h val="0.67597857560799968"/>
        </c:manualLayout>
      </c:layout>
      <c:scatterChart>
        <c:scatterStyle val="lineMarker"/>
        <c:varyColors val="0"/>
        <c:ser>
          <c:idx val="4"/>
          <c:order val="0"/>
          <c:tx>
            <c:strRef>
              <c:f>trans5_PV_5nm!$AM$78</c:f>
              <c:strCache>
                <c:ptCount val="1"/>
              </c:strCache>
            </c:strRef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trans5_PV_5nm!$AL$79:$AL$529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trans5_PV_5nm!$AM$79:$AM$529</c:f>
              <c:numCache>
                <c:formatCode>General</c:formatCode>
                <c:ptCount val="4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64-4401-98D5-21D4ED18DDAA}"/>
            </c:ext>
          </c:extLst>
        </c:ser>
        <c:ser>
          <c:idx val="0"/>
          <c:order val="1"/>
          <c:tx>
            <c:strRef>
              <c:f>trans5_PV_5nm!$AN$78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trans5_PV_5nm!$AL$79:$AL$529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trans5_PV_5nm!$AN$79:$AN$529</c:f>
              <c:numCache>
                <c:formatCode>General</c:formatCode>
                <c:ptCount val="4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64-4401-98D5-21D4ED18DDAA}"/>
            </c:ext>
          </c:extLst>
        </c:ser>
        <c:ser>
          <c:idx val="1"/>
          <c:order val="2"/>
          <c:tx>
            <c:strRef>
              <c:f>trans5_PV_5nm!$AO$78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trans5_PV_5nm!$AL$79:$AL$529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trans5_PV_5nm!$AO$79:$AO$529</c:f>
              <c:numCache>
                <c:formatCode>General</c:formatCode>
                <c:ptCount val="4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64-4401-98D5-21D4ED18D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7718320"/>
        <c:axId val="1"/>
      </c:scatterChart>
      <c:valAx>
        <c:axId val="807718320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512396612188182"/>
              <c:y val="0.9273752452867681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relative Intensity</a:t>
                </a:r>
              </a:p>
            </c:rich>
          </c:tx>
          <c:layout>
            <c:manualLayout>
              <c:xMode val="edge"/>
              <c:yMode val="edge"/>
              <c:x val="4.1322371468272348E-2"/>
              <c:y val="0.332402940957301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80771832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70695477403559859"/>
          <c:y val="0.58990734990933702"/>
          <c:w val="0.93805448951234049"/>
          <c:h val="0.868943093469783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4921259845" footer="0.4921259845"/>
    <c:pageSetup paperSize="9" orientation="landscape" horizontalDpi="300" verticalDpi="300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References</a:t>
            </a:r>
          </a:p>
        </c:rich>
      </c:tx>
      <c:layout>
        <c:manualLayout>
          <c:xMode val="edge"/>
          <c:yMode val="edge"/>
          <c:x val="0.43030368647100931"/>
          <c:y val="3.36136019275193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5454686693132534E-2"/>
          <c:y val="0.15406204608183999"/>
          <c:w val="0.85454671896709122"/>
          <c:h val="0.6862763870918327"/>
        </c:manualLayout>
      </c:layout>
      <c:scatterChart>
        <c:scatterStyle val="lineMarker"/>
        <c:varyColors val="0"/>
        <c:ser>
          <c:idx val="4"/>
          <c:order val="0"/>
          <c:tx>
            <c:strRef>
              <c:f>trans5_PV_5nm!$AR$76</c:f>
              <c:strCache>
                <c:ptCount val="1"/>
                <c:pt idx="0">
                  <c:v>G-95004</c:v>
                </c:pt>
              </c:strCache>
            </c:strRef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trans5_PV_5nm!$L$79:$L$529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trans5_PV_5nm!$AR$79:$AR$529</c:f>
              <c:numCache>
                <c:formatCode>0.00</c:formatCode>
                <c:ptCount val="426"/>
                <c:pt idx="0">
                  <c:v>94.131286174808068</c:v>
                </c:pt>
                <c:pt idx="1">
                  <c:v>94.286003520161174</c:v>
                </c:pt>
                <c:pt idx="2">
                  <c:v>94.393060191414961</c:v>
                </c:pt>
                <c:pt idx="3">
                  <c:v>94.438363375630615</c:v>
                </c:pt>
                <c:pt idx="4">
                  <c:v>94.397405498599667</c:v>
                </c:pt>
                <c:pt idx="5">
                  <c:v>94.49112176676384</c:v>
                </c:pt>
                <c:pt idx="6">
                  <c:v>94.585668802793421</c:v>
                </c:pt>
                <c:pt idx="7">
                  <c:v>94.64430666433951</c:v>
                </c:pt>
                <c:pt idx="8">
                  <c:v>94.684333503688137</c:v>
                </c:pt>
                <c:pt idx="9">
                  <c:v>94.74686925284152</c:v>
                </c:pt>
                <c:pt idx="10">
                  <c:v>94.83298316063663</c:v>
                </c:pt>
                <c:pt idx="11">
                  <c:v>94.86340946377031</c:v>
                </c:pt>
                <c:pt idx="12">
                  <c:v>94.928776953769628</c:v>
                </c:pt>
                <c:pt idx="13">
                  <c:v>95.00361629703059</c:v>
                </c:pt>
                <c:pt idx="14">
                  <c:v>95.058333158479357</c:v>
                </c:pt>
                <c:pt idx="15">
                  <c:v>95.117597241315238</c:v>
                </c:pt>
                <c:pt idx="16">
                  <c:v>95.184872341549678</c:v>
                </c:pt>
                <c:pt idx="17">
                  <c:v>95.238995952351388</c:v>
                </c:pt>
                <c:pt idx="18">
                  <c:v>95.491289934821836</c:v>
                </c:pt>
                <c:pt idx="19">
                  <c:v>95.454219683841032</c:v>
                </c:pt>
                <c:pt idx="20">
                  <c:v>95.435107636022892</c:v>
                </c:pt>
                <c:pt idx="21">
                  <c:v>95.418558212152291</c:v>
                </c:pt>
                <c:pt idx="22">
                  <c:v>95.397129434880227</c:v>
                </c:pt>
                <c:pt idx="23">
                  <c:v>95.366586360185337</c:v>
                </c:pt>
                <c:pt idx="24">
                  <c:v>95.350575842552416</c:v>
                </c:pt>
                <c:pt idx="25">
                  <c:v>95.311422376281328</c:v>
                </c:pt>
                <c:pt idx="26">
                  <c:v>95.288275188905459</c:v>
                </c:pt>
                <c:pt idx="27">
                  <c:v>95.265002210915341</c:v>
                </c:pt>
                <c:pt idx="28">
                  <c:v>95.232656037874349</c:v>
                </c:pt>
                <c:pt idx="29">
                  <c:v>95.221563700702518</c:v>
                </c:pt>
                <c:pt idx="30">
                  <c:v>95.226315506077</c:v>
                </c:pt>
                <c:pt idx="31">
                  <c:v>95.241189400310418</c:v>
                </c:pt>
                <c:pt idx="32">
                  <c:v>95.280102561300779</c:v>
                </c:pt>
                <c:pt idx="33">
                  <c:v>95.310076764951646</c:v>
                </c:pt>
                <c:pt idx="34">
                  <c:v>95.385279345514391</c:v>
                </c:pt>
                <c:pt idx="35">
                  <c:v>95.467026465642107</c:v>
                </c:pt>
                <c:pt idx="36">
                  <c:v>95.583372360189188</c:v>
                </c:pt>
                <c:pt idx="37">
                  <c:v>95.692387166883989</c:v>
                </c:pt>
                <c:pt idx="38">
                  <c:v>95.815011406219313</c:v>
                </c:pt>
                <c:pt idx="39">
                  <c:v>95.938847618609159</c:v>
                </c:pt>
                <c:pt idx="40">
                  <c:v>96.045367557211463</c:v>
                </c:pt>
                <c:pt idx="41">
                  <c:v>96.145579309414487</c:v>
                </c:pt>
                <c:pt idx="42">
                  <c:v>96.218543789508502</c:v>
                </c:pt>
                <c:pt idx="43">
                  <c:v>96.28208270875173</c:v>
                </c:pt>
                <c:pt idx="44">
                  <c:v>96.327804762855521</c:v>
                </c:pt>
                <c:pt idx="45">
                  <c:v>96.390454809836044</c:v>
                </c:pt>
                <c:pt idx="46">
                  <c:v>96.431400430619206</c:v>
                </c:pt>
                <c:pt idx="47">
                  <c:v>96.465481217718022</c:v>
                </c:pt>
                <c:pt idx="48">
                  <c:v>96.495339596669041</c:v>
                </c:pt>
                <c:pt idx="49">
                  <c:v>96.511439966296777</c:v>
                </c:pt>
                <c:pt idx="50">
                  <c:v>96.544747712358401</c:v>
                </c:pt>
                <c:pt idx="51">
                  <c:v>96.557215884016401</c:v>
                </c:pt>
                <c:pt idx="52">
                  <c:v>96.590044845486531</c:v>
                </c:pt>
                <c:pt idx="53">
                  <c:v>96.6098920487903</c:v>
                </c:pt>
                <c:pt idx="54">
                  <c:v>96.631815033147191</c:v>
                </c:pt>
                <c:pt idx="55">
                  <c:v>96.644126789406712</c:v>
                </c:pt>
                <c:pt idx="56">
                  <c:v>96.650895012781731</c:v>
                </c:pt>
                <c:pt idx="57">
                  <c:v>96.671876387585101</c:v>
                </c:pt>
                <c:pt idx="58">
                  <c:v>96.682722440450377</c:v>
                </c:pt>
                <c:pt idx="59">
                  <c:v>96.698657029477317</c:v>
                </c:pt>
                <c:pt idx="60">
                  <c:v>96.704776898508101</c:v>
                </c:pt>
                <c:pt idx="61">
                  <c:v>96.706484117222274</c:v>
                </c:pt>
                <c:pt idx="62">
                  <c:v>96.728980256168896</c:v>
                </c:pt>
                <c:pt idx="63">
                  <c:v>96.732672725469683</c:v>
                </c:pt>
                <c:pt idx="64">
                  <c:v>96.734302848728063</c:v>
                </c:pt>
                <c:pt idx="65">
                  <c:v>96.74005989960358</c:v>
                </c:pt>
                <c:pt idx="66">
                  <c:v>96.75631138157901</c:v>
                </c:pt>
                <c:pt idx="67">
                  <c:v>96.766170147447511</c:v>
                </c:pt>
                <c:pt idx="68">
                  <c:v>96.773577755449523</c:v>
                </c:pt>
                <c:pt idx="69">
                  <c:v>96.790243924065564</c:v>
                </c:pt>
                <c:pt idx="70">
                  <c:v>96.797690882418621</c:v>
                </c:pt>
                <c:pt idx="71">
                  <c:v>96.805265727646585</c:v>
                </c:pt>
                <c:pt idx="72">
                  <c:v>96.812394313798563</c:v>
                </c:pt>
                <c:pt idx="73">
                  <c:v>96.809348546680283</c:v>
                </c:pt>
                <c:pt idx="74">
                  <c:v>96.822074533609168</c:v>
                </c:pt>
                <c:pt idx="75">
                  <c:v>96.836457767892284</c:v>
                </c:pt>
                <c:pt idx="76">
                  <c:v>96.852771967760376</c:v>
                </c:pt>
                <c:pt idx="77">
                  <c:v>96.853436795380688</c:v>
                </c:pt>
                <c:pt idx="78">
                  <c:v>96.863581392091135</c:v>
                </c:pt>
                <c:pt idx="79">
                  <c:v>96.869933627882219</c:v>
                </c:pt>
                <c:pt idx="80">
                  <c:v>96.886519027599846</c:v>
                </c:pt>
                <c:pt idx="81">
                  <c:v>96.896577822429848</c:v>
                </c:pt>
                <c:pt idx="82">
                  <c:v>96.904149352593365</c:v>
                </c:pt>
                <c:pt idx="83">
                  <c:v>96.922235035881954</c:v>
                </c:pt>
                <c:pt idx="84">
                  <c:v>96.944246045657849</c:v>
                </c:pt>
                <c:pt idx="85">
                  <c:v>96.959726543209868</c:v>
                </c:pt>
                <c:pt idx="86">
                  <c:v>96.973136696668817</c:v>
                </c:pt>
                <c:pt idx="87">
                  <c:v>96.982694892106522</c:v>
                </c:pt>
                <c:pt idx="88">
                  <c:v>96.976748170369248</c:v>
                </c:pt>
                <c:pt idx="89">
                  <c:v>97.00214458865257</c:v>
                </c:pt>
                <c:pt idx="90">
                  <c:v>97.022415829654008</c:v>
                </c:pt>
                <c:pt idx="91">
                  <c:v>97.022090748984553</c:v>
                </c:pt>
                <c:pt idx="92">
                  <c:v>97.031626639714432</c:v>
                </c:pt>
                <c:pt idx="93">
                  <c:v>97.035990788407616</c:v>
                </c:pt>
                <c:pt idx="94">
                  <c:v>97.03258071209963</c:v>
                </c:pt>
                <c:pt idx="95">
                  <c:v>97.043907421296737</c:v>
                </c:pt>
                <c:pt idx="96">
                  <c:v>97.053257316190766</c:v>
                </c:pt>
                <c:pt idx="97">
                  <c:v>97.058327053395388</c:v>
                </c:pt>
                <c:pt idx="98">
                  <c:v>97.077184828749637</c:v>
                </c:pt>
                <c:pt idx="99">
                  <c:v>97.098826255707763</c:v>
                </c:pt>
                <c:pt idx="100">
                  <c:v>97.121449459972212</c:v>
                </c:pt>
                <c:pt idx="101">
                  <c:v>97.122860058974311</c:v>
                </c:pt>
                <c:pt idx="102">
                  <c:v>97.128499921954969</c:v>
                </c:pt>
                <c:pt idx="103">
                  <c:v>97.134139784935613</c:v>
                </c:pt>
                <c:pt idx="104">
                  <c:v>97.139779647916271</c:v>
                </c:pt>
                <c:pt idx="105">
                  <c:v>97.153811627214267</c:v>
                </c:pt>
                <c:pt idx="106">
                  <c:v>97.143235323695706</c:v>
                </c:pt>
                <c:pt idx="107">
                  <c:v>97.137491876111937</c:v>
                </c:pt>
                <c:pt idx="108">
                  <c:v>97.159312099479848</c:v>
                </c:pt>
                <c:pt idx="109">
                  <c:v>97.170223259100496</c:v>
                </c:pt>
                <c:pt idx="110">
                  <c:v>97.194607917568916</c:v>
                </c:pt>
                <c:pt idx="111">
                  <c:v>97.198530555266515</c:v>
                </c:pt>
                <c:pt idx="112">
                  <c:v>97.200954127715534</c:v>
                </c:pt>
                <c:pt idx="113">
                  <c:v>97.215298053800225</c:v>
                </c:pt>
                <c:pt idx="114">
                  <c:v>97.214024458362061</c:v>
                </c:pt>
                <c:pt idx="115">
                  <c:v>97.229230933814904</c:v>
                </c:pt>
                <c:pt idx="116">
                  <c:v>97.239686544752132</c:v>
                </c:pt>
                <c:pt idx="117">
                  <c:v>97.229032153626989</c:v>
                </c:pt>
                <c:pt idx="118">
                  <c:v>97.250344943840403</c:v>
                </c:pt>
                <c:pt idx="119">
                  <c:v>97.269369357883633</c:v>
                </c:pt>
                <c:pt idx="120">
                  <c:v>97.284585646754422</c:v>
                </c:pt>
                <c:pt idx="121">
                  <c:v>97.283986733118738</c:v>
                </c:pt>
                <c:pt idx="122">
                  <c:v>97.280598745461546</c:v>
                </c:pt>
                <c:pt idx="123">
                  <c:v>97.297833533843786</c:v>
                </c:pt>
                <c:pt idx="124">
                  <c:v>97.30871963652568</c:v>
                </c:pt>
                <c:pt idx="125">
                  <c:v>97.323921237603784</c:v>
                </c:pt>
                <c:pt idx="126">
                  <c:v>97.317698196216256</c:v>
                </c:pt>
                <c:pt idx="127">
                  <c:v>97.331160412826932</c:v>
                </c:pt>
                <c:pt idx="128">
                  <c:v>97.34654505474515</c:v>
                </c:pt>
                <c:pt idx="129">
                  <c:v>97.348248238922608</c:v>
                </c:pt>
                <c:pt idx="130">
                  <c:v>97.362578195027822</c:v>
                </c:pt>
                <c:pt idx="131">
                  <c:v>97.36899708352189</c:v>
                </c:pt>
                <c:pt idx="132">
                  <c:v>97.359486680123482</c:v>
                </c:pt>
                <c:pt idx="133">
                  <c:v>97.364915063559522</c:v>
                </c:pt>
                <c:pt idx="134">
                  <c:v>97.385414977685926</c:v>
                </c:pt>
                <c:pt idx="135">
                  <c:v>97.389729862071405</c:v>
                </c:pt>
                <c:pt idx="136">
                  <c:v>97.391472241180168</c:v>
                </c:pt>
                <c:pt idx="137">
                  <c:v>97.400278784888584</c:v>
                </c:pt>
                <c:pt idx="138">
                  <c:v>97.390273599032994</c:v>
                </c:pt>
                <c:pt idx="139">
                  <c:v>97.409124239318658</c:v>
                </c:pt>
                <c:pt idx="140">
                  <c:v>97.411855091839939</c:v>
                </c:pt>
                <c:pt idx="141">
                  <c:v>97.408447213606976</c:v>
                </c:pt>
                <c:pt idx="142">
                  <c:v>97.421216201296104</c:v>
                </c:pt>
                <c:pt idx="143">
                  <c:v>97.429990354465573</c:v>
                </c:pt>
                <c:pt idx="144">
                  <c:v>97.425702485274257</c:v>
                </c:pt>
                <c:pt idx="145">
                  <c:v>97.423193827829621</c:v>
                </c:pt>
                <c:pt idx="146">
                  <c:v>97.421368414462378</c:v>
                </c:pt>
                <c:pt idx="147">
                  <c:v>97.427137038602169</c:v>
                </c:pt>
                <c:pt idx="148">
                  <c:v>97.421853311497856</c:v>
                </c:pt>
                <c:pt idx="149">
                  <c:v>97.419855339243313</c:v>
                </c:pt>
                <c:pt idx="150">
                  <c:v>97.425592310220068</c:v>
                </c:pt>
                <c:pt idx="151">
                  <c:v>97.426302640779468</c:v>
                </c:pt>
                <c:pt idx="152">
                  <c:v>97.435690080173913</c:v>
                </c:pt>
                <c:pt idx="153">
                  <c:v>97.422147158969779</c:v>
                </c:pt>
                <c:pt idx="154">
                  <c:v>97.419215607800709</c:v>
                </c:pt>
                <c:pt idx="155">
                  <c:v>97.41978408662716</c:v>
                </c:pt>
                <c:pt idx="156">
                  <c:v>97.428051760845747</c:v>
                </c:pt>
                <c:pt idx="157">
                  <c:v>97.420315056240725</c:v>
                </c:pt>
                <c:pt idx="158">
                  <c:v>97.407971334329446</c:v>
                </c:pt>
                <c:pt idx="159">
                  <c:v>97.408172256101537</c:v>
                </c:pt>
                <c:pt idx="160">
                  <c:v>97.40273658147612</c:v>
                </c:pt>
                <c:pt idx="161">
                  <c:v>97.39510752076059</c:v>
                </c:pt>
                <c:pt idx="162">
                  <c:v>97.385345818518928</c:v>
                </c:pt>
                <c:pt idx="163">
                  <c:v>97.387287547517658</c:v>
                </c:pt>
                <c:pt idx="164">
                  <c:v>97.369017071931879</c:v>
                </c:pt>
                <c:pt idx="165">
                  <c:v>97.347399582015726</c:v>
                </c:pt>
                <c:pt idx="166">
                  <c:v>97.338706615130789</c:v>
                </c:pt>
                <c:pt idx="167">
                  <c:v>97.308277864322392</c:v>
                </c:pt>
                <c:pt idx="168">
                  <c:v>97.327425571443925</c:v>
                </c:pt>
                <c:pt idx="169">
                  <c:v>97.306040962059043</c:v>
                </c:pt>
                <c:pt idx="170">
                  <c:v>97.32571020554866</c:v>
                </c:pt>
                <c:pt idx="171">
                  <c:v>97.33257381942515</c:v>
                </c:pt>
                <c:pt idx="172">
                  <c:v>97.329909196793707</c:v>
                </c:pt>
                <c:pt idx="173">
                  <c:v>97.316199544412441</c:v>
                </c:pt>
                <c:pt idx="174">
                  <c:v>97.303078305060566</c:v>
                </c:pt>
                <c:pt idx="175">
                  <c:v>97.289989386154886</c:v>
                </c:pt>
                <c:pt idx="176">
                  <c:v>97.292199338240309</c:v>
                </c:pt>
                <c:pt idx="177">
                  <c:v>97.265436018183593</c:v>
                </c:pt>
                <c:pt idx="178">
                  <c:v>97.259648827371549</c:v>
                </c:pt>
                <c:pt idx="179">
                  <c:v>97.258036157526888</c:v>
                </c:pt>
                <c:pt idx="180">
                  <c:v>97.264908132709351</c:v>
                </c:pt>
                <c:pt idx="181">
                  <c:v>97.22884978431091</c:v>
                </c:pt>
                <c:pt idx="182">
                  <c:v>97.224764593200533</c:v>
                </c:pt>
                <c:pt idx="183">
                  <c:v>97.213543276986385</c:v>
                </c:pt>
                <c:pt idx="184">
                  <c:v>97.1908909610205</c:v>
                </c:pt>
                <c:pt idx="185">
                  <c:v>97.181593407356459</c:v>
                </c:pt>
                <c:pt idx="186">
                  <c:v>97.176404620002288</c:v>
                </c:pt>
                <c:pt idx="187">
                  <c:v>97.168244833333802</c:v>
                </c:pt>
                <c:pt idx="188">
                  <c:v>97.150021680378543</c:v>
                </c:pt>
                <c:pt idx="189">
                  <c:v>97.114694617750004</c:v>
                </c:pt>
                <c:pt idx="190">
                  <c:v>97.092338403598092</c:v>
                </c:pt>
                <c:pt idx="191">
                  <c:v>97.082098704434586</c:v>
                </c:pt>
                <c:pt idx="192">
                  <c:v>97.077572857314806</c:v>
                </c:pt>
                <c:pt idx="193">
                  <c:v>97.029252435179231</c:v>
                </c:pt>
                <c:pt idx="194">
                  <c:v>97.064391561777214</c:v>
                </c:pt>
                <c:pt idx="195">
                  <c:v>97.047353534721523</c:v>
                </c:pt>
                <c:pt idx="196">
                  <c:v>97.084499744467962</c:v>
                </c:pt>
                <c:pt idx="197">
                  <c:v>97.110587874654286</c:v>
                </c:pt>
                <c:pt idx="198">
                  <c:v>97.122513908916019</c:v>
                </c:pt>
                <c:pt idx="199">
                  <c:v>97.11837912890968</c:v>
                </c:pt>
                <c:pt idx="200">
                  <c:v>97.143028917679899</c:v>
                </c:pt>
                <c:pt idx="201">
                  <c:v>97.148700308040318</c:v>
                </c:pt>
                <c:pt idx="202">
                  <c:v>97.119895451509976</c:v>
                </c:pt>
                <c:pt idx="203">
                  <c:v>97.105742743594647</c:v>
                </c:pt>
                <c:pt idx="204">
                  <c:v>97.117323073734156</c:v>
                </c:pt>
                <c:pt idx="205">
                  <c:v>97.114238483988345</c:v>
                </c:pt>
                <c:pt idx="206">
                  <c:v>97.110389585672294</c:v>
                </c:pt>
                <c:pt idx="207">
                  <c:v>97.124679204369272</c:v>
                </c:pt>
                <c:pt idx="208">
                  <c:v>97.106654650725702</c:v>
                </c:pt>
                <c:pt idx="209">
                  <c:v>97.075685569829645</c:v>
                </c:pt>
                <c:pt idx="210">
                  <c:v>97.080385588149284</c:v>
                </c:pt>
                <c:pt idx="211">
                  <c:v>97.070185662681524</c:v>
                </c:pt>
                <c:pt idx="212">
                  <c:v>97.083755997924243</c:v>
                </c:pt>
                <c:pt idx="213">
                  <c:v>97.082163513910885</c:v>
                </c:pt>
                <c:pt idx="214">
                  <c:v>97.059239550716185</c:v>
                </c:pt>
                <c:pt idx="215">
                  <c:v>97.028699530823246</c:v>
                </c:pt>
                <c:pt idx="216">
                  <c:v>97.03795495216923</c:v>
                </c:pt>
                <c:pt idx="217">
                  <c:v>97.046020447504532</c:v>
                </c:pt>
                <c:pt idx="218">
                  <c:v>97.018333398322497</c:v>
                </c:pt>
                <c:pt idx="219">
                  <c:v>97.023372335989976</c:v>
                </c:pt>
                <c:pt idx="220">
                  <c:v>97.029839700231378</c:v>
                </c:pt>
                <c:pt idx="221">
                  <c:v>97.009677060969253</c:v>
                </c:pt>
                <c:pt idx="222">
                  <c:v>96.993635424929607</c:v>
                </c:pt>
                <c:pt idx="223">
                  <c:v>97.006524421590484</c:v>
                </c:pt>
                <c:pt idx="224">
                  <c:v>96.997305922621251</c:v>
                </c:pt>
                <c:pt idx="225">
                  <c:v>96.991748786302537</c:v>
                </c:pt>
                <c:pt idx="226">
                  <c:v>97.014845610923444</c:v>
                </c:pt>
                <c:pt idx="227">
                  <c:v>96.9814049261458</c:v>
                </c:pt>
                <c:pt idx="228">
                  <c:v>96.961678668200548</c:v>
                </c:pt>
                <c:pt idx="229">
                  <c:v>96.968646970080229</c:v>
                </c:pt>
                <c:pt idx="230">
                  <c:v>96.971538890397014</c:v>
                </c:pt>
                <c:pt idx="231">
                  <c:v>96.984788825585326</c:v>
                </c:pt>
                <c:pt idx="232">
                  <c:v>96.967529884332194</c:v>
                </c:pt>
                <c:pt idx="233">
                  <c:v>96.964542738145568</c:v>
                </c:pt>
                <c:pt idx="234">
                  <c:v>96.961617869447863</c:v>
                </c:pt>
                <c:pt idx="235">
                  <c:v>96.946551695490825</c:v>
                </c:pt>
                <c:pt idx="236">
                  <c:v>96.960428753802162</c:v>
                </c:pt>
                <c:pt idx="237">
                  <c:v>96.943215433001356</c:v>
                </c:pt>
                <c:pt idx="238">
                  <c:v>96.921810429262166</c:v>
                </c:pt>
                <c:pt idx="239">
                  <c:v>96.939328591937326</c:v>
                </c:pt>
                <c:pt idx="240">
                  <c:v>96.912454597825942</c:v>
                </c:pt>
                <c:pt idx="241">
                  <c:v>96.922277049160741</c:v>
                </c:pt>
                <c:pt idx="242">
                  <c:v>96.925489887097129</c:v>
                </c:pt>
                <c:pt idx="243">
                  <c:v>96.93130065277802</c:v>
                </c:pt>
                <c:pt idx="244">
                  <c:v>96.906474873024194</c:v>
                </c:pt>
                <c:pt idx="245">
                  <c:v>96.90143606325455</c:v>
                </c:pt>
                <c:pt idx="246">
                  <c:v>96.909393982881468</c:v>
                </c:pt>
                <c:pt idx="247">
                  <c:v>96.898059126088242</c:v>
                </c:pt>
                <c:pt idx="248">
                  <c:v>96.890454377815459</c:v>
                </c:pt>
                <c:pt idx="249">
                  <c:v>96.904723497618249</c:v>
                </c:pt>
                <c:pt idx="250">
                  <c:v>96.880858250153935</c:v>
                </c:pt>
                <c:pt idx="251">
                  <c:v>96.892600659566185</c:v>
                </c:pt>
                <c:pt idx="252">
                  <c:v>96.894723329588544</c:v>
                </c:pt>
                <c:pt idx="253">
                  <c:v>96.911669142032665</c:v>
                </c:pt>
                <c:pt idx="254">
                  <c:v>96.889283200155703</c:v>
                </c:pt>
                <c:pt idx="255">
                  <c:v>96.887615968794805</c:v>
                </c:pt>
                <c:pt idx="256">
                  <c:v>96.882286191779144</c:v>
                </c:pt>
                <c:pt idx="257">
                  <c:v>96.87216468883571</c:v>
                </c:pt>
                <c:pt idx="258">
                  <c:v>96.860311830466614</c:v>
                </c:pt>
                <c:pt idx="259">
                  <c:v>96.864170785887211</c:v>
                </c:pt>
                <c:pt idx="260">
                  <c:v>96.849673714918552</c:v>
                </c:pt>
                <c:pt idx="261">
                  <c:v>96.842372839215201</c:v>
                </c:pt>
                <c:pt idx="262">
                  <c:v>96.851554235526336</c:v>
                </c:pt>
                <c:pt idx="263">
                  <c:v>96.868512296336561</c:v>
                </c:pt>
                <c:pt idx="264">
                  <c:v>96.855376163627838</c:v>
                </c:pt>
                <c:pt idx="265">
                  <c:v>96.841201488847005</c:v>
                </c:pt>
                <c:pt idx="266">
                  <c:v>96.838841425461723</c:v>
                </c:pt>
                <c:pt idx="267">
                  <c:v>96.841916411387729</c:v>
                </c:pt>
                <c:pt idx="268">
                  <c:v>96.829398993142263</c:v>
                </c:pt>
                <c:pt idx="269">
                  <c:v>96.83859618354343</c:v>
                </c:pt>
                <c:pt idx="270">
                  <c:v>96.827486263497249</c:v>
                </c:pt>
                <c:pt idx="271">
                  <c:v>96.833502531976322</c:v>
                </c:pt>
                <c:pt idx="272">
                  <c:v>96.816647346543178</c:v>
                </c:pt>
                <c:pt idx="273">
                  <c:v>96.820071667058755</c:v>
                </c:pt>
                <c:pt idx="274">
                  <c:v>96.818374912218303</c:v>
                </c:pt>
                <c:pt idx="275">
                  <c:v>96.828662291168328</c:v>
                </c:pt>
                <c:pt idx="276">
                  <c:v>96.814029701272943</c:v>
                </c:pt>
                <c:pt idx="277">
                  <c:v>96.821083978387023</c:v>
                </c:pt>
                <c:pt idx="278">
                  <c:v>96.814666661201628</c:v>
                </c:pt>
                <c:pt idx="279">
                  <c:v>96.795618184305326</c:v>
                </c:pt>
                <c:pt idx="280">
                  <c:v>96.798891522365366</c:v>
                </c:pt>
                <c:pt idx="281">
                  <c:v>96.795662664524343</c:v>
                </c:pt>
                <c:pt idx="282">
                  <c:v>96.802777437458602</c:v>
                </c:pt>
                <c:pt idx="283">
                  <c:v>96.796121879397205</c:v>
                </c:pt>
                <c:pt idx="284">
                  <c:v>96.800557648181623</c:v>
                </c:pt>
                <c:pt idx="285">
                  <c:v>96.799560537054859</c:v>
                </c:pt>
                <c:pt idx="286">
                  <c:v>96.797278371279091</c:v>
                </c:pt>
                <c:pt idx="287">
                  <c:v>96.806381905871106</c:v>
                </c:pt>
                <c:pt idx="288">
                  <c:v>96.79054245027244</c:v>
                </c:pt>
                <c:pt idx="289">
                  <c:v>96.788674057499449</c:v>
                </c:pt>
                <c:pt idx="290">
                  <c:v>96.796606048555574</c:v>
                </c:pt>
                <c:pt idx="291">
                  <c:v>96.782155519701291</c:v>
                </c:pt>
                <c:pt idx="292">
                  <c:v>96.78447146278377</c:v>
                </c:pt>
                <c:pt idx="293">
                  <c:v>96.781664197759881</c:v>
                </c:pt>
                <c:pt idx="294">
                  <c:v>96.786913113555173</c:v>
                </c:pt>
                <c:pt idx="295">
                  <c:v>96.791240092235498</c:v>
                </c:pt>
                <c:pt idx="296">
                  <c:v>96.784055882332268</c:v>
                </c:pt>
                <c:pt idx="297">
                  <c:v>96.772704841222449</c:v>
                </c:pt>
                <c:pt idx="298">
                  <c:v>96.775774517672303</c:v>
                </c:pt>
                <c:pt idx="299">
                  <c:v>96.777274573626372</c:v>
                </c:pt>
                <c:pt idx="300">
                  <c:v>96.768679323443848</c:v>
                </c:pt>
                <c:pt idx="301">
                  <c:v>96.752080914229865</c:v>
                </c:pt>
                <c:pt idx="302">
                  <c:v>96.745615538391917</c:v>
                </c:pt>
                <c:pt idx="303">
                  <c:v>96.734214332506269</c:v>
                </c:pt>
                <c:pt idx="304">
                  <c:v>96.728463781737972</c:v>
                </c:pt>
                <c:pt idx="305">
                  <c:v>96.713643874128664</c:v>
                </c:pt>
                <c:pt idx="306">
                  <c:v>96.718749893149933</c:v>
                </c:pt>
                <c:pt idx="307">
                  <c:v>96.706941059261581</c:v>
                </c:pt>
                <c:pt idx="308">
                  <c:v>96.709496757028489</c:v>
                </c:pt>
                <c:pt idx="309">
                  <c:v>96.748109252742395</c:v>
                </c:pt>
                <c:pt idx="310">
                  <c:v>96.715126550846364</c:v>
                </c:pt>
                <c:pt idx="311">
                  <c:v>96.69138126999394</c:v>
                </c:pt>
                <c:pt idx="312">
                  <c:v>96.702204782024296</c:v>
                </c:pt>
                <c:pt idx="313">
                  <c:v>96.716850728099345</c:v>
                </c:pt>
                <c:pt idx="314">
                  <c:v>96.694710117979596</c:v>
                </c:pt>
                <c:pt idx="315">
                  <c:v>96.692736895329674</c:v>
                </c:pt>
                <c:pt idx="316">
                  <c:v>96.706338602233942</c:v>
                </c:pt>
                <c:pt idx="317">
                  <c:v>96.686262471439065</c:v>
                </c:pt>
                <c:pt idx="318">
                  <c:v>96.68306826237</c:v>
                </c:pt>
                <c:pt idx="319">
                  <c:v>96.693456373099295</c:v>
                </c:pt>
                <c:pt idx="320">
                  <c:v>96.677145401428234</c:v>
                </c:pt>
                <c:pt idx="321">
                  <c:v>96.68443860826018</c:v>
                </c:pt>
                <c:pt idx="322">
                  <c:v>96.632031383361053</c:v>
                </c:pt>
                <c:pt idx="323">
                  <c:v>96.638507862152267</c:v>
                </c:pt>
                <c:pt idx="324">
                  <c:v>96.642062968993585</c:v>
                </c:pt>
                <c:pt idx="325">
                  <c:v>96.601545066247354</c:v>
                </c:pt>
                <c:pt idx="326">
                  <c:v>96.586356197017892</c:v>
                </c:pt>
                <c:pt idx="327">
                  <c:v>96.590261454331127</c:v>
                </c:pt>
                <c:pt idx="328">
                  <c:v>96.592787592704497</c:v>
                </c:pt>
                <c:pt idx="329">
                  <c:v>96.572739688257954</c:v>
                </c:pt>
                <c:pt idx="330">
                  <c:v>96.573363462925371</c:v>
                </c:pt>
                <c:pt idx="331">
                  <c:v>96.540888378931811</c:v>
                </c:pt>
                <c:pt idx="332">
                  <c:v>96.517685374572579</c:v>
                </c:pt>
                <c:pt idx="333">
                  <c:v>96.513013280452697</c:v>
                </c:pt>
                <c:pt idx="334">
                  <c:v>96.472066720497978</c:v>
                </c:pt>
                <c:pt idx="335">
                  <c:v>96.468555232259305</c:v>
                </c:pt>
                <c:pt idx="336">
                  <c:v>96.467134073369564</c:v>
                </c:pt>
                <c:pt idx="337">
                  <c:v>96.445698874009395</c:v>
                </c:pt>
                <c:pt idx="338">
                  <c:v>96.416038830495339</c:v>
                </c:pt>
                <c:pt idx="339">
                  <c:v>96.397712733978878</c:v>
                </c:pt>
                <c:pt idx="340">
                  <c:v>96.36020030113184</c:v>
                </c:pt>
                <c:pt idx="341">
                  <c:v>96.322518476577514</c:v>
                </c:pt>
                <c:pt idx="342">
                  <c:v>96.296150671995449</c:v>
                </c:pt>
                <c:pt idx="343">
                  <c:v>96.268358522197545</c:v>
                </c:pt>
                <c:pt idx="344">
                  <c:v>96.24259062873567</c:v>
                </c:pt>
                <c:pt idx="345">
                  <c:v>96.239801859746493</c:v>
                </c:pt>
                <c:pt idx="346">
                  <c:v>96.200797470421733</c:v>
                </c:pt>
                <c:pt idx="347">
                  <c:v>96.182003850078331</c:v>
                </c:pt>
                <c:pt idx="348">
                  <c:v>96.18657106075905</c:v>
                </c:pt>
                <c:pt idx="349">
                  <c:v>96.178727992661493</c:v>
                </c:pt>
                <c:pt idx="350">
                  <c:v>96.146978048956043</c:v>
                </c:pt>
                <c:pt idx="351">
                  <c:v>96.135742271882137</c:v>
                </c:pt>
                <c:pt idx="352">
                  <c:v>96.111967258438611</c:v>
                </c:pt>
                <c:pt idx="353">
                  <c:v>96.077378968363476</c:v>
                </c:pt>
                <c:pt idx="354">
                  <c:v>96.052212478221904</c:v>
                </c:pt>
                <c:pt idx="355">
                  <c:v>96.028002370175003</c:v>
                </c:pt>
                <c:pt idx="356">
                  <c:v>95.985164560307808</c:v>
                </c:pt>
                <c:pt idx="357">
                  <c:v>95.949196091773828</c:v>
                </c:pt>
                <c:pt idx="358">
                  <c:v>95.931173519630661</c:v>
                </c:pt>
                <c:pt idx="359">
                  <c:v>95.920901654026849</c:v>
                </c:pt>
                <c:pt idx="360">
                  <c:v>95.884241225244992</c:v>
                </c:pt>
                <c:pt idx="361">
                  <c:v>95.851371382207432</c:v>
                </c:pt>
                <c:pt idx="362">
                  <c:v>95.80845944404841</c:v>
                </c:pt>
                <c:pt idx="363">
                  <c:v>95.739704646673246</c:v>
                </c:pt>
                <c:pt idx="364">
                  <c:v>95.671415332940185</c:v>
                </c:pt>
                <c:pt idx="365">
                  <c:v>95.620561079788743</c:v>
                </c:pt>
                <c:pt idx="366">
                  <c:v>95.576470496975091</c:v>
                </c:pt>
                <c:pt idx="367">
                  <c:v>95.525009110210704</c:v>
                </c:pt>
                <c:pt idx="368">
                  <c:v>95.44061300720125</c:v>
                </c:pt>
                <c:pt idx="369">
                  <c:v>95.358220076865493</c:v>
                </c:pt>
                <c:pt idx="370">
                  <c:v>95.158337045490725</c:v>
                </c:pt>
                <c:pt idx="371">
                  <c:v>94.965949839596547</c:v>
                </c:pt>
                <c:pt idx="372">
                  <c:v>95.043185304781801</c:v>
                </c:pt>
                <c:pt idx="373">
                  <c:v>95.106559458400042</c:v>
                </c:pt>
                <c:pt idx="374">
                  <c:v>95.025956051073322</c:v>
                </c:pt>
                <c:pt idx="375">
                  <c:v>94.946946453701912</c:v>
                </c:pt>
                <c:pt idx="376">
                  <c:v>94.822035800568074</c:v>
                </c:pt>
                <c:pt idx="377">
                  <c:v>94.690384578910425</c:v>
                </c:pt>
                <c:pt idx="378">
                  <c:v>94.562216951366608</c:v>
                </c:pt>
                <c:pt idx="379">
                  <c:v>94.452136693846128</c:v>
                </c:pt>
                <c:pt idx="380">
                  <c:v>94.323521093328807</c:v>
                </c:pt>
                <c:pt idx="381">
                  <c:v>94.183802713477789</c:v>
                </c:pt>
                <c:pt idx="382">
                  <c:v>94.013179748995654</c:v>
                </c:pt>
                <c:pt idx="383">
                  <c:v>93.843107773699046</c:v>
                </c:pt>
                <c:pt idx="384">
                  <c:v>93.658818062400655</c:v>
                </c:pt>
                <c:pt idx="385">
                  <c:v>93.462446131468823</c:v>
                </c:pt>
                <c:pt idx="386">
                  <c:v>93.243768396785512</c:v>
                </c:pt>
                <c:pt idx="387">
                  <c:v>93.022302838184942</c:v>
                </c:pt>
                <c:pt idx="388">
                  <c:v>92.764928897490606</c:v>
                </c:pt>
                <c:pt idx="389">
                  <c:v>92.504317485034377</c:v>
                </c:pt>
                <c:pt idx="390">
                  <c:v>92.190018537510625</c:v>
                </c:pt>
                <c:pt idx="391">
                  <c:v>91.867253292695423</c:v>
                </c:pt>
                <c:pt idx="392">
                  <c:v>91.475290452558156</c:v>
                </c:pt>
                <c:pt idx="393">
                  <c:v>91.085602157600832</c:v>
                </c:pt>
                <c:pt idx="394">
                  <c:v>90.601231226774075</c:v>
                </c:pt>
                <c:pt idx="395">
                  <c:v>90.102659246197916</c:v>
                </c:pt>
                <c:pt idx="396">
                  <c:v>89.448071603676127</c:v>
                </c:pt>
                <c:pt idx="397">
                  <c:v>88.800875154089724</c:v>
                </c:pt>
                <c:pt idx="398">
                  <c:v>87.907953162091118</c:v>
                </c:pt>
                <c:pt idx="399">
                  <c:v>87.00372862809833</c:v>
                </c:pt>
                <c:pt idx="400">
                  <c:v>86.114222341137136</c:v>
                </c:pt>
                <c:pt idx="401">
                  <c:v>85.243651605811408</c:v>
                </c:pt>
                <c:pt idx="402">
                  <c:v>83.984856865181314</c:v>
                </c:pt>
                <c:pt idx="403">
                  <c:v>82.723400802944809</c:v>
                </c:pt>
                <c:pt idx="404">
                  <c:v>80.768768856088556</c:v>
                </c:pt>
                <c:pt idx="405">
                  <c:v>78.842425170519661</c:v>
                </c:pt>
                <c:pt idx="406">
                  <c:v>74.975964295943044</c:v>
                </c:pt>
                <c:pt idx="407">
                  <c:v>71.098827959880282</c:v>
                </c:pt>
                <c:pt idx="408">
                  <c:v>61.683212420955357</c:v>
                </c:pt>
                <c:pt idx="409">
                  <c:v>51.80894064270413</c:v>
                </c:pt>
                <c:pt idx="410">
                  <c:v>32.340795625832975</c:v>
                </c:pt>
                <c:pt idx="411">
                  <c:v>14.197446584075621</c:v>
                </c:pt>
                <c:pt idx="412">
                  <c:v>11.895917350273615</c:v>
                </c:pt>
                <c:pt idx="413">
                  <c:v>8.48286883473987</c:v>
                </c:pt>
                <c:pt idx="414">
                  <c:v>8.9965674128960558</c:v>
                </c:pt>
                <c:pt idx="415">
                  <c:v>9.6943747306200354</c:v>
                </c:pt>
                <c:pt idx="416">
                  <c:v>9.4112179739484958</c:v>
                </c:pt>
                <c:pt idx="417">
                  <c:v>9.1672227298050153</c:v>
                </c:pt>
                <c:pt idx="418">
                  <c:v>8.372424242424243</c:v>
                </c:pt>
                <c:pt idx="419">
                  <c:v>7.5320741940906544</c:v>
                </c:pt>
                <c:pt idx="420">
                  <c:v>6.9814919843464329</c:v>
                </c:pt>
                <c:pt idx="421">
                  <c:v>6.3964766063269911</c:v>
                </c:pt>
                <c:pt idx="422">
                  <c:v>6.2180445125694446</c:v>
                </c:pt>
                <c:pt idx="423">
                  <c:v>6.0545689769554345</c:v>
                </c:pt>
                <c:pt idx="424">
                  <c:v>6.1093222155508853</c:v>
                </c:pt>
                <c:pt idx="425">
                  <c:v>6.1631345469616967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75-449D-855F-F70A3822C652}"/>
            </c:ext>
          </c:extLst>
        </c:ser>
        <c:ser>
          <c:idx val="0"/>
          <c:order val="1"/>
          <c:tx>
            <c:strRef>
              <c:f>trans5_PV_5nm!$AS$76</c:f>
              <c:strCache>
                <c:ptCount val="1"/>
                <c:pt idx="0">
                  <c:v>G-95008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trans5_PV_5nm!$L$79:$L$529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trans5_PV_5nm!$AS$79:$AS$529</c:f>
              <c:numCache>
                <c:formatCode>0.00</c:formatCode>
                <c:ptCount val="426"/>
                <c:pt idx="0">
                  <c:v>94.058070024438621</c:v>
                </c:pt>
                <c:pt idx="1">
                  <c:v>94.161338059504203</c:v>
                </c:pt>
                <c:pt idx="2">
                  <c:v>94.293208515093468</c:v>
                </c:pt>
                <c:pt idx="3">
                  <c:v>94.350376031378332</c:v>
                </c:pt>
                <c:pt idx="4">
                  <c:v>94.379270835493386</c:v>
                </c:pt>
                <c:pt idx="5">
                  <c:v>94.449203014624956</c:v>
                </c:pt>
                <c:pt idx="6">
                  <c:v>94.507044925836212</c:v>
                </c:pt>
                <c:pt idx="7">
                  <c:v>94.53920512677378</c:v>
                </c:pt>
                <c:pt idx="8">
                  <c:v>94.566365728270625</c:v>
                </c:pt>
                <c:pt idx="9">
                  <c:v>94.656391440238608</c:v>
                </c:pt>
                <c:pt idx="10">
                  <c:v>94.736751756148422</c:v>
                </c:pt>
                <c:pt idx="11">
                  <c:v>94.794064523790254</c:v>
                </c:pt>
                <c:pt idx="12">
                  <c:v>94.854755253127053</c:v>
                </c:pt>
                <c:pt idx="13">
                  <c:v>94.906675670293794</c:v>
                </c:pt>
                <c:pt idx="14">
                  <c:v>94.991504939830861</c:v>
                </c:pt>
                <c:pt idx="15">
                  <c:v>95.034578700468884</c:v>
                </c:pt>
                <c:pt idx="16">
                  <c:v>95.1049712203544</c:v>
                </c:pt>
                <c:pt idx="17">
                  <c:v>95.16439315194377</c:v>
                </c:pt>
                <c:pt idx="18">
                  <c:v>95.42590884457951</c:v>
                </c:pt>
                <c:pt idx="19">
                  <c:v>95.402558584023495</c:v>
                </c:pt>
                <c:pt idx="20">
                  <c:v>95.372677891129101</c:v>
                </c:pt>
                <c:pt idx="21">
                  <c:v>95.352803815097332</c:v>
                </c:pt>
                <c:pt idx="22">
                  <c:v>95.327286731882907</c:v>
                </c:pt>
                <c:pt idx="23">
                  <c:v>95.306498420289472</c:v>
                </c:pt>
                <c:pt idx="24">
                  <c:v>95.273026058802273</c:v>
                </c:pt>
                <c:pt idx="25">
                  <c:v>95.240546999880294</c:v>
                </c:pt>
                <c:pt idx="26">
                  <c:v>95.217531100016302</c:v>
                </c:pt>
                <c:pt idx="27">
                  <c:v>95.183051317941946</c:v>
                </c:pt>
                <c:pt idx="28">
                  <c:v>95.167899809051775</c:v>
                </c:pt>
                <c:pt idx="29">
                  <c:v>95.152720800029542</c:v>
                </c:pt>
                <c:pt idx="30">
                  <c:v>95.157939358729735</c:v>
                </c:pt>
                <c:pt idx="31">
                  <c:v>95.16255528974834</c:v>
                </c:pt>
                <c:pt idx="32">
                  <c:v>95.203710594933071</c:v>
                </c:pt>
                <c:pt idx="33">
                  <c:v>95.244265940404375</c:v>
                </c:pt>
                <c:pt idx="34">
                  <c:v>95.326838764736308</c:v>
                </c:pt>
                <c:pt idx="35">
                  <c:v>95.402483707948704</c:v>
                </c:pt>
                <c:pt idx="36">
                  <c:v>95.520729188729618</c:v>
                </c:pt>
                <c:pt idx="37">
                  <c:v>95.632843645230125</c:v>
                </c:pt>
                <c:pt idx="38">
                  <c:v>95.760735967393842</c:v>
                </c:pt>
                <c:pt idx="39">
                  <c:v>95.903079509427585</c:v>
                </c:pt>
                <c:pt idx="40">
                  <c:v>96.013430734719194</c:v>
                </c:pt>
                <c:pt idx="41">
                  <c:v>96.11542393620158</c:v>
                </c:pt>
                <c:pt idx="42">
                  <c:v>96.186872954477835</c:v>
                </c:pt>
                <c:pt idx="43">
                  <c:v>96.263023164969738</c:v>
                </c:pt>
                <c:pt idx="44">
                  <c:v>96.31556631238584</c:v>
                </c:pt>
                <c:pt idx="45">
                  <c:v>96.369008819190299</c:v>
                </c:pt>
                <c:pt idx="46">
                  <c:v>96.410526559312245</c:v>
                </c:pt>
                <c:pt idx="47">
                  <c:v>96.443131674389988</c:v>
                </c:pt>
                <c:pt idx="48">
                  <c:v>96.480847129614048</c:v>
                </c:pt>
                <c:pt idx="49">
                  <c:v>96.509458813097467</c:v>
                </c:pt>
                <c:pt idx="50">
                  <c:v>96.530296698562097</c:v>
                </c:pt>
                <c:pt idx="51">
                  <c:v>96.55392250481755</c:v>
                </c:pt>
                <c:pt idx="52">
                  <c:v>96.578513443403963</c:v>
                </c:pt>
                <c:pt idx="53">
                  <c:v>96.595961850996503</c:v>
                </c:pt>
                <c:pt idx="54">
                  <c:v>96.615676880064527</c:v>
                </c:pt>
                <c:pt idx="55">
                  <c:v>96.624475758418882</c:v>
                </c:pt>
                <c:pt idx="56">
                  <c:v>96.639956779443295</c:v>
                </c:pt>
                <c:pt idx="57">
                  <c:v>96.65991309403006</c:v>
                </c:pt>
                <c:pt idx="58">
                  <c:v>96.678505520146246</c:v>
                </c:pt>
                <c:pt idx="59">
                  <c:v>96.687374168582053</c:v>
                </c:pt>
                <c:pt idx="60">
                  <c:v>96.692698961999483</c:v>
                </c:pt>
                <c:pt idx="61">
                  <c:v>96.701379254958411</c:v>
                </c:pt>
                <c:pt idx="62">
                  <c:v>96.710799406453489</c:v>
                </c:pt>
                <c:pt idx="63">
                  <c:v>96.727503886955219</c:v>
                </c:pt>
                <c:pt idx="64">
                  <c:v>96.732969713604561</c:v>
                </c:pt>
                <c:pt idx="65">
                  <c:v>96.741252124277366</c:v>
                </c:pt>
                <c:pt idx="66">
                  <c:v>96.743991541796959</c:v>
                </c:pt>
                <c:pt idx="67">
                  <c:v>96.754075580831412</c:v>
                </c:pt>
                <c:pt idx="68">
                  <c:v>96.760817665169156</c:v>
                </c:pt>
                <c:pt idx="69">
                  <c:v>96.769377807973441</c:v>
                </c:pt>
                <c:pt idx="70">
                  <c:v>96.777755041911846</c:v>
                </c:pt>
                <c:pt idx="71">
                  <c:v>96.782112039884211</c:v>
                </c:pt>
                <c:pt idx="72">
                  <c:v>96.793231245831166</c:v>
                </c:pt>
                <c:pt idx="73">
                  <c:v>96.802119080783157</c:v>
                </c:pt>
                <c:pt idx="74">
                  <c:v>96.810893536906406</c:v>
                </c:pt>
                <c:pt idx="75">
                  <c:v>96.814030824305519</c:v>
                </c:pt>
                <c:pt idx="76">
                  <c:v>96.819230664944556</c:v>
                </c:pt>
                <c:pt idx="77">
                  <c:v>96.833730217192169</c:v>
                </c:pt>
                <c:pt idx="78">
                  <c:v>96.852950298259756</c:v>
                </c:pt>
                <c:pt idx="79">
                  <c:v>96.867361747812879</c:v>
                </c:pt>
                <c:pt idx="80">
                  <c:v>96.870166239104378</c:v>
                </c:pt>
                <c:pt idx="81">
                  <c:v>96.883213547954526</c:v>
                </c:pt>
                <c:pt idx="82">
                  <c:v>96.895344139439558</c:v>
                </c:pt>
                <c:pt idx="83">
                  <c:v>96.909033704419173</c:v>
                </c:pt>
                <c:pt idx="84">
                  <c:v>96.920444638168973</c:v>
                </c:pt>
                <c:pt idx="85">
                  <c:v>96.93850649623802</c:v>
                </c:pt>
                <c:pt idx="86">
                  <c:v>96.957513807763249</c:v>
                </c:pt>
                <c:pt idx="87">
                  <c:v>96.963005933229056</c:v>
                </c:pt>
                <c:pt idx="88">
                  <c:v>96.968461780711323</c:v>
                </c:pt>
                <c:pt idx="89">
                  <c:v>96.967390108209599</c:v>
                </c:pt>
                <c:pt idx="90">
                  <c:v>96.986685502832259</c:v>
                </c:pt>
                <c:pt idx="91">
                  <c:v>96.998168567456972</c:v>
                </c:pt>
                <c:pt idx="92">
                  <c:v>97.005251059786175</c:v>
                </c:pt>
                <c:pt idx="93">
                  <c:v>97.028549708972719</c:v>
                </c:pt>
                <c:pt idx="94">
                  <c:v>97.037184658580074</c:v>
                </c:pt>
                <c:pt idx="95">
                  <c:v>97.04924411601246</c:v>
                </c:pt>
                <c:pt idx="96">
                  <c:v>97.06155736515359</c:v>
                </c:pt>
                <c:pt idx="97">
                  <c:v>97.062269446725395</c:v>
                </c:pt>
                <c:pt idx="98">
                  <c:v>97.069974492882508</c:v>
                </c:pt>
                <c:pt idx="99">
                  <c:v>97.087693398222939</c:v>
                </c:pt>
                <c:pt idx="100">
                  <c:v>97.100919946663893</c:v>
                </c:pt>
                <c:pt idx="101">
                  <c:v>97.115644255872098</c:v>
                </c:pt>
                <c:pt idx="102">
                  <c:v>97.114950449551515</c:v>
                </c:pt>
                <c:pt idx="103">
                  <c:v>97.114256643230945</c:v>
                </c:pt>
                <c:pt idx="104">
                  <c:v>97.113562836910361</c:v>
                </c:pt>
                <c:pt idx="105">
                  <c:v>97.127127850552995</c:v>
                </c:pt>
                <c:pt idx="106">
                  <c:v>97.14630979509532</c:v>
                </c:pt>
                <c:pt idx="107">
                  <c:v>97.140159392256237</c:v>
                </c:pt>
                <c:pt idx="108">
                  <c:v>97.147885124396808</c:v>
                </c:pt>
                <c:pt idx="109">
                  <c:v>97.169960994209575</c:v>
                </c:pt>
                <c:pt idx="110">
                  <c:v>97.179036541579876</c:v>
                </c:pt>
                <c:pt idx="111">
                  <c:v>97.178893383265532</c:v>
                </c:pt>
                <c:pt idx="112">
                  <c:v>97.189280324322411</c:v>
                </c:pt>
                <c:pt idx="113">
                  <c:v>97.194185534196492</c:v>
                </c:pt>
                <c:pt idx="114">
                  <c:v>97.212617543205752</c:v>
                </c:pt>
                <c:pt idx="115">
                  <c:v>97.225054821324363</c:v>
                </c:pt>
                <c:pt idx="116">
                  <c:v>97.218155366059975</c:v>
                </c:pt>
                <c:pt idx="117">
                  <c:v>97.228355115162742</c:v>
                </c:pt>
                <c:pt idx="118">
                  <c:v>97.236983235355908</c:v>
                </c:pt>
                <c:pt idx="119">
                  <c:v>97.259915404214894</c:v>
                </c:pt>
                <c:pt idx="120">
                  <c:v>97.278461605312657</c:v>
                </c:pt>
                <c:pt idx="121">
                  <c:v>97.273740396517596</c:v>
                </c:pt>
                <c:pt idx="122">
                  <c:v>97.28854443547101</c:v>
                </c:pt>
                <c:pt idx="123">
                  <c:v>97.299795597062086</c:v>
                </c:pt>
                <c:pt idx="124">
                  <c:v>97.3184965886486</c:v>
                </c:pt>
                <c:pt idx="125">
                  <c:v>97.325557236881863</c:v>
                </c:pt>
                <c:pt idx="126">
                  <c:v>97.326875007346317</c:v>
                </c:pt>
                <c:pt idx="127">
                  <c:v>97.331750887358396</c:v>
                </c:pt>
                <c:pt idx="128">
                  <c:v>97.345062708858123</c:v>
                </c:pt>
                <c:pt idx="129">
                  <c:v>97.352272578324758</c:v>
                </c:pt>
                <c:pt idx="130">
                  <c:v>97.378366309333913</c:v>
                </c:pt>
                <c:pt idx="131">
                  <c:v>97.389487209863205</c:v>
                </c:pt>
                <c:pt idx="132">
                  <c:v>97.369886440371104</c:v>
                </c:pt>
                <c:pt idx="133">
                  <c:v>97.377001884868392</c:v>
                </c:pt>
                <c:pt idx="134">
                  <c:v>97.385292067213598</c:v>
                </c:pt>
                <c:pt idx="135">
                  <c:v>97.388651421611655</c:v>
                </c:pt>
                <c:pt idx="136">
                  <c:v>97.399605760778059</c:v>
                </c:pt>
                <c:pt idx="137">
                  <c:v>97.39064986811529</c:v>
                </c:pt>
                <c:pt idx="138">
                  <c:v>97.409874721914051</c:v>
                </c:pt>
                <c:pt idx="139">
                  <c:v>97.417567217311486</c:v>
                </c:pt>
                <c:pt idx="140">
                  <c:v>97.410317548907287</c:v>
                </c:pt>
                <c:pt idx="141">
                  <c:v>97.411909930291245</c:v>
                </c:pt>
                <c:pt idx="142">
                  <c:v>97.419974649698418</c:v>
                </c:pt>
                <c:pt idx="143">
                  <c:v>97.420958588064536</c:v>
                </c:pt>
                <c:pt idx="144">
                  <c:v>97.419470792911667</c:v>
                </c:pt>
                <c:pt idx="145">
                  <c:v>97.423125307306293</c:v>
                </c:pt>
                <c:pt idx="146">
                  <c:v>97.433594055475723</c:v>
                </c:pt>
                <c:pt idx="147">
                  <c:v>97.433451131090763</c:v>
                </c:pt>
                <c:pt idx="148">
                  <c:v>97.434528171986244</c:v>
                </c:pt>
                <c:pt idx="149">
                  <c:v>97.436882478933285</c:v>
                </c:pt>
                <c:pt idx="150">
                  <c:v>97.428830797758735</c:v>
                </c:pt>
                <c:pt idx="151">
                  <c:v>97.430266947388176</c:v>
                </c:pt>
                <c:pt idx="152">
                  <c:v>97.436790390772003</c:v>
                </c:pt>
                <c:pt idx="153">
                  <c:v>97.432009960773414</c:v>
                </c:pt>
                <c:pt idx="154">
                  <c:v>97.430483075590715</c:v>
                </c:pt>
                <c:pt idx="155">
                  <c:v>97.428099478938634</c:v>
                </c:pt>
                <c:pt idx="156">
                  <c:v>97.421703045496812</c:v>
                </c:pt>
                <c:pt idx="157">
                  <c:v>97.424153169080043</c:v>
                </c:pt>
                <c:pt idx="158">
                  <c:v>97.425683380035821</c:v>
                </c:pt>
                <c:pt idx="159">
                  <c:v>97.429345139054519</c:v>
                </c:pt>
                <c:pt idx="160">
                  <c:v>97.408900485710447</c:v>
                </c:pt>
                <c:pt idx="161">
                  <c:v>97.412126721348429</c:v>
                </c:pt>
                <c:pt idx="162">
                  <c:v>97.396286525282974</c:v>
                </c:pt>
                <c:pt idx="163">
                  <c:v>97.387342667266068</c:v>
                </c:pt>
                <c:pt idx="164">
                  <c:v>97.366310216650888</c:v>
                </c:pt>
                <c:pt idx="165">
                  <c:v>97.368510436394899</c:v>
                </c:pt>
                <c:pt idx="166">
                  <c:v>97.33914648823152</c:v>
                </c:pt>
                <c:pt idx="167">
                  <c:v>97.307064799629941</c:v>
                </c:pt>
                <c:pt idx="168">
                  <c:v>97.307580483706417</c:v>
                </c:pt>
                <c:pt idx="169">
                  <c:v>97.314670199087345</c:v>
                </c:pt>
                <c:pt idx="170">
                  <c:v>97.336305109286613</c:v>
                </c:pt>
                <c:pt idx="171">
                  <c:v>97.336498621770943</c:v>
                </c:pt>
                <c:pt idx="172">
                  <c:v>97.316332719882951</c:v>
                </c:pt>
                <c:pt idx="173">
                  <c:v>97.324122807960364</c:v>
                </c:pt>
                <c:pt idx="174">
                  <c:v>97.316993976739511</c:v>
                </c:pt>
                <c:pt idx="175">
                  <c:v>97.301429656434735</c:v>
                </c:pt>
                <c:pt idx="176">
                  <c:v>97.283913468360979</c:v>
                </c:pt>
                <c:pt idx="177">
                  <c:v>97.274584552898773</c:v>
                </c:pt>
                <c:pt idx="178">
                  <c:v>97.249086581713058</c:v>
                </c:pt>
                <c:pt idx="179">
                  <c:v>97.257464044010604</c:v>
                </c:pt>
                <c:pt idx="180">
                  <c:v>97.247466460936934</c:v>
                </c:pt>
                <c:pt idx="181">
                  <c:v>97.249157679238706</c:v>
                </c:pt>
                <c:pt idx="182">
                  <c:v>97.230624973010677</c:v>
                </c:pt>
                <c:pt idx="183">
                  <c:v>97.200206612808302</c:v>
                </c:pt>
                <c:pt idx="184">
                  <c:v>97.195989147167097</c:v>
                </c:pt>
                <c:pt idx="185">
                  <c:v>97.198408126786532</c:v>
                </c:pt>
                <c:pt idx="186">
                  <c:v>97.170498860747912</c:v>
                </c:pt>
                <c:pt idx="187">
                  <c:v>97.145648048645185</c:v>
                </c:pt>
                <c:pt idx="188">
                  <c:v>97.117302978907261</c:v>
                </c:pt>
                <c:pt idx="189">
                  <c:v>97.098353210512869</c:v>
                </c:pt>
                <c:pt idx="190">
                  <c:v>97.086598518078787</c:v>
                </c:pt>
                <c:pt idx="191">
                  <c:v>97.080655175954575</c:v>
                </c:pt>
                <c:pt idx="192">
                  <c:v>97.064033922341665</c:v>
                </c:pt>
                <c:pt idx="193">
                  <c:v>97.070806617351465</c:v>
                </c:pt>
                <c:pt idx="194">
                  <c:v>97.062953208202302</c:v>
                </c:pt>
                <c:pt idx="195">
                  <c:v>97.060056755352491</c:v>
                </c:pt>
                <c:pt idx="196">
                  <c:v>97.083217269561956</c:v>
                </c:pt>
                <c:pt idx="197">
                  <c:v>97.103330798107763</c:v>
                </c:pt>
                <c:pt idx="198">
                  <c:v>97.108184790496423</c:v>
                </c:pt>
                <c:pt idx="199">
                  <c:v>97.142521587192789</c:v>
                </c:pt>
                <c:pt idx="200">
                  <c:v>97.131858655491556</c:v>
                </c:pt>
                <c:pt idx="201">
                  <c:v>97.13749792524375</c:v>
                </c:pt>
                <c:pt idx="202">
                  <c:v>97.138716128067315</c:v>
                </c:pt>
                <c:pt idx="203">
                  <c:v>97.117816854304081</c:v>
                </c:pt>
                <c:pt idx="204">
                  <c:v>97.130520650249764</c:v>
                </c:pt>
                <c:pt idx="205">
                  <c:v>97.113696275127566</c:v>
                </c:pt>
                <c:pt idx="206">
                  <c:v>97.096044797427069</c:v>
                </c:pt>
                <c:pt idx="207">
                  <c:v>97.131827353024576</c:v>
                </c:pt>
                <c:pt idx="208">
                  <c:v>97.077718392951724</c:v>
                </c:pt>
                <c:pt idx="209">
                  <c:v>97.066548869047153</c:v>
                </c:pt>
                <c:pt idx="210">
                  <c:v>97.083529110173131</c:v>
                </c:pt>
                <c:pt idx="211">
                  <c:v>97.06683727000329</c:v>
                </c:pt>
                <c:pt idx="212">
                  <c:v>97.071359053502945</c:v>
                </c:pt>
                <c:pt idx="213">
                  <c:v>97.055697962853344</c:v>
                </c:pt>
                <c:pt idx="214">
                  <c:v>97.067181911391728</c:v>
                </c:pt>
                <c:pt idx="215">
                  <c:v>97.039836468937878</c:v>
                </c:pt>
                <c:pt idx="216">
                  <c:v>97.03770408186142</c:v>
                </c:pt>
                <c:pt idx="217">
                  <c:v>97.030777790772007</c:v>
                </c:pt>
                <c:pt idx="218">
                  <c:v>97.044019877053032</c:v>
                </c:pt>
                <c:pt idx="219">
                  <c:v>97.007611843859237</c:v>
                </c:pt>
                <c:pt idx="220">
                  <c:v>97.01747467036104</c:v>
                </c:pt>
                <c:pt idx="221">
                  <c:v>97.009237685147582</c:v>
                </c:pt>
                <c:pt idx="222">
                  <c:v>96.998292355118338</c:v>
                </c:pt>
                <c:pt idx="223">
                  <c:v>96.987482063010305</c:v>
                </c:pt>
                <c:pt idx="224">
                  <c:v>96.96354670362571</c:v>
                </c:pt>
                <c:pt idx="225">
                  <c:v>96.98702243093642</c:v>
                </c:pt>
                <c:pt idx="226">
                  <c:v>96.976950860586598</c:v>
                </c:pt>
                <c:pt idx="227">
                  <c:v>96.949303527552047</c:v>
                </c:pt>
                <c:pt idx="228">
                  <c:v>96.986153348642858</c:v>
                </c:pt>
                <c:pt idx="229">
                  <c:v>96.945321650502819</c:v>
                </c:pt>
                <c:pt idx="230">
                  <c:v>96.938988283024216</c:v>
                </c:pt>
                <c:pt idx="231">
                  <c:v>96.943861275430663</c:v>
                </c:pt>
                <c:pt idx="232">
                  <c:v>96.943151070233043</c:v>
                </c:pt>
                <c:pt idx="233">
                  <c:v>96.949325206632466</c:v>
                </c:pt>
                <c:pt idx="234">
                  <c:v>96.947283142634888</c:v>
                </c:pt>
                <c:pt idx="235">
                  <c:v>96.958692223332491</c:v>
                </c:pt>
                <c:pt idx="236">
                  <c:v>96.937440271140972</c:v>
                </c:pt>
                <c:pt idx="237">
                  <c:v>96.91799629781265</c:v>
                </c:pt>
                <c:pt idx="238">
                  <c:v>96.929235772673053</c:v>
                </c:pt>
                <c:pt idx="239">
                  <c:v>96.929044289270237</c:v>
                </c:pt>
                <c:pt idx="240">
                  <c:v>96.917198209006145</c:v>
                </c:pt>
                <c:pt idx="241">
                  <c:v>96.903894079934688</c:v>
                </c:pt>
                <c:pt idx="242">
                  <c:v>96.91299055432512</c:v>
                </c:pt>
                <c:pt idx="243">
                  <c:v>96.905882660621032</c:v>
                </c:pt>
                <c:pt idx="244">
                  <c:v>96.896349349281579</c:v>
                </c:pt>
                <c:pt idx="245">
                  <c:v>96.888147442921607</c:v>
                </c:pt>
                <c:pt idx="246">
                  <c:v>96.888805245509289</c:v>
                </c:pt>
                <c:pt idx="247">
                  <c:v>96.889744402390306</c:v>
                </c:pt>
                <c:pt idx="248">
                  <c:v>96.896217414970991</c:v>
                </c:pt>
                <c:pt idx="249">
                  <c:v>96.877271977880568</c:v>
                </c:pt>
                <c:pt idx="250">
                  <c:v>96.878771816111296</c:v>
                </c:pt>
                <c:pt idx="251">
                  <c:v>96.868901156768402</c:v>
                </c:pt>
                <c:pt idx="252">
                  <c:v>96.877749524626282</c:v>
                </c:pt>
                <c:pt idx="253">
                  <c:v>96.88661869378025</c:v>
                </c:pt>
                <c:pt idx="254">
                  <c:v>96.861107610032761</c:v>
                </c:pt>
                <c:pt idx="255">
                  <c:v>96.859921560328857</c:v>
                </c:pt>
                <c:pt idx="256">
                  <c:v>96.850683259355534</c:v>
                </c:pt>
                <c:pt idx="257">
                  <c:v>96.837929576170382</c:v>
                </c:pt>
                <c:pt idx="258">
                  <c:v>96.860247655969019</c:v>
                </c:pt>
                <c:pt idx="259">
                  <c:v>96.86552495242772</c:v>
                </c:pt>
                <c:pt idx="260">
                  <c:v>96.842734820727742</c:v>
                </c:pt>
                <c:pt idx="261">
                  <c:v>96.83472173493476</c:v>
                </c:pt>
                <c:pt idx="262">
                  <c:v>96.860467575367849</c:v>
                </c:pt>
                <c:pt idx="263">
                  <c:v>96.83861914434199</c:v>
                </c:pt>
                <c:pt idx="264">
                  <c:v>96.833421335443859</c:v>
                </c:pt>
                <c:pt idx="265">
                  <c:v>96.847024235138463</c:v>
                </c:pt>
                <c:pt idx="266">
                  <c:v>96.832903945356918</c:v>
                </c:pt>
                <c:pt idx="267">
                  <c:v>96.828394355954813</c:v>
                </c:pt>
                <c:pt idx="268">
                  <c:v>96.825745185526785</c:v>
                </c:pt>
                <c:pt idx="269">
                  <c:v>96.820510153988153</c:v>
                </c:pt>
                <c:pt idx="270">
                  <c:v>96.839402761613982</c:v>
                </c:pt>
                <c:pt idx="271">
                  <c:v>96.83900152853046</c:v>
                </c:pt>
                <c:pt idx="272">
                  <c:v>96.823062895996941</c:v>
                </c:pt>
                <c:pt idx="273">
                  <c:v>96.828988890568326</c:v>
                </c:pt>
                <c:pt idx="274">
                  <c:v>96.805855783687022</c:v>
                </c:pt>
                <c:pt idx="275">
                  <c:v>96.804835260248012</c:v>
                </c:pt>
                <c:pt idx="276">
                  <c:v>96.795014454817988</c:v>
                </c:pt>
                <c:pt idx="277">
                  <c:v>96.796548542573646</c:v>
                </c:pt>
                <c:pt idx="278">
                  <c:v>96.786976780680916</c:v>
                </c:pt>
                <c:pt idx="279">
                  <c:v>96.786841461101702</c:v>
                </c:pt>
                <c:pt idx="280">
                  <c:v>96.799306061631526</c:v>
                </c:pt>
                <c:pt idx="281">
                  <c:v>96.785239533175243</c:v>
                </c:pt>
                <c:pt idx="282">
                  <c:v>96.781760876790258</c:v>
                </c:pt>
                <c:pt idx="283">
                  <c:v>96.793006239207998</c:v>
                </c:pt>
                <c:pt idx="284">
                  <c:v>96.791621445347872</c:v>
                </c:pt>
                <c:pt idx="285">
                  <c:v>96.791298326548898</c:v>
                </c:pt>
                <c:pt idx="286">
                  <c:v>96.792742514728502</c:v>
                </c:pt>
                <c:pt idx="287">
                  <c:v>96.806225286335362</c:v>
                </c:pt>
                <c:pt idx="288">
                  <c:v>96.79955430040259</c:v>
                </c:pt>
                <c:pt idx="289">
                  <c:v>96.792385805268722</c:v>
                </c:pt>
                <c:pt idx="290">
                  <c:v>96.790645085863332</c:v>
                </c:pt>
                <c:pt idx="291">
                  <c:v>96.796199744615365</c:v>
                </c:pt>
                <c:pt idx="292">
                  <c:v>96.793544519122676</c:v>
                </c:pt>
                <c:pt idx="293">
                  <c:v>96.78991948785341</c:v>
                </c:pt>
                <c:pt idx="294">
                  <c:v>96.80179771484147</c:v>
                </c:pt>
                <c:pt idx="295">
                  <c:v>96.812576366438108</c:v>
                </c:pt>
                <c:pt idx="296">
                  <c:v>96.80855092256229</c:v>
                </c:pt>
                <c:pt idx="297">
                  <c:v>96.794984614689966</c:v>
                </c:pt>
                <c:pt idx="298">
                  <c:v>96.801530065999316</c:v>
                </c:pt>
                <c:pt idx="299">
                  <c:v>96.81386961255113</c:v>
                </c:pt>
                <c:pt idx="300">
                  <c:v>96.798981035215618</c:v>
                </c:pt>
                <c:pt idx="301">
                  <c:v>96.786904087766246</c:v>
                </c:pt>
                <c:pt idx="302">
                  <c:v>96.775059704782095</c:v>
                </c:pt>
                <c:pt idx="303">
                  <c:v>96.776481719685705</c:v>
                </c:pt>
                <c:pt idx="304">
                  <c:v>96.785263395063041</c:v>
                </c:pt>
                <c:pt idx="305">
                  <c:v>96.777263011018064</c:v>
                </c:pt>
                <c:pt idx="306">
                  <c:v>96.779630474342738</c:v>
                </c:pt>
                <c:pt idx="307">
                  <c:v>96.821578545330908</c:v>
                </c:pt>
                <c:pt idx="308">
                  <c:v>96.835562049718234</c:v>
                </c:pt>
                <c:pt idx="309">
                  <c:v>96.779312601034292</c:v>
                </c:pt>
                <c:pt idx="310">
                  <c:v>96.749740798638939</c:v>
                </c:pt>
                <c:pt idx="311">
                  <c:v>96.715323437590087</c:v>
                </c:pt>
                <c:pt idx="312">
                  <c:v>96.699015438454452</c:v>
                </c:pt>
                <c:pt idx="313">
                  <c:v>96.746103081753631</c:v>
                </c:pt>
                <c:pt idx="314">
                  <c:v>96.733601801657301</c:v>
                </c:pt>
                <c:pt idx="315">
                  <c:v>96.72852896922889</c:v>
                </c:pt>
                <c:pt idx="316">
                  <c:v>96.735078617161165</c:v>
                </c:pt>
                <c:pt idx="317">
                  <c:v>96.716975031246861</c:v>
                </c:pt>
                <c:pt idx="318">
                  <c:v>96.756808969256141</c:v>
                </c:pt>
                <c:pt idx="319">
                  <c:v>96.791404746683725</c:v>
                </c:pt>
                <c:pt idx="320">
                  <c:v>96.737718079260659</c:v>
                </c:pt>
                <c:pt idx="321">
                  <c:v>96.736544689681651</c:v>
                </c:pt>
                <c:pt idx="322">
                  <c:v>96.729896514263785</c:v>
                </c:pt>
                <c:pt idx="323">
                  <c:v>96.710805026072137</c:v>
                </c:pt>
                <c:pt idx="324">
                  <c:v>96.67218753258264</c:v>
                </c:pt>
                <c:pt idx="325">
                  <c:v>96.643766092047599</c:v>
                </c:pt>
                <c:pt idx="326">
                  <c:v>96.70445064984898</c:v>
                </c:pt>
                <c:pt idx="327">
                  <c:v>96.690758227896296</c:v>
                </c:pt>
                <c:pt idx="328">
                  <c:v>96.645125851875719</c:v>
                </c:pt>
                <c:pt idx="329">
                  <c:v>96.629374210283004</c:v>
                </c:pt>
                <c:pt idx="330">
                  <c:v>96.586851585830416</c:v>
                </c:pt>
                <c:pt idx="331">
                  <c:v>96.584486063860297</c:v>
                </c:pt>
                <c:pt idx="332">
                  <c:v>96.590086509059617</c:v>
                </c:pt>
                <c:pt idx="333">
                  <c:v>96.572079121734944</c:v>
                </c:pt>
                <c:pt idx="334">
                  <c:v>96.524560549928879</c:v>
                </c:pt>
                <c:pt idx="335">
                  <c:v>96.488324375645831</c:v>
                </c:pt>
                <c:pt idx="336">
                  <c:v>96.491510729811225</c:v>
                </c:pt>
                <c:pt idx="337">
                  <c:v>96.479992149237049</c:v>
                </c:pt>
                <c:pt idx="338">
                  <c:v>96.46781305243853</c:v>
                </c:pt>
                <c:pt idx="339">
                  <c:v>96.456647366498558</c:v>
                </c:pt>
                <c:pt idx="340">
                  <c:v>96.427235593930092</c:v>
                </c:pt>
                <c:pt idx="341">
                  <c:v>96.397180832828795</c:v>
                </c:pt>
                <c:pt idx="342">
                  <c:v>96.373077174341987</c:v>
                </c:pt>
                <c:pt idx="343">
                  <c:v>96.358620111166076</c:v>
                </c:pt>
                <c:pt idx="344">
                  <c:v>96.315611530487104</c:v>
                </c:pt>
                <c:pt idx="345">
                  <c:v>96.283383934853987</c:v>
                </c:pt>
                <c:pt idx="346">
                  <c:v>96.291847114255177</c:v>
                </c:pt>
                <c:pt idx="347">
                  <c:v>96.265904423417808</c:v>
                </c:pt>
                <c:pt idx="348">
                  <c:v>96.250936468182374</c:v>
                </c:pt>
                <c:pt idx="349">
                  <c:v>96.227859166658547</c:v>
                </c:pt>
                <c:pt idx="350">
                  <c:v>96.199356227241154</c:v>
                </c:pt>
                <c:pt idx="351">
                  <c:v>96.197703161218712</c:v>
                </c:pt>
                <c:pt idx="352">
                  <c:v>96.172636193575457</c:v>
                </c:pt>
                <c:pt idx="353">
                  <c:v>96.154956887036064</c:v>
                </c:pt>
                <c:pt idx="354">
                  <c:v>96.125384349609945</c:v>
                </c:pt>
                <c:pt idx="355">
                  <c:v>96.103477921948411</c:v>
                </c:pt>
                <c:pt idx="356">
                  <c:v>96.090674873134446</c:v>
                </c:pt>
                <c:pt idx="357">
                  <c:v>96.072233309830992</c:v>
                </c:pt>
                <c:pt idx="358">
                  <c:v>96.029065753995084</c:v>
                </c:pt>
                <c:pt idx="359">
                  <c:v>96.002362939153102</c:v>
                </c:pt>
                <c:pt idx="360">
                  <c:v>95.978769999000235</c:v>
                </c:pt>
                <c:pt idx="361">
                  <c:v>95.92641120184787</c:v>
                </c:pt>
                <c:pt idx="362">
                  <c:v>95.886775045368083</c:v>
                </c:pt>
                <c:pt idx="363">
                  <c:v>95.856169526605356</c:v>
                </c:pt>
                <c:pt idx="364">
                  <c:v>95.811457005748721</c:v>
                </c:pt>
                <c:pt idx="365">
                  <c:v>95.770699468518885</c:v>
                </c:pt>
                <c:pt idx="366">
                  <c:v>95.717121235688467</c:v>
                </c:pt>
                <c:pt idx="367">
                  <c:v>95.667117312172834</c:v>
                </c:pt>
                <c:pt idx="368">
                  <c:v>95.580553667730669</c:v>
                </c:pt>
                <c:pt idx="369">
                  <c:v>95.495188898004074</c:v>
                </c:pt>
                <c:pt idx="370">
                  <c:v>95.306022964224397</c:v>
                </c:pt>
                <c:pt idx="371">
                  <c:v>95.125576108510018</c:v>
                </c:pt>
                <c:pt idx="372">
                  <c:v>95.192688891927219</c:v>
                </c:pt>
                <c:pt idx="373">
                  <c:v>95.253785428487205</c:v>
                </c:pt>
                <c:pt idx="374">
                  <c:v>95.16988040441278</c:v>
                </c:pt>
                <c:pt idx="375">
                  <c:v>95.080025472053805</c:v>
                </c:pt>
                <c:pt idx="376">
                  <c:v>94.967478149752139</c:v>
                </c:pt>
                <c:pt idx="377">
                  <c:v>94.865871022097551</c:v>
                </c:pt>
                <c:pt idx="378">
                  <c:v>94.769614867767856</c:v>
                </c:pt>
                <c:pt idx="379">
                  <c:v>94.639724188527154</c:v>
                </c:pt>
                <c:pt idx="380">
                  <c:v>94.49438436731846</c:v>
                </c:pt>
                <c:pt idx="381">
                  <c:v>94.382884661709511</c:v>
                </c:pt>
                <c:pt idx="382">
                  <c:v>94.231024658552272</c:v>
                </c:pt>
                <c:pt idx="383">
                  <c:v>94.06608051606834</c:v>
                </c:pt>
                <c:pt idx="384">
                  <c:v>93.863531708076948</c:v>
                </c:pt>
                <c:pt idx="385">
                  <c:v>93.679749203771891</c:v>
                </c:pt>
                <c:pt idx="386">
                  <c:v>93.496837149855992</c:v>
                </c:pt>
                <c:pt idx="387">
                  <c:v>93.300144650260748</c:v>
                </c:pt>
                <c:pt idx="388">
                  <c:v>93.064555341111216</c:v>
                </c:pt>
                <c:pt idx="389">
                  <c:v>92.817337416223083</c:v>
                </c:pt>
                <c:pt idx="390">
                  <c:v>92.521214786603423</c:v>
                </c:pt>
                <c:pt idx="391">
                  <c:v>92.233568754118963</c:v>
                </c:pt>
                <c:pt idx="392">
                  <c:v>91.885548874692233</c:v>
                </c:pt>
                <c:pt idx="393">
                  <c:v>91.53755300424443</c:v>
                </c:pt>
                <c:pt idx="394">
                  <c:v>91.093772070174523</c:v>
                </c:pt>
                <c:pt idx="395">
                  <c:v>90.637660656845512</c:v>
                </c:pt>
                <c:pt idx="396">
                  <c:v>90.031338598498067</c:v>
                </c:pt>
                <c:pt idx="397">
                  <c:v>89.390853559306265</c:v>
                </c:pt>
                <c:pt idx="398">
                  <c:v>88.510122455627823</c:v>
                </c:pt>
                <c:pt idx="399">
                  <c:v>87.652275191991805</c:v>
                </c:pt>
                <c:pt idx="400">
                  <c:v>86.815143677199828</c:v>
                </c:pt>
                <c:pt idx="401">
                  <c:v>85.96020230771704</c:v>
                </c:pt>
                <c:pt idx="402">
                  <c:v>84.668036628688739</c:v>
                </c:pt>
                <c:pt idx="403">
                  <c:v>83.404346956310988</c:v>
                </c:pt>
                <c:pt idx="404">
                  <c:v>81.446209710970621</c:v>
                </c:pt>
                <c:pt idx="405">
                  <c:v>79.490901367922291</c:v>
                </c:pt>
                <c:pt idx="406">
                  <c:v>75.558741869410241</c:v>
                </c:pt>
                <c:pt idx="407">
                  <c:v>71.580333217003542</c:v>
                </c:pt>
                <c:pt idx="408">
                  <c:v>62.017621564637302</c:v>
                </c:pt>
                <c:pt idx="409">
                  <c:v>51.905493145664273</c:v>
                </c:pt>
                <c:pt idx="410">
                  <c:v>32.200102453901415</c:v>
                </c:pt>
                <c:pt idx="411">
                  <c:v>14.098598648817719</c:v>
                </c:pt>
                <c:pt idx="412">
                  <c:v>11.905141219719434</c:v>
                </c:pt>
                <c:pt idx="413">
                  <c:v>8.4438825926276895</c:v>
                </c:pt>
                <c:pt idx="414">
                  <c:v>8.8863214797687871</c:v>
                </c:pt>
                <c:pt idx="415">
                  <c:v>9.5564520262399597</c:v>
                </c:pt>
                <c:pt idx="416">
                  <c:v>9.2750973850751492</c:v>
                </c:pt>
                <c:pt idx="417">
                  <c:v>9.0029684642243542</c:v>
                </c:pt>
                <c:pt idx="418">
                  <c:v>8.2080514800003979</c:v>
                </c:pt>
                <c:pt idx="419">
                  <c:v>7.3978575200145364</c:v>
                </c:pt>
                <c:pt idx="420">
                  <c:v>6.8651081394080906</c:v>
                </c:pt>
                <c:pt idx="421">
                  <c:v>6.311908556815041</c:v>
                </c:pt>
                <c:pt idx="422">
                  <c:v>6.1657761965578066</c:v>
                </c:pt>
                <c:pt idx="423">
                  <c:v>6.0315075059353056</c:v>
                </c:pt>
                <c:pt idx="424">
                  <c:v>6.1072278328074461</c:v>
                </c:pt>
                <c:pt idx="425">
                  <c:v>6.2003268049356777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75-449D-855F-F70A3822C652}"/>
            </c:ext>
          </c:extLst>
        </c:ser>
        <c:ser>
          <c:idx val="1"/>
          <c:order val="2"/>
          <c:tx>
            <c:strRef>
              <c:f>trans5_PV_5nm!$AT$76</c:f>
              <c:strCache>
                <c:ptCount val="1"/>
                <c:pt idx="0">
                  <c:v>G-03006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trans5_PV_5nm!$L$79:$L$529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trans5_PV_5nm!$AT$79:$AT$529</c:f>
              <c:numCache>
                <c:formatCode>0.00</c:formatCode>
                <c:ptCount val="426"/>
                <c:pt idx="0">
                  <c:v>85.991424653907416</c:v>
                </c:pt>
                <c:pt idx="1">
                  <c:v>86.112609500861893</c:v>
                </c:pt>
                <c:pt idx="2">
                  <c:v>86.223971379315103</c:v>
                </c:pt>
                <c:pt idx="3">
                  <c:v>86.405929290889276</c:v>
                </c:pt>
                <c:pt idx="4">
                  <c:v>86.609585286687619</c:v>
                </c:pt>
                <c:pt idx="5">
                  <c:v>86.632374253854252</c:v>
                </c:pt>
                <c:pt idx="6">
                  <c:v>86.812272484715095</c:v>
                </c:pt>
                <c:pt idx="7">
                  <c:v>86.879317705271362</c:v>
                </c:pt>
                <c:pt idx="8">
                  <c:v>87.016901740193063</c:v>
                </c:pt>
                <c:pt idx="9">
                  <c:v>87.198834772818529</c:v>
                </c:pt>
                <c:pt idx="10">
                  <c:v>87.386329301156636</c:v>
                </c:pt>
                <c:pt idx="11">
                  <c:v>87.591670796464044</c:v>
                </c:pt>
                <c:pt idx="12">
                  <c:v>87.742995350890553</c:v>
                </c:pt>
                <c:pt idx="13">
                  <c:v>87.914082626685641</c:v>
                </c:pt>
                <c:pt idx="14">
                  <c:v>88.066079070908629</c:v>
                </c:pt>
                <c:pt idx="15">
                  <c:v>88.251755015630309</c:v>
                </c:pt>
                <c:pt idx="16">
                  <c:v>88.427994448634124</c:v>
                </c:pt>
                <c:pt idx="17">
                  <c:v>88.555564013401849</c:v>
                </c:pt>
                <c:pt idx="18">
                  <c:v>89.517896107656952</c:v>
                </c:pt>
                <c:pt idx="19">
                  <c:v>89.471270574665269</c:v>
                </c:pt>
                <c:pt idx="20">
                  <c:v>89.393681533890103</c:v>
                </c:pt>
                <c:pt idx="21">
                  <c:v>89.316325910540158</c:v>
                </c:pt>
                <c:pt idx="22">
                  <c:v>89.229919155896553</c:v>
                </c:pt>
                <c:pt idx="23">
                  <c:v>89.141125344612178</c:v>
                </c:pt>
                <c:pt idx="24">
                  <c:v>89.074128464886186</c:v>
                </c:pt>
                <c:pt idx="25">
                  <c:v>89.018489286974429</c:v>
                </c:pt>
                <c:pt idx="26">
                  <c:v>88.952193472367853</c:v>
                </c:pt>
                <c:pt idx="27">
                  <c:v>88.880168652547567</c:v>
                </c:pt>
                <c:pt idx="28">
                  <c:v>88.852951377847603</c:v>
                </c:pt>
                <c:pt idx="29">
                  <c:v>88.820880360387264</c:v>
                </c:pt>
                <c:pt idx="30">
                  <c:v>88.847884708397601</c:v>
                </c:pt>
                <c:pt idx="31">
                  <c:v>88.873106088155509</c:v>
                </c:pt>
                <c:pt idx="32">
                  <c:v>89.000742226012378</c:v>
                </c:pt>
                <c:pt idx="33">
                  <c:v>89.111091830199825</c:v>
                </c:pt>
                <c:pt idx="34">
                  <c:v>89.330537981788552</c:v>
                </c:pt>
                <c:pt idx="35">
                  <c:v>89.541141691501466</c:v>
                </c:pt>
                <c:pt idx="36">
                  <c:v>89.872434141374995</c:v>
                </c:pt>
                <c:pt idx="37">
                  <c:v>90.191694063099433</c:v>
                </c:pt>
                <c:pt idx="38">
                  <c:v>90.53447911721544</c:v>
                </c:pt>
                <c:pt idx="39">
                  <c:v>90.890411184397024</c:v>
                </c:pt>
                <c:pt idx="40">
                  <c:v>91.177934288113036</c:v>
                </c:pt>
                <c:pt idx="41">
                  <c:v>91.466100204617007</c:v>
                </c:pt>
                <c:pt idx="42">
                  <c:v>91.672319551425332</c:v>
                </c:pt>
                <c:pt idx="43">
                  <c:v>91.883290407143591</c:v>
                </c:pt>
                <c:pt idx="44">
                  <c:v>92.027219904533368</c:v>
                </c:pt>
                <c:pt idx="45">
                  <c:v>92.157057288497697</c:v>
                </c:pt>
                <c:pt idx="46">
                  <c:v>92.274180702480976</c:v>
                </c:pt>
                <c:pt idx="47">
                  <c:v>92.390906934362206</c:v>
                </c:pt>
                <c:pt idx="48">
                  <c:v>92.483507539964748</c:v>
                </c:pt>
                <c:pt idx="49">
                  <c:v>92.573721605029789</c:v>
                </c:pt>
                <c:pt idx="50">
                  <c:v>92.650248789763793</c:v>
                </c:pt>
                <c:pt idx="51">
                  <c:v>92.72791838495084</c:v>
                </c:pt>
                <c:pt idx="52">
                  <c:v>92.789089277364454</c:v>
                </c:pt>
                <c:pt idx="53">
                  <c:v>92.857136533740956</c:v>
                </c:pt>
                <c:pt idx="54">
                  <c:v>92.903457903111601</c:v>
                </c:pt>
                <c:pt idx="55">
                  <c:v>92.950318574301733</c:v>
                </c:pt>
                <c:pt idx="56">
                  <c:v>92.993988465506405</c:v>
                </c:pt>
                <c:pt idx="57">
                  <c:v>93.042760853563493</c:v>
                </c:pt>
                <c:pt idx="58">
                  <c:v>93.088706681982046</c:v>
                </c:pt>
                <c:pt idx="59">
                  <c:v>93.125951895439883</c:v>
                </c:pt>
                <c:pt idx="60">
                  <c:v>93.15246322961768</c:v>
                </c:pt>
                <c:pt idx="61">
                  <c:v>93.185311794628475</c:v>
                </c:pt>
                <c:pt idx="62">
                  <c:v>93.204711671424931</c:v>
                </c:pt>
                <c:pt idx="63">
                  <c:v>93.22843969014265</c:v>
                </c:pt>
                <c:pt idx="64">
                  <c:v>93.262919084927887</c:v>
                </c:pt>
                <c:pt idx="65">
                  <c:v>93.285416214335939</c:v>
                </c:pt>
                <c:pt idx="66">
                  <c:v>93.308147480282216</c:v>
                </c:pt>
                <c:pt idx="67">
                  <c:v>93.331084725665292</c:v>
                </c:pt>
                <c:pt idx="68">
                  <c:v>93.361773113385993</c:v>
                </c:pt>
                <c:pt idx="69">
                  <c:v>93.38479968906141</c:v>
                </c:pt>
                <c:pt idx="70">
                  <c:v>93.417273244824798</c:v>
                </c:pt>
                <c:pt idx="71">
                  <c:v>93.444197446275965</c:v>
                </c:pt>
                <c:pt idx="72">
                  <c:v>93.46479216609066</c:v>
                </c:pt>
                <c:pt idx="73">
                  <c:v>93.496157605899498</c:v>
                </c:pt>
                <c:pt idx="74">
                  <c:v>93.522448536246188</c:v>
                </c:pt>
                <c:pt idx="75">
                  <c:v>93.557689891906932</c:v>
                </c:pt>
                <c:pt idx="76">
                  <c:v>93.586188190019769</c:v>
                </c:pt>
                <c:pt idx="77">
                  <c:v>93.618246585189056</c:v>
                </c:pt>
                <c:pt idx="78">
                  <c:v>93.661588346244727</c:v>
                </c:pt>
                <c:pt idx="79">
                  <c:v>93.688747119259119</c:v>
                </c:pt>
                <c:pt idx="80">
                  <c:v>93.734522628165891</c:v>
                </c:pt>
                <c:pt idx="81">
                  <c:v>93.775715077169693</c:v>
                </c:pt>
                <c:pt idx="82">
                  <c:v>93.816338390662153</c:v>
                </c:pt>
                <c:pt idx="83">
                  <c:v>93.849946892887075</c:v>
                </c:pt>
                <c:pt idx="84">
                  <c:v>93.892216399455492</c:v>
                </c:pt>
                <c:pt idx="85">
                  <c:v>93.92957167669266</c:v>
                </c:pt>
                <c:pt idx="86">
                  <c:v>93.949974498146005</c:v>
                </c:pt>
                <c:pt idx="87">
                  <c:v>93.995523439894882</c:v>
                </c:pt>
                <c:pt idx="88">
                  <c:v>94.041896395224668</c:v>
                </c:pt>
                <c:pt idx="89">
                  <c:v>94.077930908605254</c:v>
                </c:pt>
                <c:pt idx="90">
                  <c:v>94.136129496776562</c:v>
                </c:pt>
                <c:pt idx="91">
                  <c:v>94.173543775352258</c:v>
                </c:pt>
                <c:pt idx="92">
                  <c:v>94.188966305366151</c:v>
                </c:pt>
                <c:pt idx="93">
                  <c:v>94.228581892591919</c:v>
                </c:pt>
                <c:pt idx="94">
                  <c:v>94.264188497195434</c:v>
                </c:pt>
                <c:pt idx="95">
                  <c:v>94.28620386178595</c:v>
                </c:pt>
                <c:pt idx="96">
                  <c:v>94.328780882975551</c:v>
                </c:pt>
                <c:pt idx="97">
                  <c:v>94.361447522367669</c:v>
                </c:pt>
                <c:pt idx="98">
                  <c:v>94.400625363359723</c:v>
                </c:pt>
                <c:pt idx="99">
                  <c:v>94.433092709705079</c:v>
                </c:pt>
                <c:pt idx="100">
                  <c:v>94.443851356721268</c:v>
                </c:pt>
                <c:pt idx="101">
                  <c:v>94.474338632018089</c:v>
                </c:pt>
                <c:pt idx="102">
                  <c:v>94.509092991484167</c:v>
                </c:pt>
                <c:pt idx="103">
                  <c:v>94.54384735095023</c:v>
                </c:pt>
                <c:pt idx="104">
                  <c:v>94.578601710416308</c:v>
                </c:pt>
                <c:pt idx="105">
                  <c:v>94.594144354510647</c:v>
                </c:pt>
                <c:pt idx="106">
                  <c:v>94.634809064052419</c:v>
                </c:pt>
                <c:pt idx="107">
                  <c:v>94.659266273209866</c:v>
                </c:pt>
                <c:pt idx="108">
                  <c:v>94.671301025705006</c:v>
                </c:pt>
                <c:pt idx="109">
                  <c:v>94.701142858291618</c:v>
                </c:pt>
                <c:pt idx="110">
                  <c:v>94.748497209151353</c:v>
                </c:pt>
                <c:pt idx="111">
                  <c:v>94.793101396233297</c:v>
                </c:pt>
                <c:pt idx="112">
                  <c:v>94.813562621881033</c:v>
                </c:pt>
                <c:pt idx="113">
                  <c:v>94.840004262358136</c:v>
                </c:pt>
                <c:pt idx="114">
                  <c:v>94.871797609503915</c:v>
                </c:pt>
                <c:pt idx="115">
                  <c:v>94.905834256692515</c:v>
                </c:pt>
                <c:pt idx="116">
                  <c:v>94.938329670979627</c:v>
                </c:pt>
                <c:pt idx="117">
                  <c:v>94.9678798274618</c:v>
                </c:pt>
                <c:pt idx="118">
                  <c:v>94.996427240436219</c:v>
                </c:pt>
                <c:pt idx="119">
                  <c:v>95.040912870193083</c:v>
                </c:pt>
                <c:pt idx="120">
                  <c:v>95.088276260054201</c:v>
                </c:pt>
                <c:pt idx="121">
                  <c:v>95.118605006064683</c:v>
                </c:pt>
                <c:pt idx="122">
                  <c:v>95.15886088979947</c:v>
                </c:pt>
                <c:pt idx="123">
                  <c:v>95.189357036426657</c:v>
                </c:pt>
                <c:pt idx="124">
                  <c:v>95.214996967767476</c:v>
                </c:pt>
                <c:pt idx="125">
                  <c:v>95.234730058278771</c:v>
                </c:pt>
                <c:pt idx="126">
                  <c:v>95.258992964920481</c:v>
                </c:pt>
                <c:pt idx="127">
                  <c:v>95.293763471675661</c:v>
                </c:pt>
                <c:pt idx="128">
                  <c:v>95.319471600110049</c:v>
                </c:pt>
                <c:pt idx="129">
                  <c:v>95.346158888708146</c:v>
                </c:pt>
                <c:pt idx="130">
                  <c:v>95.367731596168767</c:v>
                </c:pt>
                <c:pt idx="131">
                  <c:v>95.380383890481127</c:v>
                </c:pt>
                <c:pt idx="132">
                  <c:v>95.406064064878251</c:v>
                </c:pt>
                <c:pt idx="133">
                  <c:v>95.439452111002822</c:v>
                </c:pt>
                <c:pt idx="134">
                  <c:v>95.458745993772581</c:v>
                </c:pt>
                <c:pt idx="135">
                  <c:v>95.468667119955057</c:v>
                </c:pt>
                <c:pt idx="136">
                  <c:v>95.491794215781468</c:v>
                </c:pt>
                <c:pt idx="137">
                  <c:v>95.517162616245471</c:v>
                </c:pt>
                <c:pt idx="138">
                  <c:v>95.545221728459936</c:v>
                </c:pt>
                <c:pt idx="139">
                  <c:v>95.542212847524596</c:v>
                </c:pt>
                <c:pt idx="140">
                  <c:v>95.548153842122886</c:v>
                </c:pt>
                <c:pt idx="141">
                  <c:v>95.568439052591472</c:v>
                </c:pt>
                <c:pt idx="142">
                  <c:v>95.587844864709822</c:v>
                </c:pt>
                <c:pt idx="143">
                  <c:v>95.609835803035253</c:v>
                </c:pt>
                <c:pt idx="144">
                  <c:v>95.609067235813669</c:v>
                </c:pt>
                <c:pt idx="145">
                  <c:v>95.611268651988169</c:v>
                </c:pt>
                <c:pt idx="146">
                  <c:v>95.609889440126551</c:v>
                </c:pt>
                <c:pt idx="147">
                  <c:v>95.612537345087006</c:v>
                </c:pt>
                <c:pt idx="148">
                  <c:v>95.608340192585729</c:v>
                </c:pt>
                <c:pt idx="149">
                  <c:v>95.614238599402483</c:v>
                </c:pt>
                <c:pt idx="150">
                  <c:v>95.620823430110093</c:v>
                </c:pt>
                <c:pt idx="151">
                  <c:v>95.616821751885652</c:v>
                </c:pt>
                <c:pt idx="152">
                  <c:v>95.62273863744754</c:v>
                </c:pt>
                <c:pt idx="153">
                  <c:v>95.632677760124423</c:v>
                </c:pt>
                <c:pt idx="154">
                  <c:v>95.620516403865722</c:v>
                </c:pt>
                <c:pt idx="155">
                  <c:v>95.613430022422406</c:v>
                </c:pt>
                <c:pt idx="156">
                  <c:v>95.599397557164878</c:v>
                </c:pt>
                <c:pt idx="157">
                  <c:v>95.593910418897721</c:v>
                </c:pt>
                <c:pt idx="158">
                  <c:v>95.585280553174073</c:v>
                </c:pt>
                <c:pt idx="159">
                  <c:v>95.579748107652662</c:v>
                </c:pt>
                <c:pt idx="160">
                  <c:v>95.547280706025447</c:v>
                </c:pt>
                <c:pt idx="161">
                  <c:v>95.528516833670054</c:v>
                </c:pt>
                <c:pt idx="162">
                  <c:v>95.507670241294875</c:v>
                </c:pt>
                <c:pt idx="163">
                  <c:v>95.491689520268551</c:v>
                </c:pt>
                <c:pt idx="164">
                  <c:v>95.43201911456805</c:v>
                </c:pt>
                <c:pt idx="165">
                  <c:v>95.374228624516206</c:v>
                </c:pt>
                <c:pt idx="166">
                  <c:v>95.29211558628451</c:v>
                </c:pt>
                <c:pt idx="167">
                  <c:v>95.219588217416401</c:v>
                </c:pt>
                <c:pt idx="168">
                  <c:v>95.253134315415124</c:v>
                </c:pt>
                <c:pt idx="169">
                  <c:v>95.267030040453434</c:v>
                </c:pt>
                <c:pt idx="170">
                  <c:v>95.288323873571656</c:v>
                </c:pt>
                <c:pt idx="171">
                  <c:v>95.326421676302587</c:v>
                </c:pt>
                <c:pt idx="172">
                  <c:v>95.320308989444186</c:v>
                </c:pt>
                <c:pt idx="173">
                  <c:v>95.297518801447154</c:v>
                </c:pt>
                <c:pt idx="174">
                  <c:v>95.25560928712629</c:v>
                </c:pt>
                <c:pt idx="175">
                  <c:v>95.225279479974276</c:v>
                </c:pt>
                <c:pt idx="176">
                  <c:v>95.189994505744423</c:v>
                </c:pt>
                <c:pt idx="177">
                  <c:v>95.158420335585333</c:v>
                </c:pt>
                <c:pt idx="178">
                  <c:v>95.123366656972408</c:v>
                </c:pt>
                <c:pt idx="179">
                  <c:v>95.067461678878757</c:v>
                </c:pt>
                <c:pt idx="180">
                  <c:v>95.066628891825715</c:v>
                </c:pt>
                <c:pt idx="181">
                  <c:v>95.029572417929273</c:v>
                </c:pt>
                <c:pt idx="182">
                  <c:v>94.997665949587102</c:v>
                </c:pt>
                <c:pt idx="183">
                  <c:v>94.982260198650692</c:v>
                </c:pt>
                <c:pt idx="184">
                  <c:v>94.943318950673131</c:v>
                </c:pt>
                <c:pt idx="185">
                  <c:v>94.896312701913345</c:v>
                </c:pt>
                <c:pt idx="186">
                  <c:v>94.836471008118068</c:v>
                </c:pt>
                <c:pt idx="187">
                  <c:v>94.79968618938112</c:v>
                </c:pt>
                <c:pt idx="188">
                  <c:v>94.732621622350891</c:v>
                </c:pt>
                <c:pt idx="189">
                  <c:v>94.667270683135783</c:v>
                </c:pt>
                <c:pt idx="190">
                  <c:v>94.610267134700749</c:v>
                </c:pt>
                <c:pt idx="191">
                  <c:v>94.549625375817186</c:v>
                </c:pt>
                <c:pt idx="192">
                  <c:v>94.529632517156529</c:v>
                </c:pt>
                <c:pt idx="193">
                  <c:v>94.504672232809909</c:v>
                </c:pt>
                <c:pt idx="194">
                  <c:v>94.524637314764945</c:v>
                </c:pt>
                <c:pt idx="195">
                  <c:v>94.521945895007264</c:v>
                </c:pt>
                <c:pt idx="196">
                  <c:v>94.563741855583274</c:v>
                </c:pt>
                <c:pt idx="197">
                  <c:v>94.639115420231633</c:v>
                </c:pt>
                <c:pt idx="198">
                  <c:v>94.661796072642687</c:v>
                </c:pt>
                <c:pt idx="199">
                  <c:v>94.73906015005069</c:v>
                </c:pt>
                <c:pt idx="200">
                  <c:v>94.729714636866689</c:v>
                </c:pt>
                <c:pt idx="201">
                  <c:v>94.726460062585943</c:v>
                </c:pt>
                <c:pt idx="202">
                  <c:v>94.678689391984491</c:v>
                </c:pt>
                <c:pt idx="203">
                  <c:v>94.671371248203229</c:v>
                </c:pt>
                <c:pt idx="204">
                  <c:v>94.658344480556181</c:v>
                </c:pt>
                <c:pt idx="205">
                  <c:v>94.617309837638388</c:v>
                </c:pt>
                <c:pt idx="206">
                  <c:v>94.608657732300642</c:v>
                </c:pt>
                <c:pt idx="207">
                  <c:v>94.613271264156921</c:v>
                </c:pt>
                <c:pt idx="208">
                  <c:v>94.579090310406499</c:v>
                </c:pt>
                <c:pt idx="209">
                  <c:v>94.572104435975731</c:v>
                </c:pt>
                <c:pt idx="210">
                  <c:v>94.558988117733747</c:v>
                </c:pt>
                <c:pt idx="211">
                  <c:v>94.535190485306472</c:v>
                </c:pt>
                <c:pt idx="212">
                  <c:v>94.50884678073156</c:v>
                </c:pt>
                <c:pt idx="213">
                  <c:v>94.505634724618588</c:v>
                </c:pt>
                <c:pt idx="214">
                  <c:v>94.484232129400723</c:v>
                </c:pt>
                <c:pt idx="215">
                  <c:v>94.46444127042065</c:v>
                </c:pt>
                <c:pt idx="216">
                  <c:v>94.45820167962728</c:v>
                </c:pt>
                <c:pt idx="217">
                  <c:v>94.442309346832147</c:v>
                </c:pt>
                <c:pt idx="218">
                  <c:v>94.403254285319278</c:v>
                </c:pt>
                <c:pt idx="219">
                  <c:v>94.39067732999338</c:v>
                </c:pt>
                <c:pt idx="220">
                  <c:v>94.392243923859482</c:v>
                </c:pt>
                <c:pt idx="221">
                  <c:v>94.367829426882111</c:v>
                </c:pt>
                <c:pt idx="222">
                  <c:v>94.362339442787473</c:v>
                </c:pt>
                <c:pt idx="223">
                  <c:v>94.324360345333517</c:v>
                </c:pt>
                <c:pt idx="224">
                  <c:v>94.31909761264167</c:v>
                </c:pt>
                <c:pt idx="225">
                  <c:v>94.326147980702558</c:v>
                </c:pt>
                <c:pt idx="226">
                  <c:v>94.285571438346565</c:v>
                </c:pt>
                <c:pt idx="227">
                  <c:v>94.306254283932205</c:v>
                </c:pt>
                <c:pt idx="228">
                  <c:v>94.280483551648885</c:v>
                </c:pt>
                <c:pt idx="229">
                  <c:v>94.294811096992817</c:v>
                </c:pt>
                <c:pt idx="230">
                  <c:v>94.272219499806226</c:v>
                </c:pt>
                <c:pt idx="231">
                  <c:v>94.245446912059421</c:v>
                </c:pt>
                <c:pt idx="232">
                  <c:v>94.243032668498628</c:v>
                </c:pt>
                <c:pt idx="233">
                  <c:v>94.233745458512431</c:v>
                </c:pt>
                <c:pt idx="234">
                  <c:v>94.234847221973567</c:v>
                </c:pt>
                <c:pt idx="235">
                  <c:v>94.22394009420502</c:v>
                </c:pt>
                <c:pt idx="236">
                  <c:v>94.216368139641474</c:v>
                </c:pt>
                <c:pt idx="237">
                  <c:v>94.19726742261831</c:v>
                </c:pt>
                <c:pt idx="238">
                  <c:v>94.192754913341858</c:v>
                </c:pt>
                <c:pt idx="239">
                  <c:v>94.171190434915289</c:v>
                </c:pt>
                <c:pt idx="240">
                  <c:v>94.198174512081138</c:v>
                </c:pt>
                <c:pt idx="241">
                  <c:v>94.157331672777204</c:v>
                </c:pt>
                <c:pt idx="242">
                  <c:v>94.162656230237488</c:v>
                </c:pt>
                <c:pt idx="243">
                  <c:v>94.166096974058817</c:v>
                </c:pt>
                <c:pt idx="244">
                  <c:v>94.152319745262901</c:v>
                </c:pt>
                <c:pt idx="245">
                  <c:v>94.133521329593066</c:v>
                </c:pt>
                <c:pt idx="246">
                  <c:v>94.160205678562477</c:v>
                </c:pt>
                <c:pt idx="247">
                  <c:v>94.156787866373762</c:v>
                </c:pt>
                <c:pt idx="248">
                  <c:v>94.158869174559911</c:v>
                </c:pt>
                <c:pt idx="249">
                  <c:v>94.141666788943539</c:v>
                </c:pt>
                <c:pt idx="250">
                  <c:v>94.14180772931779</c:v>
                </c:pt>
                <c:pt idx="251">
                  <c:v>94.116066336188794</c:v>
                </c:pt>
                <c:pt idx="252">
                  <c:v>94.138563611395455</c:v>
                </c:pt>
                <c:pt idx="253">
                  <c:v>94.132851611732164</c:v>
                </c:pt>
                <c:pt idx="254">
                  <c:v>94.137879192274951</c:v>
                </c:pt>
                <c:pt idx="255">
                  <c:v>94.126082079557236</c:v>
                </c:pt>
                <c:pt idx="256">
                  <c:v>94.128997883512966</c:v>
                </c:pt>
                <c:pt idx="257">
                  <c:v>94.132114907241771</c:v>
                </c:pt>
                <c:pt idx="258">
                  <c:v>94.125684739828259</c:v>
                </c:pt>
                <c:pt idx="259">
                  <c:v>94.127853165458831</c:v>
                </c:pt>
                <c:pt idx="260">
                  <c:v>94.120022738180651</c:v>
                </c:pt>
                <c:pt idx="261">
                  <c:v>94.115871491975852</c:v>
                </c:pt>
                <c:pt idx="262">
                  <c:v>94.113199885852453</c:v>
                </c:pt>
                <c:pt idx="263">
                  <c:v>94.129580164991594</c:v>
                </c:pt>
                <c:pt idx="264">
                  <c:v>94.129755535244712</c:v>
                </c:pt>
                <c:pt idx="265">
                  <c:v>94.139090022457992</c:v>
                </c:pt>
                <c:pt idx="266">
                  <c:v>94.131705119977312</c:v>
                </c:pt>
                <c:pt idx="267">
                  <c:v>94.147391858981791</c:v>
                </c:pt>
                <c:pt idx="268">
                  <c:v>94.148449193572972</c:v>
                </c:pt>
                <c:pt idx="269">
                  <c:v>94.130120722069378</c:v>
                </c:pt>
                <c:pt idx="270">
                  <c:v>94.157458946719785</c:v>
                </c:pt>
                <c:pt idx="271">
                  <c:v>94.158000722217636</c:v>
                </c:pt>
                <c:pt idx="272">
                  <c:v>94.160674750216245</c:v>
                </c:pt>
                <c:pt idx="273">
                  <c:v>94.177380149946671</c:v>
                </c:pt>
                <c:pt idx="274">
                  <c:v>94.171043061511469</c:v>
                </c:pt>
                <c:pt idx="275">
                  <c:v>94.176814198033881</c:v>
                </c:pt>
                <c:pt idx="276">
                  <c:v>94.182618460353424</c:v>
                </c:pt>
                <c:pt idx="277">
                  <c:v>94.182631723634813</c:v>
                </c:pt>
                <c:pt idx="278">
                  <c:v>94.167855217326334</c:v>
                </c:pt>
                <c:pt idx="279">
                  <c:v>94.161157464060196</c:v>
                </c:pt>
                <c:pt idx="280">
                  <c:v>94.162799358853931</c:v>
                </c:pt>
                <c:pt idx="281">
                  <c:v>94.181091289481898</c:v>
                </c:pt>
                <c:pt idx="282">
                  <c:v>94.205456894687117</c:v>
                </c:pt>
                <c:pt idx="283">
                  <c:v>94.228784820443551</c:v>
                </c:pt>
                <c:pt idx="284">
                  <c:v>94.241277283185752</c:v>
                </c:pt>
                <c:pt idx="285">
                  <c:v>94.254807581137641</c:v>
                </c:pt>
                <c:pt idx="286">
                  <c:v>94.278942924487637</c:v>
                </c:pt>
                <c:pt idx="287">
                  <c:v>94.298627951865114</c:v>
                </c:pt>
                <c:pt idx="288">
                  <c:v>94.318459044150089</c:v>
                </c:pt>
                <c:pt idx="289">
                  <c:v>94.332105589348615</c:v>
                </c:pt>
                <c:pt idx="290">
                  <c:v>94.346528249210465</c:v>
                </c:pt>
                <c:pt idx="291">
                  <c:v>94.36242506003407</c:v>
                </c:pt>
                <c:pt idx="292">
                  <c:v>94.389529142227559</c:v>
                </c:pt>
                <c:pt idx="293">
                  <c:v>94.413411246497802</c:v>
                </c:pt>
                <c:pt idx="294">
                  <c:v>94.430207674806638</c:v>
                </c:pt>
                <c:pt idx="295">
                  <c:v>94.448903788688725</c:v>
                </c:pt>
                <c:pt idx="296">
                  <c:v>94.482139675814096</c:v>
                </c:pt>
                <c:pt idx="297">
                  <c:v>94.497127021474057</c:v>
                </c:pt>
                <c:pt idx="298">
                  <c:v>94.512316526804298</c:v>
                </c:pt>
                <c:pt idx="299">
                  <c:v>94.528167335184619</c:v>
                </c:pt>
                <c:pt idx="300">
                  <c:v>94.536561621033073</c:v>
                </c:pt>
                <c:pt idx="301">
                  <c:v>94.557991702410561</c:v>
                </c:pt>
                <c:pt idx="302">
                  <c:v>94.570940302271595</c:v>
                </c:pt>
                <c:pt idx="303">
                  <c:v>94.592849128538433</c:v>
                </c:pt>
                <c:pt idx="304">
                  <c:v>94.630293662508663</c:v>
                </c:pt>
                <c:pt idx="305">
                  <c:v>94.681967519117734</c:v>
                </c:pt>
                <c:pt idx="306">
                  <c:v>94.637271024193907</c:v>
                </c:pt>
                <c:pt idx="307">
                  <c:v>94.635296048253736</c:v>
                </c:pt>
                <c:pt idx="308">
                  <c:v>94.648939899571829</c:v>
                </c:pt>
                <c:pt idx="309">
                  <c:v>94.693170435674645</c:v>
                </c:pt>
                <c:pt idx="310">
                  <c:v>94.738748700578412</c:v>
                </c:pt>
                <c:pt idx="311">
                  <c:v>94.749604497382606</c:v>
                </c:pt>
                <c:pt idx="312">
                  <c:v>94.807495033576743</c:v>
                </c:pt>
                <c:pt idx="313">
                  <c:v>94.819803314222966</c:v>
                </c:pt>
                <c:pt idx="314">
                  <c:v>94.815150368152146</c:v>
                </c:pt>
                <c:pt idx="315">
                  <c:v>94.854078601930382</c:v>
                </c:pt>
                <c:pt idx="316">
                  <c:v>94.900480059044114</c:v>
                </c:pt>
                <c:pt idx="317">
                  <c:v>94.963478861725093</c:v>
                </c:pt>
                <c:pt idx="318">
                  <c:v>94.947567645505231</c:v>
                </c:pt>
                <c:pt idx="319">
                  <c:v>94.934118782713767</c:v>
                </c:pt>
                <c:pt idx="320">
                  <c:v>95.037507359366472</c:v>
                </c:pt>
                <c:pt idx="321">
                  <c:v>95.126180161566708</c:v>
                </c:pt>
                <c:pt idx="322">
                  <c:v>95.122160947276825</c:v>
                </c:pt>
                <c:pt idx="323">
                  <c:v>95.131360861483486</c:v>
                </c:pt>
                <c:pt idx="324">
                  <c:v>95.16512333634337</c:v>
                </c:pt>
                <c:pt idx="325">
                  <c:v>95.218458981059811</c:v>
                </c:pt>
                <c:pt idx="326">
                  <c:v>95.224401067677604</c:v>
                </c:pt>
                <c:pt idx="327">
                  <c:v>95.213974144682538</c:v>
                </c:pt>
                <c:pt idx="328">
                  <c:v>95.236085143288676</c:v>
                </c:pt>
                <c:pt idx="329">
                  <c:v>95.272510359313287</c:v>
                </c:pt>
                <c:pt idx="330">
                  <c:v>95.29347658919778</c:v>
                </c:pt>
                <c:pt idx="331">
                  <c:v>95.299657764695823</c:v>
                </c:pt>
                <c:pt idx="332">
                  <c:v>95.322136879873071</c:v>
                </c:pt>
                <c:pt idx="333">
                  <c:v>95.348206057742132</c:v>
                </c:pt>
                <c:pt idx="334">
                  <c:v>95.352653670700263</c:v>
                </c:pt>
                <c:pt idx="335">
                  <c:v>95.374402489603298</c:v>
                </c:pt>
                <c:pt idx="336">
                  <c:v>95.408083468814496</c:v>
                </c:pt>
                <c:pt idx="337">
                  <c:v>95.422435971491552</c:v>
                </c:pt>
                <c:pt idx="338">
                  <c:v>95.431449422876426</c:v>
                </c:pt>
                <c:pt idx="339">
                  <c:v>95.434320706792406</c:v>
                </c:pt>
                <c:pt idx="340">
                  <c:v>95.416909811920235</c:v>
                </c:pt>
                <c:pt idx="341">
                  <c:v>95.429266720257658</c:v>
                </c:pt>
                <c:pt idx="342">
                  <c:v>95.426632501826987</c:v>
                </c:pt>
                <c:pt idx="343">
                  <c:v>95.412689804359971</c:v>
                </c:pt>
                <c:pt idx="344">
                  <c:v>95.391149914387441</c:v>
                </c:pt>
                <c:pt idx="345">
                  <c:v>95.362353916909001</c:v>
                </c:pt>
                <c:pt idx="346">
                  <c:v>95.418858771221082</c:v>
                </c:pt>
                <c:pt idx="347">
                  <c:v>95.480598746851271</c:v>
                </c:pt>
                <c:pt idx="348">
                  <c:v>95.496450259825735</c:v>
                </c:pt>
                <c:pt idx="349">
                  <c:v>95.493713239241515</c:v>
                </c:pt>
                <c:pt idx="350">
                  <c:v>95.494033362689905</c:v>
                </c:pt>
                <c:pt idx="351">
                  <c:v>95.516438901917681</c:v>
                </c:pt>
                <c:pt idx="352">
                  <c:v>95.529890110374097</c:v>
                </c:pt>
                <c:pt idx="353">
                  <c:v>95.53286982248521</c:v>
                </c:pt>
                <c:pt idx="354">
                  <c:v>95.534040526123476</c:v>
                </c:pt>
                <c:pt idx="355">
                  <c:v>95.519878846826188</c:v>
                </c:pt>
                <c:pt idx="356">
                  <c:v>95.505152392719012</c:v>
                </c:pt>
                <c:pt idx="357">
                  <c:v>95.510354655469598</c:v>
                </c:pt>
                <c:pt idx="358">
                  <c:v>95.504099951173032</c:v>
                </c:pt>
                <c:pt idx="359">
                  <c:v>95.507262723814279</c:v>
                </c:pt>
                <c:pt idx="360">
                  <c:v>95.48840723510942</c:v>
                </c:pt>
                <c:pt idx="361">
                  <c:v>95.458123794680375</c:v>
                </c:pt>
                <c:pt idx="362">
                  <c:v>95.428337768532529</c:v>
                </c:pt>
                <c:pt idx="363">
                  <c:v>95.405520842787993</c:v>
                </c:pt>
                <c:pt idx="364">
                  <c:v>95.347883833036107</c:v>
                </c:pt>
                <c:pt idx="365">
                  <c:v>95.309688283865924</c:v>
                </c:pt>
                <c:pt idx="366">
                  <c:v>95.252315290166507</c:v>
                </c:pt>
                <c:pt idx="367">
                  <c:v>95.186449548105998</c:v>
                </c:pt>
                <c:pt idx="368">
                  <c:v>95.078625196870277</c:v>
                </c:pt>
                <c:pt idx="369">
                  <c:v>94.97375582385699</c:v>
                </c:pt>
                <c:pt idx="370">
                  <c:v>94.504584982357642</c:v>
                </c:pt>
                <c:pt idx="371">
                  <c:v>94.037488067774518</c:v>
                </c:pt>
                <c:pt idx="372">
                  <c:v>94.403818230613069</c:v>
                </c:pt>
                <c:pt idx="373">
                  <c:v>94.770277528491036</c:v>
                </c:pt>
                <c:pt idx="374">
                  <c:v>94.684160319000227</c:v>
                </c:pt>
                <c:pt idx="375">
                  <c:v>94.606658122294164</c:v>
                </c:pt>
                <c:pt idx="376">
                  <c:v>94.469214266905439</c:v>
                </c:pt>
                <c:pt idx="377">
                  <c:v>94.333338305718073</c:v>
                </c:pt>
                <c:pt idx="378">
                  <c:v>94.235488338397261</c:v>
                </c:pt>
                <c:pt idx="379">
                  <c:v>94.131557920077228</c:v>
                </c:pt>
                <c:pt idx="380">
                  <c:v>93.977634143810178</c:v>
                </c:pt>
                <c:pt idx="381">
                  <c:v>93.830468781787161</c:v>
                </c:pt>
                <c:pt idx="382">
                  <c:v>93.645684381802539</c:v>
                </c:pt>
                <c:pt idx="383">
                  <c:v>93.469015807004851</c:v>
                </c:pt>
                <c:pt idx="384">
                  <c:v>93.252864758484819</c:v>
                </c:pt>
                <c:pt idx="385">
                  <c:v>93.031202304652382</c:v>
                </c:pt>
                <c:pt idx="386">
                  <c:v>92.813845322757501</c:v>
                </c:pt>
                <c:pt idx="387">
                  <c:v>92.58176343602166</c:v>
                </c:pt>
                <c:pt idx="388">
                  <c:v>92.330905271624147</c:v>
                </c:pt>
                <c:pt idx="389">
                  <c:v>92.093603984972972</c:v>
                </c:pt>
                <c:pt idx="390">
                  <c:v>91.790806615330766</c:v>
                </c:pt>
                <c:pt idx="391">
                  <c:v>91.481088931565125</c:v>
                </c:pt>
                <c:pt idx="392">
                  <c:v>91.10142808514108</c:v>
                </c:pt>
                <c:pt idx="393">
                  <c:v>90.72788475931543</c:v>
                </c:pt>
                <c:pt idx="394">
                  <c:v>90.255055888061023</c:v>
                </c:pt>
                <c:pt idx="395">
                  <c:v>89.769099395599255</c:v>
                </c:pt>
                <c:pt idx="396">
                  <c:v>89.063387412888275</c:v>
                </c:pt>
                <c:pt idx="397">
                  <c:v>88.360399372602629</c:v>
                </c:pt>
                <c:pt idx="398">
                  <c:v>87.229251177748765</c:v>
                </c:pt>
                <c:pt idx="399">
                  <c:v>86.073260374672302</c:v>
                </c:pt>
                <c:pt idx="400">
                  <c:v>85.342375917322784</c:v>
                </c:pt>
                <c:pt idx="401">
                  <c:v>84.635790144789397</c:v>
                </c:pt>
                <c:pt idx="402">
                  <c:v>83.206269362745601</c:v>
                </c:pt>
                <c:pt idx="403">
                  <c:v>81.777506640997458</c:v>
                </c:pt>
                <c:pt idx="404">
                  <c:v>79.41357847240613</c:v>
                </c:pt>
                <c:pt idx="405">
                  <c:v>77.090417665752938</c:v>
                </c:pt>
                <c:pt idx="406">
                  <c:v>72.385277263884589</c:v>
                </c:pt>
                <c:pt idx="407">
                  <c:v>67.706073386368317</c:v>
                </c:pt>
                <c:pt idx="408">
                  <c:v>57.4031073006092</c:v>
                </c:pt>
                <c:pt idx="409">
                  <c:v>46.955138911953746</c:v>
                </c:pt>
                <c:pt idx="410">
                  <c:v>29.131018769926509</c:v>
                </c:pt>
                <c:pt idx="411">
                  <c:v>11.653625842633593</c:v>
                </c:pt>
                <c:pt idx="412">
                  <c:v>9.7323999522580831</c:v>
                </c:pt>
                <c:pt idx="413">
                  <c:v>7.4520817509675483</c:v>
                </c:pt>
                <c:pt idx="414">
                  <c:v>7.2238047074392675</c:v>
                </c:pt>
                <c:pt idx="415">
                  <c:v>7.0270990052552564</c:v>
                </c:pt>
                <c:pt idx="416">
                  <c:v>6.5981242435872831</c:v>
                </c:pt>
                <c:pt idx="417">
                  <c:v>6.1470807646671055</c:v>
                </c:pt>
                <c:pt idx="418">
                  <c:v>6.0165276464390516</c:v>
                </c:pt>
                <c:pt idx="419">
                  <c:v>5.9157294492215913</c:v>
                </c:pt>
                <c:pt idx="420">
                  <c:v>6.0330204315078122</c:v>
                </c:pt>
                <c:pt idx="421">
                  <c:v>6.1520854860350154</c:v>
                </c:pt>
                <c:pt idx="422">
                  <c:v>6.330967634810321</c:v>
                </c:pt>
                <c:pt idx="423">
                  <c:v>6.5080828081985054</c:v>
                </c:pt>
                <c:pt idx="424">
                  <c:v>6.6949450870279668</c:v>
                </c:pt>
                <c:pt idx="425">
                  <c:v>6.8150511632873716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75-449D-855F-F70A3822C652}"/>
            </c:ext>
          </c:extLst>
        </c:ser>
        <c:ser>
          <c:idx val="2"/>
          <c:order val="3"/>
          <c:tx>
            <c:strRef>
              <c:f>trans5_PV_5nm!$AV$76</c:f>
              <c:strCache>
                <c:ptCount val="1"/>
                <c:pt idx="0">
                  <c:v>PS-D-2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trans5_PV_5nm!$L$79:$L$529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trans5_PV_5nm!$AV$79:$AV$529</c:f>
              <c:numCache>
                <c:formatCode>0.00</c:formatCode>
                <c:ptCount val="426"/>
                <c:pt idx="0">
                  <c:v>98.893000000000001</c:v>
                </c:pt>
                <c:pt idx="1">
                  <c:v>98.891999999999996</c:v>
                </c:pt>
                <c:pt idx="2">
                  <c:v>98.890999999999991</c:v>
                </c:pt>
                <c:pt idx="3">
                  <c:v>98.88900000000001</c:v>
                </c:pt>
                <c:pt idx="4">
                  <c:v>98.887</c:v>
                </c:pt>
                <c:pt idx="5">
                  <c:v>98.882999999999996</c:v>
                </c:pt>
                <c:pt idx="6">
                  <c:v>98.878999999999991</c:v>
                </c:pt>
                <c:pt idx="7">
                  <c:v>98.876500000000007</c:v>
                </c:pt>
                <c:pt idx="8">
                  <c:v>98.873999999999995</c:v>
                </c:pt>
                <c:pt idx="9">
                  <c:v>98.872500000000002</c:v>
                </c:pt>
                <c:pt idx="10">
                  <c:v>98.870999999999995</c:v>
                </c:pt>
                <c:pt idx="11">
                  <c:v>98.873500000000007</c:v>
                </c:pt>
                <c:pt idx="12">
                  <c:v>98.875999999999991</c:v>
                </c:pt>
                <c:pt idx="13">
                  <c:v>98.878</c:v>
                </c:pt>
                <c:pt idx="14">
                  <c:v>98.88</c:v>
                </c:pt>
                <c:pt idx="15">
                  <c:v>98.885500000000008</c:v>
                </c:pt>
                <c:pt idx="16">
                  <c:v>98.890999999999991</c:v>
                </c:pt>
                <c:pt idx="17">
                  <c:v>98.886499999999998</c:v>
                </c:pt>
                <c:pt idx="18">
                  <c:v>98.8185</c:v>
                </c:pt>
                <c:pt idx="19">
                  <c:v>98.812999999999988</c:v>
                </c:pt>
                <c:pt idx="20">
                  <c:v>98.811000000000007</c:v>
                </c:pt>
                <c:pt idx="21">
                  <c:v>98.808999999999997</c:v>
                </c:pt>
                <c:pt idx="22">
                  <c:v>98.807500000000005</c:v>
                </c:pt>
                <c:pt idx="23">
                  <c:v>98.806000000000012</c:v>
                </c:pt>
                <c:pt idx="24">
                  <c:v>98.802499999999995</c:v>
                </c:pt>
                <c:pt idx="25">
                  <c:v>98.799000000000007</c:v>
                </c:pt>
                <c:pt idx="26">
                  <c:v>98.798000000000002</c:v>
                </c:pt>
                <c:pt idx="27">
                  <c:v>98.796999999999997</c:v>
                </c:pt>
                <c:pt idx="28">
                  <c:v>98.795000000000002</c:v>
                </c:pt>
                <c:pt idx="29">
                  <c:v>98.792999999999992</c:v>
                </c:pt>
                <c:pt idx="30">
                  <c:v>98.792000000000002</c:v>
                </c:pt>
                <c:pt idx="31">
                  <c:v>98.790999999999997</c:v>
                </c:pt>
                <c:pt idx="32">
                  <c:v>98.790999999999997</c:v>
                </c:pt>
                <c:pt idx="33">
                  <c:v>98.790999999999997</c:v>
                </c:pt>
                <c:pt idx="34">
                  <c:v>98.789500000000004</c:v>
                </c:pt>
                <c:pt idx="35">
                  <c:v>98.787999999999997</c:v>
                </c:pt>
                <c:pt idx="36">
                  <c:v>98.786500000000004</c:v>
                </c:pt>
                <c:pt idx="37">
                  <c:v>98.784999999999997</c:v>
                </c:pt>
                <c:pt idx="38">
                  <c:v>98.784499999999994</c:v>
                </c:pt>
                <c:pt idx="39">
                  <c:v>98.784000000000006</c:v>
                </c:pt>
                <c:pt idx="40">
                  <c:v>98.784499999999994</c:v>
                </c:pt>
                <c:pt idx="41">
                  <c:v>98.784999999999997</c:v>
                </c:pt>
                <c:pt idx="42">
                  <c:v>98.781999999999996</c:v>
                </c:pt>
                <c:pt idx="43">
                  <c:v>98.778999999999996</c:v>
                </c:pt>
                <c:pt idx="44">
                  <c:v>98.777500000000003</c:v>
                </c:pt>
                <c:pt idx="45">
                  <c:v>98.775999999999996</c:v>
                </c:pt>
                <c:pt idx="46">
                  <c:v>98.774000000000001</c:v>
                </c:pt>
                <c:pt idx="47">
                  <c:v>98.772000000000006</c:v>
                </c:pt>
                <c:pt idx="48">
                  <c:v>98.770499999999998</c:v>
                </c:pt>
                <c:pt idx="49">
                  <c:v>98.768999999999991</c:v>
                </c:pt>
                <c:pt idx="50">
                  <c:v>98.765499999999989</c:v>
                </c:pt>
                <c:pt idx="51">
                  <c:v>98.762</c:v>
                </c:pt>
                <c:pt idx="52">
                  <c:v>98.759500000000003</c:v>
                </c:pt>
                <c:pt idx="53">
                  <c:v>98.756999999999991</c:v>
                </c:pt>
                <c:pt idx="54">
                  <c:v>98.754999999999995</c:v>
                </c:pt>
                <c:pt idx="55">
                  <c:v>98.753</c:v>
                </c:pt>
                <c:pt idx="56">
                  <c:v>98.750500000000002</c:v>
                </c:pt>
                <c:pt idx="57">
                  <c:v>98.748000000000005</c:v>
                </c:pt>
                <c:pt idx="58">
                  <c:v>98.745499999999993</c:v>
                </c:pt>
                <c:pt idx="59">
                  <c:v>98.743000000000009</c:v>
                </c:pt>
                <c:pt idx="60">
                  <c:v>98.74199999999999</c:v>
                </c:pt>
                <c:pt idx="61">
                  <c:v>98.741</c:v>
                </c:pt>
                <c:pt idx="62">
                  <c:v>98.736500000000007</c:v>
                </c:pt>
                <c:pt idx="63">
                  <c:v>98.731999999999999</c:v>
                </c:pt>
                <c:pt idx="64">
                  <c:v>98.730499999999992</c:v>
                </c:pt>
                <c:pt idx="65">
                  <c:v>98.728999999999999</c:v>
                </c:pt>
                <c:pt idx="66">
                  <c:v>98.725999999999999</c:v>
                </c:pt>
                <c:pt idx="67">
                  <c:v>98.722999999999999</c:v>
                </c:pt>
                <c:pt idx="68">
                  <c:v>98.718999999999994</c:v>
                </c:pt>
                <c:pt idx="69">
                  <c:v>98.715000000000003</c:v>
                </c:pt>
                <c:pt idx="70">
                  <c:v>98.710499999999996</c:v>
                </c:pt>
                <c:pt idx="71">
                  <c:v>98.706000000000003</c:v>
                </c:pt>
                <c:pt idx="72">
                  <c:v>98.701999999999998</c:v>
                </c:pt>
                <c:pt idx="73">
                  <c:v>98.697999999999993</c:v>
                </c:pt>
                <c:pt idx="74">
                  <c:v>98.694999999999993</c:v>
                </c:pt>
                <c:pt idx="75">
                  <c:v>98.692000000000007</c:v>
                </c:pt>
                <c:pt idx="76">
                  <c:v>98.688000000000002</c:v>
                </c:pt>
                <c:pt idx="77">
                  <c:v>98.684000000000012</c:v>
                </c:pt>
                <c:pt idx="78">
                  <c:v>98.682000000000002</c:v>
                </c:pt>
                <c:pt idx="79">
                  <c:v>98.68</c:v>
                </c:pt>
                <c:pt idx="80">
                  <c:v>98.673000000000002</c:v>
                </c:pt>
                <c:pt idx="81">
                  <c:v>98.665999999999997</c:v>
                </c:pt>
                <c:pt idx="82">
                  <c:v>98.662000000000006</c:v>
                </c:pt>
                <c:pt idx="83">
                  <c:v>98.658000000000001</c:v>
                </c:pt>
                <c:pt idx="84">
                  <c:v>98.652000000000001</c:v>
                </c:pt>
                <c:pt idx="85">
                  <c:v>98.646000000000001</c:v>
                </c:pt>
                <c:pt idx="86">
                  <c:v>98.641500000000008</c:v>
                </c:pt>
                <c:pt idx="87">
                  <c:v>98.637</c:v>
                </c:pt>
                <c:pt idx="88">
                  <c:v>98.629500000000007</c:v>
                </c:pt>
                <c:pt idx="89">
                  <c:v>98.622</c:v>
                </c:pt>
                <c:pt idx="90">
                  <c:v>98.616</c:v>
                </c:pt>
                <c:pt idx="91">
                  <c:v>98.61</c:v>
                </c:pt>
                <c:pt idx="92">
                  <c:v>98.603999999999999</c:v>
                </c:pt>
                <c:pt idx="93">
                  <c:v>98.597999999999999</c:v>
                </c:pt>
                <c:pt idx="94">
                  <c:v>98.595500000000001</c:v>
                </c:pt>
                <c:pt idx="95">
                  <c:v>98.593000000000004</c:v>
                </c:pt>
                <c:pt idx="96">
                  <c:v>98.598500000000001</c:v>
                </c:pt>
                <c:pt idx="97">
                  <c:v>98.603999999999999</c:v>
                </c:pt>
                <c:pt idx="98">
                  <c:v>98.606499999999997</c:v>
                </c:pt>
                <c:pt idx="99">
                  <c:v>98.609000000000009</c:v>
                </c:pt>
                <c:pt idx="100">
                  <c:v>98.605000000000004</c:v>
                </c:pt>
                <c:pt idx="101">
                  <c:v>98.600999999999999</c:v>
                </c:pt>
                <c:pt idx="102">
                  <c:v>98.598500000000001</c:v>
                </c:pt>
                <c:pt idx="103">
                  <c:v>98.595999999999989</c:v>
                </c:pt>
                <c:pt idx="104">
                  <c:v>98.593500000000006</c:v>
                </c:pt>
                <c:pt idx="105">
                  <c:v>98.590999999999994</c:v>
                </c:pt>
                <c:pt idx="106">
                  <c:v>98.587000000000003</c:v>
                </c:pt>
                <c:pt idx="107">
                  <c:v>98.582999999999998</c:v>
                </c:pt>
                <c:pt idx="108">
                  <c:v>98.578500000000005</c:v>
                </c:pt>
                <c:pt idx="109">
                  <c:v>98.573999999999998</c:v>
                </c:pt>
                <c:pt idx="110">
                  <c:v>98.5715</c:v>
                </c:pt>
                <c:pt idx="111">
                  <c:v>98.568999999999988</c:v>
                </c:pt>
                <c:pt idx="112">
                  <c:v>98.564499999999995</c:v>
                </c:pt>
                <c:pt idx="113">
                  <c:v>98.56</c:v>
                </c:pt>
                <c:pt idx="114">
                  <c:v>98.558000000000007</c:v>
                </c:pt>
                <c:pt idx="115">
                  <c:v>98.555999999999997</c:v>
                </c:pt>
                <c:pt idx="116">
                  <c:v>98.551999999999992</c:v>
                </c:pt>
                <c:pt idx="117">
                  <c:v>98.548000000000002</c:v>
                </c:pt>
                <c:pt idx="118">
                  <c:v>98.543999999999997</c:v>
                </c:pt>
                <c:pt idx="119">
                  <c:v>98.54</c:v>
                </c:pt>
                <c:pt idx="120">
                  <c:v>98.534000000000006</c:v>
                </c:pt>
                <c:pt idx="121">
                  <c:v>98.528000000000006</c:v>
                </c:pt>
                <c:pt idx="122">
                  <c:v>98.525000000000006</c:v>
                </c:pt>
                <c:pt idx="123">
                  <c:v>98.521999999999991</c:v>
                </c:pt>
                <c:pt idx="124">
                  <c:v>98.516499999999994</c:v>
                </c:pt>
                <c:pt idx="125">
                  <c:v>98.51100000000001</c:v>
                </c:pt>
                <c:pt idx="126">
                  <c:v>98.505499999999998</c:v>
                </c:pt>
                <c:pt idx="127">
                  <c:v>98.5</c:v>
                </c:pt>
                <c:pt idx="128">
                  <c:v>98.495500000000007</c:v>
                </c:pt>
                <c:pt idx="129">
                  <c:v>98.491</c:v>
                </c:pt>
                <c:pt idx="130">
                  <c:v>98.48599999999999</c:v>
                </c:pt>
                <c:pt idx="131">
                  <c:v>98.480999999999995</c:v>
                </c:pt>
                <c:pt idx="132">
                  <c:v>98.477000000000004</c:v>
                </c:pt>
                <c:pt idx="133">
                  <c:v>98.472999999999999</c:v>
                </c:pt>
                <c:pt idx="134">
                  <c:v>98.468500000000006</c:v>
                </c:pt>
                <c:pt idx="135">
                  <c:v>98.463999999999999</c:v>
                </c:pt>
                <c:pt idx="136">
                  <c:v>98.459000000000003</c:v>
                </c:pt>
                <c:pt idx="137">
                  <c:v>98.453999999999994</c:v>
                </c:pt>
                <c:pt idx="138">
                  <c:v>98.44850000000001</c:v>
                </c:pt>
                <c:pt idx="139">
                  <c:v>98.442999999999998</c:v>
                </c:pt>
                <c:pt idx="140">
                  <c:v>98.438999999999993</c:v>
                </c:pt>
                <c:pt idx="141">
                  <c:v>98.435000000000002</c:v>
                </c:pt>
                <c:pt idx="142">
                  <c:v>98.43</c:v>
                </c:pt>
                <c:pt idx="143">
                  <c:v>98.424999999999997</c:v>
                </c:pt>
                <c:pt idx="144">
                  <c:v>98.419499999999999</c:v>
                </c:pt>
                <c:pt idx="145">
                  <c:v>98.414000000000001</c:v>
                </c:pt>
                <c:pt idx="146">
                  <c:v>98.409000000000006</c:v>
                </c:pt>
                <c:pt idx="147">
                  <c:v>98.403999999999996</c:v>
                </c:pt>
                <c:pt idx="148">
                  <c:v>98.399000000000001</c:v>
                </c:pt>
                <c:pt idx="149">
                  <c:v>98.394000000000005</c:v>
                </c:pt>
                <c:pt idx="150">
                  <c:v>98.387</c:v>
                </c:pt>
                <c:pt idx="151">
                  <c:v>98.38</c:v>
                </c:pt>
                <c:pt idx="152">
                  <c:v>98.375</c:v>
                </c:pt>
                <c:pt idx="153">
                  <c:v>98.37</c:v>
                </c:pt>
                <c:pt idx="154">
                  <c:v>98.364999999999995</c:v>
                </c:pt>
                <c:pt idx="155">
                  <c:v>98.36</c:v>
                </c:pt>
                <c:pt idx="156">
                  <c:v>98.355000000000004</c:v>
                </c:pt>
                <c:pt idx="157">
                  <c:v>98.35</c:v>
                </c:pt>
                <c:pt idx="158">
                  <c:v>98.344499999999996</c:v>
                </c:pt>
                <c:pt idx="159">
                  <c:v>98.338999999999999</c:v>
                </c:pt>
                <c:pt idx="160">
                  <c:v>98.332499999999996</c:v>
                </c:pt>
                <c:pt idx="161">
                  <c:v>98.326000000000008</c:v>
                </c:pt>
                <c:pt idx="162">
                  <c:v>98.320999999999998</c:v>
                </c:pt>
                <c:pt idx="163">
                  <c:v>98.316000000000003</c:v>
                </c:pt>
                <c:pt idx="164">
                  <c:v>98.31</c:v>
                </c:pt>
                <c:pt idx="165">
                  <c:v>98.304000000000002</c:v>
                </c:pt>
                <c:pt idx="166">
                  <c:v>98.296999999999997</c:v>
                </c:pt>
                <c:pt idx="167">
                  <c:v>98.29</c:v>
                </c:pt>
                <c:pt idx="168">
                  <c:v>98.284999999999997</c:v>
                </c:pt>
                <c:pt idx="169">
                  <c:v>98.28</c:v>
                </c:pt>
                <c:pt idx="170">
                  <c:v>98.272499999999994</c:v>
                </c:pt>
                <c:pt idx="171">
                  <c:v>98.265000000000001</c:v>
                </c:pt>
                <c:pt idx="172">
                  <c:v>98.260499999999993</c:v>
                </c:pt>
                <c:pt idx="173">
                  <c:v>98.256</c:v>
                </c:pt>
                <c:pt idx="174">
                  <c:v>98.251500000000007</c:v>
                </c:pt>
                <c:pt idx="175">
                  <c:v>98.247</c:v>
                </c:pt>
                <c:pt idx="176">
                  <c:v>98.239500000000007</c:v>
                </c:pt>
                <c:pt idx="177">
                  <c:v>98.231999999999999</c:v>
                </c:pt>
                <c:pt idx="178">
                  <c:v>98.224999999999994</c:v>
                </c:pt>
                <c:pt idx="179">
                  <c:v>98.218000000000004</c:v>
                </c:pt>
                <c:pt idx="180">
                  <c:v>98.212000000000003</c:v>
                </c:pt>
                <c:pt idx="181">
                  <c:v>98.206000000000003</c:v>
                </c:pt>
                <c:pt idx="182">
                  <c:v>98.200500000000005</c:v>
                </c:pt>
                <c:pt idx="183">
                  <c:v>98.194999999999993</c:v>
                </c:pt>
                <c:pt idx="184">
                  <c:v>98.188000000000002</c:v>
                </c:pt>
                <c:pt idx="185">
                  <c:v>98.180999999999997</c:v>
                </c:pt>
                <c:pt idx="186">
                  <c:v>98.1755</c:v>
                </c:pt>
                <c:pt idx="187">
                  <c:v>98.17</c:v>
                </c:pt>
                <c:pt idx="188">
                  <c:v>98.164000000000001</c:v>
                </c:pt>
                <c:pt idx="189">
                  <c:v>98.158000000000001</c:v>
                </c:pt>
                <c:pt idx="190">
                  <c:v>98.149000000000001</c:v>
                </c:pt>
                <c:pt idx="191">
                  <c:v>98.14</c:v>
                </c:pt>
                <c:pt idx="192">
                  <c:v>98.134</c:v>
                </c:pt>
                <c:pt idx="193">
                  <c:v>98.128</c:v>
                </c:pt>
                <c:pt idx="194">
                  <c:v>98.125500000000002</c:v>
                </c:pt>
                <c:pt idx="195">
                  <c:v>98.123000000000005</c:v>
                </c:pt>
                <c:pt idx="196">
                  <c:v>98.121499999999997</c:v>
                </c:pt>
                <c:pt idx="197">
                  <c:v>98.12</c:v>
                </c:pt>
                <c:pt idx="198">
                  <c:v>98.118499999999997</c:v>
                </c:pt>
                <c:pt idx="199">
                  <c:v>98.117000000000004</c:v>
                </c:pt>
                <c:pt idx="200">
                  <c:v>98.114999999999995</c:v>
                </c:pt>
                <c:pt idx="201">
                  <c:v>98.113</c:v>
                </c:pt>
                <c:pt idx="202">
                  <c:v>98.109500000000011</c:v>
                </c:pt>
                <c:pt idx="203">
                  <c:v>98.106000000000009</c:v>
                </c:pt>
                <c:pt idx="204">
                  <c:v>98.100999999999999</c:v>
                </c:pt>
                <c:pt idx="205">
                  <c:v>98.096000000000004</c:v>
                </c:pt>
                <c:pt idx="206">
                  <c:v>98.095500000000001</c:v>
                </c:pt>
                <c:pt idx="207">
                  <c:v>98.094999999999999</c:v>
                </c:pt>
                <c:pt idx="208">
                  <c:v>98.090999999999994</c:v>
                </c:pt>
                <c:pt idx="209">
                  <c:v>98.087000000000003</c:v>
                </c:pt>
                <c:pt idx="210">
                  <c:v>98.084000000000003</c:v>
                </c:pt>
                <c:pt idx="211">
                  <c:v>98.080999999999989</c:v>
                </c:pt>
                <c:pt idx="212">
                  <c:v>98.076499999999996</c:v>
                </c:pt>
                <c:pt idx="213">
                  <c:v>98.072000000000003</c:v>
                </c:pt>
                <c:pt idx="214">
                  <c:v>98.067499999999995</c:v>
                </c:pt>
                <c:pt idx="215">
                  <c:v>98.063000000000002</c:v>
                </c:pt>
                <c:pt idx="216">
                  <c:v>98.06</c:v>
                </c:pt>
                <c:pt idx="217">
                  <c:v>98.057000000000002</c:v>
                </c:pt>
                <c:pt idx="218">
                  <c:v>98.054500000000004</c:v>
                </c:pt>
                <c:pt idx="219">
                  <c:v>98.051999999999992</c:v>
                </c:pt>
                <c:pt idx="220">
                  <c:v>98.051000000000002</c:v>
                </c:pt>
                <c:pt idx="221">
                  <c:v>98.05</c:v>
                </c:pt>
                <c:pt idx="222">
                  <c:v>98.046500000000009</c:v>
                </c:pt>
                <c:pt idx="223">
                  <c:v>98.043000000000006</c:v>
                </c:pt>
                <c:pt idx="224">
                  <c:v>98.04</c:v>
                </c:pt>
                <c:pt idx="225">
                  <c:v>98.036999999999992</c:v>
                </c:pt>
                <c:pt idx="226">
                  <c:v>98.036000000000001</c:v>
                </c:pt>
                <c:pt idx="227">
                  <c:v>98.034999999999997</c:v>
                </c:pt>
                <c:pt idx="228">
                  <c:v>98.036500000000004</c:v>
                </c:pt>
                <c:pt idx="229">
                  <c:v>98.037999999999997</c:v>
                </c:pt>
                <c:pt idx="230">
                  <c:v>98.035499999999999</c:v>
                </c:pt>
                <c:pt idx="231">
                  <c:v>98.033000000000001</c:v>
                </c:pt>
                <c:pt idx="232">
                  <c:v>98.032499999999999</c:v>
                </c:pt>
                <c:pt idx="233">
                  <c:v>98.031999999999996</c:v>
                </c:pt>
                <c:pt idx="234">
                  <c:v>98.033000000000001</c:v>
                </c:pt>
                <c:pt idx="235">
                  <c:v>98.033999999999992</c:v>
                </c:pt>
                <c:pt idx="236">
                  <c:v>98.032499999999999</c:v>
                </c:pt>
                <c:pt idx="237">
                  <c:v>98.031000000000006</c:v>
                </c:pt>
                <c:pt idx="238">
                  <c:v>98.032499999999999</c:v>
                </c:pt>
                <c:pt idx="239">
                  <c:v>98.033999999999992</c:v>
                </c:pt>
                <c:pt idx="240">
                  <c:v>98.033999999999992</c:v>
                </c:pt>
                <c:pt idx="241">
                  <c:v>98.033999999999992</c:v>
                </c:pt>
                <c:pt idx="242">
                  <c:v>98.036500000000004</c:v>
                </c:pt>
                <c:pt idx="243">
                  <c:v>98.039000000000001</c:v>
                </c:pt>
                <c:pt idx="244">
                  <c:v>98.042000000000002</c:v>
                </c:pt>
                <c:pt idx="245">
                  <c:v>98.045000000000002</c:v>
                </c:pt>
                <c:pt idx="246">
                  <c:v>98.046500000000009</c:v>
                </c:pt>
                <c:pt idx="247">
                  <c:v>98.048000000000002</c:v>
                </c:pt>
                <c:pt idx="248">
                  <c:v>98.051999999999992</c:v>
                </c:pt>
                <c:pt idx="249">
                  <c:v>98.055999999999997</c:v>
                </c:pt>
                <c:pt idx="250">
                  <c:v>98.06</c:v>
                </c:pt>
                <c:pt idx="251">
                  <c:v>98.063999999999993</c:v>
                </c:pt>
                <c:pt idx="252">
                  <c:v>98.067499999999995</c:v>
                </c:pt>
                <c:pt idx="253">
                  <c:v>98.070999999999998</c:v>
                </c:pt>
                <c:pt idx="254">
                  <c:v>98.075000000000003</c:v>
                </c:pt>
                <c:pt idx="255">
                  <c:v>98.079000000000008</c:v>
                </c:pt>
                <c:pt idx="256">
                  <c:v>98.084000000000003</c:v>
                </c:pt>
                <c:pt idx="257">
                  <c:v>98.088999999999999</c:v>
                </c:pt>
                <c:pt idx="258">
                  <c:v>98.093500000000006</c:v>
                </c:pt>
                <c:pt idx="259">
                  <c:v>98.097999999999999</c:v>
                </c:pt>
                <c:pt idx="260">
                  <c:v>98.105500000000006</c:v>
                </c:pt>
                <c:pt idx="261">
                  <c:v>98.113</c:v>
                </c:pt>
                <c:pt idx="262">
                  <c:v>98.119</c:v>
                </c:pt>
                <c:pt idx="263">
                  <c:v>98.125</c:v>
                </c:pt>
                <c:pt idx="264">
                  <c:v>98.131</c:v>
                </c:pt>
                <c:pt idx="265">
                  <c:v>98.137</c:v>
                </c:pt>
                <c:pt idx="266">
                  <c:v>98.144500000000008</c:v>
                </c:pt>
                <c:pt idx="267">
                  <c:v>98.152000000000001</c:v>
                </c:pt>
                <c:pt idx="268">
                  <c:v>98.158500000000004</c:v>
                </c:pt>
                <c:pt idx="269">
                  <c:v>98.165000000000006</c:v>
                </c:pt>
                <c:pt idx="270">
                  <c:v>98.172499999999999</c:v>
                </c:pt>
                <c:pt idx="271">
                  <c:v>98.18</c:v>
                </c:pt>
                <c:pt idx="272">
                  <c:v>98.1905</c:v>
                </c:pt>
                <c:pt idx="273">
                  <c:v>98.201000000000008</c:v>
                </c:pt>
                <c:pt idx="274">
                  <c:v>98.207999999999998</c:v>
                </c:pt>
                <c:pt idx="275">
                  <c:v>98.215000000000003</c:v>
                </c:pt>
                <c:pt idx="276">
                  <c:v>98.222499999999997</c:v>
                </c:pt>
                <c:pt idx="277">
                  <c:v>98.23</c:v>
                </c:pt>
                <c:pt idx="278">
                  <c:v>98.238500000000002</c:v>
                </c:pt>
                <c:pt idx="279">
                  <c:v>98.247</c:v>
                </c:pt>
                <c:pt idx="280">
                  <c:v>98.257000000000005</c:v>
                </c:pt>
                <c:pt idx="281">
                  <c:v>98.26700000000001</c:v>
                </c:pt>
                <c:pt idx="282">
                  <c:v>98.275500000000008</c:v>
                </c:pt>
                <c:pt idx="283">
                  <c:v>98.284000000000006</c:v>
                </c:pt>
                <c:pt idx="284">
                  <c:v>98.294499999999999</c:v>
                </c:pt>
                <c:pt idx="285">
                  <c:v>98.305000000000007</c:v>
                </c:pt>
                <c:pt idx="286">
                  <c:v>98.314000000000007</c:v>
                </c:pt>
                <c:pt idx="287">
                  <c:v>98.323000000000008</c:v>
                </c:pt>
                <c:pt idx="288">
                  <c:v>98.334000000000003</c:v>
                </c:pt>
                <c:pt idx="289">
                  <c:v>98.344999999999999</c:v>
                </c:pt>
                <c:pt idx="290">
                  <c:v>98.353999999999999</c:v>
                </c:pt>
                <c:pt idx="291">
                  <c:v>98.363</c:v>
                </c:pt>
                <c:pt idx="292">
                  <c:v>98.371499999999997</c:v>
                </c:pt>
                <c:pt idx="293">
                  <c:v>98.38</c:v>
                </c:pt>
                <c:pt idx="294">
                  <c:v>98.390500000000003</c:v>
                </c:pt>
                <c:pt idx="295">
                  <c:v>98.40100000000001</c:v>
                </c:pt>
                <c:pt idx="296">
                  <c:v>98.412999999999997</c:v>
                </c:pt>
                <c:pt idx="297">
                  <c:v>98.424999999999997</c:v>
                </c:pt>
                <c:pt idx="298">
                  <c:v>98.435000000000002</c:v>
                </c:pt>
                <c:pt idx="299">
                  <c:v>98.444999999999993</c:v>
                </c:pt>
                <c:pt idx="300">
                  <c:v>98.456500000000005</c:v>
                </c:pt>
                <c:pt idx="301">
                  <c:v>98.468000000000004</c:v>
                </c:pt>
                <c:pt idx="302">
                  <c:v>98.478499999999997</c:v>
                </c:pt>
                <c:pt idx="303">
                  <c:v>98.489000000000004</c:v>
                </c:pt>
                <c:pt idx="304">
                  <c:v>98.5</c:v>
                </c:pt>
                <c:pt idx="305">
                  <c:v>98.51100000000001</c:v>
                </c:pt>
                <c:pt idx="306">
                  <c:v>98.514499999999998</c:v>
                </c:pt>
                <c:pt idx="307">
                  <c:v>98.518000000000001</c:v>
                </c:pt>
                <c:pt idx="308">
                  <c:v>98.534500000000008</c:v>
                </c:pt>
                <c:pt idx="309">
                  <c:v>98.551000000000002</c:v>
                </c:pt>
                <c:pt idx="310">
                  <c:v>98.558000000000007</c:v>
                </c:pt>
                <c:pt idx="311">
                  <c:v>98.564999999999998</c:v>
                </c:pt>
                <c:pt idx="312">
                  <c:v>98.572000000000003</c:v>
                </c:pt>
                <c:pt idx="313">
                  <c:v>98.579000000000008</c:v>
                </c:pt>
                <c:pt idx="314">
                  <c:v>98.583500000000001</c:v>
                </c:pt>
                <c:pt idx="315">
                  <c:v>98.587999999999994</c:v>
                </c:pt>
                <c:pt idx="316">
                  <c:v>98.58550000000001</c:v>
                </c:pt>
                <c:pt idx="317">
                  <c:v>98.582999999999998</c:v>
                </c:pt>
                <c:pt idx="318">
                  <c:v>98.584499999999991</c:v>
                </c:pt>
                <c:pt idx="319">
                  <c:v>98.585999999999999</c:v>
                </c:pt>
                <c:pt idx="320">
                  <c:v>98.584499999999991</c:v>
                </c:pt>
                <c:pt idx="321">
                  <c:v>98.582999999999998</c:v>
                </c:pt>
                <c:pt idx="322">
                  <c:v>98.582000000000008</c:v>
                </c:pt>
                <c:pt idx="323">
                  <c:v>98.581000000000003</c:v>
                </c:pt>
                <c:pt idx="324">
                  <c:v>98.578000000000003</c:v>
                </c:pt>
                <c:pt idx="325">
                  <c:v>98.575000000000003</c:v>
                </c:pt>
                <c:pt idx="326">
                  <c:v>98.572500000000005</c:v>
                </c:pt>
                <c:pt idx="327">
                  <c:v>98.57</c:v>
                </c:pt>
                <c:pt idx="328">
                  <c:v>98.564499999999995</c:v>
                </c:pt>
                <c:pt idx="329">
                  <c:v>98.558999999999997</c:v>
                </c:pt>
                <c:pt idx="330">
                  <c:v>98.554000000000002</c:v>
                </c:pt>
                <c:pt idx="331">
                  <c:v>98.548999999999992</c:v>
                </c:pt>
                <c:pt idx="332">
                  <c:v>98.541499999999999</c:v>
                </c:pt>
                <c:pt idx="333">
                  <c:v>98.534000000000006</c:v>
                </c:pt>
                <c:pt idx="334">
                  <c:v>98.528499999999994</c:v>
                </c:pt>
                <c:pt idx="335">
                  <c:v>98.52300000000001</c:v>
                </c:pt>
                <c:pt idx="336">
                  <c:v>98.513499999999993</c:v>
                </c:pt>
                <c:pt idx="337">
                  <c:v>98.504000000000005</c:v>
                </c:pt>
                <c:pt idx="338">
                  <c:v>98.492500000000007</c:v>
                </c:pt>
                <c:pt idx="339">
                  <c:v>98.480999999999995</c:v>
                </c:pt>
                <c:pt idx="340">
                  <c:v>98.465000000000003</c:v>
                </c:pt>
                <c:pt idx="341">
                  <c:v>98.448999999999998</c:v>
                </c:pt>
                <c:pt idx="342">
                  <c:v>98.43</c:v>
                </c:pt>
                <c:pt idx="343">
                  <c:v>98.411000000000001</c:v>
                </c:pt>
                <c:pt idx="344">
                  <c:v>98.390500000000003</c:v>
                </c:pt>
                <c:pt idx="345">
                  <c:v>98.37</c:v>
                </c:pt>
                <c:pt idx="346">
                  <c:v>98.351500000000001</c:v>
                </c:pt>
                <c:pt idx="347">
                  <c:v>98.332999999999998</c:v>
                </c:pt>
                <c:pt idx="348">
                  <c:v>98.3065</c:v>
                </c:pt>
                <c:pt idx="349">
                  <c:v>98.28</c:v>
                </c:pt>
                <c:pt idx="350">
                  <c:v>98.248000000000005</c:v>
                </c:pt>
                <c:pt idx="351">
                  <c:v>98.216000000000008</c:v>
                </c:pt>
                <c:pt idx="352">
                  <c:v>98.182000000000002</c:v>
                </c:pt>
                <c:pt idx="353">
                  <c:v>98.147999999999996</c:v>
                </c:pt>
                <c:pt idx="354">
                  <c:v>98.106499999999997</c:v>
                </c:pt>
                <c:pt idx="355">
                  <c:v>98.064999999999998</c:v>
                </c:pt>
                <c:pt idx="356">
                  <c:v>98.014499999999998</c:v>
                </c:pt>
                <c:pt idx="357">
                  <c:v>97.963999999999999</c:v>
                </c:pt>
                <c:pt idx="358">
                  <c:v>97.914500000000004</c:v>
                </c:pt>
                <c:pt idx="359">
                  <c:v>97.864999999999995</c:v>
                </c:pt>
                <c:pt idx="360">
                  <c:v>97.80149999999999</c:v>
                </c:pt>
                <c:pt idx="361">
                  <c:v>97.738</c:v>
                </c:pt>
                <c:pt idx="362">
                  <c:v>97.660499999999999</c:v>
                </c:pt>
                <c:pt idx="363">
                  <c:v>97.582999999999998</c:v>
                </c:pt>
                <c:pt idx="364">
                  <c:v>97.495000000000005</c:v>
                </c:pt>
                <c:pt idx="365">
                  <c:v>97.406999999999996</c:v>
                </c:pt>
                <c:pt idx="366">
                  <c:v>97.310500000000005</c:v>
                </c:pt>
                <c:pt idx="367">
                  <c:v>97.213999999999999</c:v>
                </c:pt>
                <c:pt idx="368">
                  <c:v>97.097999999999999</c:v>
                </c:pt>
                <c:pt idx="369">
                  <c:v>96.981999999999999</c:v>
                </c:pt>
                <c:pt idx="370">
                  <c:v>96.84899999999999</c:v>
                </c:pt>
                <c:pt idx="371">
                  <c:v>96.716000000000008</c:v>
                </c:pt>
                <c:pt idx="372">
                  <c:v>96.5685</c:v>
                </c:pt>
                <c:pt idx="373">
                  <c:v>96.421000000000006</c:v>
                </c:pt>
                <c:pt idx="374">
                  <c:v>96.267499999999998</c:v>
                </c:pt>
                <c:pt idx="375">
                  <c:v>96.114000000000004</c:v>
                </c:pt>
                <c:pt idx="376">
                  <c:v>95.9405</c:v>
                </c:pt>
                <c:pt idx="377">
                  <c:v>95.766999999999996</c:v>
                </c:pt>
                <c:pt idx="378">
                  <c:v>95.597999999999999</c:v>
                </c:pt>
                <c:pt idx="379">
                  <c:v>95.429000000000002</c:v>
                </c:pt>
                <c:pt idx="380">
                  <c:v>95.263500000000008</c:v>
                </c:pt>
                <c:pt idx="381">
                  <c:v>95.097999999999999</c:v>
                </c:pt>
                <c:pt idx="382">
                  <c:v>94.950999999999993</c:v>
                </c:pt>
                <c:pt idx="383">
                  <c:v>94.804000000000002</c:v>
                </c:pt>
                <c:pt idx="384">
                  <c:v>94.665000000000006</c:v>
                </c:pt>
                <c:pt idx="385">
                  <c:v>94.525999999999996</c:v>
                </c:pt>
                <c:pt idx="386">
                  <c:v>94.375</c:v>
                </c:pt>
                <c:pt idx="387">
                  <c:v>94.22399999999999</c:v>
                </c:pt>
                <c:pt idx="388">
                  <c:v>94.016999999999996</c:v>
                </c:pt>
                <c:pt idx="389">
                  <c:v>93.81</c:v>
                </c:pt>
                <c:pt idx="390">
                  <c:v>93.452500000000001</c:v>
                </c:pt>
                <c:pt idx="391">
                  <c:v>93.094999999999999</c:v>
                </c:pt>
                <c:pt idx="392">
                  <c:v>92.388999999999996</c:v>
                </c:pt>
                <c:pt idx="393">
                  <c:v>91.683000000000007</c:v>
                </c:pt>
                <c:pt idx="394">
                  <c:v>90.186500000000009</c:v>
                </c:pt>
                <c:pt idx="395">
                  <c:v>88.69</c:v>
                </c:pt>
                <c:pt idx="396">
                  <c:v>85.983500000000006</c:v>
                </c:pt>
                <c:pt idx="397">
                  <c:v>83.277000000000001</c:v>
                </c:pt>
                <c:pt idx="398">
                  <c:v>81.887</c:v>
                </c:pt>
                <c:pt idx="399">
                  <c:v>80.497</c:v>
                </c:pt>
                <c:pt idx="400">
                  <c:v>82.231499999999997</c:v>
                </c:pt>
                <c:pt idx="401">
                  <c:v>83.965999999999994</c:v>
                </c:pt>
                <c:pt idx="402">
                  <c:v>85.596499999999992</c:v>
                </c:pt>
                <c:pt idx="403">
                  <c:v>87.227000000000004</c:v>
                </c:pt>
                <c:pt idx="404">
                  <c:v>87.599000000000004</c:v>
                </c:pt>
                <c:pt idx="405">
                  <c:v>87.971000000000004</c:v>
                </c:pt>
                <c:pt idx="406">
                  <c:v>84.874000000000009</c:v>
                </c:pt>
                <c:pt idx="407">
                  <c:v>81.777000000000001</c:v>
                </c:pt>
                <c:pt idx="408">
                  <c:v>66.981999999999999</c:v>
                </c:pt>
                <c:pt idx="409">
                  <c:v>52.186999999999998</c:v>
                </c:pt>
                <c:pt idx="410">
                  <c:v>27.965499999999999</c:v>
                </c:pt>
                <c:pt idx="411">
                  <c:v>3.7440000000000002</c:v>
                </c:pt>
                <c:pt idx="412">
                  <c:v>4.5394999999999994</c:v>
                </c:pt>
                <c:pt idx="413">
                  <c:v>5.335</c:v>
                </c:pt>
                <c:pt idx="414">
                  <c:v>6.3060000000000009</c:v>
                </c:pt>
                <c:pt idx="415">
                  <c:v>7.2770000000000001</c:v>
                </c:pt>
                <c:pt idx="416">
                  <c:v>5.9545000000000003</c:v>
                </c:pt>
                <c:pt idx="417">
                  <c:v>4.6319999999999997</c:v>
                </c:pt>
                <c:pt idx="418">
                  <c:v>3.3719999999999999</c:v>
                </c:pt>
                <c:pt idx="419">
                  <c:v>2.1120000000000001</c:v>
                </c:pt>
                <c:pt idx="420">
                  <c:v>3.5564999999999998</c:v>
                </c:pt>
                <c:pt idx="421">
                  <c:v>5.0009999999999994</c:v>
                </c:pt>
                <c:pt idx="422">
                  <c:v>9.2814999999999994</c:v>
                </c:pt>
                <c:pt idx="423">
                  <c:v>13.561999999999999</c:v>
                </c:pt>
                <c:pt idx="424">
                  <c:v>19.125</c:v>
                </c:pt>
                <c:pt idx="425">
                  <c:v>24.687999999999999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75-449D-855F-F70A3822C652}"/>
            </c:ext>
          </c:extLst>
        </c:ser>
        <c:ser>
          <c:idx val="3"/>
          <c:order val="4"/>
          <c:tx>
            <c:strRef>
              <c:f>trans5_PV_5nm!$AW$76</c:f>
              <c:strCache>
                <c:ptCount val="1"/>
                <c:pt idx="0">
                  <c:v>PAV-D-2</c:v>
                </c:pt>
              </c:strCache>
            </c:strRef>
          </c:tx>
          <c:spPr>
            <a:ln w="254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trans5_PV_5nm!$L$79:$L$529</c:f>
              <c:numCache>
                <c:formatCode>General</c:formatCode>
                <c:ptCount val="42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  <c:pt idx="416">
                  <c:v>295</c:v>
                </c:pt>
                <c:pt idx="417">
                  <c:v>290</c:v>
                </c:pt>
                <c:pt idx="418">
                  <c:v>285</c:v>
                </c:pt>
                <c:pt idx="419">
                  <c:v>280</c:v>
                </c:pt>
                <c:pt idx="420">
                  <c:v>275</c:v>
                </c:pt>
                <c:pt idx="421">
                  <c:v>270</c:v>
                </c:pt>
                <c:pt idx="422">
                  <c:v>265</c:v>
                </c:pt>
                <c:pt idx="423">
                  <c:v>260</c:v>
                </c:pt>
                <c:pt idx="424">
                  <c:v>255</c:v>
                </c:pt>
                <c:pt idx="425">
                  <c:v>250</c:v>
                </c:pt>
              </c:numCache>
            </c:numRef>
          </c:xVal>
          <c:yVal>
            <c:numRef>
              <c:f>trans5_PV_5nm!$AW$79:$AW$529</c:f>
              <c:numCache>
                <c:formatCode>0.00</c:formatCode>
                <c:ptCount val="426"/>
                <c:pt idx="0">
                  <c:v>97.552000000000007</c:v>
                </c:pt>
                <c:pt idx="1">
                  <c:v>97.557500000000005</c:v>
                </c:pt>
                <c:pt idx="2">
                  <c:v>97.563000000000002</c:v>
                </c:pt>
                <c:pt idx="3">
                  <c:v>97.566000000000003</c:v>
                </c:pt>
                <c:pt idx="4">
                  <c:v>97.568999999999988</c:v>
                </c:pt>
                <c:pt idx="5">
                  <c:v>97.558999999999997</c:v>
                </c:pt>
                <c:pt idx="6">
                  <c:v>97.548999999999992</c:v>
                </c:pt>
                <c:pt idx="7">
                  <c:v>97.548999999999992</c:v>
                </c:pt>
                <c:pt idx="8">
                  <c:v>97.548999999999992</c:v>
                </c:pt>
                <c:pt idx="9">
                  <c:v>97.544499999999999</c:v>
                </c:pt>
                <c:pt idx="10">
                  <c:v>97.54</c:v>
                </c:pt>
                <c:pt idx="11">
                  <c:v>97.533499999999989</c:v>
                </c:pt>
                <c:pt idx="12">
                  <c:v>97.527000000000001</c:v>
                </c:pt>
                <c:pt idx="13">
                  <c:v>97.530500000000004</c:v>
                </c:pt>
                <c:pt idx="14">
                  <c:v>97.533999999999992</c:v>
                </c:pt>
                <c:pt idx="15">
                  <c:v>97.533999999999992</c:v>
                </c:pt>
                <c:pt idx="16">
                  <c:v>97.533999999999992</c:v>
                </c:pt>
                <c:pt idx="17">
                  <c:v>97.530500000000004</c:v>
                </c:pt>
                <c:pt idx="18">
                  <c:v>97.483500000000006</c:v>
                </c:pt>
                <c:pt idx="19">
                  <c:v>97.477999999999994</c:v>
                </c:pt>
                <c:pt idx="20">
                  <c:v>97.477500000000006</c:v>
                </c:pt>
                <c:pt idx="21">
                  <c:v>97.477000000000004</c:v>
                </c:pt>
                <c:pt idx="22">
                  <c:v>97.472999999999999</c:v>
                </c:pt>
                <c:pt idx="23">
                  <c:v>97.468999999999994</c:v>
                </c:pt>
                <c:pt idx="24">
                  <c:v>97.471000000000004</c:v>
                </c:pt>
                <c:pt idx="25">
                  <c:v>97.472999999999999</c:v>
                </c:pt>
                <c:pt idx="26">
                  <c:v>97.468500000000006</c:v>
                </c:pt>
                <c:pt idx="27">
                  <c:v>97.463999999999999</c:v>
                </c:pt>
                <c:pt idx="28">
                  <c:v>97.463999999999999</c:v>
                </c:pt>
                <c:pt idx="29">
                  <c:v>97.463999999999999</c:v>
                </c:pt>
                <c:pt idx="30">
                  <c:v>97.462999999999994</c:v>
                </c:pt>
                <c:pt idx="31">
                  <c:v>97.462000000000003</c:v>
                </c:pt>
                <c:pt idx="32">
                  <c:v>97.46</c:v>
                </c:pt>
                <c:pt idx="33">
                  <c:v>97.457999999999998</c:v>
                </c:pt>
                <c:pt idx="34">
                  <c:v>97.456000000000003</c:v>
                </c:pt>
                <c:pt idx="35">
                  <c:v>97.453999999999994</c:v>
                </c:pt>
                <c:pt idx="36">
                  <c:v>97.451999999999998</c:v>
                </c:pt>
                <c:pt idx="37">
                  <c:v>97.45</c:v>
                </c:pt>
                <c:pt idx="38">
                  <c:v>97.4495</c:v>
                </c:pt>
                <c:pt idx="39">
                  <c:v>97.448999999999998</c:v>
                </c:pt>
                <c:pt idx="40">
                  <c:v>97.4465</c:v>
                </c:pt>
                <c:pt idx="41">
                  <c:v>97.444000000000003</c:v>
                </c:pt>
                <c:pt idx="42">
                  <c:v>97.442999999999998</c:v>
                </c:pt>
                <c:pt idx="43">
                  <c:v>97.441999999999993</c:v>
                </c:pt>
                <c:pt idx="44">
                  <c:v>97.439499999999995</c:v>
                </c:pt>
                <c:pt idx="45">
                  <c:v>97.436999999999998</c:v>
                </c:pt>
                <c:pt idx="46">
                  <c:v>97.433499999999995</c:v>
                </c:pt>
                <c:pt idx="47">
                  <c:v>97.43</c:v>
                </c:pt>
                <c:pt idx="48">
                  <c:v>97.4285</c:v>
                </c:pt>
                <c:pt idx="49">
                  <c:v>97.426999999999992</c:v>
                </c:pt>
                <c:pt idx="50">
                  <c:v>97.4255</c:v>
                </c:pt>
                <c:pt idx="51">
                  <c:v>97.424000000000007</c:v>
                </c:pt>
                <c:pt idx="52">
                  <c:v>97.421999999999997</c:v>
                </c:pt>
                <c:pt idx="53">
                  <c:v>97.42</c:v>
                </c:pt>
                <c:pt idx="54">
                  <c:v>97.418000000000006</c:v>
                </c:pt>
                <c:pt idx="55">
                  <c:v>97.415999999999997</c:v>
                </c:pt>
                <c:pt idx="56">
                  <c:v>97.415000000000006</c:v>
                </c:pt>
                <c:pt idx="57">
                  <c:v>97.414000000000001</c:v>
                </c:pt>
                <c:pt idx="58">
                  <c:v>97.411999999999992</c:v>
                </c:pt>
                <c:pt idx="59">
                  <c:v>97.41</c:v>
                </c:pt>
                <c:pt idx="60">
                  <c:v>97.408000000000001</c:v>
                </c:pt>
                <c:pt idx="61">
                  <c:v>97.406000000000006</c:v>
                </c:pt>
                <c:pt idx="62">
                  <c:v>97.402999999999992</c:v>
                </c:pt>
                <c:pt idx="63">
                  <c:v>97.4</c:v>
                </c:pt>
                <c:pt idx="64">
                  <c:v>97.397499999999994</c:v>
                </c:pt>
                <c:pt idx="65">
                  <c:v>97.394999999999996</c:v>
                </c:pt>
                <c:pt idx="66">
                  <c:v>97.391999999999996</c:v>
                </c:pt>
                <c:pt idx="67">
                  <c:v>97.38900000000001</c:v>
                </c:pt>
                <c:pt idx="68">
                  <c:v>97.386499999999998</c:v>
                </c:pt>
                <c:pt idx="69">
                  <c:v>97.384</c:v>
                </c:pt>
                <c:pt idx="70">
                  <c:v>97.382999999999996</c:v>
                </c:pt>
                <c:pt idx="71">
                  <c:v>97.382000000000005</c:v>
                </c:pt>
                <c:pt idx="72">
                  <c:v>97.379499999999993</c:v>
                </c:pt>
                <c:pt idx="73">
                  <c:v>97.37700000000001</c:v>
                </c:pt>
                <c:pt idx="74">
                  <c:v>97.376499999999993</c:v>
                </c:pt>
                <c:pt idx="75">
                  <c:v>97.375999999999991</c:v>
                </c:pt>
                <c:pt idx="76">
                  <c:v>97.373500000000007</c:v>
                </c:pt>
                <c:pt idx="77">
                  <c:v>97.370999999999995</c:v>
                </c:pt>
                <c:pt idx="78">
                  <c:v>97.367500000000007</c:v>
                </c:pt>
                <c:pt idx="79">
                  <c:v>97.36399999999999</c:v>
                </c:pt>
                <c:pt idx="80">
                  <c:v>97.362000000000009</c:v>
                </c:pt>
                <c:pt idx="81">
                  <c:v>97.36</c:v>
                </c:pt>
                <c:pt idx="82">
                  <c:v>97.359499999999997</c:v>
                </c:pt>
                <c:pt idx="83">
                  <c:v>97.358999999999995</c:v>
                </c:pt>
                <c:pt idx="84">
                  <c:v>97.355999999999995</c:v>
                </c:pt>
                <c:pt idx="85">
                  <c:v>97.352999999999994</c:v>
                </c:pt>
                <c:pt idx="86">
                  <c:v>97.351500000000001</c:v>
                </c:pt>
                <c:pt idx="87">
                  <c:v>97.35</c:v>
                </c:pt>
                <c:pt idx="88">
                  <c:v>97.347999999999999</c:v>
                </c:pt>
                <c:pt idx="89">
                  <c:v>97.346000000000004</c:v>
                </c:pt>
                <c:pt idx="90">
                  <c:v>97.341999999999999</c:v>
                </c:pt>
                <c:pt idx="91">
                  <c:v>97.338000000000008</c:v>
                </c:pt>
                <c:pt idx="92">
                  <c:v>97.335999999999999</c:v>
                </c:pt>
                <c:pt idx="93">
                  <c:v>97.334000000000003</c:v>
                </c:pt>
                <c:pt idx="94">
                  <c:v>97.331000000000003</c:v>
                </c:pt>
                <c:pt idx="95">
                  <c:v>97.328000000000003</c:v>
                </c:pt>
                <c:pt idx="96">
                  <c:v>97.325000000000003</c:v>
                </c:pt>
                <c:pt idx="97">
                  <c:v>97.322000000000003</c:v>
                </c:pt>
                <c:pt idx="98">
                  <c:v>97.319500000000005</c:v>
                </c:pt>
                <c:pt idx="99">
                  <c:v>97.316999999999993</c:v>
                </c:pt>
                <c:pt idx="100">
                  <c:v>97.314000000000007</c:v>
                </c:pt>
                <c:pt idx="101">
                  <c:v>97.311000000000007</c:v>
                </c:pt>
                <c:pt idx="102">
                  <c:v>97.307000000000002</c:v>
                </c:pt>
                <c:pt idx="103">
                  <c:v>97.302999999999997</c:v>
                </c:pt>
                <c:pt idx="104">
                  <c:v>97.301000000000002</c:v>
                </c:pt>
                <c:pt idx="105">
                  <c:v>97.299000000000007</c:v>
                </c:pt>
                <c:pt idx="106">
                  <c:v>97.296000000000006</c:v>
                </c:pt>
                <c:pt idx="107">
                  <c:v>97.292999999999992</c:v>
                </c:pt>
                <c:pt idx="108">
                  <c:v>97.287499999999994</c:v>
                </c:pt>
                <c:pt idx="109">
                  <c:v>97.281999999999996</c:v>
                </c:pt>
                <c:pt idx="110">
                  <c:v>97.280500000000004</c:v>
                </c:pt>
                <c:pt idx="111">
                  <c:v>97.279000000000011</c:v>
                </c:pt>
                <c:pt idx="112">
                  <c:v>97.275999999999996</c:v>
                </c:pt>
                <c:pt idx="113">
                  <c:v>97.272999999999996</c:v>
                </c:pt>
                <c:pt idx="114">
                  <c:v>97.269000000000005</c:v>
                </c:pt>
                <c:pt idx="115">
                  <c:v>97.265000000000001</c:v>
                </c:pt>
                <c:pt idx="116">
                  <c:v>97.26</c:v>
                </c:pt>
                <c:pt idx="117">
                  <c:v>97.254999999999995</c:v>
                </c:pt>
                <c:pt idx="118">
                  <c:v>97.25200000000001</c:v>
                </c:pt>
                <c:pt idx="119">
                  <c:v>97.248999999999995</c:v>
                </c:pt>
                <c:pt idx="120">
                  <c:v>97.245499999999993</c:v>
                </c:pt>
                <c:pt idx="121">
                  <c:v>97.24199999999999</c:v>
                </c:pt>
                <c:pt idx="122">
                  <c:v>97.238</c:v>
                </c:pt>
                <c:pt idx="123">
                  <c:v>97.233999999999995</c:v>
                </c:pt>
                <c:pt idx="124">
                  <c:v>97.228999999999999</c:v>
                </c:pt>
                <c:pt idx="125">
                  <c:v>97.224000000000004</c:v>
                </c:pt>
                <c:pt idx="126">
                  <c:v>97.22</c:v>
                </c:pt>
                <c:pt idx="127">
                  <c:v>97.216000000000008</c:v>
                </c:pt>
                <c:pt idx="128">
                  <c:v>97.212500000000006</c:v>
                </c:pt>
                <c:pt idx="129">
                  <c:v>97.209000000000003</c:v>
                </c:pt>
                <c:pt idx="130">
                  <c:v>97.204999999999998</c:v>
                </c:pt>
                <c:pt idx="131">
                  <c:v>97.201000000000008</c:v>
                </c:pt>
                <c:pt idx="132">
                  <c:v>97.195999999999998</c:v>
                </c:pt>
                <c:pt idx="133">
                  <c:v>97.191000000000003</c:v>
                </c:pt>
                <c:pt idx="134">
                  <c:v>97.185000000000002</c:v>
                </c:pt>
                <c:pt idx="135">
                  <c:v>97.179000000000002</c:v>
                </c:pt>
                <c:pt idx="136">
                  <c:v>97.174499999999995</c:v>
                </c:pt>
                <c:pt idx="137">
                  <c:v>97.17</c:v>
                </c:pt>
                <c:pt idx="138">
                  <c:v>97.167000000000002</c:v>
                </c:pt>
                <c:pt idx="139">
                  <c:v>97.164000000000001</c:v>
                </c:pt>
                <c:pt idx="140">
                  <c:v>97.156499999999994</c:v>
                </c:pt>
                <c:pt idx="141">
                  <c:v>97.149000000000001</c:v>
                </c:pt>
                <c:pt idx="142">
                  <c:v>97.146000000000001</c:v>
                </c:pt>
                <c:pt idx="143">
                  <c:v>97.143000000000001</c:v>
                </c:pt>
                <c:pt idx="144">
                  <c:v>97.136499999999998</c:v>
                </c:pt>
                <c:pt idx="145">
                  <c:v>97.13</c:v>
                </c:pt>
                <c:pt idx="146">
                  <c:v>97.125500000000002</c:v>
                </c:pt>
                <c:pt idx="147">
                  <c:v>97.120999999999995</c:v>
                </c:pt>
                <c:pt idx="148">
                  <c:v>97.115499999999997</c:v>
                </c:pt>
                <c:pt idx="149">
                  <c:v>97.11</c:v>
                </c:pt>
                <c:pt idx="150">
                  <c:v>97.102999999999994</c:v>
                </c:pt>
                <c:pt idx="151">
                  <c:v>97.096000000000004</c:v>
                </c:pt>
                <c:pt idx="152">
                  <c:v>97.089500000000001</c:v>
                </c:pt>
                <c:pt idx="153">
                  <c:v>97.082999999999998</c:v>
                </c:pt>
                <c:pt idx="154">
                  <c:v>97.076999999999998</c:v>
                </c:pt>
                <c:pt idx="155">
                  <c:v>97.070999999999998</c:v>
                </c:pt>
                <c:pt idx="156">
                  <c:v>97.064499999999995</c:v>
                </c:pt>
                <c:pt idx="157">
                  <c:v>97.057999999999993</c:v>
                </c:pt>
                <c:pt idx="158">
                  <c:v>97.051000000000002</c:v>
                </c:pt>
                <c:pt idx="159">
                  <c:v>97.043999999999997</c:v>
                </c:pt>
                <c:pt idx="160">
                  <c:v>97.036000000000001</c:v>
                </c:pt>
                <c:pt idx="161">
                  <c:v>97.028000000000006</c:v>
                </c:pt>
                <c:pt idx="162">
                  <c:v>97.024000000000001</c:v>
                </c:pt>
                <c:pt idx="163">
                  <c:v>97.02</c:v>
                </c:pt>
                <c:pt idx="164">
                  <c:v>97.010999999999996</c:v>
                </c:pt>
                <c:pt idx="165">
                  <c:v>97.001999999999995</c:v>
                </c:pt>
                <c:pt idx="166">
                  <c:v>96.994</c:v>
                </c:pt>
                <c:pt idx="167">
                  <c:v>96.986000000000004</c:v>
                </c:pt>
                <c:pt idx="168">
                  <c:v>96.977999999999994</c:v>
                </c:pt>
                <c:pt idx="169">
                  <c:v>96.97</c:v>
                </c:pt>
                <c:pt idx="170">
                  <c:v>96.96050000000001</c:v>
                </c:pt>
                <c:pt idx="171">
                  <c:v>96.950999999999993</c:v>
                </c:pt>
                <c:pt idx="172">
                  <c:v>96.9435</c:v>
                </c:pt>
                <c:pt idx="173">
                  <c:v>96.936000000000007</c:v>
                </c:pt>
                <c:pt idx="174">
                  <c:v>96.927999999999997</c:v>
                </c:pt>
                <c:pt idx="175">
                  <c:v>96.92</c:v>
                </c:pt>
                <c:pt idx="176">
                  <c:v>96.91149999999999</c:v>
                </c:pt>
                <c:pt idx="177">
                  <c:v>96.902999999999992</c:v>
                </c:pt>
                <c:pt idx="178">
                  <c:v>96.894499999999994</c:v>
                </c:pt>
                <c:pt idx="179">
                  <c:v>96.88600000000001</c:v>
                </c:pt>
                <c:pt idx="180">
                  <c:v>96.876499999999993</c:v>
                </c:pt>
                <c:pt idx="181">
                  <c:v>96.867000000000004</c:v>
                </c:pt>
                <c:pt idx="182">
                  <c:v>96.855999999999995</c:v>
                </c:pt>
                <c:pt idx="183">
                  <c:v>96.844999999999999</c:v>
                </c:pt>
                <c:pt idx="184">
                  <c:v>96.834500000000006</c:v>
                </c:pt>
                <c:pt idx="185">
                  <c:v>96.823999999999998</c:v>
                </c:pt>
                <c:pt idx="186">
                  <c:v>96.813000000000002</c:v>
                </c:pt>
                <c:pt idx="187">
                  <c:v>96.801999999999992</c:v>
                </c:pt>
                <c:pt idx="188">
                  <c:v>96.791499999999999</c:v>
                </c:pt>
                <c:pt idx="189">
                  <c:v>96.780999999999992</c:v>
                </c:pt>
                <c:pt idx="190">
                  <c:v>96.769499999999994</c:v>
                </c:pt>
                <c:pt idx="191">
                  <c:v>96.757999999999996</c:v>
                </c:pt>
                <c:pt idx="192">
                  <c:v>96.746499999999997</c:v>
                </c:pt>
                <c:pt idx="193">
                  <c:v>96.734999999999999</c:v>
                </c:pt>
                <c:pt idx="194">
                  <c:v>96.722499999999997</c:v>
                </c:pt>
                <c:pt idx="195">
                  <c:v>96.71</c:v>
                </c:pt>
                <c:pt idx="196">
                  <c:v>96.697000000000003</c:v>
                </c:pt>
                <c:pt idx="197">
                  <c:v>96.683999999999997</c:v>
                </c:pt>
                <c:pt idx="198">
                  <c:v>96.670999999999992</c:v>
                </c:pt>
                <c:pt idx="199">
                  <c:v>96.658000000000001</c:v>
                </c:pt>
                <c:pt idx="200">
                  <c:v>96.644499999999994</c:v>
                </c:pt>
                <c:pt idx="201">
                  <c:v>96.631</c:v>
                </c:pt>
                <c:pt idx="202">
                  <c:v>96.615499999999997</c:v>
                </c:pt>
                <c:pt idx="203">
                  <c:v>96.6</c:v>
                </c:pt>
                <c:pt idx="204">
                  <c:v>96.584499999999991</c:v>
                </c:pt>
                <c:pt idx="205">
                  <c:v>96.569000000000003</c:v>
                </c:pt>
                <c:pt idx="206">
                  <c:v>96.554500000000004</c:v>
                </c:pt>
                <c:pt idx="207">
                  <c:v>96.54</c:v>
                </c:pt>
                <c:pt idx="208">
                  <c:v>96.525000000000006</c:v>
                </c:pt>
                <c:pt idx="209">
                  <c:v>96.51</c:v>
                </c:pt>
                <c:pt idx="210">
                  <c:v>96.491</c:v>
                </c:pt>
                <c:pt idx="211">
                  <c:v>96.472000000000008</c:v>
                </c:pt>
                <c:pt idx="212">
                  <c:v>96.454499999999996</c:v>
                </c:pt>
                <c:pt idx="213">
                  <c:v>96.436999999999998</c:v>
                </c:pt>
                <c:pt idx="214">
                  <c:v>96.417500000000004</c:v>
                </c:pt>
                <c:pt idx="215">
                  <c:v>96.397999999999996</c:v>
                </c:pt>
                <c:pt idx="216">
                  <c:v>96.378500000000003</c:v>
                </c:pt>
                <c:pt idx="217">
                  <c:v>96.358999999999995</c:v>
                </c:pt>
                <c:pt idx="218">
                  <c:v>96.336500000000001</c:v>
                </c:pt>
                <c:pt idx="219">
                  <c:v>96.313999999999993</c:v>
                </c:pt>
                <c:pt idx="220">
                  <c:v>96.292999999999992</c:v>
                </c:pt>
                <c:pt idx="221">
                  <c:v>96.272000000000006</c:v>
                </c:pt>
                <c:pt idx="222">
                  <c:v>96.249499999999998</c:v>
                </c:pt>
                <c:pt idx="223">
                  <c:v>96.22699999999999</c:v>
                </c:pt>
                <c:pt idx="224">
                  <c:v>96.201999999999998</c:v>
                </c:pt>
                <c:pt idx="225">
                  <c:v>96.177000000000007</c:v>
                </c:pt>
                <c:pt idx="226">
                  <c:v>96.150999999999996</c:v>
                </c:pt>
                <c:pt idx="227">
                  <c:v>96.125</c:v>
                </c:pt>
                <c:pt idx="228">
                  <c:v>96.098500000000001</c:v>
                </c:pt>
                <c:pt idx="229">
                  <c:v>96.072000000000003</c:v>
                </c:pt>
                <c:pt idx="230">
                  <c:v>96.042000000000002</c:v>
                </c:pt>
                <c:pt idx="231">
                  <c:v>96.012</c:v>
                </c:pt>
                <c:pt idx="232">
                  <c:v>95.983499999999992</c:v>
                </c:pt>
                <c:pt idx="233">
                  <c:v>95.954999999999998</c:v>
                </c:pt>
                <c:pt idx="234">
                  <c:v>95.921999999999997</c:v>
                </c:pt>
                <c:pt idx="235">
                  <c:v>95.888999999999996</c:v>
                </c:pt>
                <c:pt idx="236">
                  <c:v>95.854500000000002</c:v>
                </c:pt>
                <c:pt idx="237">
                  <c:v>95.82</c:v>
                </c:pt>
                <c:pt idx="238">
                  <c:v>95.783000000000001</c:v>
                </c:pt>
                <c:pt idx="239">
                  <c:v>95.745999999999995</c:v>
                </c:pt>
                <c:pt idx="240">
                  <c:v>95.707499999999996</c:v>
                </c:pt>
                <c:pt idx="241">
                  <c:v>95.669000000000011</c:v>
                </c:pt>
                <c:pt idx="242">
                  <c:v>95.627499999999998</c:v>
                </c:pt>
                <c:pt idx="243">
                  <c:v>95.585999999999999</c:v>
                </c:pt>
                <c:pt idx="244">
                  <c:v>95.542500000000004</c:v>
                </c:pt>
                <c:pt idx="245">
                  <c:v>95.498999999999995</c:v>
                </c:pt>
                <c:pt idx="246">
                  <c:v>95.451499999999996</c:v>
                </c:pt>
                <c:pt idx="247">
                  <c:v>95.403999999999996</c:v>
                </c:pt>
                <c:pt idx="248">
                  <c:v>95.352500000000006</c:v>
                </c:pt>
                <c:pt idx="249">
                  <c:v>95.301000000000002</c:v>
                </c:pt>
                <c:pt idx="250">
                  <c:v>95.247</c:v>
                </c:pt>
                <c:pt idx="251">
                  <c:v>95.193000000000012</c:v>
                </c:pt>
                <c:pt idx="252">
                  <c:v>95.132499999999993</c:v>
                </c:pt>
                <c:pt idx="253">
                  <c:v>95.072000000000003</c:v>
                </c:pt>
                <c:pt idx="254">
                  <c:v>95.009</c:v>
                </c:pt>
                <c:pt idx="255">
                  <c:v>94.945999999999998</c:v>
                </c:pt>
                <c:pt idx="256">
                  <c:v>94.875</c:v>
                </c:pt>
                <c:pt idx="257">
                  <c:v>94.804000000000002</c:v>
                </c:pt>
                <c:pt idx="258">
                  <c:v>94.73</c:v>
                </c:pt>
                <c:pt idx="259">
                  <c:v>94.655999999999992</c:v>
                </c:pt>
                <c:pt idx="260">
                  <c:v>94.573999999999998</c:v>
                </c:pt>
                <c:pt idx="261">
                  <c:v>94.492000000000004</c:v>
                </c:pt>
                <c:pt idx="262">
                  <c:v>94.402500000000003</c:v>
                </c:pt>
                <c:pt idx="263">
                  <c:v>94.313000000000002</c:v>
                </c:pt>
                <c:pt idx="264">
                  <c:v>94.217500000000001</c:v>
                </c:pt>
                <c:pt idx="265">
                  <c:v>94.122</c:v>
                </c:pt>
                <c:pt idx="266">
                  <c:v>94.013000000000005</c:v>
                </c:pt>
                <c:pt idx="267">
                  <c:v>93.903999999999996</c:v>
                </c:pt>
                <c:pt idx="268">
                  <c:v>93.78649999999999</c:v>
                </c:pt>
                <c:pt idx="269">
                  <c:v>93.668999999999997</c:v>
                </c:pt>
                <c:pt idx="270">
                  <c:v>93.536000000000001</c:v>
                </c:pt>
                <c:pt idx="271">
                  <c:v>93.403000000000006</c:v>
                </c:pt>
                <c:pt idx="272">
                  <c:v>93.26</c:v>
                </c:pt>
                <c:pt idx="273">
                  <c:v>93.117000000000004</c:v>
                </c:pt>
                <c:pt idx="274">
                  <c:v>92.959499999999991</c:v>
                </c:pt>
                <c:pt idx="275">
                  <c:v>92.801999999999992</c:v>
                </c:pt>
                <c:pt idx="276">
                  <c:v>92.622500000000002</c:v>
                </c:pt>
                <c:pt idx="277">
                  <c:v>92.442999999999998</c:v>
                </c:pt>
                <c:pt idx="278">
                  <c:v>92.246499999999997</c:v>
                </c:pt>
                <c:pt idx="279">
                  <c:v>92.05</c:v>
                </c:pt>
                <c:pt idx="280">
                  <c:v>91.828000000000003</c:v>
                </c:pt>
                <c:pt idx="281">
                  <c:v>91.605999999999995</c:v>
                </c:pt>
                <c:pt idx="282">
                  <c:v>91.359500000000011</c:v>
                </c:pt>
                <c:pt idx="283">
                  <c:v>91.113</c:v>
                </c:pt>
                <c:pt idx="284">
                  <c:v>90.837000000000003</c:v>
                </c:pt>
                <c:pt idx="285">
                  <c:v>90.561000000000007</c:v>
                </c:pt>
                <c:pt idx="286">
                  <c:v>90.256</c:v>
                </c:pt>
                <c:pt idx="287">
                  <c:v>89.951000000000008</c:v>
                </c:pt>
                <c:pt idx="288">
                  <c:v>89.626499999999993</c:v>
                </c:pt>
                <c:pt idx="289">
                  <c:v>89.302000000000007</c:v>
                </c:pt>
                <c:pt idx="290">
                  <c:v>88.941999999999993</c:v>
                </c:pt>
                <c:pt idx="291">
                  <c:v>88.582000000000008</c:v>
                </c:pt>
                <c:pt idx="292">
                  <c:v>88.171500000000009</c:v>
                </c:pt>
                <c:pt idx="293">
                  <c:v>87.760999999999996</c:v>
                </c:pt>
                <c:pt idx="294">
                  <c:v>87.316000000000003</c:v>
                </c:pt>
                <c:pt idx="295">
                  <c:v>86.870999999999995</c:v>
                </c:pt>
                <c:pt idx="296">
                  <c:v>86.38900000000001</c:v>
                </c:pt>
                <c:pt idx="297">
                  <c:v>85.906999999999996</c:v>
                </c:pt>
                <c:pt idx="298">
                  <c:v>85.426999999999992</c:v>
                </c:pt>
                <c:pt idx="299">
                  <c:v>84.946999999999989</c:v>
                </c:pt>
                <c:pt idx="300">
                  <c:v>84.463999999999999</c:v>
                </c:pt>
                <c:pt idx="301">
                  <c:v>83.980999999999995</c:v>
                </c:pt>
                <c:pt idx="302">
                  <c:v>83.5565</c:v>
                </c:pt>
                <c:pt idx="303">
                  <c:v>83.131999999999991</c:v>
                </c:pt>
                <c:pt idx="304">
                  <c:v>82.705500000000001</c:v>
                </c:pt>
                <c:pt idx="305">
                  <c:v>82.278999999999996</c:v>
                </c:pt>
                <c:pt idx="306">
                  <c:v>82.021500000000003</c:v>
                </c:pt>
                <c:pt idx="307">
                  <c:v>81.76400000000001</c:v>
                </c:pt>
                <c:pt idx="308">
                  <c:v>81.644000000000005</c:v>
                </c:pt>
                <c:pt idx="309">
                  <c:v>81.524000000000001</c:v>
                </c:pt>
                <c:pt idx="310">
                  <c:v>81.517499999999998</c:v>
                </c:pt>
                <c:pt idx="311">
                  <c:v>81.510999999999996</c:v>
                </c:pt>
                <c:pt idx="312">
                  <c:v>81.605000000000004</c:v>
                </c:pt>
                <c:pt idx="313">
                  <c:v>81.698999999999998</c:v>
                </c:pt>
                <c:pt idx="314">
                  <c:v>81.867999999999995</c:v>
                </c:pt>
                <c:pt idx="315">
                  <c:v>82.037000000000006</c:v>
                </c:pt>
                <c:pt idx="316">
                  <c:v>82.25200000000001</c:v>
                </c:pt>
                <c:pt idx="317">
                  <c:v>82.466999999999999</c:v>
                </c:pt>
                <c:pt idx="318">
                  <c:v>82.6875</c:v>
                </c:pt>
                <c:pt idx="319">
                  <c:v>82.908000000000001</c:v>
                </c:pt>
                <c:pt idx="320">
                  <c:v>83.121499999999997</c:v>
                </c:pt>
                <c:pt idx="321">
                  <c:v>83.334999999999994</c:v>
                </c:pt>
                <c:pt idx="322">
                  <c:v>83.533500000000004</c:v>
                </c:pt>
                <c:pt idx="323">
                  <c:v>83.731999999999999</c:v>
                </c:pt>
                <c:pt idx="324">
                  <c:v>83.917000000000002</c:v>
                </c:pt>
                <c:pt idx="325">
                  <c:v>84.102000000000004</c:v>
                </c:pt>
                <c:pt idx="326">
                  <c:v>84.260999999999996</c:v>
                </c:pt>
                <c:pt idx="327">
                  <c:v>84.42</c:v>
                </c:pt>
                <c:pt idx="328">
                  <c:v>84.557500000000005</c:v>
                </c:pt>
                <c:pt idx="329">
                  <c:v>84.694999999999993</c:v>
                </c:pt>
                <c:pt idx="330">
                  <c:v>84.82</c:v>
                </c:pt>
                <c:pt idx="331">
                  <c:v>84.944999999999993</c:v>
                </c:pt>
                <c:pt idx="332">
                  <c:v>85.06</c:v>
                </c:pt>
                <c:pt idx="333">
                  <c:v>85.174999999999997</c:v>
                </c:pt>
                <c:pt idx="334">
                  <c:v>85.267499999999998</c:v>
                </c:pt>
                <c:pt idx="335">
                  <c:v>85.36</c:v>
                </c:pt>
                <c:pt idx="336">
                  <c:v>85.4465</c:v>
                </c:pt>
                <c:pt idx="337">
                  <c:v>85.533000000000001</c:v>
                </c:pt>
                <c:pt idx="338">
                  <c:v>85.608499999999992</c:v>
                </c:pt>
                <c:pt idx="339">
                  <c:v>85.683999999999997</c:v>
                </c:pt>
                <c:pt idx="340">
                  <c:v>85.748000000000005</c:v>
                </c:pt>
                <c:pt idx="341">
                  <c:v>85.811999999999998</c:v>
                </c:pt>
                <c:pt idx="342">
                  <c:v>85.872</c:v>
                </c:pt>
                <c:pt idx="343">
                  <c:v>85.932000000000002</c:v>
                </c:pt>
                <c:pt idx="344">
                  <c:v>85.983000000000004</c:v>
                </c:pt>
                <c:pt idx="345">
                  <c:v>86.034000000000006</c:v>
                </c:pt>
                <c:pt idx="346">
                  <c:v>86.0595</c:v>
                </c:pt>
                <c:pt idx="347">
                  <c:v>86.084999999999994</c:v>
                </c:pt>
                <c:pt idx="348">
                  <c:v>86.125</c:v>
                </c:pt>
                <c:pt idx="349">
                  <c:v>86.165000000000006</c:v>
                </c:pt>
                <c:pt idx="350">
                  <c:v>86.194000000000003</c:v>
                </c:pt>
                <c:pt idx="351">
                  <c:v>86.222999999999999</c:v>
                </c:pt>
                <c:pt idx="352">
                  <c:v>86.245999999999995</c:v>
                </c:pt>
                <c:pt idx="353">
                  <c:v>86.268999999999991</c:v>
                </c:pt>
                <c:pt idx="354">
                  <c:v>86.286500000000004</c:v>
                </c:pt>
                <c:pt idx="355">
                  <c:v>86.304000000000002</c:v>
                </c:pt>
                <c:pt idx="356">
                  <c:v>86.314000000000007</c:v>
                </c:pt>
                <c:pt idx="357">
                  <c:v>86.323999999999998</c:v>
                </c:pt>
                <c:pt idx="358">
                  <c:v>86.328499999999991</c:v>
                </c:pt>
                <c:pt idx="359">
                  <c:v>86.332999999999998</c:v>
                </c:pt>
                <c:pt idx="360">
                  <c:v>86.331500000000005</c:v>
                </c:pt>
                <c:pt idx="361">
                  <c:v>86.33</c:v>
                </c:pt>
                <c:pt idx="362">
                  <c:v>86.326999999999998</c:v>
                </c:pt>
                <c:pt idx="363">
                  <c:v>86.323999999999998</c:v>
                </c:pt>
                <c:pt idx="364">
                  <c:v>86.311000000000007</c:v>
                </c:pt>
                <c:pt idx="365">
                  <c:v>86.298000000000002</c:v>
                </c:pt>
                <c:pt idx="366">
                  <c:v>86.280500000000004</c:v>
                </c:pt>
                <c:pt idx="367">
                  <c:v>86.263000000000005</c:v>
                </c:pt>
                <c:pt idx="368">
                  <c:v>86.236999999999995</c:v>
                </c:pt>
                <c:pt idx="369">
                  <c:v>86.210999999999999</c:v>
                </c:pt>
                <c:pt idx="370">
                  <c:v>86.19</c:v>
                </c:pt>
                <c:pt idx="371">
                  <c:v>86.168999999999997</c:v>
                </c:pt>
                <c:pt idx="372">
                  <c:v>86.149500000000003</c:v>
                </c:pt>
                <c:pt idx="373">
                  <c:v>86.13</c:v>
                </c:pt>
                <c:pt idx="374">
                  <c:v>86.111499999999992</c:v>
                </c:pt>
                <c:pt idx="375">
                  <c:v>86.093000000000004</c:v>
                </c:pt>
                <c:pt idx="376">
                  <c:v>86.079000000000008</c:v>
                </c:pt>
                <c:pt idx="377">
                  <c:v>86.064999999999998</c:v>
                </c:pt>
                <c:pt idx="378">
                  <c:v>86.045500000000004</c:v>
                </c:pt>
                <c:pt idx="379">
                  <c:v>86.025999999999996</c:v>
                </c:pt>
                <c:pt idx="380">
                  <c:v>86.013499999999993</c:v>
                </c:pt>
                <c:pt idx="381">
                  <c:v>86.001000000000005</c:v>
                </c:pt>
                <c:pt idx="382">
                  <c:v>85.992000000000004</c:v>
                </c:pt>
                <c:pt idx="383">
                  <c:v>85.983000000000004</c:v>
                </c:pt>
                <c:pt idx="384">
                  <c:v>85.981999999999999</c:v>
                </c:pt>
                <c:pt idx="385">
                  <c:v>85.980999999999995</c:v>
                </c:pt>
                <c:pt idx="386">
                  <c:v>85.983000000000004</c:v>
                </c:pt>
                <c:pt idx="387">
                  <c:v>85.984999999999999</c:v>
                </c:pt>
                <c:pt idx="388">
                  <c:v>86.002499999999998</c:v>
                </c:pt>
                <c:pt idx="389">
                  <c:v>86.02</c:v>
                </c:pt>
                <c:pt idx="390">
                  <c:v>86.049499999999995</c:v>
                </c:pt>
                <c:pt idx="391">
                  <c:v>86.079000000000008</c:v>
                </c:pt>
                <c:pt idx="392">
                  <c:v>86.121499999999997</c:v>
                </c:pt>
                <c:pt idx="393">
                  <c:v>86.164000000000001</c:v>
                </c:pt>
                <c:pt idx="394">
                  <c:v>86.222999999999999</c:v>
                </c:pt>
                <c:pt idx="395">
                  <c:v>86.281999999999996</c:v>
                </c:pt>
                <c:pt idx="396">
                  <c:v>86.358000000000004</c:v>
                </c:pt>
                <c:pt idx="397">
                  <c:v>86.433999999999997</c:v>
                </c:pt>
                <c:pt idx="398">
                  <c:v>86.528499999999994</c:v>
                </c:pt>
                <c:pt idx="399">
                  <c:v>86.623000000000005</c:v>
                </c:pt>
                <c:pt idx="400">
                  <c:v>86.741</c:v>
                </c:pt>
                <c:pt idx="401">
                  <c:v>86.858999999999995</c:v>
                </c:pt>
                <c:pt idx="402">
                  <c:v>86.994</c:v>
                </c:pt>
                <c:pt idx="403">
                  <c:v>87.129000000000005</c:v>
                </c:pt>
                <c:pt idx="404">
                  <c:v>87.292000000000002</c:v>
                </c:pt>
                <c:pt idx="405">
                  <c:v>87.454999999999998</c:v>
                </c:pt>
                <c:pt idx="406">
                  <c:v>87.645499999999998</c:v>
                </c:pt>
                <c:pt idx="407">
                  <c:v>87.835999999999999</c:v>
                </c:pt>
                <c:pt idx="408">
                  <c:v>88.042500000000004</c:v>
                </c:pt>
                <c:pt idx="409">
                  <c:v>88.248999999999995</c:v>
                </c:pt>
                <c:pt idx="410">
                  <c:v>88.479500000000002</c:v>
                </c:pt>
                <c:pt idx="411">
                  <c:v>88.71</c:v>
                </c:pt>
                <c:pt idx="412">
                  <c:v>88.960499999999996</c:v>
                </c:pt>
                <c:pt idx="413">
                  <c:v>89.210999999999999</c:v>
                </c:pt>
                <c:pt idx="414">
                  <c:v>89.463499999999996</c:v>
                </c:pt>
                <c:pt idx="415">
                  <c:v>89.715999999999994</c:v>
                </c:pt>
                <c:pt idx="416">
                  <c:v>89.972499999999997</c:v>
                </c:pt>
                <c:pt idx="417">
                  <c:v>90.228999999999999</c:v>
                </c:pt>
                <c:pt idx="418">
                  <c:v>90.500499999999988</c:v>
                </c:pt>
                <c:pt idx="419">
                  <c:v>90.771999999999991</c:v>
                </c:pt>
                <c:pt idx="420">
                  <c:v>91.018000000000001</c:v>
                </c:pt>
                <c:pt idx="421">
                  <c:v>91.263999999999996</c:v>
                </c:pt>
                <c:pt idx="422">
                  <c:v>91.503999999999991</c:v>
                </c:pt>
                <c:pt idx="423">
                  <c:v>91.744</c:v>
                </c:pt>
                <c:pt idx="424">
                  <c:v>91.911000000000001</c:v>
                </c:pt>
                <c:pt idx="425">
                  <c:v>92.078000000000003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075-449D-855F-F70A3822C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7719280"/>
        <c:axId val="1"/>
      </c:scatterChart>
      <c:valAx>
        <c:axId val="807719280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318187186828919"/>
              <c:y val="0.9243726868526291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Reflectivity in %</a:t>
                </a:r>
              </a:p>
            </c:rich>
          </c:tx>
          <c:layout>
            <c:manualLayout>
              <c:xMode val="edge"/>
              <c:yMode val="edge"/>
              <c:x val="7.5758768790264858E-3"/>
              <c:y val="0.350141086465138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807719280"/>
        <c:crosses val="autoZero"/>
        <c:crossBetween val="midCat"/>
        <c:majorUnit val="10"/>
        <c:minorUnit val="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66593074445239797"/>
          <c:y val="0.39888968926202839"/>
          <c:w val="0.89093808160343591"/>
          <c:h val="0.805270374326237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4921259845" footer="0.4921259845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Averaged Transmittance </a:t>
            </a:r>
          </a:p>
        </c:rich>
      </c:tx>
      <c:layout>
        <c:manualLayout>
          <c:xMode val="edge"/>
          <c:yMode val="edge"/>
          <c:x val="0.35498485766202303"/>
          <c:y val="3.155335234258508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29305135951662"/>
          <c:y val="0.15048561524102991"/>
          <c:w val="0.8368580060422961"/>
          <c:h val="0.70631151669580161"/>
        </c:manualLayout>
      </c:layout>
      <c:scatterChart>
        <c:scatterStyle val="lineMarker"/>
        <c:varyColors val="0"/>
        <c:ser>
          <c:idx val="4"/>
          <c:order val="0"/>
          <c:tx>
            <c:strRef>
              <c:f>trans5_PV_5nm!$AL$8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8080"/>
              </a:solidFill>
              <a:prstDash val="solid"/>
            </a:ln>
          </c:spPr>
          <c:marker>
            <c:symbol val="none"/>
          </c:marker>
          <c:xVal>
            <c:numRef>
              <c:f>trans5_PV_5nm!$L$79:$L$519</c:f>
              <c:numCache>
                <c:formatCode>General</c:formatCode>
                <c:ptCount val="41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</c:numCache>
            </c:numRef>
          </c:xVal>
          <c:yVal>
            <c:numRef>
              <c:f>trans5_PV_5nm!$AI$79:$AI$519</c:f>
              <c:numCache>
                <c:formatCode>0.00</c:formatCode>
                <c:ptCount val="4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 formatCode="General">
                  <c:v>0</c:v>
                </c:pt>
                <c:pt idx="103" formatCode="General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6D-4C7A-A74C-979D5BF47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699408"/>
        <c:axId val="1"/>
      </c:scatterChart>
      <c:valAx>
        <c:axId val="625699408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2447122955784372"/>
              <c:y val="0.9199039945588196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lgDashDot"/>
            </a:ln>
          </c:spPr>
        </c:min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Transmittance</a:t>
                </a:r>
              </a:p>
            </c:rich>
          </c:tx>
          <c:layout>
            <c:manualLayout>
              <c:xMode val="edge"/>
              <c:yMode val="edge"/>
              <c:x val="7.5528467595396736E-3"/>
              <c:y val="0.36407826928610665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625699408"/>
        <c:crosses val="autoZero"/>
        <c:crossBetween val="midCat"/>
        <c:majorUnit val="0.1"/>
        <c:minorUnit val="0.0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70194518473652334"/>
          <c:y val="0.70932613074528472"/>
          <c:w val="0.90772092671108418"/>
          <c:h val="0.8173032150051010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Averaged Transmittance upper range</a:t>
            </a:r>
          </a:p>
        </c:rich>
      </c:tx>
      <c:layout>
        <c:manualLayout>
          <c:xMode val="edge"/>
          <c:yMode val="edge"/>
          <c:x val="0.28928095919828201"/>
          <c:y val="3.14770297752516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01323165214249"/>
          <c:y val="0.15012106537530268"/>
          <c:w val="0.8414108982236862"/>
          <c:h val="0.70702179176755453"/>
        </c:manualLayout>
      </c:layout>
      <c:scatterChart>
        <c:scatterStyle val="lineMarker"/>
        <c:varyColors val="0"/>
        <c:ser>
          <c:idx val="4"/>
          <c:order val="0"/>
          <c:tx>
            <c:strRef>
              <c:f>trans5_PV_5nm!$AL$8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8080"/>
              </a:solidFill>
              <a:prstDash val="solid"/>
            </a:ln>
          </c:spPr>
          <c:marker>
            <c:symbol val="none"/>
          </c:marker>
          <c:xVal>
            <c:numRef>
              <c:f>trans5_PV_5nm!$L$79:$L$519</c:f>
              <c:numCache>
                <c:formatCode>General</c:formatCode>
                <c:ptCount val="416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2285</c:v>
                </c:pt>
                <c:pt idx="19">
                  <c:v>2280</c:v>
                </c:pt>
                <c:pt idx="20">
                  <c:v>2275</c:v>
                </c:pt>
                <c:pt idx="21">
                  <c:v>2270</c:v>
                </c:pt>
                <c:pt idx="22">
                  <c:v>2265</c:v>
                </c:pt>
                <c:pt idx="23">
                  <c:v>2260</c:v>
                </c:pt>
                <c:pt idx="24">
                  <c:v>2255</c:v>
                </c:pt>
                <c:pt idx="25">
                  <c:v>2250</c:v>
                </c:pt>
                <c:pt idx="26">
                  <c:v>2245</c:v>
                </c:pt>
                <c:pt idx="27">
                  <c:v>2240</c:v>
                </c:pt>
                <c:pt idx="28">
                  <c:v>2235</c:v>
                </c:pt>
                <c:pt idx="29">
                  <c:v>2230</c:v>
                </c:pt>
                <c:pt idx="30">
                  <c:v>2225</c:v>
                </c:pt>
                <c:pt idx="31">
                  <c:v>2220</c:v>
                </c:pt>
                <c:pt idx="32">
                  <c:v>2215</c:v>
                </c:pt>
                <c:pt idx="33">
                  <c:v>2210</c:v>
                </c:pt>
                <c:pt idx="34">
                  <c:v>2205</c:v>
                </c:pt>
                <c:pt idx="35">
                  <c:v>2200</c:v>
                </c:pt>
                <c:pt idx="36">
                  <c:v>2195</c:v>
                </c:pt>
                <c:pt idx="37">
                  <c:v>2190</c:v>
                </c:pt>
                <c:pt idx="38">
                  <c:v>2185</c:v>
                </c:pt>
                <c:pt idx="39">
                  <c:v>2180</c:v>
                </c:pt>
                <c:pt idx="40">
                  <c:v>2175</c:v>
                </c:pt>
                <c:pt idx="41">
                  <c:v>2170</c:v>
                </c:pt>
                <c:pt idx="42">
                  <c:v>2165</c:v>
                </c:pt>
                <c:pt idx="43">
                  <c:v>2160</c:v>
                </c:pt>
                <c:pt idx="44">
                  <c:v>2155</c:v>
                </c:pt>
                <c:pt idx="45">
                  <c:v>2150</c:v>
                </c:pt>
                <c:pt idx="46">
                  <c:v>2145</c:v>
                </c:pt>
                <c:pt idx="47">
                  <c:v>2140</c:v>
                </c:pt>
                <c:pt idx="48">
                  <c:v>2135</c:v>
                </c:pt>
                <c:pt idx="49">
                  <c:v>2130</c:v>
                </c:pt>
                <c:pt idx="50">
                  <c:v>2125</c:v>
                </c:pt>
                <c:pt idx="51">
                  <c:v>2120</c:v>
                </c:pt>
                <c:pt idx="52">
                  <c:v>2115</c:v>
                </c:pt>
                <c:pt idx="53">
                  <c:v>2110</c:v>
                </c:pt>
                <c:pt idx="54">
                  <c:v>2105</c:v>
                </c:pt>
                <c:pt idx="55">
                  <c:v>2100</c:v>
                </c:pt>
                <c:pt idx="56">
                  <c:v>2095</c:v>
                </c:pt>
                <c:pt idx="57">
                  <c:v>2090</c:v>
                </c:pt>
                <c:pt idx="58">
                  <c:v>2085</c:v>
                </c:pt>
                <c:pt idx="59">
                  <c:v>2080</c:v>
                </c:pt>
                <c:pt idx="60">
                  <c:v>2075</c:v>
                </c:pt>
                <c:pt idx="61">
                  <c:v>2070</c:v>
                </c:pt>
                <c:pt idx="62">
                  <c:v>2065</c:v>
                </c:pt>
                <c:pt idx="63">
                  <c:v>2060</c:v>
                </c:pt>
                <c:pt idx="64">
                  <c:v>2055</c:v>
                </c:pt>
                <c:pt idx="65">
                  <c:v>2050</c:v>
                </c:pt>
                <c:pt idx="66">
                  <c:v>2045</c:v>
                </c:pt>
                <c:pt idx="67">
                  <c:v>2040</c:v>
                </c:pt>
                <c:pt idx="68">
                  <c:v>2035</c:v>
                </c:pt>
                <c:pt idx="69">
                  <c:v>2030</c:v>
                </c:pt>
                <c:pt idx="70">
                  <c:v>2025</c:v>
                </c:pt>
                <c:pt idx="71">
                  <c:v>2020</c:v>
                </c:pt>
                <c:pt idx="72">
                  <c:v>2015</c:v>
                </c:pt>
                <c:pt idx="73">
                  <c:v>2010</c:v>
                </c:pt>
                <c:pt idx="74">
                  <c:v>2005</c:v>
                </c:pt>
                <c:pt idx="75">
                  <c:v>2000</c:v>
                </c:pt>
                <c:pt idx="76">
                  <c:v>1995</c:v>
                </c:pt>
                <c:pt idx="77">
                  <c:v>1990</c:v>
                </c:pt>
                <c:pt idx="78">
                  <c:v>1985</c:v>
                </c:pt>
                <c:pt idx="79">
                  <c:v>1980</c:v>
                </c:pt>
                <c:pt idx="80">
                  <c:v>1975</c:v>
                </c:pt>
                <c:pt idx="81">
                  <c:v>1970</c:v>
                </c:pt>
                <c:pt idx="82">
                  <c:v>1965</c:v>
                </c:pt>
                <c:pt idx="83">
                  <c:v>1960</c:v>
                </c:pt>
                <c:pt idx="84">
                  <c:v>1955</c:v>
                </c:pt>
                <c:pt idx="85">
                  <c:v>1950</c:v>
                </c:pt>
                <c:pt idx="86">
                  <c:v>1945</c:v>
                </c:pt>
                <c:pt idx="87">
                  <c:v>1940</c:v>
                </c:pt>
                <c:pt idx="88">
                  <c:v>1935</c:v>
                </c:pt>
                <c:pt idx="89">
                  <c:v>1930</c:v>
                </c:pt>
                <c:pt idx="90">
                  <c:v>1925</c:v>
                </c:pt>
                <c:pt idx="91">
                  <c:v>1920</c:v>
                </c:pt>
                <c:pt idx="92">
                  <c:v>1915</c:v>
                </c:pt>
                <c:pt idx="93">
                  <c:v>1910</c:v>
                </c:pt>
                <c:pt idx="94">
                  <c:v>1905</c:v>
                </c:pt>
                <c:pt idx="95">
                  <c:v>1900</c:v>
                </c:pt>
                <c:pt idx="96">
                  <c:v>1895</c:v>
                </c:pt>
                <c:pt idx="97">
                  <c:v>1890</c:v>
                </c:pt>
                <c:pt idx="98">
                  <c:v>1885</c:v>
                </c:pt>
                <c:pt idx="99">
                  <c:v>1880</c:v>
                </c:pt>
                <c:pt idx="100">
                  <c:v>1875</c:v>
                </c:pt>
                <c:pt idx="101">
                  <c:v>1870</c:v>
                </c:pt>
                <c:pt idx="102">
                  <c:v>1865</c:v>
                </c:pt>
                <c:pt idx="103">
                  <c:v>1860</c:v>
                </c:pt>
                <c:pt idx="104">
                  <c:v>1855</c:v>
                </c:pt>
                <c:pt idx="105">
                  <c:v>1850</c:v>
                </c:pt>
                <c:pt idx="106">
                  <c:v>1845</c:v>
                </c:pt>
                <c:pt idx="107">
                  <c:v>1840</c:v>
                </c:pt>
                <c:pt idx="108">
                  <c:v>1835</c:v>
                </c:pt>
                <c:pt idx="109">
                  <c:v>1830</c:v>
                </c:pt>
                <c:pt idx="110">
                  <c:v>1825</c:v>
                </c:pt>
                <c:pt idx="111">
                  <c:v>1820</c:v>
                </c:pt>
                <c:pt idx="112">
                  <c:v>1815</c:v>
                </c:pt>
                <c:pt idx="113">
                  <c:v>1810</c:v>
                </c:pt>
                <c:pt idx="114">
                  <c:v>1805</c:v>
                </c:pt>
                <c:pt idx="115">
                  <c:v>1800</c:v>
                </c:pt>
                <c:pt idx="116">
                  <c:v>1795</c:v>
                </c:pt>
                <c:pt idx="117">
                  <c:v>1790</c:v>
                </c:pt>
                <c:pt idx="118">
                  <c:v>1785</c:v>
                </c:pt>
                <c:pt idx="119">
                  <c:v>1780</c:v>
                </c:pt>
                <c:pt idx="120">
                  <c:v>1775</c:v>
                </c:pt>
                <c:pt idx="121">
                  <c:v>1770</c:v>
                </c:pt>
                <c:pt idx="122">
                  <c:v>1765</c:v>
                </c:pt>
                <c:pt idx="123">
                  <c:v>1760</c:v>
                </c:pt>
                <c:pt idx="124">
                  <c:v>1755</c:v>
                </c:pt>
                <c:pt idx="125">
                  <c:v>1750</c:v>
                </c:pt>
                <c:pt idx="126">
                  <c:v>1745</c:v>
                </c:pt>
                <c:pt idx="127">
                  <c:v>1740</c:v>
                </c:pt>
                <c:pt idx="128">
                  <c:v>1735</c:v>
                </c:pt>
                <c:pt idx="129">
                  <c:v>1730</c:v>
                </c:pt>
                <c:pt idx="130">
                  <c:v>1725</c:v>
                </c:pt>
                <c:pt idx="131">
                  <c:v>1720</c:v>
                </c:pt>
                <c:pt idx="132">
                  <c:v>1715</c:v>
                </c:pt>
                <c:pt idx="133">
                  <c:v>1710</c:v>
                </c:pt>
                <c:pt idx="134">
                  <c:v>1705</c:v>
                </c:pt>
                <c:pt idx="135">
                  <c:v>1700</c:v>
                </c:pt>
                <c:pt idx="136">
                  <c:v>1695</c:v>
                </c:pt>
                <c:pt idx="137">
                  <c:v>1690</c:v>
                </c:pt>
                <c:pt idx="138">
                  <c:v>1685</c:v>
                </c:pt>
                <c:pt idx="139">
                  <c:v>1680</c:v>
                </c:pt>
                <c:pt idx="140">
                  <c:v>1675</c:v>
                </c:pt>
                <c:pt idx="141">
                  <c:v>1670</c:v>
                </c:pt>
                <c:pt idx="142">
                  <c:v>1665</c:v>
                </c:pt>
                <c:pt idx="143">
                  <c:v>1660</c:v>
                </c:pt>
                <c:pt idx="144">
                  <c:v>1655</c:v>
                </c:pt>
                <c:pt idx="145">
                  <c:v>1650</c:v>
                </c:pt>
                <c:pt idx="146">
                  <c:v>1645</c:v>
                </c:pt>
                <c:pt idx="147">
                  <c:v>1640</c:v>
                </c:pt>
                <c:pt idx="148">
                  <c:v>1635</c:v>
                </c:pt>
                <c:pt idx="149">
                  <c:v>1630</c:v>
                </c:pt>
                <c:pt idx="150">
                  <c:v>1625</c:v>
                </c:pt>
                <c:pt idx="151">
                  <c:v>1620</c:v>
                </c:pt>
                <c:pt idx="152">
                  <c:v>1615</c:v>
                </c:pt>
                <c:pt idx="153">
                  <c:v>1610</c:v>
                </c:pt>
                <c:pt idx="154">
                  <c:v>1605</c:v>
                </c:pt>
                <c:pt idx="155">
                  <c:v>1600</c:v>
                </c:pt>
                <c:pt idx="156">
                  <c:v>1595</c:v>
                </c:pt>
                <c:pt idx="157">
                  <c:v>1590</c:v>
                </c:pt>
                <c:pt idx="158">
                  <c:v>1585</c:v>
                </c:pt>
                <c:pt idx="159">
                  <c:v>1580</c:v>
                </c:pt>
                <c:pt idx="160">
                  <c:v>1575</c:v>
                </c:pt>
                <c:pt idx="161">
                  <c:v>1570</c:v>
                </c:pt>
                <c:pt idx="162">
                  <c:v>1565</c:v>
                </c:pt>
                <c:pt idx="163">
                  <c:v>1560</c:v>
                </c:pt>
                <c:pt idx="164">
                  <c:v>1555</c:v>
                </c:pt>
                <c:pt idx="165">
                  <c:v>1550</c:v>
                </c:pt>
                <c:pt idx="166">
                  <c:v>1545</c:v>
                </c:pt>
                <c:pt idx="167">
                  <c:v>1540</c:v>
                </c:pt>
                <c:pt idx="168">
                  <c:v>1535</c:v>
                </c:pt>
                <c:pt idx="169">
                  <c:v>1530</c:v>
                </c:pt>
                <c:pt idx="170">
                  <c:v>1525</c:v>
                </c:pt>
                <c:pt idx="171">
                  <c:v>1520</c:v>
                </c:pt>
                <c:pt idx="172">
                  <c:v>1515</c:v>
                </c:pt>
                <c:pt idx="173">
                  <c:v>1510</c:v>
                </c:pt>
                <c:pt idx="174">
                  <c:v>1505</c:v>
                </c:pt>
                <c:pt idx="175">
                  <c:v>1500</c:v>
                </c:pt>
                <c:pt idx="176">
                  <c:v>1495</c:v>
                </c:pt>
                <c:pt idx="177">
                  <c:v>1490</c:v>
                </c:pt>
                <c:pt idx="178">
                  <c:v>1485</c:v>
                </c:pt>
                <c:pt idx="179">
                  <c:v>1480</c:v>
                </c:pt>
                <c:pt idx="180">
                  <c:v>1475</c:v>
                </c:pt>
                <c:pt idx="181">
                  <c:v>1470</c:v>
                </c:pt>
                <c:pt idx="182">
                  <c:v>1465</c:v>
                </c:pt>
                <c:pt idx="183">
                  <c:v>1460</c:v>
                </c:pt>
                <c:pt idx="184">
                  <c:v>1455</c:v>
                </c:pt>
                <c:pt idx="185">
                  <c:v>1450</c:v>
                </c:pt>
                <c:pt idx="186">
                  <c:v>1445</c:v>
                </c:pt>
                <c:pt idx="187">
                  <c:v>1440</c:v>
                </c:pt>
                <c:pt idx="188">
                  <c:v>1435</c:v>
                </c:pt>
                <c:pt idx="189">
                  <c:v>1430</c:v>
                </c:pt>
                <c:pt idx="190">
                  <c:v>1425</c:v>
                </c:pt>
                <c:pt idx="191">
                  <c:v>1420</c:v>
                </c:pt>
                <c:pt idx="192">
                  <c:v>1415</c:v>
                </c:pt>
                <c:pt idx="193">
                  <c:v>1410</c:v>
                </c:pt>
                <c:pt idx="194">
                  <c:v>1405</c:v>
                </c:pt>
                <c:pt idx="195">
                  <c:v>1400</c:v>
                </c:pt>
                <c:pt idx="196">
                  <c:v>1395</c:v>
                </c:pt>
                <c:pt idx="197">
                  <c:v>1390</c:v>
                </c:pt>
                <c:pt idx="198">
                  <c:v>1385</c:v>
                </c:pt>
                <c:pt idx="199">
                  <c:v>1380</c:v>
                </c:pt>
                <c:pt idx="200">
                  <c:v>1375</c:v>
                </c:pt>
                <c:pt idx="201">
                  <c:v>1370</c:v>
                </c:pt>
                <c:pt idx="202">
                  <c:v>1365</c:v>
                </c:pt>
                <c:pt idx="203">
                  <c:v>1360</c:v>
                </c:pt>
                <c:pt idx="204">
                  <c:v>1355</c:v>
                </c:pt>
                <c:pt idx="205">
                  <c:v>1350</c:v>
                </c:pt>
                <c:pt idx="206">
                  <c:v>1345</c:v>
                </c:pt>
                <c:pt idx="207">
                  <c:v>1340</c:v>
                </c:pt>
                <c:pt idx="208">
                  <c:v>1335</c:v>
                </c:pt>
                <c:pt idx="209">
                  <c:v>1330</c:v>
                </c:pt>
                <c:pt idx="210">
                  <c:v>1325</c:v>
                </c:pt>
                <c:pt idx="211">
                  <c:v>1320</c:v>
                </c:pt>
                <c:pt idx="212">
                  <c:v>1315</c:v>
                </c:pt>
                <c:pt idx="213">
                  <c:v>1310</c:v>
                </c:pt>
                <c:pt idx="214">
                  <c:v>1305</c:v>
                </c:pt>
                <c:pt idx="215">
                  <c:v>1300</c:v>
                </c:pt>
                <c:pt idx="216">
                  <c:v>1295</c:v>
                </c:pt>
                <c:pt idx="217">
                  <c:v>1290</c:v>
                </c:pt>
                <c:pt idx="218">
                  <c:v>1285</c:v>
                </c:pt>
                <c:pt idx="219">
                  <c:v>1280</c:v>
                </c:pt>
                <c:pt idx="220">
                  <c:v>1275</c:v>
                </c:pt>
                <c:pt idx="221">
                  <c:v>1270</c:v>
                </c:pt>
                <c:pt idx="222">
                  <c:v>1265</c:v>
                </c:pt>
                <c:pt idx="223">
                  <c:v>1260</c:v>
                </c:pt>
                <c:pt idx="224">
                  <c:v>1255</c:v>
                </c:pt>
                <c:pt idx="225">
                  <c:v>1250</c:v>
                </c:pt>
                <c:pt idx="226">
                  <c:v>1245</c:v>
                </c:pt>
                <c:pt idx="227">
                  <c:v>1240</c:v>
                </c:pt>
                <c:pt idx="228">
                  <c:v>1235</c:v>
                </c:pt>
                <c:pt idx="229">
                  <c:v>1230</c:v>
                </c:pt>
                <c:pt idx="230">
                  <c:v>1225</c:v>
                </c:pt>
                <c:pt idx="231">
                  <c:v>1220</c:v>
                </c:pt>
                <c:pt idx="232">
                  <c:v>1215</c:v>
                </c:pt>
                <c:pt idx="233">
                  <c:v>1210</c:v>
                </c:pt>
                <c:pt idx="234">
                  <c:v>1205</c:v>
                </c:pt>
                <c:pt idx="235">
                  <c:v>1200</c:v>
                </c:pt>
                <c:pt idx="236">
                  <c:v>1195</c:v>
                </c:pt>
                <c:pt idx="237">
                  <c:v>1190</c:v>
                </c:pt>
                <c:pt idx="238">
                  <c:v>1185</c:v>
                </c:pt>
                <c:pt idx="239">
                  <c:v>1180</c:v>
                </c:pt>
                <c:pt idx="240">
                  <c:v>1175</c:v>
                </c:pt>
                <c:pt idx="241">
                  <c:v>1170</c:v>
                </c:pt>
                <c:pt idx="242">
                  <c:v>1165</c:v>
                </c:pt>
                <c:pt idx="243">
                  <c:v>1160</c:v>
                </c:pt>
                <c:pt idx="244">
                  <c:v>1155</c:v>
                </c:pt>
                <c:pt idx="245">
                  <c:v>1150</c:v>
                </c:pt>
                <c:pt idx="246">
                  <c:v>1145</c:v>
                </c:pt>
                <c:pt idx="247">
                  <c:v>1140</c:v>
                </c:pt>
                <c:pt idx="248">
                  <c:v>1135</c:v>
                </c:pt>
                <c:pt idx="249">
                  <c:v>1130</c:v>
                </c:pt>
                <c:pt idx="250">
                  <c:v>1125</c:v>
                </c:pt>
                <c:pt idx="251">
                  <c:v>1120</c:v>
                </c:pt>
                <c:pt idx="252">
                  <c:v>1115</c:v>
                </c:pt>
                <c:pt idx="253">
                  <c:v>1110</c:v>
                </c:pt>
                <c:pt idx="254">
                  <c:v>1105</c:v>
                </c:pt>
                <c:pt idx="255">
                  <c:v>1100</c:v>
                </c:pt>
                <c:pt idx="256">
                  <c:v>1095</c:v>
                </c:pt>
                <c:pt idx="257">
                  <c:v>1090</c:v>
                </c:pt>
                <c:pt idx="258">
                  <c:v>1085</c:v>
                </c:pt>
                <c:pt idx="259">
                  <c:v>1080</c:v>
                </c:pt>
                <c:pt idx="260">
                  <c:v>1075</c:v>
                </c:pt>
                <c:pt idx="261">
                  <c:v>1070</c:v>
                </c:pt>
                <c:pt idx="262">
                  <c:v>1065</c:v>
                </c:pt>
                <c:pt idx="263">
                  <c:v>1060</c:v>
                </c:pt>
                <c:pt idx="264">
                  <c:v>1055</c:v>
                </c:pt>
                <c:pt idx="265">
                  <c:v>1050</c:v>
                </c:pt>
                <c:pt idx="266">
                  <c:v>1045</c:v>
                </c:pt>
                <c:pt idx="267">
                  <c:v>1040</c:v>
                </c:pt>
                <c:pt idx="268">
                  <c:v>1035</c:v>
                </c:pt>
                <c:pt idx="269">
                  <c:v>1030</c:v>
                </c:pt>
                <c:pt idx="270">
                  <c:v>1025</c:v>
                </c:pt>
                <c:pt idx="271">
                  <c:v>1020</c:v>
                </c:pt>
                <c:pt idx="272">
                  <c:v>1015</c:v>
                </c:pt>
                <c:pt idx="273">
                  <c:v>1010</c:v>
                </c:pt>
                <c:pt idx="274">
                  <c:v>1005</c:v>
                </c:pt>
                <c:pt idx="275">
                  <c:v>1000</c:v>
                </c:pt>
                <c:pt idx="276">
                  <c:v>995</c:v>
                </c:pt>
                <c:pt idx="277">
                  <c:v>990</c:v>
                </c:pt>
                <c:pt idx="278">
                  <c:v>985</c:v>
                </c:pt>
                <c:pt idx="279">
                  <c:v>980</c:v>
                </c:pt>
                <c:pt idx="280">
                  <c:v>975</c:v>
                </c:pt>
                <c:pt idx="281">
                  <c:v>970</c:v>
                </c:pt>
                <c:pt idx="282">
                  <c:v>965</c:v>
                </c:pt>
                <c:pt idx="283">
                  <c:v>960</c:v>
                </c:pt>
                <c:pt idx="284">
                  <c:v>955</c:v>
                </c:pt>
                <c:pt idx="285">
                  <c:v>950</c:v>
                </c:pt>
                <c:pt idx="286">
                  <c:v>945</c:v>
                </c:pt>
                <c:pt idx="287">
                  <c:v>940</c:v>
                </c:pt>
                <c:pt idx="288">
                  <c:v>935</c:v>
                </c:pt>
                <c:pt idx="289">
                  <c:v>930</c:v>
                </c:pt>
                <c:pt idx="290">
                  <c:v>925</c:v>
                </c:pt>
                <c:pt idx="291">
                  <c:v>920</c:v>
                </c:pt>
                <c:pt idx="292">
                  <c:v>915</c:v>
                </c:pt>
                <c:pt idx="293">
                  <c:v>910</c:v>
                </c:pt>
                <c:pt idx="294">
                  <c:v>905</c:v>
                </c:pt>
                <c:pt idx="295">
                  <c:v>900</c:v>
                </c:pt>
                <c:pt idx="296">
                  <c:v>895</c:v>
                </c:pt>
                <c:pt idx="297">
                  <c:v>890</c:v>
                </c:pt>
                <c:pt idx="298">
                  <c:v>885</c:v>
                </c:pt>
                <c:pt idx="299">
                  <c:v>880</c:v>
                </c:pt>
                <c:pt idx="300">
                  <c:v>875</c:v>
                </c:pt>
                <c:pt idx="301">
                  <c:v>870</c:v>
                </c:pt>
                <c:pt idx="302">
                  <c:v>865</c:v>
                </c:pt>
                <c:pt idx="303">
                  <c:v>860</c:v>
                </c:pt>
                <c:pt idx="304">
                  <c:v>855</c:v>
                </c:pt>
                <c:pt idx="305">
                  <c:v>850</c:v>
                </c:pt>
                <c:pt idx="306">
                  <c:v>845</c:v>
                </c:pt>
                <c:pt idx="307">
                  <c:v>840</c:v>
                </c:pt>
                <c:pt idx="308">
                  <c:v>835</c:v>
                </c:pt>
                <c:pt idx="309">
                  <c:v>830</c:v>
                </c:pt>
                <c:pt idx="310">
                  <c:v>825</c:v>
                </c:pt>
                <c:pt idx="311">
                  <c:v>820</c:v>
                </c:pt>
                <c:pt idx="312">
                  <c:v>815</c:v>
                </c:pt>
                <c:pt idx="313">
                  <c:v>810</c:v>
                </c:pt>
                <c:pt idx="314">
                  <c:v>805</c:v>
                </c:pt>
                <c:pt idx="315">
                  <c:v>800</c:v>
                </c:pt>
                <c:pt idx="316">
                  <c:v>795</c:v>
                </c:pt>
                <c:pt idx="317">
                  <c:v>790</c:v>
                </c:pt>
                <c:pt idx="318">
                  <c:v>785</c:v>
                </c:pt>
                <c:pt idx="319">
                  <c:v>780</c:v>
                </c:pt>
                <c:pt idx="320">
                  <c:v>775</c:v>
                </c:pt>
                <c:pt idx="321">
                  <c:v>770</c:v>
                </c:pt>
                <c:pt idx="322">
                  <c:v>765</c:v>
                </c:pt>
                <c:pt idx="323">
                  <c:v>760</c:v>
                </c:pt>
                <c:pt idx="324">
                  <c:v>755</c:v>
                </c:pt>
                <c:pt idx="325">
                  <c:v>750</c:v>
                </c:pt>
                <c:pt idx="326">
                  <c:v>745</c:v>
                </c:pt>
                <c:pt idx="327">
                  <c:v>740</c:v>
                </c:pt>
                <c:pt idx="328">
                  <c:v>735</c:v>
                </c:pt>
                <c:pt idx="329">
                  <c:v>730</c:v>
                </c:pt>
                <c:pt idx="330">
                  <c:v>725</c:v>
                </c:pt>
                <c:pt idx="331">
                  <c:v>720</c:v>
                </c:pt>
                <c:pt idx="332">
                  <c:v>715</c:v>
                </c:pt>
                <c:pt idx="333">
                  <c:v>710</c:v>
                </c:pt>
                <c:pt idx="334">
                  <c:v>705</c:v>
                </c:pt>
                <c:pt idx="335">
                  <c:v>700</c:v>
                </c:pt>
                <c:pt idx="336">
                  <c:v>695</c:v>
                </c:pt>
                <c:pt idx="337">
                  <c:v>690</c:v>
                </c:pt>
                <c:pt idx="338">
                  <c:v>685</c:v>
                </c:pt>
                <c:pt idx="339">
                  <c:v>680</c:v>
                </c:pt>
                <c:pt idx="340">
                  <c:v>675</c:v>
                </c:pt>
                <c:pt idx="341">
                  <c:v>670</c:v>
                </c:pt>
                <c:pt idx="342">
                  <c:v>665</c:v>
                </c:pt>
                <c:pt idx="343">
                  <c:v>660</c:v>
                </c:pt>
                <c:pt idx="344">
                  <c:v>655</c:v>
                </c:pt>
                <c:pt idx="345">
                  <c:v>650</c:v>
                </c:pt>
                <c:pt idx="346">
                  <c:v>645</c:v>
                </c:pt>
                <c:pt idx="347">
                  <c:v>640</c:v>
                </c:pt>
                <c:pt idx="348">
                  <c:v>635</c:v>
                </c:pt>
                <c:pt idx="349">
                  <c:v>630</c:v>
                </c:pt>
                <c:pt idx="350">
                  <c:v>625</c:v>
                </c:pt>
                <c:pt idx="351">
                  <c:v>620</c:v>
                </c:pt>
                <c:pt idx="352">
                  <c:v>615</c:v>
                </c:pt>
                <c:pt idx="353">
                  <c:v>610</c:v>
                </c:pt>
                <c:pt idx="354">
                  <c:v>605</c:v>
                </c:pt>
                <c:pt idx="355">
                  <c:v>600</c:v>
                </c:pt>
                <c:pt idx="356">
                  <c:v>595</c:v>
                </c:pt>
                <c:pt idx="357">
                  <c:v>590</c:v>
                </c:pt>
                <c:pt idx="358">
                  <c:v>585</c:v>
                </c:pt>
                <c:pt idx="359">
                  <c:v>580</c:v>
                </c:pt>
                <c:pt idx="360">
                  <c:v>575</c:v>
                </c:pt>
                <c:pt idx="361">
                  <c:v>570</c:v>
                </c:pt>
                <c:pt idx="362">
                  <c:v>565</c:v>
                </c:pt>
                <c:pt idx="363">
                  <c:v>560</c:v>
                </c:pt>
                <c:pt idx="364">
                  <c:v>555</c:v>
                </c:pt>
                <c:pt idx="365">
                  <c:v>550</c:v>
                </c:pt>
                <c:pt idx="366">
                  <c:v>545</c:v>
                </c:pt>
                <c:pt idx="367">
                  <c:v>540</c:v>
                </c:pt>
                <c:pt idx="368">
                  <c:v>535</c:v>
                </c:pt>
                <c:pt idx="369">
                  <c:v>530</c:v>
                </c:pt>
                <c:pt idx="370">
                  <c:v>525</c:v>
                </c:pt>
                <c:pt idx="371">
                  <c:v>520</c:v>
                </c:pt>
                <c:pt idx="372">
                  <c:v>515</c:v>
                </c:pt>
                <c:pt idx="373">
                  <c:v>510</c:v>
                </c:pt>
                <c:pt idx="374">
                  <c:v>505</c:v>
                </c:pt>
                <c:pt idx="375">
                  <c:v>500</c:v>
                </c:pt>
                <c:pt idx="376">
                  <c:v>495</c:v>
                </c:pt>
                <c:pt idx="377">
                  <c:v>490</c:v>
                </c:pt>
                <c:pt idx="378">
                  <c:v>485</c:v>
                </c:pt>
                <c:pt idx="379">
                  <c:v>480</c:v>
                </c:pt>
                <c:pt idx="380">
                  <c:v>475</c:v>
                </c:pt>
                <c:pt idx="381">
                  <c:v>470</c:v>
                </c:pt>
                <c:pt idx="382">
                  <c:v>465</c:v>
                </c:pt>
                <c:pt idx="383">
                  <c:v>460</c:v>
                </c:pt>
                <c:pt idx="384">
                  <c:v>455</c:v>
                </c:pt>
                <c:pt idx="385">
                  <c:v>450</c:v>
                </c:pt>
                <c:pt idx="386">
                  <c:v>445</c:v>
                </c:pt>
                <c:pt idx="387">
                  <c:v>440</c:v>
                </c:pt>
                <c:pt idx="388">
                  <c:v>435</c:v>
                </c:pt>
                <c:pt idx="389">
                  <c:v>430</c:v>
                </c:pt>
                <c:pt idx="390">
                  <c:v>425</c:v>
                </c:pt>
                <c:pt idx="391">
                  <c:v>420</c:v>
                </c:pt>
                <c:pt idx="392">
                  <c:v>415</c:v>
                </c:pt>
                <c:pt idx="393">
                  <c:v>410</c:v>
                </c:pt>
                <c:pt idx="394">
                  <c:v>405</c:v>
                </c:pt>
                <c:pt idx="395">
                  <c:v>400</c:v>
                </c:pt>
                <c:pt idx="396">
                  <c:v>395</c:v>
                </c:pt>
                <c:pt idx="397">
                  <c:v>390</c:v>
                </c:pt>
                <c:pt idx="398">
                  <c:v>385</c:v>
                </c:pt>
                <c:pt idx="399">
                  <c:v>380</c:v>
                </c:pt>
                <c:pt idx="400">
                  <c:v>375</c:v>
                </c:pt>
                <c:pt idx="401">
                  <c:v>370</c:v>
                </c:pt>
                <c:pt idx="402">
                  <c:v>365</c:v>
                </c:pt>
                <c:pt idx="403">
                  <c:v>360</c:v>
                </c:pt>
                <c:pt idx="404">
                  <c:v>355</c:v>
                </c:pt>
                <c:pt idx="405">
                  <c:v>350</c:v>
                </c:pt>
                <c:pt idx="406">
                  <c:v>345</c:v>
                </c:pt>
                <c:pt idx="407">
                  <c:v>340</c:v>
                </c:pt>
                <c:pt idx="408">
                  <c:v>335</c:v>
                </c:pt>
                <c:pt idx="409">
                  <c:v>330</c:v>
                </c:pt>
                <c:pt idx="410">
                  <c:v>325</c:v>
                </c:pt>
                <c:pt idx="411">
                  <c:v>320</c:v>
                </c:pt>
                <c:pt idx="412">
                  <c:v>315</c:v>
                </c:pt>
                <c:pt idx="413">
                  <c:v>310</c:v>
                </c:pt>
                <c:pt idx="414">
                  <c:v>305</c:v>
                </c:pt>
                <c:pt idx="415">
                  <c:v>300</c:v>
                </c:pt>
              </c:numCache>
            </c:numRef>
          </c:xVal>
          <c:yVal>
            <c:numRef>
              <c:f>trans5_PV_5nm!$AI$79:$AI$519</c:f>
              <c:numCache>
                <c:formatCode>0.00</c:formatCode>
                <c:ptCount val="4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 formatCode="General">
                  <c:v>0</c:v>
                </c:pt>
                <c:pt idx="103" formatCode="General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0E-4647-98A5-8DA35AA4D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695088"/>
        <c:axId val="1"/>
      </c:scatterChart>
      <c:valAx>
        <c:axId val="625695088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2584502505368649"/>
              <c:y val="0.9200967304583614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  <c:max val="1"/>
          <c:min val="0.8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lgDashDot"/>
            </a:ln>
          </c:spPr>
        </c:min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Transmittance</a:t>
                </a:r>
              </a:p>
            </c:rich>
          </c:tx>
          <c:layout>
            <c:manualLayout>
              <c:xMode val="edge"/>
              <c:yMode val="edge"/>
              <c:x val="7.3421617752326409E-3"/>
              <c:y val="0.365617406267925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625695088"/>
        <c:crosses val="autoZero"/>
        <c:crossBetween val="midCat"/>
        <c:majorUnit val="0.02"/>
        <c:minorUnit val="0.01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70797763063707941"/>
          <c:y val="0.70863091203003603"/>
          <c:w val="0.90798407301360051"/>
          <c:h val="0.816250195546748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203200</xdr:colOff>
      <xdr:row>0</xdr:row>
      <xdr:rowOff>101600</xdr:rowOff>
    </xdr:from>
    <xdr:to>
      <xdr:col>15</xdr:col>
      <xdr:colOff>615950</xdr:colOff>
      <xdr:row>22</xdr:row>
      <xdr:rowOff>76200</xdr:rowOff>
    </xdr:to>
    <xdr:graphicFrame macro="">
      <xdr:nvGraphicFramePr>
        <xdr:cNvPr id="4688" name="Gráfico 1">
          <a:extLst>
            <a:ext uri="{FF2B5EF4-FFF2-40B4-BE49-F238E27FC236}">
              <a16:creationId xmlns:a16="http://schemas.microsoft.com/office/drawing/2014/main" id="{2EE7B030-276E-325E-AC94-EAC416AD9F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426720</xdr:colOff>
      <xdr:row>5</xdr:row>
      <xdr:rowOff>115570</xdr:rowOff>
    </xdr:from>
    <xdr:to>
      <xdr:col>4</xdr:col>
      <xdr:colOff>298452</xdr:colOff>
      <xdr:row>10</xdr:row>
      <xdr:rowOff>161960</xdr:rowOff>
    </xdr:to>
    <xdr:sp macro="[0]!Makro1_Trans" textlink="">
      <xdr:nvSpPr>
        <xdr:cNvPr id="3" name="AutoShape 2">
          <a:extLst>
            <a:ext uri="{FF2B5EF4-FFF2-40B4-BE49-F238E27FC236}">
              <a16:creationId xmlns:a16="http://schemas.microsoft.com/office/drawing/2014/main" id="{CF3518C2-4BCB-FDEA-1AB0-F2934039EB64}"/>
            </a:ext>
          </a:extLst>
        </xdr:cNvPr>
        <xdr:cNvSpPr>
          <a:spLocks noChangeArrowheads="1"/>
        </xdr:cNvSpPr>
      </xdr:nvSpPr>
      <xdr:spPr bwMode="auto">
        <a:xfrm>
          <a:off x="6101715" y="1053465"/>
          <a:ext cx="1354466" cy="868680"/>
        </a:xfrm>
        <a:prstGeom prst="flowChartMultidocumen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Import Spectra Measurements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and Zero/Base</a:t>
          </a:r>
        </a:p>
      </xdr:txBody>
    </xdr:sp>
    <xdr:clientData/>
  </xdr:twoCellAnchor>
  <xdr:twoCellAnchor editAs="absolute">
    <xdr:from>
      <xdr:col>17</xdr:col>
      <xdr:colOff>101600</xdr:colOff>
      <xdr:row>0</xdr:row>
      <xdr:rowOff>69850</xdr:rowOff>
    </xdr:from>
    <xdr:to>
      <xdr:col>24</xdr:col>
      <xdr:colOff>501650</xdr:colOff>
      <xdr:row>27</xdr:row>
      <xdr:rowOff>19050</xdr:rowOff>
    </xdr:to>
    <xdr:graphicFrame macro="">
      <xdr:nvGraphicFramePr>
        <xdr:cNvPr id="4690" name="Gráfico 4">
          <a:extLst>
            <a:ext uri="{FF2B5EF4-FFF2-40B4-BE49-F238E27FC236}">
              <a16:creationId xmlns:a16="http://schemas.microsoft.com/office/drawing/2014/main" id="{15B32D5E-36E3-3027-5BBC-1B539AF5AC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535940</xdr:colOff>
      <xdr:row>1</xdr:row>
      <xdr:rowOff>28575</xdr:rowOff>
    </xdr:from>
    <xdr:to>
      <xdr:col>34</xdr:col>
      <xdr:colOff>656590</xdr:colOff>
      <xdr:row>5</xdr:row>
      <xdr:rowOff>98425</xdr:rowOff>
    </xdr:to>
    <xdr:sp macro="[0]!Modul1.Makro14" textlink="">
      <xdr:nvSpPr>
        <xdr:cNvPr id="5" name="AutoShape 5">
          <a:extLst>
            <a:ext uri="{FF2B5EF4-FFF2-40B4-BE49-F238E27FC236}">
              <a16:creationId xmlns:a16="http://schemas.microsoft.com/office/drawing/2014/main" id="{1678780A-5396-B81E-D2B6-FAB94F475B48}"/>
            </a:ext>
          </a:extLst>
        </xdr:cNvPr>
        <xdr:cNvSpPr>
          <a:spLocks noChangeArrowheads="1"/>
        </xdr:cNvSpPr>
      </xdr:nvSpPr>
      <xdr:spPr bwMode="auto">
        <a:xfrm>
          <a:off x="23997285" y="249555"/>
          <a:ext cx="982980" cy="777240"/>
        </a:xfrm>
        <a:prstGeom prst="doubleWave">
          <a:avLst>
            <a:gd name="adj1" fmla="val 6500"/>
            <a:gd name="adj2" fmla="val 0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add curve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194945</xdr:colOff>
      <xdr:row>8</xdr:row>
      <xdr:rowOff>133350</xdr:rowOff>
    </xdr:from>
    <xdr:to>
      <xdr:col>8</xdr:col>
      <xdr:colOff>118745</xdr:colOff>
      <xdr:row>13</xdr:row>
      <xdr:rowOff>135901</xdr:rowOff>
    </xdr:to>
    <xdr:sp macro="[0]!Modul1.Makro17" textlink="">
      <xdr:nvSpPr>
        <xdr:cNvPr id="6" name="AutoShape 6">
          <a:extLst>
            <a:ext uri="{FF2B5EF4-FFF2-40B4-BE49-F238E27FC236}">
              <a16:creationId xmlns:a16="http://schemas.microsoft.com/office/drawing/2014/main" id="{5482D855-56B6-F9C1-AE84-789872462B9D}"/>
            </a:ext>
          </a:extLst>
        </xdr:cNvPr>
        <xdr:cNvSpPr>
          <a:spLocks noChangeArrowheads="1"/>
        </xdr:cNvSpPr>
      </xdr:nvSpPr>
      <xdr:spPr bwMode="auto">
        <a:xfrm>
          <a:off x="8061960" y="1558290"/>
          <a:ext cx="1371600" cy="844021"/>
        </a:xfrm>
        <a:prstGeom prst="flowChartMultidocument">
          <a:avLst/>
        </a:prstGeom>
        <a:solidFill>
          <a:schemeClr val="bg1">
            <a:lumMod val="85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Export data results into table</a:t>
          </a:r>
        </a:p>
      </xdr:txBody>
    </xdr:sp>
    <xdr:clientData/>
  </xdr:twoCellAnchor>
  <xdr:twoCellAnchor>
    <xdr:from>
      <xdr:col>13</xdr:col>
      <xdr:colOff>781050</xdr:colOff>
      <xdr:row>24</xdr:row>
      <xdr:rowOff>0</xdr:rowOff>
    </xdr:from>
    <xdr:to>
      <xdr:col>20</xdr:col>
      <xdr:colOff>146050</xdr:colOff>
      <xdr:row>47</xdr:row>
      <xdr:rowOff>57150</xdr:rowOff>
    </xdr:to>
    <xdr:graphicFrame macro="">
      <xdr:nvGraphicFramePr>
        <xdr:cNvPr id="4693" name="Gráfico 7">
          <a:extLst>
            <a:ext uri="{FF2B5EF4-FFF2-40B4-BE49-F238E27FC236}">
              <a16:creationId xmlns:a16="http://schemas.microsoft.com/office/drawing/2014/main" id="{CDB9A813-7663-B4BF-5E89-21167B9837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88900</xdr:colOff>
      <xdr:row>29</xdr:row>
      <xdr:rowOff>6350</xdr:rowOff>
    </xdr:from>
    <xdr:to>
      <xdr:col>28</xdr:col>
      <xdr:colOff>501650</xdr:colOff>
      <xdr:row>58</xdr:row>
      <xdr:rowOff>63500</xdr:rowOff>
    </xdr:to>
    <xdr:graphicFrame macro="">
      <xdr:nvGraphicFramePr>
        <xdr:cNvPr id="4694" name="Gráfico 8">
          <a:extLst>
            <a:ext uri="{FF2B5EF4-FFF2-40B4-BE49-F238E27FC236}">
              <a16:creationId xmlns:a16="http://schemas.microsoft.com/office/drawing/2014/main" id="{88038958-4DE2-3322-561F-F0D6EF1EFE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577850</xdr:colOff>
      <xdr:row>47</xdr:row>
      <xdr:rowOff>12700</xdr:rowOff>
    </xdr:from>
    <xdr:to>
      <xdr:col>42</xdr:col>
      <xdr:colOff>692150</xdr:colOff>
      <xdr:row>71</xdr:row>
      <xdr:rowOff>114300</xdr:rowOff>
    </xdr:to>
    <xdr:graphicFrame macro="">
      <xdr:nvGraphicFramePr>
        <xdr:cNvPr id="4695" name="Gráfico 9">
          <a:extLst>
            <a:ext uri="{FF2B5EF4-FFF2-40B4-BE49-F238E27FC236}">
              <a16:creationId xmlns:a16="http://schemas.microsoft.com/office/drawing/2014/main" id="{2C31825F-DDAC-D85C-7D9E-6B76E228CE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43</xdr:col>
      <xdr:colOff>120650</xdr:colOff>
      <xdr:row>46</xdr:row>
      <xdr:rowOff>152400</xdr:rowOff>
    </xdr:from>
    <xdr:to>
      <xdr:col>51</xdr:col>
      <xdr:colOff>323850</xdr:colOff>
      <xdr:row>71</xdr:row>
      <xdr:rowOff>95250</xdr:rowOff>
    </xdr:to>
    <xdr:graphicFrame macro="">
      <xdr:nvGraphicFramePr>
        <xdr:cNvPr id="4696" name="Gráfico 10">
          <a:extLst>
            <a:ext uri="{FF2B5EF4-FFF2-40B4-BE49-F238E27FC236}">
              <a16:creationId xmlns:a16="http://schemas.microsoft.com/office/drawing/2014/main" id="{5DCC82E0-3904-7F4A-E707-EE332E45F0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36</xdr:col>
      <xdr:colOff>63500</xdr:colOff>
      <xdr:row>17</xdr:row>
      <xdr:rowOff>82550</xdr:rowOff>
    </xdr:from>
    <xdr:to>
      <xdr:col>42</xdr:col>
      <xdr:colOff>736600</xdr:colOff>
      <xdr:row>45</xdr:row>
      <xdr:rowOff>107950</xdr:rowOff>
    </xdr:to>
    <xdr:graphicFrame macro="">
      <xdr:nvGraphicFramePr>
        <xdr:cNvPr id="4697" name="Gráfico 11">
          <a:extLst>
            <a:ext uri="{FF2B5EF4-FFF2-40B4-BE49-F238E27FC236}">
              <a16:creationId xmlns:a16="http://schemas.microsoft.com/office/drawing/2014/main" id="{113F1F94-B554-3157-8900-7BD9EA442D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43</xdr:col>
      <xdr:colOff>215900</xdr:colOff>
      <xdr:row>17</xdr:row>
      <xdr:rowOff>82550</xdr:rowOff>
    </xdr:from>
    <xdr:to>
      <xdr:col>51</xdr:col>
      <xdr:colOff>419100</xdr:colOff>
      <xdr:row>45</xdr:row>
      <xdr:rowOff>120650</xdr:rowOff>
    </xdr:to>
    <xdr:graphicFrame macro="">
      <xdr:nvGraphicFramePr>
        <xdr:cNvPr id="4698" name="Gráfico 12">
          <a:extLst>
            <a:ext uri="{FF2B5EF4-FFF2-40B4-BE49-F238E27FC236}">
              <a16:creationId xmlns:a16="http://schemas.microsoft.com/office/drawing/2014/main" id="{83A385E2-230A-C63E-367F-ECA431028F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334645</xdr:colOff>
      <xdr:row>14</xdr:row>
      <xdr:rowOff>66675</xdr:rowOff>
    </xdr:from>
    <xdr:to>
      <xdr:col>4</xdr:col>
      <xdr:colOff>204484</xdr:colOff>
      <xdr:row>19</xdr:row>
      <xdr:rowOff>22225</xdr:rowOff>
    </xdr:to>
    <xdr:sp macro="[0]!ExportTransmittancetable" textlink="">
      <xdr:nvSpPr>
        <xdr:cNvPr id="13" name="AutoShape 6">
          <a:extLst>
            <a:ext uri="{FF2B5EF4-FFF2-40B4-BE49-F238E27FC236}">
              <a16:creationId xmlns:a16="http://schemas.microsoft.com/office/drawing/2014/main" id="{2D647D08-F28B-9115-120D-CC08C5FC4C3F}"/>
            </a:ext>
          </a:extLst>
        </xdr:cNvPr>
        <xdr:cNvSpPr>
          <a:spLocks noChangeArrowheads="1"/>
        </xdr:cNvSpPr>
      </xdr:nvSpPr>
      <xdr:spPr bwMode="auto">
        <a:xfrm>
          <a:off x="6015990" y="2535555"/>
          <a:ext cx="1362075" cy="830580"/>
        </a:xfrm>
        <a:prstGeom prst="flowChartMultidocumen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Export data results into OPAC Transmittance Table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0.85923</cdr:x>
      <cdr:y>0.87866</cdr:y>
    </cdr:from>
    <cdr:to>
      <cdr:x>0.92856</cdr:x>
      <cdr:y>0.98389</cdr:y>
    </cdr:to>
    <cdr:pic>
      <cdr:nvPicPr>
        <cdr:cNvPr id="71681" name="Picture 1" descr="Logo_dlr_Transp">
          <a:extLst xmlns:a="http://schemas.openxmlformats.org/drawingml/2006/main">
            <a:ext uri="{FF2B5EF4-FFF2-40B4-BE49-F238E27FC236}">
              <a16:creationId xmlns:a16="http://schemas.microsoft.com/office/drawing/2014/main" id="{7660218E-1A33-9560-6A5D-9476C6057CAE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4957061" y="3024319"/>
          <a:ext cx="400221" cy="34322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0.86318</cdr:x>
      <cdr:y>0.87742</cdr:y>
    </cdr:from>
    <cdr:to>
      <cdr:x>0.92572</cdr:x>
      <cdr:y>0.9836</cdr:y>
    </cdr:to>
    <cdr:pic>
      <cdr:nvPicPr>
        <cdr:cNvPr id="72705" name="Picture 1" descr="Logo_dlr_Transp">
          <a:extLst xmlns:a="http://schemas.openxmlformats.org/drawingml/2006/main">
            <a:ext uri="{FF2B5EF4-FFF2-40B4-BE49-F238E27FC236}">
              <a16:creationId xmlns:a16="http://schemas.microsoft.com/office/drawing/2014/main" id="{6D34476F-CF5F-009D-8804-47C0CC30ACF9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5447024" y="3014142"/>
          <a:ext cx="399950" cy="34307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</cdr:pic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51B16-3B58-4FD8-9241-1D92F648EE61}">
  <sheetPr codeName="Tabelle9"/>
  <dimension ref="B1:AZ1078"/>
  <sheetViews>
    <sheetView tabSelected="1" workbookViewId="0">
      <selection activeCell="C18" sqref="C18"/>
    </sheetView>
  </sheetViews>
  <sheetFormatPr defaultColWidth="9.1796875" defaultRowHeight="12.5" x14ac:dyDescent="0.25"/>
  <cols>
    <col min="1" max="1" width="1.54296875" customWidth="1"/>
    <col min="2" max="2" width="31.81640625" customWidth="1"/>
    <col min="3" max="3" width="49.453125" customWidth="1"/>
    <col min="4" max="4" width="21.7265625" style="5" customWidth="1"/>
    <col min="5" max="5" width="10.1796875" style="57" customWidth="1"/>
    <col min="6" max="6" width="7.26953125" style="13" customWidth="1"/>
    <col min="7" max="7" width="7.453125" style="13" customWidth="1"/>
    <col min="8" max="9" width="6.26953125" style="13" customWidth="1"/>
    <col min="10" max="11" width="11.453125" customWidth="1"/>
    <col min="12" max="36" width="12.7265625" customWidth="1"/>
    <col min="37" max="37" width="18.81640625" customWidth="1"/>
    <col min="38" max="39" width="11.7265625" customWidth="1"/>
    <col min="40" max="40" width="18.1796875" customWidth="1"/>
    <col min="41" max="41" width="11.7265625" customWidth="1"/>
    <col min="42" max="42" width="12.7265625" customWidth="1"/>
    <col min="43" max="43" width="13.7265625" customWidth="1"/>
    <col min="44" max="44" width="12.81640625" customWidth="1"/>
  </cols>
  <sheetData>
    <row r="1" spans="2:43" ht="18" x14ac:dyDescent="0.4">
      <c r="B1" s="133" t="s">
        <v>10</v>
      </c>
      <c r="D1" s="5" t="s">
        <v>104</v>
      </c>
    </row>
    <row r="2" spans="2:43" ht="13" x14ac:dyDescent="0.3">
      <c r="B2" t="s">
        <v>27</v>
      </c>
      <c r="D2" s="83" t="s">
        <v>105</v>
      </c>
      <c r="AK2" s="184" t="s">
        <v>126</v>
      </c>
      <c r="AL2" s="185"/>
      <c r="AM2" s="185"/>
      <c r="AN2" s="185"/>
      <c r="AO2" s="185"/>
      <c r="AP2" s="42"/>
      <c r="AQ2" s="42"/>
    </row>
    <row r="3" spans="2:43" ht="15.5" x14ac:dyDescent="0.35">
      <c r="B3" s="170" t="s">
        <v>85</v>
      </c>
      <c r="C3" s="105" t="str">
        <f>C5&amp;" - "&amp;C7</f>
        <v xml:space="preserve">Name (Test) - </v>
      </c>
      <c r="D3" s="5" t="s">
        <v>106</v>
      </c>
      <c r="E3" s="57" t="s">
        <v>107</v>
      </c>
      <c r="AJ3" s="9"/>
      <c r="AP3" s="42"/>
      <c r="AQ3" s="42"/>
    </row>
    <row r="4" spans="2:43" x14ac:dyDescent="0.25">
      <c r="B4" s="79" t="s">
        <v>27</v>
      </c>
      <c r="C4" s="105"/>
      <c r="AK4" s="13"/>
      <c r="AL4" s="13"/>
      <c r="AM4" s="13"/>
      <c r="AN4" s="13"/>
      <c r="AO4" s="13"/>
      <c r="AP4" s="42"/>
      <c r="AQ4" s="42"/>
    </row>
    <row r="5" spans="2:43" ht="13" x14ac:dyDescent="0.3">
      <c r="B5" s="151" t="s">
        <v>93</v>
      </c>
      <c r="C5" s="152" t="s">
        <v>63</v>
      </c>
      <c r="AK5" s="186" t="s">
        <v>133</v>
      </c>
      <c r="AL5" s="187"/>
      <c r="AM5" s="187"/>
      <c r="AN5" s="187"/>
      <c r="AO5" s="188"/>
      <c r="AP5" s="42"/>
      <c r="AQ5" s="42"/>
    </row>
    <row r="6" spans="2:43" x14ac:dyDescent="0.25">
      <c r="B6" s="153" t="s">
        <v>94</v>
      </c>
      <c r="C6" s="154"/>
      <c r="AK6" s="57"/>
      <c r="AL6" s="13"/>
      <c r="AM6" s="13"/>
      <c r="AN6" s="13"/>
      <c r="AO6" s="5"/>
      <c r="AP6" s="42"/>
      <c r="AQ6" s="42"/>
    </row>
    <row r="7" spans="2:43" ht="13" x14ac:dyDescent="0.3">
      <c r="B7" s="153" t="s">
        <v>162</v>
      </c>
      <c r="C7" s="154"/>
      <c r="AK7" s="123" t="s">
        <v>129</v>
      </c>
      <c r="AL7" s="178">
        <f>C12</f>
        <v>0</v>
      </c>
      <c r="AM7" s="13"/>
      <c r="AN7" s="61" t="s">
        <v>134</v>
      </c>
      <c r="AO7" s="266">
        <f>C11</f>
        <v>0</v>
      </c>
      <c r="AP7" s="42"/>
      <c r="AQ7" s="42"/>
    </row>
    <row r="8" spans="2:43" ht="13" x14ac:dyDescent="0.3">
      <c r="B8" s="153" t="s">
        <v>153</v>
      </c>
      <c r="C8" s="154"/>
      <c r="AK8" s="123" t="s">
        <v>130</v>
      </c>
      <c r="AL8" s="189">
        <f>C6</f>
        <v>0</v>
      </c>
      <c r="AM8" s="13"/>
      <c r="AN8" s="61" t="s">
        <v>128</v>
      </c>
      <c r="AO8" s="5" t="str">
        <f>refname</f>
        <v>G-95003</v>
      </c>
      <c r="AP8" s="42"/>
      <c r="AQ8" s="42"/>
    </row>
    <row r="9" spans="2:43" ht="12.75" customHeight="1" x14ac:dyDescent="0.3">
      <c r="B9" s="153" t="s">
        <v>154</v>
      </c>
      <c r="C9" s="155"/>
      <c r="AK9" s="190" t="s">
        <v>135</v>
      </c>
      <c r="AL9" s="189">
        <f>C15</f>
        <v>0</v>
      </c>
      <c r="AM9" s="13"/>
      <c r="AN9" s="61" t="s">
        <v>95</v>
      </c>
      <c r="AO9" s="267">
        <f>C8</f>
        <v>0</v>
      </c>
      <c r="AP9" s="42"/>
      <c r="AQ9" s="42"/>
    </row>
    <row r="10" spans="2:43" ht="13.5" thickBot="1" x14ac:dyDescent="0.35">
      <c r="B10" s="153" t="s">
        <v>155</v>
      </c>
      <c r="C10" s="157"/>
      <c r="AK10" s="123" t="s">
        <v>127</v>
      </c>
      <c r="AL10" s="189">
        <f>C7</f>
        <v>0</v>
      </c>
      <c r="AM10" s="13"/>
      <c r="AN10" s="108" t="s">
        <v>98</v>
      </c>
      <c r="AO10" s="267">
        <f>C13</f>
        <v>0</v>
      </c>
      <c r="AP10" s="42"/>
      <c r="AQ10" s="42"/>
    </row>
    <row r="11" spans="2:43" ht="13.5" customHeight="1" thickTop="1" x14ac:dyDescent="0.25">
      <c r="B11" s="158" t="s">
        <v>96</v>
      </c>
      <c r="C11" s="159"/>
      <c r="AK11" s="191"/>
      <c r="AL11" s="175"/>
      <c r="AM11" s="175"/>
      <c r="AN11" s="175"/>
      <c r="AO11" s="7"/>
      <c r="AP11" s="42"/>
      <c r="AQ11" s="42"/>
    </row>
    <row r="12" spans="2:43" ht="13.5" customHeight="1" x14ac:dyDescent="0.3">
      <c r="B12" s="153" t="s">
        <v>97</v>
      </c>
      <c r="C12" s="160"/>
      <c r="AK12" s="186" t="s">
        <v>86</v>
      </c>
      <c r="AL12" s="187"/>
      <c r="AM12" s="187"/>
      <c r="AN12" s="187"/>
      <c r="AO12" s="188"/>
      <c r="AP12" s="42"/>
      <c r="AQ12" s="42"/>
    </row>
    <row r="13" spans="2:43" x14ac:dyDescent="0.25">
      <c r="B13" s="153" t="s">
        <v>98</v>
      </c>
      <c r="C13" s="154"/>
      <c r="AK13" s="57"/>
      <c r="AL13" s="13"/>
      <c r="AM13" s="13"/>
      <c r="AN13" s="13"/>
      <c r="AO13" s="5"/>
      <c r="AP13" s="42"/>
      <c r="AQ13" s="42"/>
    </row>
    <row r="14" spans="2:43" ht="15.5" thickBot="1" x14ac:dyDescent="0.45">
      <c r="B14" s="156" t="s">
        <v>99</v>
      </c>
      <c r="C14" s="157"/>
      <c r="AK14" s="190" t="s">
        <v>136</v>
      </c>
      <c r="AL14" s="196" t="s">
        <v>11</v>
      </c>
      <c r="AM14" s="192" t="s">
        <v>131</v>
      </c>
      <c r="AN14" s="196" t="s">
        <v>12</v>
      </c>
      <c r="AO14" s="268" t="s">
        <v>131</v>
      </c>
      <c r="AP14" s="196"/>
      <c r="AQ14" s="196"/>
    </row>
    <row r="15" spans="2:43" ht="13.5" thickTop="1" x14ac:dyDescent="0.3">
      <c r="B15" s="158" t="s">
        <v>156</v>
      </c>
      <c r="C15" s="161"/>
      <c r="AK15" s="123" t="s">
        <v>83</v>
      </c>
      <c r="AL15" s="193">
        <f>C30</f>
        <v>0</v>
      </c>
      <c r="AM15" s="194" t="e">
        <f>C32</f>
        <v>#DIV/0!</v>
      </c>
      <c r="AN15" s="194">
        <f>C31</f>
        <v>0</v>
      </c>
      <c r="AO15" s="269" t="e">
        <f>C47</f>
        <v>#DIV/0!</v>
      </c>
      <c r="AP15" s="264"/>
      <c r="AQ15" s="265"/>
    </row>
    <row r="16" spans="2:43" ht="13" x14ac:dyDescent="0.3">
      <c r="B16" s="153" t="s">
        <v>157</v>
      </c>
      <c r="C16" s="162"/>
      <c r="AK16" s="195"/>
      <c r="AL16" s="177"/>
      <c r="AM16" s="176"/>
      <c r="AN16" s="176"/>
      <c r="AO16" s="270"/>
      <c r="AP16" s="42"/>
      <c r="AQ16" s="42"/>
    </row>
    <row r="17" spans="2:43" ht="14" x14ac:dyDescent="0.3">
      <c r="B17" s="153" t="s">
        <v>163</v>
      </c>
      <c r="C17" s="162"/>
      <c r="AI17" s="9"/>
      <c r="AJ17" s="9"/>
      <c r="AK17" s="173"/>
      <c r="AL17" s="9"/>
      <c r="AM17" s="9"/>
      <c r="AN17" s="9"/>
      <c r="AO17" s="9"/>
      <c r="AP17" s="9"/>
      <c r="AQ17" s="9"/>
    </row>
    <row r="18" spans="2:43" ht="14" x14ac:dyDescent="0.3">
      <c r="B18" s="153" t="s">
        <v>164</v>
      </c>
      <c r="C18" s="162"/>
      <c r="AI18" s="9"/>
      <c r="AJ18" s="9"/>
      <c r="AK18" s="173"/>
      <c r="AL18" s="9"/>
      <c r="AM18" s="9"/>
      <c r="AN18" s="9"/>
      <c r="AO18" s="9"/>
      <c r="AP18" s="9"/>
      <c r="AQ18" s="9"/>
    </row>
    <row r="19" spans="2:43" ht="14" x14ac:dyDescent="0.3">
      <c r="B19" s="153" t="s">
        <v>158</v>
      </c>
      <c r="C19" s="162"/>
      <c r="AK19" s="173"/>
      <c r="AM19" s="174"/>
    </row>
    <row r="20" spans="2:43" x14ac:dyDescent="0.25">
      <c r="B20" s="153" t="s">
        <v>159</v>
      </c>
      <c r="C20" s="162"/>
      <c r="AM20" s="174"/>
    </row>
    <row r="21" spans="2:43" x14ac:dyDescent="0.25">
      <c r="B21" s="153" t="s">
        <v>160</v>
      </c>
      <c r="C21" s="162"/>
    </row>
    <row r="22" spans="2:43" x14ac:dyDescent="0.25">
      <c r="B22" s="44" t="s">
        <v>161</v>
      </c>
      <c r="C22" s="163"/>
    </row>
    <row r="23" spans="2:43" x14ac:dyDescent="0.25">
      <c r="B23" s="106" t="s">
        <v>100</v>
      </c>
      <c r="C23" s="164" t="s">
        <v>139</v>
      </c>
    </row>
    <row r="24" spans="2:43" x14ac:dyDescent="0.25">
      <c r="B24" s="105"/>
      <c r="C24" s="105"/>
    </row>
    <row r="25" spans="2:43" ht="15.5" x14ac:dyDescent="0.35">
      <c r="B25" s="170" t="s">
        <v>86</v>
      </c>
      <c r="C25" s="79"/>
    </row>
    <row r="26" spans="2:43" ht="12" customHeight="1" x14ac:dyDescent="0.25">
      <c r="B26" s="105" t="s">
        <v>27</v>
      </c>
      <c r="C26" s="105"/>
    </row>
    <row r="27" spans="2:43" x14ac:dyDescent="0.25">
      <c r="B27" s="148" t="s">
        <v>1</v>
      </c>
      <c r="C27" s="79"/>
      <c r="D27" s="82">
        <f>COUNT(E28:I28)</f>
        <v>0</v>
      </c>
      <c r="E27" s="57" t="s">
        <v>165</v>
      </c>
      <c r="F27" s="13" t="s">
        <v>166</v>
      </c>
      <c r="G27" s="13" t="s">
        <v>167</v>
      </c>
      <c r="H27" s="13" t="s">
        <v>170</v>
      </c>
      <c r="I27" s="13" t="s">
        <v>171</v>
      </c>
      <c r="J27" s="42" t="s">
        <v>172</v>
      </c>
      <c r="K27" s="42" t="s">
        <v>173</v>
      </c>
      <c r="L27" s="42" t="s">
        <v>174</v>
      </c>
      <c r="M27" s="42" t="s">
        <v>175</v>
      </c>
    </row>
    <row r="28" spans="2:43" ht="14" x14ac:dyDescent="0.3">
      <c r="B28" s="137"/>
      <c r="C28" s="165">
        <f>$AI67</f>
        <v>0</v>
      </c>
      <c r="D28" s="206" t="e">
        <f>STDEV(E28:I28)</f>
        <v>#DIV/0!</v>
      </c>
      <c r="E28" s="78" t="str">
        <f t="shared" ref="E28:H30" si="0">IF(Z67&gt;0,Z67,"")</f>
        <v/>
      </c>
      <c r="F28" s="15" t="str">
        <f t="shared" si="0"/>
        <v/>
      </c>
      <c r="G28" s="15" t="str">
        <f t="shared" si="0"/>
        <v/>
      </c>
      <c r="H28" s="15" t="str">
        <f t="shared" si="0"/>
        <v/>
      </c>
      <c r="I28" s="15" t="str">
        <f>IF(AH67&gt;0,AH67,"")</f>
        <v/>
      </c>
    </row>
    <row r="29" spans="2:43" ht="15.5" hidden="1" x14ac:dyDescent="0.4">
      <c r="B29" s="138" t="s">
        <v>87</v>
      </c>
      <c r="C29" s="166">
        <f>$AI68/100</f>
        <v>0</v>
      </c>
      <c r="D29" s="206" t="e">
        <f>STDEV(E29:I29)/100</f>
        <v>#DIV/0!</v>
      </c>
      <c r="E29" s="78" t="str">
        <f t="shared" si="0"/>
        <v/>
      </c>
      <c r="F29" s="15" t="str">
        <f t="shared" si="0"/>
        <v/>
      </c>
      <c r="G29" s="15" t="str">
        <f t="shared" si="0"/>
        <v/>
      </c>
      <c r="H29" s="15" t="str">
        <f t="shared" si="0"/>
        <v/>
      </c>
      <c r="I29" s="15" t="str">
        <f>IF(AH68&gt;0,AH68,"")</f>
        <v/>
      </c>
    </row>
    <row r="30" spans="2:43" ht="14" x14ac:dyDescent="0.3">
      <c r="B30" s="139" t="s">
        <v>169</v>
      </c>
      <c r="C30" s="143">
        <f>$AI69</f>
        <v>0</v>
      </c>
      <c r="D30" s="206" t="e">
        <f>STDEV(E30:M30)</f>
        <v>#DIV/0!</v>
      </c>
      <c r="E30" s="78" t="str">
        <f>IF(Z69&gt;0,Z69,"")</f>
        <v/>
      </c>
      <c r="F30" s="15" t="str">
        <f>IF(AA69&gt;0,AA69,"")</f>
        <v/>
      </c>
      <c r="G30" s="15" t="str">
        <f>IF(AB69&gt;0,AB69,"")</f>
        <v/>
      </c>
      <c r="H30" s="78" t="str">
        <f t="shared" si="0"/>
        <v/>
      </c>
      <c r="I30" s="15" t="str">
        <f>IF(AD69&gt;0,AD69,"")</f>
        <v/>
      </c>
      <c r="J30" s="15" t="str">
        <f>IF(AE69&gt;0,AE69,"")</f>
        <v/>
      </c>
      <c r="K30" s="78" t="str">
        <f>IF(AF69&gt;0,AF69,"")</f>
        <v/>
      </c>
      <c r="L30" s="15" t="str">
        <f>IF(AG69&gt;0,AG69,"")</f>
        <v/>
      </c>
      <c r="M30" s="15" t="str">
        <f>IF(AH69&gt;0,AH69,"")</f>
        <v/>
      </c>
    </row>
    <row r="31" spans="2:43" x14ac:dyDescent="0.25">
      <c r="B31" s="171"/>
      <c r="C31" s="172"/>
      <c r="D31" s="142"/>
      <c r="E31" s="205">
        <f>STDEV(Z$447:AB$447)/100</f>
        <v>0</v>
      </c>
    </row>
    <row r="32" spans="2:43" x14ac:dyDescent="0.25">
      <c r="B32" s="81" t="s">
        <v>102</v>
      </c>
      <c r="C32" s="167" t="e">
        <f>D30</f>
        <v>#DIV/0!</v>
      </c>
    </row>
    <row r="33" spans="2:10" x14ac:dyDescent="0.25">
      <c r="B33" s="242" t="s">
        <v>108</v>
      </c>
      <c r="C33" s="243"/>
      <c r="D33" s="82">
        <f>COUNT(E34:I34)</f>
        <v>0</v>
      </c>
    </row>
    <row r="34" spans="2:10" ht="15.5" x14ac:dyDescent="0.4">
      <c r="B34" s="244" t="s">
        <v>3</v>
      </c>
      <c r="C34" s="245" t="e">
        <f>AVERAGE(E34:I34)/100</f>
        <v>#DIV/0!</v>
      </c>
      <c r="D34" s="255" t="e">
        <f>STDEV(E34:I34)/100</f>
        <v>#DIV/0!</v>
      </c>
      <c r="E34" s="57" t="str">
        <f>IF(C76&gt;0,C76,"")</f>
        <v/>
      </c>
      <c r="F34" s="13" t="str">
        <f>IF(C77&gt;0,C77,"")</f>
        <v/>
      </c>
      <c r="G34" s="13" t="str">
        <f>IF(C78&gt;0,C78,"")</f>
        <v/>
      </c>
      <c r="H34" s="13" t="str">
        <f>IF(C79&gt;0,C79,"")</f>
        <v/>
      </c>
      <c r="I34" s="13" t="str">
        <f>IF(C80&gt;0,C80,"")</f>
        <v/>
      </c>
    </row>
    <row r="35" spans="2:10" ht="15.5" x14ac:dyDescent="0.4">
      <c r="B35" s="244" t="s">
        <v>4</v>
      </c>
      <c r="C35" s="246" t="e">
        <f>AVERAGE(E35:J35)/100</f>
        <v>#DIV/0!</v>
      </c>
      <c r="D35" s="255" t="e">
        <f>STDEV(E35:J35)/100</f>
        <v>#DIV/0!</v>
      </c>
      <c r="E35" s="57" t="str">
        <f>IF(C83&gt;0,C83,"")</f>
        <v/>
      </c>
      <c r="F35" s="13" t="str">
        <f>IF(C84&gt;0,C84,"")</f>
        <v/>
      </c>
      <c r="G35" s="13" t="str">
        <f>IF(C85&gt;0,C85,"")</f>
        <v/>
      </c>
      <c r="H35" s="13" t="str">
        <f>IF(C86&gt;0,C86,"")</f>
        <v/>
      </c>
      <c r="I35" s="13" t="str">
        <f>IF(C87&gt;0,C87,"")</f>
        <v/>
      </c>
      <c r="J35" s="13" t="str">
        <f>IF(C88&gt;0,C88,"")</f>
        <v/>
      </c>
    </row>
    <row r="36" spans="2:10" ht="15.5" x14ac:dyDescent="0.4">
      <c r="B36" s="244" t="s">
        <v>5</v>
      </c>
      <c r="C36" s="247" t="e">
        <f>AVERAGE(E36:I36)/100</f>
        <v>#DIV/0!</v>
      </c>
      <c r="D36" s="255" t="e">
        <f>STDEV(E36:I36)/100</f>
        <v>#DIV/0!</v>
      </c>
      <c r="E36" s="57" t="str">
        <f>IF(C90&gt;0,C90,"")</f>
        <v/>
      </c>
      <c r="F36" s="13" t="str">
        <f>IF(C91&gt;0,C91,"")</f>
        <v/>
      </c>
      <c r="G36" s="13" t="str">
        <f>IF(C92&gt;0,C92,"")</f>
        <v/>
      </c>
      <c r="H36" s="13" t="str">
        <f>IF(C93&gt;0,C93,"")</f>
        <v/>
      </c>
      <c r="I36" s="13" t="str">
        <f>IF(C94&gt;0,C94,"")</f>
        <v/>
      </c>
    </row>
    <row r="37" spans="2:10" x14ac:dyDescent="0.25">
      <c r="B37" s="248" t="s">
        <v>148</v>
      </c>
      <c r="C37" s="249" t="e">
        <f>C35/C31</f>
        <v>#DIV/0!</v>
      </c>
      <c r="D37" s="256"/>
    </row>
    <row r="38" spans="2:10" hidden="1" x14ac:dyDescent="0.25">
      <c r="B38" s="79" t="s">
        <v>88</v>
      </c>
      <c r="C38" s="168"/>
      <c r="D38" s="256"/>
    </row>
    <row r="39" spans="2:10" hidden="1" x14ac:dyDescent="0.25">
      <c r="B39" s="151" t="s">
        <v>89</v>
      </c>
      <c r="C39" s="144" t="e">
        <f>AVERAGE(E39:I39)</f>
        <v>#DIV/0!</v>
      </c>
      <c r="D39" s="256"/>
      <c r="E39" s="57" t="str">
        <f>IF(C99&gt;0,C99,"")</f>
        <v/>
      </c>
      <c r="F39" s="13" t="str">
        <f>IF(C100&gt;0,C100,"")</f>
        <v/>
      </c>
      <c r="G39" s="13" t="str">
        <f>IF(C101&gt;0,C101,"")</f>
        <v/>
      </c>
      <c r="H39" s="13" t="str">
        <f>IF(C102&gt;0,C102,"")</f>
        <v/>
      </c>
    </row>
    <row r="40" spans="2:10" hidden="1" x14ac:dyDescent="0.25">
      <c r="B40" s="153" t="s">
        <v>90</v>
      </c>
      <c r="C40" s="145" t="e">
        <f>AVERAGE(E40:I40)</f>
        <v>#DIV/0!</v>
      </c>
      <c r="D40" s="256"/>
      <c r="E40" s="57" t="str">
        <f>IF(C105&gt;0,C105,"")</f>
        <v/>
      </c>
      <c r="F40" s="13" t="str">
        <f>IF(C106&gt;0,C106,"")</f>
        <v/>
      </c>
      <c r="G40" s="13" t="str">
        <f>IF(C107&gt;0,C107,"")</f>
        <v/>
      </c>
      <c r="H40" s="13" t="str">
        <f>IF(C108&gt;0,C108,"")</f>
        <v/>
      </c>
    </row>
    <row r="41" spans="2:10" hidden="1" x14ac:dyDescent="0.25">
      <c r="B41" s="44" t="s">
        <v>91</v>
      </c>
      <c r="C41" s="146" t="e">
        <f>AVERAGE(E41:I41)</f>
        <v>#DIV/0!</v>
      </c>
      <c r="D41" s="256"/>
      <c r="E41" s="57" t="str">
        <f>IF(C111&gt;0,C111,"")</f>
        <v/>
      </c>
      <c r="F41" s="13" t="str">
        <f>IF(C112&gt;0,C112,"")</f>
        <v/>
      </c>
      <c r="G41" s="13" t="str">
        <f>IF(C113&gt;0,C113,"")</f>
        <v/>
      </c>
      <c r="H41" s="13" t="str">
        <f>IF(C114&gt;0,C114,"")</f>
        <v/>
      </c>
    </row>
    <row r="42" spans="2:10" x14ac:dyDescent="0.25">
      <c r="B42" s="105" t="s">
        <v>27</v>
      </c>
      <c r="C42" s="169"/>
      <c r="D42" s="256"/>
    </row>
    <row r="43" spans="2:10" ht="15.5" x14ac:dyDescent="0.4">
      <c r="B43" s="242" t="s">
        <v>6</v>
      </c>
      <c r="C43" s="243"/>
      <c r="D43" s="256"/>
    </row>
    <row r="44" spans="2:10" ht="16" x14ac:dyDescent="0.4">
      <c r="B44" s="250" t="s">
        <v>7</v>
      </c>
      <c r="C44" s="245" t="e">
        <f>E89</f>
        <v>#DIV/0!</v>
      </c>
      <c r="D44" s="256" t="s">
        <v>123</v>
      </c>
    </row>
    <row r="45" spans="2:10" ht="15.5" hidden="1" x14ac:dyDescent="0.4">
      <c r="B45" s="251" t="s">
        <v>8</v>
      </c>
      <c r="C45" s="246" t="e">
        <f>F89</f>
        <v>#DIV/0!</v>
      </c>
      <c r="D45" s="256" t="s">
        <v>123</v>
      </c>
    </row>
    <row r="46" spans="2:10" ht="17" x14ac:dyDescent="0.45">
      <c r="B46" s="252" t="s">
        <v>9</v>
      </c>
      <c r="C46" s="253" t="e">
        <f>G89</f>
        <v>#DIV/0!</v>
      </c>
      <c r="D46" s="256" t="s">
        <v>123</v>
      </c>
      <c r="E46" s="205" t="e">
        <f>STDEV(G$83:G$85)/100</f>
        <v>#DIV/0!</v>
      </c>
    </row>
    <row r="47" spans="2:10" x14ac:dyDescent="0.25">
      <c r="B47" s="254" t="s">
        <v>102</v>
      </c>
      <c r="C47" s="254" t="e">
        <f>SQRT(0.001^2+D35^2+D30^2)</f>
        <v>#DIV/0!</v>
      </c>
      <c r="D47" s="256"/>
    </row>
    <row r="48" spans="2:10" ht="13" x14ac:dyDescent="0.3">
      <c r="E48" s="233" t="s">
        <v>0</v>
      </c>
      <c r="F48" s="234"/>
      <c r="G48" s="231" t="s">
        <v>2</v>
      </c>
      <c r="H48" s="232"/>
      <c r="I48" s="232"/>
    </row>
    <row r="49" spans="2:16" ht="15.5" x14ac:dyDescent="0.35">
      <c r="B49" s="132" t="s">
        <v>109</v>
      </c>
      <c r="C49" s="134"/>
      <c r="E49" s="235"/>
      <c r="F49" s="236"/>
      <c r="G49" s="235"/>
      <c r="H49" s="236"/>
      <c r="I49" s="235"/>
      <c r="J49" s="236"/>
      <c r="K49" s="237"/>
      <c r="L49" s="236"/>
      <c r="M49" s="238"/>
      <c r="N49" s="236"/>
      <c r="O49" s="9"/>
    </row>
    <row r="50" spans="2:16" x14ac:dyDescent="0.25">
      <c r="E50" s="239"/>
      <c r="F50" s="240"/>
      <c r="G50" s="240"/>
      <c r="H50" s="240"/>
      <c r="I50" s="240"/>
      <c r="J50" s="241"/>
      <c r="K50" s="241"/>
      <c r="L50" s="241"/>
      <c r="M50" s="241"/>
      <c r="N50" s="241"/>
      <c r="O50" s="9"/>
    </row>
    <row r="51" spans="2:16" ht="13" x14ac:dyDescent="0.3">
      <c r="B51" s="150" t="s">
        <v>110</v>
      </c>
      <c r="C51" s="150" t="s">
        <v>111</v>
      </c>
    </row>
    <row r="52" spans="2:16" x14ac:dyDescent="0.25">
      <c r="B52" s="2" t="s">
        <v>112</v>
      </c>
      <c r="C52" s="73" t="str">
        <f>C23</f>
        <v>G-95003</v>
      </c>
      <c r="D52" s="5" t="e">
        <f ca="1">$O$75</f>
        <v>#N/A</v>
      </c>
      <c r="O52" s="147" t="s">
        <v>150</v>
      </c>
      <c r="P52" s="147"/>
    </row>
    <row r="53" spans="2:16" x14ac:dyDescent="0.25">
      <c r="B53" s="4" t="s">
        <v>113</v>
      </c>
      <c r="C53" s="5" t="s">
        <v>101</v>
      </c>
      <c r="O53" s="147" t="s">
        <v>151</v>
      </c>
      <c r="P53" s="147"/>
    </row>
    <row r="54" spans="2:16" x14ac:dyDescent="0.25">
      <c r="B54" s="4" t="s">
        <v>114</v>
      </c>
      <c r="C54" s="5" t="s">
        <v>37</v>
      </c>
      <c r="O54" s="149" t="s">
        <v>138</v>
      </c>
      <c r="P54" s="147"/>
    </row>
    <row r="55" spans="2:16" x14ac:dyDescent="0.25">
      <c r="B55" s="4" t="s">
        <v>115</v>
      </c>
      <c r="C55" s="5" t="s">
        <v>37</v>
      </c>
      <c r="O55" s="198" t="s">
        <v>149</v>
      </c>
      <c r="P55" s="147"/>
    </row>
    <row r="56" spans="2:16" x14ac:dyDescent="0.25">
      <c r="B56" s="4" t="s">
        <v>116</v>
      </c>
      <c r="C56" s="5" t="s">
        <v>38</v>
      </c>
      <c r="D56" s="62">
        <f>$M$315</f>
        <v>0</v>
      </c>
      <c r="O56" s="179" t="s">
        <v>140</v>
      </c>
      <c r="P56" s="6"/>
    </row>
    <row r="57" spans="2:16" x14ac:dyDescent="0.25">
      <c r="B57" s="6" t="s">
        <v>117</v>
      </c>
      <c r="C57" s="7" t="s">
        <v>38</v>
      </c>
      <c r="D57" s="62">
        <f>$N$315</f>
        <v>0</v>
      </c>
      <c r="O57" s="180" t="s">
        <v>141</v>
      </c>
      <c r="P57" s="147"/>
    </row>
    <row r="59" spans="2:16" x14ac:dyDescent="0.25">
      <c r="B59" s="2" t="s">
        <v>118</v>
      </c>
      <c r="C59" s="3" t="s">
        <v>165</v>
      </c>
      <c r="D59" s="71">
        <f>IF($C59&gt;" ",$Q$315,"")</f>
        <v>0</v>
      </c>
      <c r="E59" s="63">
        <f>$Q$315</f>
        <v>0</v>
      </c>
      <c r="F59" s="70">
        <f>$R$315</f>
        <v>0</v>
      </c>
      <c r="G59" s="70">
        <f>$S$315</f>
        <v>0</v>
      </c>
      <c r="H59" s="70">
        <f>$T$315</f>
        <v>0</v>
      </c>
      <c r="I59" s="70">
        <f>$Y$315</f>
        <v>0</v>
      </c>
      <c r="J59" s="13"/>
    </row>
    <row r="60" spans="2:16" x14ac:dyDescent="0.25">
      <c r="B60" s="4"/>
      <c r="C60" s="5" t="s">
        <v>166</v>
      </c>
      <c r="D60" s="71">
        <f>IF($C60&gt;" ",$R$315,"")</f>
        <v>0</v>
      </c>
    </row>
    <row r="61" spans="2:16" x14ac:dyDescent="0.25">
      <c r="B61" s="4"/>
      <c r="C61" s="5" t="s">
        <v>167</v>
      </c>
      <c r="D61" s="71">
        <f>IF($C61&gt;" ",$Q$315,"")</f>
        <v>0</v>
      </c>
    </row>
    <row r="62" spans="2:16" x14ac:dyDescent="0.25">
      <c r="B62" s="4"/>
      <c r="C62" s="5" t="s">
        <v>170</v>
      </c>
      <c r="D62" s="71">
        <f>IF($C62&gt;" ",$R$315,"")</f>
        <v>0</v>
      </c>
    </row>
    <row r="63" spans="2:16" x14ac:dyDescent="0.25">
      <c r="B63" s="4"/>
      <c r="C63" s="5" t="s">
        <v>171</v>
      </c>
      <c r="D63" s="71">
        <f>IF($C63&gt;" ",$Q$315,"")</f>
        <v>0</v>
      </c>
    </row>
    <row r="64" spans="2:16" x14ac:dyDescent="0.25">
      <c r="B64" s="4"/>
      <c r="C64" s="5" t="s">
        <v>172</v>
      </c>
      <c r="D64" s="71">
        <f>IF($C64&gt;" ",$R$315,"")</f>
        <v>0</v>
      </c>
    </row>
    <row r="65" spans="2:52" x14ac:dyDescent="0.25">
      <c r="B65" s="4"/>
      <c r="C65" s="5" t="s">
        <v>173</v>
      </c>
      <c r="D65" s="71">
        <f>IF($C65&gt;" ",$Q$315,"")</f>
        <v>0</v>
      </c>
    </row>
    <row r="66" spans="2:52" ht="13" x14ac:dyDescent="0.3">
      <c r="B66" s="4"/>
      <c r="C66" s="5" t="s">
        <v>174</v>
      </c>
      <c r="D66" s="71">
        <f>IF($C66&gt;" ",$R$315,"")</f>
        <v>0</v>
      </c>
      <c r="Y66" s="74" t="s">
        <v>61</v>
      </c>
      <c r="Z66" s="75" t="str">
        <f t="shared" ref="Z66:AI66" si="1">Z77</f>
        <v>M1</v>
      </c>
      <c r="AA66" s="75" t="str">
        <f t="shared" si="1"/>
        <v>M2</v>
      </c>
      <c r="AB66" s="75" t="str">
        <f t="shared" si="1"/>
        <v>M3</v>
      </c>
      <c r="AC66" s="75" t="str">
        <f t="shared" si="1"/>
        <v>M4</v>
      </c>
      <c r="AD66" s="75" t="s">
        <v>171</v>
      </c>
      <c r="AE66" s="75" t="s">
        <v>172</v>
      </c>
      <c r="AF66" s="75" t="s">
        <v>173</v>
      </c>
      <c r="AG66" s="75" t="s">
        <v>174</v>
      </c>
      <c r="AH66" s="75" t="str">
        <f t="shared" si="1"/>
        <v>M9</v>
      </c>
      <c r="AI66" s="75" t="str">
        <f t="shared" si="1"/>
        <v>ρ gemittelt</v>
      </c>
      <c r="AJ66" s="196"/>
    </row>
    <row r="67" spans="2:52" ht="13" x14ac:dyDescent="0.3">
      <c r="B67" s="6"/>
      <c r="C67" s="7" t="s">
        <v>175</v>
      </c>
      <c r="D67" s="71">
        <f>IF($C67&gt;" ",$Q$315,"")</f>
        <v>0</v>
      </c>
      <c r="T67" s="77"/>
      <c r="U67" s="77"/>
      <c r="V67" s="77"/>
      <c r="W67" s="77"/>
      <c r="X67" s="77"/>
      <c r="Y67" s="77"/>
      <c r="Z67" s="76">
        <f t="shared" ref="Z67:AG67" si="2">IF(Z$66&gt;" ",SUMPRODUCT(Z$79:Z$518,Sol_I9050),"")</f>
        <v>0</v>
      </c>
      <c r="AA67" s="76">
        <f t="shared" si="2"/>
        <v>0</v>
      </c>
      <c r="AB67" s="76">
        <f t="shared" si="2"/>
        <v>0</v>
      </c>
      <c r="AC67" s="76">
        <f t="shared" si="2"/>
        <v>0</v>
      </c>
      <c r="AD67" s="76">
        <f t="shared" si="2"/>
        <v>0</v>
      </c>
      <c r="AE67" s="76">
        <f t="shared" si="2"/>
        <v>0</v>
      </c>
      <c r="AF67" s="76">
        <f t="shared" si="2"/>
        <v>0</v>
      </c>
      <c r="AG67" s="76">
        <f t="shared" si="2"/>
        <v>0</v>
      </c>
      <c r="AH67" s="76">
        <f>IF(AH$66&gt;" ",SUMPRODUCT(AH$79:AH$518,Sol_I9050),"")</f>
        <v>0</v>
      </c>
      <c r="AI67" s="76">
        <f>IF(AI$66&gt;" ",SUMPRODUCT(AI$329:AI$523,AN329:AN523),"")</f>
        <v>0</v>
      </c>
      <c r="AJ67" s="263"/>
    </row>
    <row r="68" spans="2:52" ht="13" x14ac:dyDescent="0.3">
      <c r="B68" s="2" t="s">
        <v>57</v>
      </c>
      <c r="C68" s="3" t="s">
        <v>84</v>
      </c>
      <c r="Y68" s="77"/>
      <c r="Z68" s="76">
        <f t="shared" ref="Z68:AH68" si="3">IF(Z$66&gt;" ",SUMPRODUCT(Z$79:Z$518,Sol_E891),"")</f>
        <v>0</v>
      </c>
      <c r="AA68" s="76">
        <f t="shared" si="3"/>
        <v>0</v>
      </c>
      <c r="AB68" s="76">
        <f t="shared" si="3"/>
        <v>0</v>
      </c>
      <c r="AC68" s="76">
        <f t="shared" si="3"/>
        <v>0</v>
      </c>
      <c r="AD68" s="76">
        <f t="shared" si="3"/>
        <v>0</v>
      </c>
      <c r="AE68" s="76">
        <f t="shared" si="3"/>
        <v>0</v>
      </c>
      <c r="AF68" s="76">
        <f t="shared" si="3"/>
        <v>0</v>
      </c>
      <c r="AG68" s="76">
        <f t="shared" si="3"/>
        <v>0</v>
      </c>
      <c r="AH68" s="76">
        <f t="shared" si="3"/>
        <v>0</v>
      </c>
      <c r="AI68" s="76">
        <f>IF(AI$66&gt;" ",SUMPRODUCT(AI$329:AI$523,AM329:AM523),"")</f>
        <v>0</v>
      </c>
      <c r="AJ68" s="263"/>
    </row>
    <row r="69" spans="2:52" ht="13" x14ac:dyDescent="0.3">
      <c r="B69" s="4" t="s">
        <v>119</v>
      </c>
      <c r="C69" s="5" t="s">
        <v>132</v>
      </c>
      <c r="Y69" s="77" t="s">
        <v>168</v>
      </c>
      <c r="Z69" s="76">
        <f>IF(Z$66&gt;" ",(SUMPRODUCT(Z$329:Z$523,AP329:AP523)/SUM(AP329:AP523)),"")</f>
        <v>0</v>
      </c>
      <c r="AA69" s="76">
        <f>IF(AA$66&gt;" ",(SUMPRODUCT(AA$329:AA$523,AP329:AP523)/SUM(AP329:AP523)),"")</f>
        <v>0</v>
      </c>
      <c r="AB69" s="76">
        <f>IF(AB$66&gt;" ",(SUMPRODUCT(AB$329:AB$523,AP329:AP523)/SUM(AP329:AP523)),"")</f>
        <v>0</v>
      </c>
      <c r="AC69" s="76">
        <f>IF(AC$66&gt;" ",(SUMPRODUCT(AC$329:AC$523,AP329:AP523)/SUM(AP329:AP523)),"")</f>
        <v>0</v>
      </c>
      <c r="AD69" s="76">
        <f>IF(AD$66&gt;" ",(SUMPRODUCT(AD$329:AD$523,AP329:AP523)/SUM(AP329:AP523)),"")</f>
        <v>0</v>
      </c>
      <c r="AE69" s="76">
        <f>IF(AE$66&gt;" ",(SUMPRODUCT(AE$329:AE$523,AP329:AP523)/SUM(AP329:AP523)),"")</f>
        <v>0</v>
      </c>
      <c r="AF69" s="76">
        <f>IF(AF$66&gt;" ",(SUMPRODUCT(AF$329:AF$523,AP329:AP523)/SUM(AP329:AP523)),"")</f>
        <v>0</v>
      </c>
      <c r="AG69" s="76">
        <f>IF(AG$66&gt;" ",(SUMPRODUCT(AG$329:AG$523,AP329:AP523)/SUM(AP329:AP523)),"")</f>
        <v>0</v>
      </c>
      <c r="AH69" s="76">
        <f>IF(AH$66&gt;" ",(SUMPRODUCT(AH$329:AH$523,AP329:AP523)/SUM(AP329:AP523)),"")</f>
        <v>0</v>
      </c>
      <c r="AI69" s="76">
        <f>IF(AI$66&gt;" ",(SUMPRODUCT(AI$329:AI$523,AP329:AP523)/SUM(AP329:AP523)),"")</f>
        <v>0</v>
      </c>
      <c r="AJ69" s="263"/>
    </row>
    <row r="70" spans="2:52" x14ac:dyDescent="0.25">
      <c r="B70" s="4" t="s">
        <v>120</v>
      </c>
      <c r="C70" s="5"/>
      <c r="AJ70" s="42"/>
    </row>
    <row r="71" spans="2:52" ht="15.5" x14ac:dyDescent="0.4">
      <c r="B71" s="4" t="s">
        <v>121</v>
      </c>
      <c r="C71" s="5"/>
      <c r="AH71" s="140" t="s">
        <v>92</v>
      </c>
      <c r="AI71" s="141"/>
      <c r="AJ71" s="111"/>
      <c r="AR71" s="208"/>
      <c r="AS71" s="208" t="s">
        <v>103</v>
      </c>
      <c r="AT71" s="208"/>
      <c r="AU71" s="208"/>
      <c r="AV71" s="208"/>
      <c r="AW71" s="208"/>
    </row>
    <row r="72" spans="2:52" x14ac:dyDescent="0.25">
      <c r="B72" s="6"/>
      <c r="C72" s="7"/>
      <c r="AJ72" s="9"/>
      <c r="AP72" t="s">
        <v>137</v>
      </c>
      <c r="AR72" s="208"/>
      <c r="AS72" s="208"/>
      <c r="AT72" s="208"/>
      <c r="AU72" s="208"/>
      <c r="AV72" s="208"/>
      <c r="AW72" s="208"/>
    </row>
    <row r="73" spans="2:52" ht="13.5" thickBot="1" x14ac:dyDescent="0.35">
      <c r="AJ73" s="9"/>
      <c r="AR73" s="209" t="s">
        <v>142</v>
      </c>
      <c r="AS73" s="209" t="s">
        <v>143</v>
      </c>
      <c r="AT73" s="209" t="s">
        <v>144</v>
      </c>
      <c r="AU73" s="209" t="s">
        <v>145</v>
      </c>
      <c r="AV73" s="209" t="s">
        <v>146</v>
      </c>
      <c r="AW73" s="209" t="s">
        <v>147</v>
      </c>
    </row>
    <row r="74" spans="2:52" ht="13" x14ac:dyDescent="0.3">
      <c r="B74" s="150" t="s">
        <v>39</v>
      </c>
      <c r="C74" s="9" t="s">
        <v>56</v>
      </c>
      <c r="D74" s="13"/>
      <c r="E74" s="126" t="s">
        <v>82</v>
      </c>
      <c r="F74" s="127" t="s">
        <v>62</v>
      </c>
      <c r="G74" s="127" t="s">
        <v>83</v>
      </c>
      <c r="H74" s="128"/>
      <c r="I74" s="106"/>
      <c r="L74" s="52"/>
      <c r="M74" s="31" t="s">
        <v>59</v>
      </c>
      <c r="N74" s="31"/>
      <c r="O74" s="51" t="e">
        <f>MATCH(refname,RefListeStart,0)-1</f>
        <v>#N/A</v>
      </c>
      <c r="Q74" s="33"/>
      <c r="R74" s="26" t="s">
        <v>60</v>
      </c>
      <c r="S74" s="23"/>
      <c r="T74" s="23"/>
      <c r="U74" s="23"/>
      <c r="V74" s="23"/>
      <c r="W74" s="23"/>
      <c r="X74" s="23"/>
      <c r="Y74" s="19"/>
      <c r="Z74" s="36"/>
      <c r="AA74" s="26" t="s">
        <v>55</v>
      </c>
      <c r="AB74" s="26"/>
      <c r="AC74" s="26"/>
      <c r="AD74" s="26"/>
      <c r="AE74" s="26"/>
      <c r="AF74" s="26"/>
      <c r="AG74" s="26"/>
      <c r="AH74" s="26"/>
      <c r="AI74" s="29"/>
      <c r="AJ74" s="257"/>
      <c r="AK74" s="13"/>
      <c r="AL74" s="96"/>
      <c r="AM74" s="92" t="s">
        <v>64</v>
      </c>
      <c r="AN74" s="97"/>
      <c r="AO74" s="97"/>
      <c r="AP74" s="98"/>
      <c r="AR74" s="210" t="s">
        <v>65</v>
      </c>
      <c r="AS74" s="211"/>
      <c r="AT74" s="211"/>
      <c r="AU74" s="211"/>
      <c r="AV74" s="211"/>
      <c r="AW74" s="212"/>
      <c r="AX74" s="42"/>
      <c r="AY74" s="42"/>
      <c r="AZ74" s="42"/>
    </row>
    <row r="75" spans="2:52" ht="13" x14ac:dyDescent="0.3">
      <c r="B75" s="2" t="s">
        <v>122</v>
      </c>
      <c r="C75" s="3"/>
      <c r="L75" s="53"/>
      <c r="M75" s="30"/>
      <c r="N75" s="31"/>
      <c r="O75" s="72" t="e">
        <f t="array" aca="1" ref="O75:O529" ca="1">OFFSET(RefListeStart,,O74,455)</f>
        <v>#N/A</v>
      </c>
      <c r="Q75" s="49"/>
      <c r="R75" s="50"/>
      <c r="S75" s="50"/>
      <c r="T75" s="50"/>
      <c r="U75" s="50"/>
      <c r="V75" s="50"/>
      <c r="W75" s="50"/>
      <c r="X75" s="50"/>
      <c r="Y75" s="20"/>
      <c r="Z75" s="37"/>
      <c r="AA75" s="38"/>
      <c r="AB75" s="38"/>
      <c r="AC75" s="38"/>
      <c r="AD75" s="38"/>
      <c r="AE75" s="38"/>
      <c r="AF75" s="38"/>
      <c r="AG75" s="38"/>
      <c r="AH75" s="38"/>
      <c r="AI75" s="32"/>
      <c r="AJ75" s="258"/>
      <c r="AK75" s="13"/>
      <c r="AL75" s="100"/>
      <c r="AM75" s="84" t="s">
        <v>66</v>
      </c>
      <c r="AN75" s="84" t="s">
        <v>66</v>
      </c>
      <c r="AO75" s="88"/>
      <c r="AP75" s="89"/>
      <c r="AR75" s="213" t="s">
        <v>150</v>
      </c>
      <c r="AS75" s="214" t="s">
        <v>151</v>
      </c>
      <c r="AT75" s="214" t="s">
        <v>138</v>
      </c>
      <c r="AU75" s="214" t="s">
        <v>149</v>
      </c>
      <c r="AV75" s="214" t="s">
        <v>140</v>
      </c>
      <c r="AW75" s="215" t="s">
        <v>141</v>
      </c>
      <c r="AX75" s="108"/>
      <c r="AY75" s="108"/>
      <c r="AZ75" s="42"/>
    </row>
    <row r="76" spans="2:52" ht="13" x14ac:dyDescent="0.3">
      <c r="B76" s="10" t="s">
        <v>40</v>
      </c>
      <c r="C76" s="40"/>
      <c r="E76" s="129" t="str">
        <f>IF(C76&gt;0, C76*$C$28/$AI$447, "")</f>
        <v/>
      </c>
      <c r="F76" s="130" t="str">
        <f>IF(C76&gt;0, C76*$C$29/$AI$447, "")</f>
        <v/>
      </c>
      <c r="G76" s="130" t="str">
        <f>IF(C76&gt;0, C76*$C$30/$AI$447, "")</f>
        <v/>
      </c>
      <c r="L76" s="53"/>
      <c r="M76" s="30"/>
      <c r="N76" s="31"/>
      <c r="O76" s="72" t="e">
        <f ca="1"/>
        <v>#N/A</v>
      </c>
      <c r="Q76" s="49"/>
      <c r="R76" s="50"/>
      <c r="S76" s="50"/>
      <c r="T76" s="50"/>
      <c r="U76" s="50"/>
      <c r="V76" s="50"/>
      <c r="W76" s="50"/>
      <c r="X76" s="50"/>
      <c r="Y76" s="20"/>
      <c r="Z76" s="37"/>
      <c r="AA76" s="38"/>
      <c r="AB76" s="38"/>
      <c r="AC76" s="38"/>
      <c r="AD76" s="38"/>
      <c r="AE76" s="38"/>
      <c r="AF76" s="38"/>
      <c r="AG76" s="38"/>
      <c r="AH76" s="38"/>
      <c r="AI76" s="32"/>
      <c r="AJ76" s="258"/>
      <c r="AK76" s="13"/>
      <c r="AL76" s="100"/>
      <c r="AM76" s="199"/>
      <c r="AN76" s="199"/>
      <c r="AO76" s="199"/>
      <c r="AP76" s="121" t="s">
        <v>168</v>
      </c>
      <c r="AR76" s="216" t="s">
        <v>150</v>
      </c>
      <c r="AS76" s="217" t="s">
        <v>151</v>
      </c>
      <c r="AT76" s="217" t="s">
        <v>138</v>
      </c>
      <c r="AU76" s="217" t="s">
        <v>149</v>
      </c>
      <c r="AV76" s="217" t="s">
        <v>140</v>
      </c>
      <c r="AW76" s="218" t="s">
        <v>141</v>
      </c>
      <c r="AX76" s="80"/>
      <c r="AY76" s="42"/>
      <c r="AZ76" s="42"/>
    </row>
    <row r="77" spans="2:52" ht="13.5" thickBot="1" x14ac:dyDescent="0.35">
      <c r="B77" s="10" t="s">
        <v>41</v>
      </c>
      <c r="C77" s="40"/>
      <c r="E77" s="129" t="str">
        <f>IF(C77&gt;0, (C77*$C$28/$AI$447), "")</f>
        <v/>
      </c>
      <c r="F77" s="130" t="str">
        <f>IF(C77&gt;0, C77*$C$29/$AI$447, "")</f>
        <v/>
      </c>
      <c r="G77" s="130" t="str">
        <f>IF(C77&gt;0, C77*$C$30/$AI$447, "")</f>
        <v/>
      </c>
      <c r="L77" s="54" t="s">
        <v>13</v>
      </c>
      <c r="M77" s="27" t="s">
        <v>14</v>
      </c>
      <c r="N77" s="28" t="s">
        <v>15</v>
      </c>
      <c r="O77" s="99" t="e">
        <f ca="1"/>
        <v>#N/A</v>
      </c>
      <c r="Q77" s="93" t="str">
        <f>C59</f>
        <v>M1</v>
      </c>
      <c r="R77" s="94" t="str">
        <f>C60</f>
        <v>M2</v>
      </c>
      <c r="S77" s="94" t="str">
        <f>C61</f>
        <v>M3</v>
      </c>
      <c r="T77" s="94" t="str">
        <f>C62</f>
        <v>M4</v>
      </c>
      <c r="U77" s="94" t="str">
        <f>C63</f>
        <v>M5</v>
      </c>
      <c r="V77" s="94" t="str">
        <f>C64</f>
        <v>M6</v>
      </c>
      <c r="W77" s="94" t="str">
        <f>C65</f>
        <v>M7</v>
      </c>
      <c r="X77" s="94" t="str">
        <f>C66</f>
        <v>M8</v>
      </c>
      <c r="Y77" s="95" t="str">
        <f>C67</f>
        <v>M9</v>
      </c>
      <c r="Z77" s="93" t="s">
        <v>165</v>
      </c>
      <c r="AA77" s="94" t="s">
        <v>166</v>
      </c>
      <c r="AB77" s="94" t="s">
        <v>167</v>
      </c>
      <c r="AC77" s="94" t="s">
        <v>170</v>
      </c>
      <c r="AD77" s="94" t="s">
        <v>171</v>
      </c>
      <c r="AE77" s="94" t="s">
        <v>172</v>
      </c>
      <c r="AF77" s="94" t="s">
        <v>173</v>
      </c>
      <c r="AG77" s="94" t="s">
        <v>174</v>
      </c>
      <c r="AH77" s="94" t="s">
        <v>175</v>
      </c>
      <c r="AI77" s="95" t="s">
        <v>16</v>
      </c>
      <c r="AJ77" s="259"/>
      <c r="AK77" s="13"/>
      <c r="AL77" s="100"/>
      <c r="AM77" s="200"/>
      <c r="AN77" s="200"/>
      <c r="AO77" s="200"/>
      <c r="AP77" s="87" t="s">
        <v>67</v>
      </c>
      <c r="AR77" s="219"/>
      <c r="AS77" s="220"/>
      <c r="AT77" s="220"/>
      <c r="AU77" s="220"/>
      <c r="AV77" s="220"/>
      <c r="AW77" s="221"/>
      <c r="AX77" s="42"/>
      <c r="AY77" s="42"/>
      <c r="AZ77" s="42"/>
    </row>
    <row r="78" spans="2:52" ht="13" x14ac:dyDescent="0.3">
      <c r="B78" s="10" t="s">
        <v>42</v>
      </c>
      <c r="C78" s="40"/>
      <c r="E78" s="129" t="str">
        <f>IF(C78&gt;0, C78*$C$28/$AI$447, "")</f>
        <v/>
      </c>
      <c r="F78" s="130" t="str">
        <f>IF(C78&gt;0, C78*$C$29/$AI$447, "")</f>
        <v/>
      </c>
      <c r="G78" s="130" t="str">
        <f>IF(C78&gt;0, C78*$C$30/$AI$447, "")</f>
        <v/>
      </c>
      <c r="L78" s="55"/>
      <c r="M78" s="271"/>
      <c r="N78" s="272"/>
      <c r="O78" s="273" t="e">
        <f ca="1"/>
        <v>#N/A</v>
      </c>
      <c r="Q78" s="49"/>
      <c r="R78" s="50"/>
      <c r="S78" s="50"/>
      <c r="T78" s="50"/>
      <c r="U78" s="50"/>
      <c r="V78" s="50"/>
      <c r="W78" s="50"/>
      <c r="X78" s="50"/>
      <c r="Y78" s="20"/>
      <c r="Z78" s="33"/>
      <c r="AA78" s="23"/>
      <c r="AB78" s="23"/>
      <c r="AC78" s="23"/>
      <c r="AD78" s="23"/>
      <c r="AE78" s="23"/>
      <c r="AF78" s="23"/>
      <c r="AG78" s="23"/>
      <c r="AH78" s="23"/>
      <c r="AI78" s="29" t="str">
        <f>$C$5</f>
        <v>Name (Test)</v>
      </c>
      <c r="AJ78" s="260" t="str">
        <f>$C$5</f>
        <v>Name (Test)</v>
      </c>
      <c r="AK78" s="13"/>
      <c r="AL78" s="100"/>
      <c r="AM78" s="199"/>
      <c r="AN78" s="201"/>
      <c r="AO78" s="199"/>
      <c r="AP78" s="120" t="s">
        <v>168</v>
      </c>
      <c r="AR78" s="219"/>
      <c r="AS78" s="220"/>
      <c r="AT78" s="220"/>
      <c r="AU78" s="220"/>
      <c r="AV78" s="220"/>
      <c r="AW78" s="221"/>
      <c r="AX78" s="42"/>
      <c r="AY78" s="42"/>
      <c r="AZ78" s="42"/>
    </row>
    <row r="79" spans="2:52" ht="13" thickBot="1" x14ac:dyDescent="0.3">
      <c r="B79" s="10" t="s">
        <v>43</v>
      </c>
      <c r="C79" s="16"/>
      <c r="E79" s="129" t="str">
        <f>IF(C79&gt;0, C79*$C$28/$AI$447, "")</f>
        <v/>
      </c>
      <c r="F79" s="130" t="str">
        <f>IF(C79&gt;0, C79*$C$29/$AI$447, "")</f>
        <v/>
      </c>
      <c r="G79" s="130" t="str">
        <f>IF(C79&gt;0, C79*$C$30/$AI$447, "")</f>
        <v/>
      </c>
      <c r="L79" s="55">
        <v>2500</v>
      </c>
      <c r="M79" s="274">
        <f t="shared" ref="M79:N94" si="4">M628</f>
        <v>0</v>
      </c>
      <c r="N79" s="275">
        <f t="shared" si="4"/>
        <v>0</v>
      </c>
      <c r="O79" s="276" t="e">
        <f ca="1"/>
        <v>#N/A</v>
      </c>
      <c r="Q79" s="34">
        <f t="array" ref="Q79:Q304">IF(Q77&gt;" ",(Q$628:Q$1078),"")</f>
        <v>0</v>
      </c>
      <c r="R79" s="24">
        <f t="array" ref="R79:R529">IF(R77&gt;" ",(R$628:R$1078),"")</f>
        <v>0</v>
      </c>
      <c r="S79" s="24">
        <f t="array" ref="S79:S529">IF(S77&gt;" ",(S$628:S$1078),"")</f>
        <v>0</v>
      </c>
      <c r="T79" s="24">
        <f t="array" ref="T79:T529">IF(T77&gt;" ",(T$628:T$1078),"")</f>
        <v>0</v>
      </c>
      <c r="U79" s="24">
        <f t="array" ref="U79">IF(U$77&gt;" ",(U$628:U$1078),"")</f>
        <v>0</v>
      </c>
      <c r="V79" s="24">
        <f t="array" ref="V79">IF(V$77&gt;" ",(V$628:V$1078),"")</f>
        <v>0</v>
      </c>
      <c r="W79" s="24">
        <f t="array" ref="W79">IF(W$77&gt;" ",(W$628:W$1078),"")</f>
        <v>0</v>
      </c>
      <c r="X79" s="24">
        <f t="array" ref="X79">IF(X$77&gt;" ",(X$628:X$1078),"")</f>
        <v>0</v>
      </c>
      <c r="Y79" s="21">
        <f t="array" ref="Y79:Y529">IF(Y77&gt;" ",(Y$628:Y$1078),"")</f>
        <v>0</v>
      </c>
      <c r="Z79" s="34">
        <f t="shared" ref="Z79:Z142" si="5">Q79</f>
        <v>0</v>
      </c>
      <c r="AA79" s="24">
        <f t="shared" ref="AA79:AA142" si="6">R79</f>
        <v>0</v>
      </c>
      <c r="AB79" s="24">
        <f t="shared" ref="AB79:AB142" si="7">S79</f>
        <v>0</v>
      </c>
      <c r="AC79" s="24">
        <f t="shared" ref="AC79:AC142" si="8">T79</f>
        <v>0</v>
      </c>
      <c r="AD79" s="24">
        <f t="shared" ref="AD79:AG94" si="9">U79</f>
        <v>0</v>
      </c>
      <c r="AE79" s="24">
        <f t="shared" si="9"/>
        <v>0</v>
      </c>
      <c r="AF79" s="24">
        <f t="shared" si="9"/>
        <v>0</v>
      </c>
      <c r="AG79" s="24">
        <f t="shared" si="9"/>
        <v>0</v>
      </c>
      <c r="AH79" s="24">
        <f>Y79</f>
        <v>0</v>
      </c>
      <c r="AI79" s="24">
        <f t="shared" ref="AI79:AI142" si="10">AVERAGE(Z79:AH79)</f>
        <v>0</v>
      </c>
      <c r="AJ79" s="261">
        <f>AI79/100</f>
        <v>0</v>
      </c>
      <c r="AK79" s="13"/>
      <c r="AL79" s="100">
        <v>2500</v>
      </c>
      <c r="AM79" s="202"/>
      <c r="AN79" s="200"/>
      <c r="AO79" s="200"/>
      <c r="AP79" s="283">
        <v>7.0439999999999999E-3</v>
      </c>
      <c r="AR79" s="222">
        <v>94.131286174808068</v>
      </c>
      <c r="AS79" s="223">
        <v>94.058070024438621</v>
      </c>
      <c r="AT79" s="223">
        <v>85.991424653907416</v>
      </c>
      <c r="AU79" s="223">
        <v>86.124077096187918</v>
      </c>
      <c r="AV79" s="223">
        <v>98.893000000000001</v>
      </c>
      <c r="AW79" s="224">
        <v>97.552000000000007</v>
      </c>
      <c r="AX79" s="42"/>
      <c r="AY79" s="181"/>
      <c r="AZ79" s="197"/>
    </row>
    <row r="80" spans="2:52" ht="13" thickBot="1" x14ac:dyDescent="0.3">
      <c r="B80" s="11" t="s">
        <v>44</v>
      </c>
      <c r="C80" s="17"/>
      <c r="E80" s="129" t="str">
        <f>IF(C80&gt;0, C80*$C$28/$AI$447, "")</f>
        <v/>
      </c>
      <c r="F80" s="130" t="str">
        <f>IF(C80&gt;0, C80*$C$29/$AI$447, "")</f>
        <v/>
      </c>
      <c r="G80" s="130" t="str">
        <f>IF(C80&gt;0, C80*$C$30/$AI$447, "")</f>
        <v/>
      </c>
      <c r="L80" s="55">
        <v>2495</v>
      </c>
      <c r="M80" s="274">
        <f t="shared" si="4"/>
        <v>0</v>
      </c>
      <c r="N80" s="275">
        <f t="shared" si="4"/>
        <v>0</v>
      </c>
      <c r="O80" s="276" t="e">
        <f ca="1"/>
        <v>#N/A</v>
      </c>
      <c r="Q80" s="34">
        <v>0</v>
      </c>
      <c r="R80" s="24">
        <v>0</v>
      </c>
      <c r="S80" s="24">
        <v>0</v>
      </c>
      <c r="T80" s="24">
        <v>0</v>
      </c>
      <c r="U80" s="24">
        <f t="array" ref="U80">IF(U$77&gt;" ",(U$628:U$1078),"")</f>
        <v>0</v>
      </c>
      <c r="V80" s="24">
        <f t="array" ref="V80">IF(V$77&gt;" ",(V$628:V$1078),"")</f>
        <v>0</v>
      </c>
      <c r="W80" s="24">
        <f t="array" ref="W80">IF(W$77&gt;" ",(W$628:W$1078),"")</f>
        <v>0</v>
      </c>
      <c r="X80" s="24">
        <f t="array" ref="X80">IF(X$77&gt;" ",(X$628:X$1078),"")</f>
        <v>0</v>
      </c>
      <c r="Y80" s="21">
        <v>0</v>
      </c>
      <c r="Z80" s="34">
        <f t="shared" si="5"/>
        <v>0</v>
      </c>
      <c r="AA80" s="24">
        <f t="shared" si="6"/>
        <v>0</v>
      </c>
      <c r="AB80" s="24">
        <f t="shared" si="7"/>
        <v>0</v>
      </c>
      <c r="AC80" s="24">
        <f t="shared" si="8"/>
        <v>0</v>
      </c>
      <c r="AD80" s="24">
        <f t="shared" si="9"/>
        <v>0</v>
      </c>
      <c r="AE80" s="24">
        <f t="shared" si="9"/>
        <v>0</v>
      </c>
      <c r="AF80" s="24">
        <f t="shared" si="9"/>
        <v>0</v>
      </c>
      <c r="AG80" s="24">
        <f t="shared" si="9"/>
        <v>0</v>
      </c>
      <c r="AH80" s="24">
        <f t="shared" ref="AH80:AH130" si="11">Y80</f>
        <v>0</v>
      </c>
      <c r="AI80" s="24">
        <f t="shared" si="10"/>
        <v>0</v>
      </c>
      <c r="AJ80" s="261">
        <f t="shared" ref="AJ80:AJ143" si="12">AI80/100</f>
        <v>0</v>
      </c>
      <c r="AK80" s="13"/>
      <c r="AL80" s="100">
        <v>2495</v>
      </c>
      <c r="AM80" s="202"/>
      <c r="AN80" s="200"/>
      <c r="AO80" s="200"/>
      <c r="AP80" s="284">
        <v>2.869E-3</v>
      </c>
      <c r="AR80" s="222">
        <v>94.286003520161174</v>
      </c>
      <c r="AS80" s="223">
        <v>94.161338059504203</v>
      </c>
      <c r="AT80" s="223">
        <v>86.112609500861893</v>
      </c>
      <c r="AU80" s="223">
        <v>86.193471763669493</v>
      </c>
      <c r="AV80" s="223">
        <v>98.891999999999996</v>
      </c>
      <c r="AW80" s="224">
        <v>97.557500000000005</v>
      </c>
      <c r="AX80" s="42"/>
      <c r="AY80" s="181"/>
      <c r="AZ80" s="197"/>
    </row>
    <row r="81" spans="2:52" ht="13" thickBot="1" x14ac:dyDescent="0.3">
      <c r="C81" s="39"/>
      <c r="D81" s="5" t="s">
        <v>125</v>
      </c>
      <c r="E81" s="124" t="e">
        <f>AVERAGE(E76:E80)</f>
        <v>#DIV/0!</v>
      </c>
      <c r="F81" s="125" t="e">
        <f>AVERAGE(F76:F80)</f>
        <v>#DIV/0!</v>
      </c>
      <c r="G81" s="125" t="e">
        <f>AVERAGE(G76:G80)</f>
        <v>#DIV/0!</v>
      </c>
      <c r="L81" s="55">
        <v>2490</v>
      </c>
      <c r="M81" s="274">
        <f t="shared" si="4"/>
        <v>0</v>
      </c>
      <c r="N81" s="275">
        <f t="shared" si="4"/>
        <v>0</v>
      </c>
      <c r="O81" s="276" t="e">
        <f ca="1"/>
        <v>#N/A</v>
      </c>
      <c r="Q81" s="34">
        <v>0</v>
      </c>
      <c r="R81" s="24">
        <v>0</v>
      </c>
      <c r="S81" s="24">
        <v>0</v>
      </c>
      <c r="T81" s="24">
        <v>0</v>
      </c>
      <c r="U81" s="24">
        <f t="array" ref="U81">IF(U$77&gt;" ",(U$628:U$1078),"")</f>
        <v>0</v>
      </c>
      <c r="V81" s="24">
        <f t="array" ref="V81">IF(V$77&gt;" ",(V$628:V$1078),"")</f>
        <v>0</v>
      </c>
      <c r="W81" s="24">
        <f t="array" ref="W81">IF(W$77&gt;" ",(W$628:W$1078),"")</f>
        <v>0</v>
      </c>
      <c r="X81" s="24">
        <f t="array" ref="X81">IF(X$77&gt;" ",(X$628:X$1078),"")</f>
        <v>0</v>
      </c>
      <c r="Y81" s="21">
        <v>0</v>
      </c>
      <c r="Z81" s="34">
        <f t="shared" si="5"/>
        <v>0</v>
      </c>
      <c r="AA81" s="24">
        <f t="shared" si="6"/>
        <v>0</v>
      </c>
      <c r="AB81" s="24">
        <f t="shared" si="7"/>
        <v>0</v>
      </c>
      <c r="AC81" s="24">
        <f t="shared" si="8"/>
        <v>0</v>
      </c>
      <c r="AD81" s="24">
        <f t="shared" si="9"/>
        <v>0</v>
      </c>
      <c r="AE81" s="24">
        <f t="shared" si="9"/>
        <v>0</v>
      </c>
      <c r="AF81" s="24">
        <f t="shared" si="9"/>
        <v>0</v>
      </c>
      <c r="AG81" s="24">
        <f t="shared" si="9"/>
        <v>0</v>
      </c>
      <c r="AH81" s="24">
        <f t="shared" si="11"/>
        <v>0</v>
      </c>
      <c r="AI81" s="24">
        <f t="shared" si="10"/>
        <v>0</v>
      </c>
      <c r="AJ81" s="261">
        <f t="shared" si="12"/>
        <v>0</v>
      </c>
      <c r="AK81" s="13"/>
      <c r="AL81" s="100">
        <v>2490</v>
      </c>
      <c r="AM81" s="202"/>
      <c r="AN81" s="200"/>
      <c r="AO81" s="200"/>
      <c r="AP81" s="283">
        <v>3.5010000000000002E-3</v>
      </c>
      <c r="AR81" s="222">
        <v>94.393060191414961</v>
      </c>
      <c r="AS81" s="223">
        <v>94.293208515093468</v>
      </c>
      <c r="AT81" s="223">
        <v>86.223971379315103</v>
      </c>
      <c r="AU81" s="223">
        <v>86.308958413231309</v>
      </c>
      <c r="AV81" s="223">
        <v>98.890999999999991</v>
      </c>
      <c r="AW81" s="224">
        <v>97.563000000000002</v>
      </c>
      <c r="AX81" s="42"/>
      <c r="AY81" s="181"/>
      <c r="AZ81" s="197"/>
    </row>
    <row r="82" spans="2:52" ht="13" thickBot="1" x14ac:dyDescent="0.3">
      <c r="B82" s="2" t="s">
        <v>123</v>
      </c>
      <c r="C82" s="18"/>
      <c r="E82" s="124"/>
      <c r="F82" s="125"/>
      <c r="G82" s="125"/>
      <c r="K82" s="12"/>
      <c r="L82" s="55">
        <v>2485</v>
      </c>
      <c r="M82" s="274">
        <f t="shared" si="4"/>
        <v>0</v>
      </c>
      <c r="N82" s="275">
        <f t="shared" si="4"/>
        <v>0</v>
      </c>
      <c r="O82" s="276" t="e">
        <f ca="1"/>
        <v>#N/A</v>
      </c>
      <c r="Q82" s="34">
        <v>0</v>
      </c>
      <c r="R82" s="24">
        <v>0</v>
      </c>
      <c r="S82" s="24">
        <v>0</v>
      </c>
      <c r="T82" s="24">
        <v>0</v>
      </c>
      <c r="U82" s="24">
        <f t="array" ref="U82">IF(U$77&gt;" ",(U$628:U$1078),"")</f>
        <v>0</v>
      </c>
      <c r="V82" s="24">
        <f t="array" ref="V82">IF(V$77&gt;" ",(V$628:V$1078),"")</f>
        <v>0</v>
      </c>
      <c r="W82" s="24">
        <f t="array" ref="W82">IF(W$77&gt;" ",(W$628:W$1078),"")</f>
        <v>0</v>
      </c>
      <c r="X82" s="24">
        <f t="array" ref="X82">IF(X$77&gt;" ",(X$628:X$1078),"")</f>
        <v>0</v>
      </c>
      <c r="Y82" s="21">
        <v>0</v>
      </c>
      <c r="Z82" s="34">
        <f t="shared" si="5"/>
        <v>0</v>
      </c>
      <c r="AA82" s="24">
        <f t="shared" si="6"/>
        <v>0</v>
      </c>
      <c r="AB82" s="24">
        <f t="shared" si="7"/>
        <v>0</v>
      </c>
      <c r="AC82" s="24">
        <f t="shared" si="8"/>
        <v>0</v>
      </c>
      <c r="AD82" s="24">
        <f t="shared" si="9"/>
        <v>0</v>
      </c>
      <c r="AE82" s="24">
        <f t="shared" si="9"/>
        <v>0</v>
      </c>
      <c r="AF82" s="24">
        <f t="shared" si="9"/>
        <v>0</v>
      </c>
      <c r="AG82" s="24">
        <f t="shared" si="9"/>
        <v>0</v>
      </c>
      <c r="AH82" s="24">
        <f t="shared" si="11"/>
        <v>0</v>
      </c>
      <c r="AI82" s="24">
        <f t="shared" si="10"/>
        <v>0</v>
      </c>
      <c r="AJ82" s="261">
        <f t="shared" si="12"/>
        <v>0</v>
      </c>
      <c r="AK82" s="13"/>
      <c r="AL82" s="100">
        <v>2485</v>
      </c>
      <c r="AM82" s="202"/>
      <c r="AN82" s="200"/>
      <c r="AO82" s="200"/>
      <c r="AP82" s="284">
        <v>5.594E-3</v>
      </c>
      <c r="AR82" s="222">
        <v>94.438363375630615</v>
      </c>
      <c r="AS82" s="223">
        <v>94.350376031378332</v>
      </c>
      <c r="AT82" s="223">
        <v>86.405929290889276</v>
      </c>
      <c r="AU82" s="223">
        <v>86.465609128248275</v>
      </c>
      <c r="AV82" s="223">
        <v>98.88900000000001</v>
      </c>
      <c r="AW82" s="224">
        <v>97.566000000000003</v>
      </c>
      <c r="AX82" s="42"/>
      <c r="AY82" s="181"/>
      <c r="AZ82" s="197"/>
    </row>
    <row r="83" spans="2:52" ht="13" thickBot="1" x14ac:dyDescent="0.3">
      <c r="B83" s="10" t="s">
        <v>40</v>
      </c>
      <c r="C83" s="16"/>
      <c r="E83" s="129" t="e">
        <f t="shared" ref="E83:E88" si="13">C83*$C$28/$AI$447</f>
        <v>#DIV/0!</v>
      </c>
      <c r="F83" s="130" t="e">
        <f t="shared" ref="F83:F88" si="14">C83*$C$29/$AI$447</f>
        <v>#DIV/0!</v>
      </c>
      <c r="G83" s="130" t="e">
        <f t="shared" ref="G83:G88" si="15">C83*$C$30/$AI$447</f>
        <v>#DIV/0!</v>
      </c>
      <c r="L83" s="55">
        <v>2480</v>
      </c>
      <c r="M83" s="274">
        <f t="shared" si="4"/>
        <v>0</v>
      </c>
      <c r="N83" s="275">
        <f t="shared" si="4"/>
        <v>0</v>
      </c>
      <c r="O83" s="276" t="e">
        <f ca="1"/>
        <v>#N/A</v>
      </c>
      <c r="Q83" s="34">
        <v>0</v>
      </c>
      <c r="R83" s="24">
        <v>0</v>
      </c>
      <c r="S83" s="24">
        <v>0</v>
      </c>
      <c r="T83" s="24">
        <v>0</v>
      </c>
      <c r="U83" s="24">
        <f t="array" ref="U83">IF(U$77&gt;" ",(U$628:U$1078),"")</f>
        <v>0</v>
      </c>
      <c r="V83" s="24">
        <f t="array" ref="V83">IF(V$77&gt;" ",(V$628:V$1078),"")</f>
        <v>0</v>
      </c>
      <c r="W83" s="24">
        <f t="array" ref="W83">IF(W$77&gt;" ",(W$628:W$1078),"")</f>
        <v>0</v>
      </c>
      <c r="X83" s="24">
        <f t="array" ref="X83">IF(X$77&gt;" ",(X$628:X$1078),"")</f>
        <v>0</v>
      </c>
      <c r="Y83" s="21">
        <v>0</v>
      </c>
      <c r="Z83" s="34">
        <f t="shared" si="5"/>
        <v>0</v>
      </c>
      <c r="AA83" s="24">
        <f t="shared" si="6"/>
        <v>0</v>
      </c>
      <c r="AB83" s="24">
        <f t="shared" si="7"/>
        <v>0</v>
      </c>
      <c r="AC83" s="24">
        <f t="shared" si="8"/>
        <v>0</v>
      </c>
      <c r="AD83" s="24">
        <f t="shared" si="9"/>
        <v>0</v>
      </c>
      <c r="AE83" s="24">
        <f t="shared" si="9"/>
        <v>0</v>
      </c>
      <c r="AF83" s="24">
        <f t="shared" si="9"/>
        <v>0</v>
      </c>
      <c r="AG83" s="24">
        <f t="shared" si="9"/>
        <v>0</v>
      </c>
      <c r="AH83" s="24">
        <f t="shared" si="11"/>
        <v>0</v>
      </c>
      <c r="AI83" s="24">
        <f t="shared" si="10"/>
        <v>0</v>
      </c>
      <c r="AJ83" s="261">
        <f t="shared" si="12"/>
        <v>0</v>
      </c>
      <c r="AK83" s="13"/>
      <c r="AL83" s="100">
        <v>2480</v>
      </c>
      <c r="AM83" s="202"/>
      <c r="AN83" s="200"/>
      <c r="AO83" s="200"/>
      <c r="AP83" s="283">
        <v>8.0160000000000006E-3</v>
      </c>
      <c r="AR83" s="222">
        <v>94.397405498599667</v>
      </c>
      <c r="AS83" s="223">
        <v>94.379270835493386</v>
      </c>
      <c r="AT83" s="223">
        <v>86.609585286687619</v>
      </c>
      <c r="AU83" s="223">
        <v>86.642948350905328</v>
      </c>
      <c r="AV83" s="223">
        <v>98.887</v>
      </c>
      <c r="AW83" s="224">
        <v>97.568999999999988</v>
      </c>
      <c r="AX83" s="42"/>
      <c r="AY83" s="181"/>
      <c r="AZ83" s="197"/>
    </row>
    <row r="84" spans="2:52" ht="13" thickBot="1" x14ac:dyDescent="0.3">
      <c r="B84" s="10" t="s">
        <v>41</v>
      </c>
      <c r="C84" s="16"/>
      <c r="E84" s="129" t="e">
        <f t="shared" si="13"/>
        <v>#DIV/0!</v>
      </c>
      <c r="F84" s="130" t="e">
        <f t="shared" si="14"/>
        <v>#DIV/0!</v>
      </c>
      <c r="G84" s="130" t="e">
        <f t="shared" si="15"/>
        <v>#DIV/0!</v>
      </c>
      <c r="L84" s="55">
        <v>2475</v>
      </c>
      <c r="M84" s="274">
        <f t="shared" si="4"/>
        <v>0</v>
      </c>
      <c r="N84" s="275">
        <f t="shared" si="4"/>
        <v>0</v>
      </c>
      <c r="O84" s="276" t="e">
        <f ca="1"/>
        <v>#N/A</v>
      </c>
      <c r="Q84" s="34">
        <v>0</v>
      </c>
      <c r="R84" s="24">
        <v>0</v>
      </c>
      <c r="S84" s="24">
        <v>0</v>
      </c>
      <c r="T84" s="24">
        <v>0</v>
      </c>
      <c r="U84" s="24">
        <f t="array" ref="U84">IF(U$77&gt;" ",(U$628:U$1078),"")</f>
        <v>0</v>
      </c>
      <c r="V84" s="24">
        <f t="array" ref="V84">IF(V$77&gt;" ",(V$628:V$1078),"")</f>
        <v>0</v>
      </c>
      <c r="W84" s="24">
        <f t="array" ref="W84">IF(W$77&gt;" ",(W$628:W$1078),"")</f>
        <v>0</v>
      </c>
      <c r="X84" s="24">
        <f t="array" ref="X84">IF(X$77&gt;" ",(X$628:X$1078),"")</f>
        <v>0</v>
      </c>
      <c r="Y84" s="21">
        <v>0</v>
      </c>
      <c r="Z84" s="34">
        <f t="shared" si="5"/>
        <v>0</v>
      </c>
      <c r="AA84" s="24">
        <f t="shared" si="6"/>
        <v>0</v>
      </c>
      <c r="AB84" s="24">
        <f t="shared" si="7"/>
        <v>0</v>
      </c>
      <c r="AC84" s="24">
        <f t="shared" si="8"/>
        <v>0</v>
      </c>
      <c r="AD84" s="24">
        <f t="shared" si="9"/>
        <v>0</v>
      </c>
      <c r="AE84" s="24">
        <f t="shared" si="9"/>
        <v>0</v>
      </c>
      <c r="AF84" s="24">
        <f t="shared" si="9"/>
        <v>0</v>
      </c>
      <c r="AG84" s="24">
        <f t="shared" si="9"/>
        <v>0</v>
      </c>
      <c r="AH84" s="24">
        <f t="shared" si="11"/>
        <v>0</v>
      </c>
      <c r="AI84" s="24">
        <f t="shared" si="10"/>
        <v>0</v>
      </c>
      <c r="AJ84" s="261">
        <f t="shared" si="12"/>
        <v>0</v>
      </c>
      <c r="AK84" s="13"/>
      <c r="AL84" s="100">
        <v>2475</v>
      </c>
      <c r="AM84" s="202"/>
      <c r="AN84" s="200"/>
      <c r="AO84" s="200"/>
      <c r="AP84" s="284">
        <v>1.6410000000000001E-2</v>
      </c>
      <c r="AR84" s="222">
        <v>94.49112176676384</v>
      </c>
      <c r="AS84" s="223">
        <v>94.449203014624956</v>
      </c>
      <c r="AT84" s="223">
        <v>86.632374253854252</v>
      </c>
      <c r="AU84" s="223">
        <v>86.702587073648871</v>
      </c>
      <c r="AV84" s="223">
        <v>98.882999999999996</v>
      </c>
      <c r="AW84" s="224">
        <v>97.558999999999997</v>
      </c>
      <c r="AX84" s="42"/>
      <c r="AY84" s="181"/>
      <c r="AZ84" s="197"/>
    </row>
    <row r="85" spans="2:52" ht="13" thickBot="1" x14ac:dyDescent="0.3">
      <c r="B85" s="10" t="s">
        <v>42</v>
      </c>
      <c r="C85" s="16"/>
      <c r="E85" s="129" t="e">
        <f t="shared" si="13"/>
        <v>#DIV/0!</v>
      </c>
      <c r="F85" s="130" t="e">
        <f t="shared" si="14"/>
        <v>#DIV/0!</v>
      </c>
      <c r="G85" s="130" t="e">
        <f t="shared" si="15"/>
        <v>#DIV/0!</v>
      </c>
      <c r="L85" s="55">
        <v>2470</v>
      </c>
      <c r="M85" s="274">
        <f t="shared" si="4"/>
        <v>0</v>
      </c>
      <c r="N85" s="275">
        <f t="shared" si="4"/>
        <v>0</v>
      </c>
      <c r="O85" s="276" t="e">
        <f ca="1"/>
        <v>#N/A</v>
      </c>
      <c r="Q85" s="34">
        <v>0</v>
      </c>
      <c r="R85" s="24">
        <v>0</v>
      </c>
      <c r="S85" s="24">
        <v>0</v>
      </c>
      <c r="T85" s="24">
        <v>0</v>
      </c>
      <c r="U85" s="24">
        <f t="array" ref="U85">IF(U$77&gt;" ",(U$628:U$1078),"")</f>
        <v>0</v>
      </c>
      <c r="V85" s="24">
        <f t="array" ref="V85">IF(V$77&gt;" ",(V$628:V$1078),"")</f>
        <v>0</v>
      </c>
      <c r="W85" s="24">
        <f t="array" ref="W85">IF(W$77&gt;" ",(W$628:W$1078),"")</f>
        <v>0</v>
      </c>
      <c r="X85" s="24">
        <f t="array" ref="X85">IF(X$77&gt;" ",(X$628:X$1078),"")</f>
        <v>0</v>
      </c>
      <c r="Y85" s="21">
        <v>0</v>
      </c>
      <c r="Z85" s="34">
        <f t="shared" si="5"/>
        <v>0</v>
      </c>
      <c r="AA85" s="24">
        <f t="shared" si="6"/>
        <v>0</v>
      </c>
      <c r="AB85" s="24">
        <f t="shared" si="7"/>
        <v>0</v>
      </c>
      <c r="AC85" s="24">
        <f t="shared" si="8"/>
        <v>0</v>
      </c>
      <c r="AD85" s="24">
        <f t="shared" si="9"/>
        <v>0</v>
      </c>
      <c r="AE85" s="24">
        <f t="shared" si="9"/>
        <v>0</v>
      </c>
      <c r="AF85" s="24">
        <f t="shared" si="9"/>
        <v>0</v>
      </c>
      <c r="AG85" s="24">
        <f t="shared" si="9"/>
        <v>0</v>
      </c>
      <c r="AH85" s="24">
        <f t="shared" si="11"/>
        <v>0</v>
      </c>
      <c r="AI85" s="24">
        <f t="shared" si="10"/>
        <v>0</v>
      </c>
      <c r="AJ85" s="261">
        <f t="shared" si="12"/>
        <v>0</v>
      </c>
      <c r="AK85" s="13"/>
      <c r="AL85" s="100">
        <v>2470</v>
      </c>
      <c r="AM85" s="202"/>
      <c r="AN85" s="200"/>
      <c r="AO85" s="200"/>
      <c r="AP85" s="283">
        <v>1.668E-2</v>
      </c>
      <c r="AR85" s="222">
        <v>94.585668802793421</v>
      </c>
      <c r="AS85" s="223">
        <v>94.507044925836212</v>
      </c>
      <c r="AT85" s="223">
        <v>86.812272484715095</v>
      </c>
      <c r="AU85" s="223">
        <v>86.863488824715617</v>
      </c>
      <c r="AV85" s="223">
        <v>98.878999999999991</v>
      </c>
      <c r="AW85" s="224">
        <v>97.548999999999992</v>
      </c>
      <c r="AX85" s="42"/>
      <c r="AY85" s="181"/>
      <c r="AZ85" s="197"/>
    </row>
    <row r="86" spans="2:52" ht="13" thickBot="1" x14ac:dyDescent="0.3">
      <c r="B86" s="10" t="s">
        <v>43</v>
      </c>
      <c r="C86" s="16"/>
      <c r="E86" s="129" t="e">
        <f t="shared" si="13"/>
        <v>#DIV/0!</v>
      </c>
      <c r="F86" s="130" t="e">
        <f t="shared" si="14"/>
        <v>#DIV/0!</v>
      </c>
      <c r="G86" s="130" t="e">
        <f t="shared" si="15"/>
        <v>#DIV/0!</v>
      </c>
      <c r="L86" s="55">
        <v>2465</v>
      </c>
      <c r="M86" s="274">
        <f t="shared" si="4"/>
        <v>0</v>
      </c>
      <c r="N86" s="275">
        <f t="shared" si="4"/>
        <v>0</v>
      </c>
      <c r="O86" s="276" t="e">
        <f ca="1"/>
        <v>#N/A</v>
      </c>
      <c r="Q86" s="34">
        <v>0</v>
      </c>
      <c r="R86" s="24">
        <v>0</v>
      </c>
      <c r="S86" s="24">
        <v>0</v>
      </c>
      <c r="T86" s="24">
        <v>0</v>
      </c>
      <c r="U86" s="24">
        <f t="array" ref="U86">IF(U$77&gt;" ",(U$628:U$1078),"")</f>
        <v>0</v>
      </c>
      <c r="V86" s="24">
        <f t="array" ref="V86">IF(V$77&gt;" ",(V$628:V$1078),"")</f>
        <v>0</v>
      </c>
      <c r="W86" s="24">
        <f t="array" ref="W86">IF(W$77&gt;" ",(W$628:W$1078),"")</f>
        <v>0</v>
      </c>
      <c r="X86" s="24">
        <f t="array" ref="X86">IF(X$77&gt;" ",(X$628:X$1078),"")</f>
        <v>0</v>
      </c>
      <c r="Y86" s="21">
        <v>0</v>
      </c>
      <c r="Z86" s="34">
        <f t="shared" si="5"/>
        <v>0</v>
      </c>
      <c r="AA86" s="24">
        <f t="shared" si="6"/>
        <v>0</v>
      </c>
      <c r="AB86" s="24">
        <f t="shared" si="7"/>
        <v>0</v>
      </c>
      <c r="AC86" s="24">
        <f t="shared" si="8"/>
        <v>0</v>
      </c>
      <c r="AD86" s="24">
        <f t="shared" si="9"/>
        <v>0</v>
      </c>
      <c r="AE86" s="24">
        <f t="shared" si="9"/>
        <v>0</v>
      </c>
      <c r="AF86" s="24">
        <f t="shared" si="9"/>
        <v>0</v>
      </c>
      <c r="AG86" s="24">
        <f t="shared" si="9"/>
        <v>0</v>
      </c>
      <c r="AH86" s="24">
        <f t="shared" si="11"/>
        <v>0</v>
      </c>
      <c r="AI86" s="24">
        <f t="shared" si="10"/>
        <v>0</v>
      </c>
      <c r="AJ86" s="261">
        <f t="shared" si="12"/>
        <v>0</v>
      </c>
      <c r="AK86" s="13"/>
      <c r="AL86" s="100">
        <v>2465</v>
      </c>
      <c r="AM86" s="202"/>
      <c r="AN86" s="200"/>
      <c r="AO86" s="200"/>
      <c r="AP86" s="284">
        <v>2.4080000000000001E-2</v>
      </c>
      <c r="AR86" s="222">
        <v>94.64430666433951</v>
      </c>
      <c r="AS86" s="223">
        <v>94.53920512677378</v>
      </c>
      <c r="AT86" s="223">
        <v>86.879317705271362</v>
      </c>
      <c r="AU86" s="223">
        <v>86.967410515030565</v>
      </c>
      <c r="AV86" s="223">
        <v>98.876500000000007</v>
      </c>
      <c r="AW86" s="224">
        <v>97.548999999999992</v>
      </c>
      <c r="AX86" s="42"/>
      <c r="AY86" s="181"/>
      <c r="AZ86" s="197"/>
    </row>
    <row r="87" spans="2:52" ht="13" thickBot="1" x14ac:dyDescent="0.3">
      <c r="B87" s="11" t="s">
        <v>44</v>
      </c>
      <c r="C87" s="17"/>
      <c r="E87" s="129" t="e">
        <f t="shared" si="13"/>
        <v>#DIV/0!</v>
      </c>
      <c r="F87" s="130" t="e">
        <f t="shared" si="14"/>
        <v>#DIV/0!</v>
      </c>
      <c r="G87" s="130" t="e">
        <f t="shared" si="15"/>
        <v>#DIV/0!</v>
      </c>
      <c r="L87" s="55">
        <v>2460</v>
      </c>
      <c r="M87" s="274">
        <f t="shared" si="4"/>
        <v>0</v>
      </c>
      <c r="N87" s="275">
        <f t="shared" si="4"/>
        <v>0</v>
      </c>
      <c r="O87" s="276" t="e">
        <f ca="1"/>
        <v>#N/A</v>
      </c>
      <c r="Q87" s="34">
        <v>0</v>
      </c>
      <c r="R87" s="24">
        <v>0</v>
      </c>
      <c r="S87" s="24">
        <v>0</v>
      </c>
      <c r="T87" s="24">
        <v>0</v>
      </c>
      <c r="U87" s="24">
        <f t="array" ref="U87">IF(U$77&gt;" ",(U$628:U$1078),"")</f>
        <v>0</v>
      </c>
      <c r="V87" s="24">
        <f t="array" ref="V87">IF(V$77&gt;" ",(V$628:V$1078),"")</f>
        <v>0</v>
      </c>
      <c r="W87" s="24">
        <f t="array" ref="W87">IF(W$77&gt;" ",(W$628:W$1078),"")</f>
        <v>0</v>
      </c>
      <c r="X87" s="24">
        <f t="array" ref="X87">IF(X$77&gt;" ",(X$628:X$1078),"")</f>
        <v>0</v>
      </c>
      <c r="Y87" s="21">
        <v>0</v>
      </c>
      <c r="Z87" s="34">
        <f t="shared" si="5"/>
        <v>0</v>
      </c>
      <c r="AA87" s="24">
        <f t="shared" si="6"/>
        <v>0</v>
      </c>
      <c r="AB87" s="24">
        <f t="shared" si="7"/>
        <v>0</v>
      </c>
      <c r="AC87" s="24">
        <f t="shared" si="8"/>
        <v>0</v>
      </c>
      <c r="AD87" s="24">
        <f t="shared" si="9"/>
        <v>0</v>
      </c>
      <c r="AE87" s="24">
        <f t="shared" si="9"/>
        <v>0</v>
      </c>
      <c r="AF87" s="24">
        <f t="shared" si="9"/>
        <v>0</v>
      </c>
      <c r="AG87" s="24">
        <f t="shared" si="9"/>
        <v>0</v>
      </c>
      <c r="AH87" s="24">
        <f t="shared" si="11"/>
        <v>0</v>
      </c>
      <c r="AI87" s="24">
        <f t="shared" si="10"/>
        <v>0</v>
      </c>
      <c r="AJ87" s="261">
        <f t="shared" si="12"/>
        <v>0</v>
      </c>
      <c r="AK87" s="13"/>
      <c r="AL87" s="100">
        <v>2460</v>
      </c>
      <c r="AM87" s="202"/>
      <c r="AN87" s="200"/>
      <c r="AO87" s="200"/>
      <c r="AP87" s="283">
        <v>3.3270000000000001E-2</v>
      </c>
      <c r="AR87" s="222">
        <v>94.684333503688137</v>
      </c>
      <c r="AS87" s="223">
        <v>94.566365728270625</v>
      </c>
      <c r="AT87" s="223">
        <v>87.016901740193063</v>
      </c>
      <c r="AU87" s="223">
        <v>87.091186578756776</v>
      </c>
      <c r="AV87" s="223">
        <v>98.873999999999995</v>
      </c>
      <c r="AW87" s="224">
        <v>97.548999999999992</v>
      </c>
      <c r="AX87" s="42"/>
      <c r="AY87" s="181"/>
      <c r="AZ87" s="197"/>
    </row>
    <row r="88" spans="2:52" ht="13" thickBot="1" x14ac:dyDescent="0.3">
      <c r="B88" s="10" t="s">
        <v>152</v>
      </c>
      <c r="C88" s="39"/>
      <c r="D88" s="5" t="s">
        <v>125</v>
      </c>
      <c r="E88" s="129" t="e">
        <f t="shared" si="13"/>
        <v>#DIV/0!</v>
      </c>
      <c r="F88" s="130" t="e">
        <f t="shared" si="14"/>
        <v>#DIV/0!</v>
      </c>
      <c r="G88" s="130" t="e">
        <f t="shared" si="15"/>
        <v>#DIV/0!</v>
      </c>
      <c r="L88" s="55">
        <v>2455</v>
      </c>
      <c r="M88" s="274">
        <f t="shared" si="4"/>
        <v>0</v>
      </c>
      <c r="N88" s="275">
        <f t="shared" si="4"/>
        <v>0</v>
      </c>
      <c r="O88" s="276" t="e">
        <f ca="1"/>
        <v>#N/A</v>
      </c>
      <c r="Q88" s="34">
        <v>0</v>
      </c>
      <c r="R88" s="24">
        <v>0</v>
      </c>
      <c r="S88" s="24">
        <v>0</v>
      </c>
      <c r="T88" s="24">
        <v>0</v>
      </c>
      <c r="U88" s="24">
        <f t="array" ref="U88">IF(U$77&gt;" ",(U$628:U$1078),"")</f>
        <v>0</v>
      </c>
      <c r="V88" s="24">
        <f t="array" ref="V88">IF(V$77&gt;" ",(V$628:V$1078),"")</f>
        <v>0</v>
      </c>
      <c r="W88" s="24">
        <f t="array" ref="W88">IF(W$77&gt;" ",(W$628:W$1078),"")</f>
        <v>0</v>
      </c>
      <c r="X88" s="24">
        <f t="array" ref="X88">IF(X$77&gt;" ",(X$628:X$1078),"")</f>
        <v>0</v>
      </c>
      <c r="Y88" s="21">
        <v>0</v>
      </c>
      <c r="Z88" s="34">
        <f t="shared" si="5"/>
        <v>0</v>
      </c>
      <c r="AA88" s="24">
        <f t="shared" si="6"/>
        <v>0</v>
      </c>
      <c r="AB88" s="24">
        <f t="shared" si="7"/>
        <v>0</v>
      </c>
      <c r="AC88" s="24">
        <f t="shared" si="8"/>
        <v>0</v>
      </c>
      <c r="AD88" s="24">
        <f t="shared" si="9"/>
        <v>0</v>
      </c>
      <c r="AE88" s="24">
        <f t="shared" si="9"/>
        <v>0</v>
      </c>
      <c r="AF88" s="24">
        <f t="shared" si="9"/>
        <v>0</v>
      </c>
      <c r="AG88" s="24">
        <f t="shared" si="9"/>
        <v>0</v>
      </c>
      <c r="AH88" s="24">
        <f t="shared" si="11"/>
        <v>0</v>
      </c>
      <c r="AI88" s="24">
        <f t="shared" si="10"/>
        <v>0</v>
      </c>
      <c r="AJ88" s="261">
        <f t="shared" si="12"/>
        <v>0</v>
      </c>
      <c r="AK88" s="13"/>
      <c r="AL88" s="100">
        <v>2455</v>
      </c>
      <c r="AM88" s="202"/>
      <c r="AN88" s="200"/>
      <c r="AO88" s="200"/>
      <c r="AP88" s="284">
        <v>2.478E-2</v>
      </c>
      <c r="AR88" s="222">
        <v>94.74686925284152</v>
      </c>
      <c r="AS88" s="223">
        <v>94.656391440238608</v>
      </c>
      <c r="AT88" s="223">
        <v>87.198834772818529</v>
      </c>
      <c r="AU88" s="223">
        <v>87.260502656112024</v>
      </c>
      <c r="AV88" s="223">
        <v>98.872500000000002</v>
      </c>
      <c r="AW88" s="224">
        <v>97.544499999999999</v>
      </c>
      <c r="AX88" s="42"/>
      <c r="AY88" s="181"/>
      <c r="AZ88" s="197"/>
    </row>
    <row r="89" spans="2:52" ht="13" thickBot="1" x14ac:dyDescent="0.3">
      <c r="B89" s="2" t="s">
        <v>124</v>
      </c>
      <c r="C89" s="18"/>
      <c r="E89" s="124" t="e">
        <f>AVERAGE(E83:E88)</f>
        <v>#DIV/0!</v>
      </c>
      <c r="F89" s="125" t="e">
        <f>AVERAGE(F83:F88)</f>
        <v>#DIV/0!</v>
      </c>
      <c r="G89" s="125" t="e">
        <f>AVERAGE(G83:G88)</f>
        <v>#DIV/0!</v>
      </c>
      <c r="L89" s="55">
        <v>2450</v>
      </c>
      <c r="M89" s="274">
        <f t="shared" si="4"/>
        <v>0</v>
      </c>
      <c r="N89" s="275">
        <f t="shared" si="4"/>
        <v>0</v>
      </c>
      <c r="O89" s="276" t="e">
        <f ca="1"/>
        <v>#N/A</v>
      </c>
      <c r="Q89" s="34">
        <v>0</v>
      </c>
      <c r="R89" s="24">
        <v>0</v>
      </c>
      <c r="S89" s="24">
        <v>0</v>
      </c>
      <c r="T89" s="24">
        <v>0</v>
      </c>
      <c r="U89" s="24">
        <f t="array" ref="U89">IF(U$77&gt;" ",(U$628:U$1078),"")</f>
        <v>0</v>
      </c>
      <c r="V89" s="24">
        <f t="array" ref="V89">IF(V$77&gt;" ",(V$628:V$1078),"")</f>
        <v>0</v>
      </c>
      <c r="W89" s="24">
        <f t="array" ref="W89">IF(W$77&gt;" ",(W$628:W$1078),"")</f>
        <v>0</v>
      </c>
      <c r="X89" s="24">
        <f t="array" ref="X89">IF(X$77&gt;" ",(X$628:X$1078),"")</f>
        <v>0</v>
      </c>
      <c r="Y89" s="21">
        <v>0</v>
      </c>
      <c r="Z89" s="34">
        <f t="shared" si="5"/>
        <v>0</v>
      </c>
      <c r="AA89" s="24">
        <f t="shared" si="6"/>
        <v>0</v>
      </c>
      <c r="AB89" s="24">
        <f t="shared" si="7"/>
        <v>0</v>
      </c>
      <c r="AC89" s="24">
        <f t="shared" si="8"/>
        <v>0</v>
      </c>
      <c r="AD89" s="24">
        <f t="shared" si="9"/>
        <v>0</v>
      </c>
      <c r="AE89" s="24">
        <f t="shared" si="9"/>
        <v>0</v>
      </c>
      <c r="AF89" s="24">
        <f t="shared" si="9"/>
        <v>0</v>
      </c>
      <c r="AG89" s="24">
        <f t="shared" si="9"/>
        <v>0</v>
      </c>
      <c r="AH89" s="24">
        <f t="shared" si="11"/>
        <v>0</v>
      </c>
      <c r="AI89" s="24">
        <f t="shared" si="10"/>
        <v>0</v>
      </c>
      <c r="AJ89" s="261">
        <f t="shared" si="12"/>
        <v>0</v>
      </c>
      <c r="AK89" s="13"/>
      <c r="AL89" s="100">
        <v>2450</v>
      </c>
      <c r="AM89" s="202"/>
      <c r="AN89" s="200"/>
      <c r="AO89" s="200"/>
      <c r="AP89" s="283">
        <v>1.357E-2</v>
      </c>
      <c r="AR89" s="222">
        <v>94.83298316063663</v>
      </c>
      <c r="AS89" s="223">
        <v>94.736751756148422</v>
      </c>
      <c r="AT89" s="223">
        <v>87.386329301156636</v>
      </c>
      <c r="AU89" s="223">
        <v>87.439609784841764</v>
      </c>
      <c r="AV89" s="223">
        <v>98.870999999999995</v>
      </c>
      <c r="AW89" s="224">
        <v>97.54</v>
      </c>
      <c r="AX89" s="42"/>
      <c r="AY89" s="181"/>
      <c r="AZ89" s="197"/>
    </row>
    <row r="90" spans="2:52" ht="13" thickBot="1" x14ac:dyDescent="0.3">
      <c r="B90" s="10" t="s">
        <v>40</v>
      </c>
      <c r="C90" s="16"/>
      <c r="E90" s="129" t="e">
        <f>C90*$C$28/$AI$447</f>
        <v>#DIV/0!</v>
      </c>
      <c r="F90" s="130" t="e">
        <f>C90*$C$29/$AI$447</f>
        <v>#DIV/0!</v>
      </c>
      <c r="G90" s="130" t="e">
        <f>C90*$C$30/$AI$447</f>
        <v>#DIV/0!</v>
      </c>
      <c r="L90" s="55">
        <v>2445</v>
      </c>
      <c r="M90" s="274">
        <f t="shared" si="4"/>
        <v>0</v>
      </c>
      <c r="N90" s="275">
        <f t="shared" si="4"/>
        <v>0</v>
      </c>
      <c r="O90" s="276" t="e">
        <f ca="1"/>
        <v>#N/A</v>
      </c>
      <c r="Q90" s="34">
        <v>0</v>
      </c>
      <c r="R90" s="24">
        <v>0</v>
      </c>
      <c r="S90" s="24">
        <v>0</v>
      </c>
      <c r="T90" s="24">
        <v>0</v>
      </c>
      <c r="U90" s="24">
        <f t="array" ref="U90">IF(U$77&gt;" ",(U$628:U$1078),"")</f>
        <v>0</v>
      </c>
      <c r="V90" s="24">
        <f t="array" ref="V90">IF(V$77&gt;" ",(V$628:V$1078),"")</f>
        <v>0</v>
      </c>
      <c r="W90" s="24">
        <f t="array" ref="W90">IF(W$77&gt;" ",(W$628:W$1078),"")</f>
        <v>0</v>
      </c>
      <c r="X90" s="24">
        <f t="array" ref="X90">IF(X$77&gt;" ",(X$628:X$1078),"")</f>
        <v>0</v>
      </c>
      <c r="Y90" s="21">
        <v>0</v>
      </c>
      <c r="Z90" s="34">
        <f t="shared" si="5"/>
        <v>0</v>
      </c>
      <c r="AA90" s="24">
        <f t="shared" si="6"/>
        <v>0</v>
      </c>
      <c r="AB90" s="24">
        <f t="shared" si="7"/>
        <v>0</v>
      </c>
      <c r="AC90" s="24">
        <f t="shared" si="8"/>
        <v>0</v>
      </c>
      <c r="AD90" s="24">
        <f t="shared" si="9"/>
        <v>0</v>
      </c>
      <c r="AE90" s="24">
        <f t="shared" si="9"/>
        <v>0</v>
      </c>
      <c r="AF90" s="24">
        <f t="shared" si="9"/>
        <v>0</v>
      </c>
      <c r="AG90" s="24">
        <f t="shared" si="9"/>
        <v>0</v>
      </c>
      <c r="AH90" s="24">
        <f t="shared" si="11"/>
        <v>0</v>
      </c>
      <c r="AI90" s="24">
        <f t="shared" si="10"/>
        <v>0</v>
      </c>
      <c r="AJ90" s="261">
        <f t="shared" si="12"/>
        <v>0</v>
      </c>
      <c r="AK90" s="13"/>
      <c r="AL90" s="100">
        <v>2445</v>
      </c>
      <c r="AM90" s="202"/>
      <c r="AN90" s="200"/>
      <c r="AO90" s="200"/>
      <c r="AP90" s="284">
        <v>2.0740000000000001E-2</v>
      </c>
      <c r="AR90" s="222">
        <v>94.86340946377031</v>
      </c>
      <c r="AS90" s="223">
        <v>94.794064523790254</v>
      </c>
      <c r="AT90" s="223">
        <v>87.591670796464044</v>
      </c>
      <c r="AU90" s="223">
        <v>87.658639646713979</v>
      </c>
      <c r="AV90" s="223">
        <v>98.873500000000007</v>
      </c>
      <c r="AW90" s="224">
        <v>97.533499999999989</v>
      </c>
      <c r="AX90" s="42"/>
      <c r="AY90" s="181"/>
      <c r="AZ90" s="197"/>
    </row>
    <row r="91" spans="2:52" ht="13" thickBot="1" x14ac:dyDescent="0.3">
      <c r="B91" s="10" t="s">
        <v>41</v>
      </c>
      <c r="C91" s="16"/>
      <c r="E91" s="129" t="e">
        <f>C91*$C$28/$AI$447</f>
        <v>#DIV/0!</v>
      </c>
      <c r="F91" s="130" t="e">
        <f>C91*$C$29/$AI$447</f>
        <v>#DIV/0!</v>
      </c>
      <c r="G91" s="130" t="e">
        <f>C91*$C$30/$AI$447</f>
        <v>#DIV/0!</v>
      </c>
      <c r="L91" s="55">
        <v>2440</v>
      </c>
      <c r="M91" s="274">
        <f t="shared" si="4"/>
        <v>0</v>
      </c>
      <c r="N91" s="275">
        <f t="shared" si="4"/>
        <v>0</v>
      </c>
      <c r="O91" s="276" t="e">
        <f ca="1"/>
        <v>#N/A</v>
      </c>
      <c r="Q91" s="34">
        <v>0</v>
      </c>
      <c r="R91" s="24">
        <v>0</v>
      </c>
      <c r="S91" s="24">
        <v>0</v>
      </c>
      <c r="T91" s="24">
        <v>0</v>
      </c>
      <c r="U91" s="24">
        <f t="array" ref="U91">IF(U$77&gt;" ",(U$628:U$1078),"")</f>
        <v>0</v>
      </c>
      <c r="V91" s="24">
        <f t="array" ref="V91">IF(V$77&gt;" ",(V$628:V$1078),"")</f>
        <v>0</v>
      </c>
      <c r="W91" s="24">
        <f t="array" ref="W91">IF(W$77&gt;" ",(W$628:W$1078),"")</f>
        <v>0</v>
      </c>
      <c r="X91" s="24">
        <f t="array" ref="X91">IF(X$77&gt;" ",(X$628:X$1078),"")</f>
        <v>0</v>
      </c>
      <c r="Y91" s="21">
        <v>0</v>
      </c>
      <c r="Z91" s="34">
        <f t="shared" si="5"/>
        <v>0</v>
      </c>
      <c r="AA91" s="24">
        <f t="shared" si="6"/>
        <v>0</v>
      </c>
      <c r="AB91" s="24">
        <f t="shared" si="7"/>
        <v>0</v>
      </c>
      <c r="AC91" s="24">
        <f t="shared" si="8"/>
        <v>0</v>
      </c>
      <c r="AD91" s="24">
        <f t="shared" si="9"/>
        <v>0</v>
      </c>
      <c r="AE91" s="24">
        <f t="shared" si="9"/>
        <v>0</v>
      </c>
      <c r="AF91" s="24">
        <f t="shared" si="9"/>
        <v>0</v>
      </c>
      <c r="AG91" s="24">
        <f t="shared" si="9"/>
        <v>0</v>
      </c>
      <c r="AH91" s="24">
        <f t="shared" si="11"/>
        <v>0</v>
      </c>
      <c r="AI91" s="24">
        <f t="shared" si="10"/>
        <v>0</v>
      </c>
      <c r="AJ91" s="261">
        <f t="shared" si="12"/>
        <v>0</v>
      </c>
      <c r="AK91" s="13"/>
      <c r="AL91" s="100">
        <v>2440</v>
      </c>
      <c r="AM91" s="202"/>
      <c r="AN91" s="200"/>
      <c r="AO91" s="200"/>
      <c r="AP91" s="283">
        <v>4.3119999999999999E-2</v>
      </c>
      <c r="AR91" s="222">
        <v>94.928776953769628</v>
      </c>
      <c r="AS91" s="223">
        <v>94.854755253127053</v>
      </c>
      <c r="AT91" s="223">
        <v>87.742995350890553</v>
      </c>
      <c r="AU91" s="223">
        <v>87.815739776943531</v>
      </c>
      <c r="AV91" s="223">
        <v>98.875999999999991</v>
      </c>
      <c r="AW91" s="224">
        <v>97.527000000000001</v>
      </c>
      <c r="AX91" s="42"/>
      <c r="AY91" s="181"/>
      <c r="AZ91" s="197"/>
    </row>
    <row r="92" spans="2:52" ht="13" thickBot="1" x14ac:dyDescent="0.3">
      <c r="B92" s="10" t="s">
        <v>42</v>
      </c>
      <c r="C92" s="16"/>
      <c r="E92" s="129" t="e">
        <f>C92*$C$28/$AI$447</f>
        <v>#DIV/0!</v>
      </c>
      <c r="F92" s="130" t="e">
        <f>C92*$C$29/$AI$447</f>
        <v>#DIV/0!</v>
      </c>
      <c r="G92" s="130" t="e">
        <f>C92*$C$30/$AI$447</f>
        <v>#DIV/0!</v>
      </c>
      <c r="L92" s="55">
        <v>2435</v>
      </c>
      <c r="M92" s="274">
        <f t="shared" si="4"/>
        <v>0</v>
      </c>
      <c r="N92" s="275">
        <f t="shared" si="4"/>
        <v>0</v>
      </c>
      <c r="O92" s="276" t="e">
        <f ca="1"/>
        <v>#N/A</v>
      </c>
      <c r="Q92" s="34">
        <v>0</v>
      </c>
      <c r="R92" s="24">
        <v>0</v>
      </c>
      <c r="S92" s="24">
        <v>0</v>
      </c>
      <c r="T92" s="24">
        <v>0</v>
      </c>
      <c r="U92" s="24">
        <f t="array" ref="U92">IF(U$77&gt;" ",(U$628:U$1078),"")</f>
        <v>0</v>
      </c>
      <c r="V92" s="24">
        <f t="array" ref="V92">IF(V$77&gt;" ",(V$628:V$1078),"")</f>
        <v>0</v>
      </c>
      <c r="W92" s="24">
        <f t="array" ref="W92">IF(W$77&gt;" ",(W$628:W$1078),"")</f>
        <v>0</v>
      </c>
      <c r="X92" s="24">
        <f t="array" ref="X92">IF(X$77&gt;" ",(X$628:X$1078),"")</f>
        <v>0</v>
      </c>
      <c r="Y92" s="21">
        <v>0</v>
      </c>
      <c r="Z92" s="34">
        <f t="shared" si="5"/>
        <v>0</v>
      </c>
      <c r="AA92" s="24">
        <f t="shared" si="6"/>
        <v>0</v>
      </c>
      <c r="AB92" s="24">
        <f t="shared" si="7"/>
        <v>0</v>
      </c>
      <c r="AC92" s="24">
        <f t="shared" si="8"/>
        <v>0</v>
      </c>
      <c r="AD92" s="24">
        <f t="shared" si="9"/>
        <v>0</v>
      </c>
      <c r="AE92" s="24">
        <f t="shared" si="9"/>
        <v>0</v>
      </c>
      <c r="AF92" s="24">
        <f t="shared" si="9"/>
        <v>0</v>
      </c>
      <c r="AG92" s="24">
        <f t="shared" si="9"/>
        <v>0</v>
      </c>
      <c r="AH92" s="24">
        <f t="shared" si="11"/>
        <v>0</v>
      </c>
      <c r="AI92" s="24">
        <f t="shared" si="10"/>
        <v>0</v>
      </c>
      <c r="AJ92" s="261">
        <f t="shared" si="12"/>
        <v>0</v>
      </c>
      <c r="AK92" s="13"/>
      <c r="AL92" s="100">
        <v>2435</v>
      </c>
      <c r="AM92" s="202"/>
      <c r="AN92" s="200"/>
      <c r="AO92" s="200"/>
      <c r="AP92" s="284">
        <v>1.4840000000000001E-2</v>
      </c>
      <c r="AR92" s="222">
        <v>95.00361629703059</v>
      </c>
      <c r="AS92" s="223">
        <v>94.906675670293794</v>
      </c>
      <c r="AT92" s="223">
        <v>87.914082626685641</v>
      </c>
      <c r="AU92" s="223">
        <v>87.976577491172122</v>
      </c>
      <c r="AV92" s="223">
        <v>98.878</v>
      </c>
      <c r="AW92" s="224">
        <v>97.530500000000004</v>
      </c>
      <c r="AX92" s="42"/>
      <c r="AY92" s="181"/>
      <c r="AZ92" s="197"/>
    </row>
    <row r="93" spans="2:52" ht="13" thickBot="1" x14ac:dyDescent="0.3">
      <c r="B93" s="10" t="s">
        <v>43</v>
      </c>
      <c r="C93" s="16"/>
      <c r="E93" s="129" t="e">
        <f>C93*$C$28/$AI$447</f>
        <v>#DIV/0!</v>
      </c>
      <c r="F93" s="130" t="e">
        <f>C93*$C$29/$AI$447</f>
        <v>#DIV/0!</v>
      </c>
      <c r="G93" s="130" t="e">
        <f>C93*$C$30/$AI$447</f>
        <v>#DIV/0!</v>
      </c>
      <c r="L93" s="55">
        <v>2430</v>
      </c>
      <c r="M93" s="274">
        <f t="shared" si="4"/>
        <v>0</v>
      </c>
      <c r="N93" s="275">
        <f t="shared" si="4"/>
        <v>0</v>
      </c>
      <c r="O93" s="276" t="e">
        <f ca="1"/>
        <v>#N/A</v>
      </c>
      <c r="Q93" s="34">
        <v>0</v>
      </c>
      <c r="R93" s="24">
        <v>0</v>
      </c>
      <c r="S93" s="24">
        <v>0</v>
      </c>
      <c r="T93" s="24">
        <v>0</v>
      </c>
      <c r="U93" s="24">
        <f t="array" ref="U93">IF(U$77&gt;" ",(U$628:U$1078),"")</f>
        <v>0</v>
      </c>
      <c r="V93" s="24">
        <f t="array" ref="V93">IF(V$77&gt;" ",(V$628:V$1078),"")</f>
        <v>0</v>
      </c>
      <c r="W93" s="24">
        <f t="array" ref="W93">IF(W$77&gt;" ",(W$628:W$1078),"")</f>
        <v>0</v>
      </c>
      <c r="X93" s="24">
        <f t="array" ref="X93">IF(X$77&gt;" ",(X$628:X$1078),"")</f>
        <v>0</v>
      </c>
      <c r="Y93" s="21">
        <v>0</v>
      </c>
      <c r="Z93" s="34">
        <f t="shared" si="5"/>
        <v>0</v>
      </c>
      <c r="AA93" s="24">
        <f t="shared" si="6"/>
        <v>0</v>
      </c>
      <c r="AB93" s="24">
        <f t="shared" si="7"/>
        <v>0</v>
      </c>
      <c r="AC93" s="24">
        <f t="shared" si="8"/>
        <v>0</v>
      </c>
      <c r="AD93" s="24">
        <f t="shared" si="9"/>
        <v>0</v>
      </c>
      <c r="AE93" s="24">
        <f t="shared" si="9"/>
        <v>0</v>
      </c>
      <c r="AF93" s="24">
        <f t="shared" si="9"/>
        <v>0</v>
      </c>
      <c r="AG93" s="24">
        <f t="shared" si="9"/>
        <v>0</v>
      </c>
      <c r="AH93" s="24">
        <f t="shared" si="11"/>
        <v>0</v>
      </c>
      <c r="AI93" s="24">
        <f t="shared" si="10"/>
        <v>0</v>
      </c>
      <c r="AJ93" s="261">
        <f t="shared" si="12"/>
        <v>0</v>
      </c>
      <c r="AK93" s="13"/>
      <c r="AL93" s="100">
        <v>2430</v>
      </c>
      <c r="AM93" s="202"/>
      <c r="AN93" s="200"/>
      <c r="AO93" s="200"/>
      <c r="AP93" s="283">
        <v>4.4970000000000003E-2</v>
      </c>
      <c r="AR93" s="222">
        <v>95.058333158479357</v>
      </c>
      <c r="AS93" s="223">
        <v>94.991504939830861</v>
      </c>
      <c r="AT93" s="223">
        <v>88.066079070908629</v>
      </c>
      <c r="AU93" s="223">
        <v>88.147644847196091</v>
      </c>
      <c r="AV93" s="223">
        <v>98.88</v>
      </c>
      <c r="AW93" s="224">
        <v>97.533999999999992</v>
      </c>
      <c r="AX93" s="42"/>
      <c r="AY93" s="181"/>
      <c r="AZ93" s="197"/>
    </row>
    <row r="94" spans="2:52" ht="13" thickBot="1" x14ac:dyDescent="0.3">
      <c r="B94" s="11" t="s">
        <v>44</v>
      </c>
      <c r="C94" s="17"/>
      <c r="E94" s="129" t="e">
        <f>C94*$C$28/$AI$447</f>
        <v>#DIV/0!</v>
      </c>
      <c r="F94" s="130" t="e">
        <f>C94*$C$29/$AI$447</f>
        <v>#DIV/0!</v>
      </c>
      <c r="G94" s="130" t="e">
        <f>C94*$C$30/$AI$447</f>
        <v>#DIV/0!</v>
      </c>
      <c r="L94" s="55">
        <v>2425</v>
      </c>
      <c r="M94" s="274">
        <f t="shared" si="4"/>
        <v>0</v>
      </c>
      <c r="N94" s="275">
        <f t="shared" si="4"/>
        <v>0</v>
      </c>
      <c r="O94" s="276" t="e">
        <f ca="1"/>
        <v>#N/A</v>
      </c>
      <c r="Q94" s="34">
        <v>0</v>
      </c>
      <c r="R94" s="24">
        <v>0</v>
      </c>
      <c r="S94" s="24">
        <v>0</v>
      </c>
      <c r="T94" s="24">
        <v>0</v>
      </c>
      <c r="U94" s="24">
        <f t="array" ref="U94">IF(U$77&gt;" ",(U$628:U$1078),"")</f>
        <v>0</v>
      </c>
      <c r="V94" s="24">
        <f t="array" ref="V94">IF(V$77&gt;" ",(V$628:V$1078),"")</f>
        <v>0</v>
      </c>
      <c r="W94" s="24">
        <f t="array" ref="W94">IF(W$77&gt;" ",(W$628:W$1078),"")</f>
        <v>0</v>
      </c>
      <c r="X94" s="24">
        <f t="array" ref="X94">IF(X$77&gt;" ",(X$628:X$1078),"")</f>
        <v>0</v>
      </c>
      <c r="Y94" s="21">
        <v>0</v>
      </c>
      <c r="Z94" s="34">
        <f t="shared" si="5"/>
        <v>0</v>
      </c>
      <c r="AA94" s="24">
        <f t="shared" si="6"/>
        <v>0</v>
      </c>
      <c r="AB94" s="24">
        <f t="shared" si="7"/>
        <v>0</v>
      </c>
      <c r="AC94" s="24">
        <f t="shared" si="8"/>
        <v>0</v>
      </c>
      <c r="AD94" s="24">
        <f t="shared" si="9"/>
        <v>0</v>
      </c>
      <c r="AE94" s="24">
        <f t="shared" si="9"/>
        <v>0</v>
      </c>
      <c r="AF94" s="24">
        <f t="shared" si="9"/>
        <v>0</v>
      </c>
      <c r="AG94" s="24">
        <f t="shared" si="9"/>
        <v>0</v>
      </c>
      <c r="AH94" s="24">
        <f t="shared" si="11"/>
        <v>0</v>
      </c>
      <c r="AI94" s="24">
        <f t="shared" si="10"/>
        <v>0</v>
      </c>
      <c r="AJ94" s="261">
        <f t="shared" si="12"/>
        <v>0</v>
      </c>
      <c r="AK94" s="13"/>
      <c r="AL94" s="100">
        <v>2425</v>
      </c>
      <c r="AM94" s="202"/>
      <c r="AN94" s="200"/>
      <c r="AO94" s="200"/>
      <c r="AP94" s="284">
        <v>3.2980000000000002E-2</v>
      </c>
      <c r="AR94" s="222">
        <v>95.117597241315238</v>
      </c>
      <c r="AS94" s="223">
        <v>95.034578700468884</v>
      </c>
      <c r="AT94" s="223">
        <v>88.251755015630309</v>
      </c>
      <c r="AU94" s="223">
        <v>88.324184655124611</v>
      </c>
      <c r="AV94" s="223">
        <v>98.885500000000008</v>
      </c>
      <c r="AW94" s="224">
        <v>97.533999999999992</v>
      </c>
      <c r="AX94" s="42"/>
      <c r="AY94" s="181"/>
      <c r="AZ94" s="197"/>
    </row>
    <row r="95" spans="2:52" ht="13" thickBot="1" x14ac:dyDescent="0.3">
      <c r="D95" s="5" t="s">
        <v>125</v>
      </c>
      <c r="E95" s="124" t="e">
        <f>AVERAGE(E90:E94)</f>
        <v>#DIV/0!</v>
      </c>
      <c r="F95" s="125" t="e">
        <f>AVERAGE(F90:F94)</f>
        <v>#DIV/0!</v>
      </c>
      <c r="G95" s="125" t="e">
        <f>AVERAGE(G90:G94)</f>
        <v>#DIV/0!</v>
      </c>
      <c r="L95" s="55">
        <v>2420</v>
      </c>
      <c r="M95" s="274">
        <f t="shared" ref="M95:N110" si="16">M644</f>
        <v>0</v>
      </c>
      <c r="N95" s="275">
        <f t="shared" si="16"/>
        <v>0</v>
      </c>
      <c r="O95" s="276" t="e">
        <f ca="1"/>
        <v>#N/A</v>
      </c>
      <c r="Q95" s="34">
        <v>0</v>
      </c>
      <c r="R95" s="24">
        <v>0</v>
      </c>
      <c r="S95" s="24">
        <v>0</v>
      </c>
      <c r="T95" s="24">
        <v>0</v>
      </c>
      <c r="U95" s="24">
        <f t="array" ref="U95">IF(U$77&gt;" ",(U$628:U$1078),"")</f>
        <v>0</v>
      </c>
      <c r="V95" s="24">
        <f t="array" ref="V95">IF(V$77&gt;" ",(V$628:V$1078),"")</f>
        <v>0</v>
      </c>
      <c r="W95" s="24">
        <f t="array" ref="W95">IF(W$77&gt;" ",(W$628:W$1078),"")</f>
        <v>0</v>
      </c>
      <c r="X95" s="24">
        <f t="array" ref="X95">IF(X$77&gt;" ",(X$628:X$1078),"")</f>
        <v>0</v>
      </c>
      <c r="Y95" s="21">
        <v>0</v>
      </c>
      <c r="Z95" s="34">
        <f t="shared" si="5"/>
        <v>0</v>
      </c>
      <c r="AA95" s="24">
        <f t="shared" si="6"/>
        <v>0</v>
      </c>
      <c r="AB95" s="24">
        <f t="shared" si="7"/>
        <v>0</v>
      </c>
      <c r="AC95" s="24">
        <f t="shared" si="8"/>
        <v>0</v>
      </c>
      <c r="AD95" s="24">
        <f t="shared" ref="AD95:AG158" si="17">U95</f>
        <v>0</v>
      </c>
      <c r="AE95" s="24">
        <f t="shared" si="17"/>
        <v>0</v>
      </c>
      <c r="AF95" s="24">
        <f t="shared" si="17"/>
        <v>0</v>
      </c>
      <c r="AG95" s="24">
        <f t="shared" si="17"/>
        <v>0</v>
      </c>
      <c r="AH95" s="24">
        <f t="shared" si="11"/>
        <v>0</v>
      </c>
      <c r="AI95" s="24">
        <f t="shared" si="10"/>
        <v>0</v>
      </c>
      <c r="AJ95" s="261">
        <f t="shared" si="12"/>
        <v>0</v>
      </c>
      <c r="AK95" s="13"/>
      <c r="AL95" s="100">
        <v>2420</v>
      </c>
      <c r="AM95" s="202"/>
      <c r="AN95" s="200"/>
      <c r="AO95" s="200"/>
      <c r="AP95" s="283">
        <v>2.6509999999999999E-2</v>
      </c>
      <c r="AR95" s="222">
        <v>95.184872341549678</v>
      </c>
      <c r="AS95" s="223">
        <v>95.1049712203544</v>
      </c>
      <c r="AT95" s="223">
        <v>88.427994448634124</v>
      </c>
      <c r="AU95" s="223">
        <v>88.50746575184678</v>
      </c>
      <c r="AV95" s="223">
        <v>98.890999999999991</v>
      </c>
      <c r="AW95" s="224">
        <v>97.533999999999992</v>
      </c>
      <c r="AX95" s="42"/>
      <c r="AY95" s="181"/>
      <c r="AZ95" s="197"/>
    </row>
    <row r="96" spans="2:52" ht="13" thickBot="1" x14ac:dyDescent="0.3">
      <c r="L96" s="55">
        <v>2415</v>
      </c>
      <c r="M96" s="274">
        <f t="shared" si="16"/>
        <v>0</v>
      </c>
      <c r="N96" s="275">
        <f t="shared" si="16"/>
        <v>0</v>
      </c>
      <c r="O96" s="276" t="e">
        <f ca="1"/>
        <v>#N/A</v>
      </c>
      <c r="Q96" s="34">
        <v>0</v>
      </c>
      <c r="R96" s="24">
        <v>0</v>
      </c>
      <c r="S96" s="24">
        <v>0</v>
      </c>
      <c r="T96" s="24">
        <v>0</v>
      </c>
      <c r="U96" s="24">
        <f t="array" ref="U96">IF(U$77&gt;" ",(U$628:U$1078),"")</f>
        <v>0</v>
      </c>
      <c r="V96" s="24">
        <f t="array" ref="V96">IF(V$77&gt;" ",(V$628:V$1078),"")</f>
        <v>0</v>
      </c>
      <c r="W96" s="24">
        <f t="array" ref="W96">IF(W$77&gt;" ",(W$628:W$1078),"")</f>
        <v>0</v>
      </c>
      <c r="X96" s="24">
        <f t="array" ref="X96">IF(X$77&gt;" ",(X$628:X$1078),"")</f>
        <v>0</v>
      </c>
      <c r="Y96" s="21">
        <v>0</v>
      </c>
      <c r="Z96" s="34">
        <f t="shared" si="5"/>
        <v>0</v>
      </c>
      <c r="AA96" s="24">
        <f t="shared" si="6"/>
        <v>0</v>
      </c>
      <c r="AB96" s="24">
        <f t="shared" si="7"/>
        <v>0</v>
      </c>
      <c r="AC96" s="24">
        <f t="shared" si="8"/>
        <v>0</v>
      </c>
      <c r="AD96" s="24">
        <f t="shared" si="17"/>
        <v>0</v>
      </c>
      <c r="AE96" s="24">
        <f t="shared" si="17"/>
        <v>0</v>
      </c>
      <c r="AF96" s="24">
        <f t="shared" si="17"/>
        <v>0</v>
      </c>
      <c r="AG96" s="24">
        <f t="shared" si="17"/>
        <v>0</v>
      </c>
      <c r="AH96" s="24">
        <f t="shared" si="11"/>
        <v>0</v>
      </c>
      <c r="AI96" s="24">
        <f t="shared" si="10"/>
        <v>0</v>
      </c>
      <c r="AJ96" s="261">
        <f t="shared" si="12"/>
        <v>0</v>
      </c>
      <c r="AK96" s="13"/>
      <c r="AL96" s="100">
        <v>2415</v>
      </c>
      <c r="AM96" s="202"/>
      <c r="AN96" s="200"/>
      <c r="AO96" s="200"/>
      <c r="AP96" s="284">
        <v>2.7220000000000001E-2</v>
      </c>
      <c r="AR96" s="222">
        <v>95.238995952351388</v>
      </c>
      <c r="AS96" s="223">
        <v>95.16439315194377</v>
      </c>
      <c r="AT96" s="223">
        <v>88.555564013401849</v>
      </c>
      <c r="AU96" s="223">
        <v>88.636476953353721</v>
      </c>
      <c r="AV96" s="223">
        <v>98.886499999999998</v>
      </c>
      <c r="AW96" s="224">
        <v>97.530500000000004</v>
      </c>
      <c r="AX96" s="42"/>
      <c r="AY96" s="181"/>
      <c r="AZ96" s="197"/>
    </row>
    <row r="97" spans="2:52" ht="13.5" hidden="1" thickBot="1" x14ac:dyDescent="0.35">
      <c r="B97" s="131" t="s">
        <v>45</v>
      </c>
      <c r="C97" s="134"/>
      <c r="L97" s="55">
        <v>2410</v>
      </c>
      <c r="M97" s="274">
        <f t="shared" si="16"/>
        <v>0</v>
      </c>
      <c r="N97" s="275">
        <f t="shared" si="16"/>
        <v>0</v>
      </c>
      <c r="O97" s="276" t="e">
        <f ca="1"/>
        <v>#N/A</v>
      </c>
      <c r="Q97" s="34">
        <v>0</v>
      </c>
      <c r="R97" s="24">
        <v>0</v>
      </c>
      <c r="S97" s="24">
        <v>0</v>
      </c>
      <c r="T97" s="24">
        <v>0</v>
      </c>
      <c r="U97" s="24">
        <f t="array" ref="U97">IF(U$77&gt;" ",(U$628:U$1078),"")</f>
        <v>0</v>
      </c>
      <c r="V97" s="24">
        <f t="array" ref="V97">IF(V$77&gt;" ",(V$628:V$1078),"")</f>
        <v>0</v>
      </c>
      <c r="W97" s="24">
        <f t="array" ref="W97">IF(W$77&gt;" ",(W$628:W$1078),"")</f>
        <v>0</v>
      </c>
      <c r="X97" s="24">
        <f t="array" ref="X97">IF(X$77&gt;" ",(X$628:X$1078),"")</f>
        <v>0</v>
      </c>
      <c r="Y97" s="21">
        <v>0</v>
      </c>
      <c r="Z97" s="34">
        <f t="shared" si="5"/>
        <v>0</v>
      </c>
      <c r="AA97" s="24">
        <f t="shared" si="6"/>
        <v>0</v>
      </c>
      <c r="AB97" s="24">
        <f t="shared" si="7"/>
        <v>0</v>
      </c>
      <c r="AC97" s="24">
        <f t="shared" si="8"/>
        <v>0</v>
      </c>
      <c r="AD97" s="24">
        <f t="shared" si="17"/>
        <v>0</v>
      </c>
      <c r="AE97" s="24">
        <f t="shared" si="17"/>
        <v>0</v>
      </c>
      <c r="AF97" s="24">
        <f t="shared" si="17"/>
        <v>0</v>
      </c>
      <c r="AG97" s="24">
        <f t="shared" si="17"/>
        <v>0</v>
      </c>
      <c r="AH97" s="24">
        <f t="shared" si="11"/>
        <v>0</v>
      </c>
      <c r="AI97" s="24">
        <f t="shared" si="10"/>
        <v>0</v>
      </c>
      <c r="AJ97" s="261">
        <f t="shared" si="12"/>
        <v>0</v>
      </c>
      <c r="AK97" s="13"/>
      <c r="AL97" s="100">
        <v>2410</v>
      </c>
      <c r="AM97" s="202"/>
      <c r="AN97" s="200"/>
      <c r="AO97" s="200"/>
      <c r="AP97" s="283">
        <v>3.3709999999999997E-2</v>
      </c>
      <c r="AR97" s="222">
        <v>95.267449447373778</v>
      </c>
      <c r="AS97" s="223">
        <v>95.218276743453671</v>
      </c>
      <c r="AT97" s="223">
        <v>88.720882809170533</v>
      </c>
      <c r="AU97" s="223">
        <v>88.790799345116781</v>
      </c>
      <c r="AV97" s="223">
        <v>98.882000000000005</v>
      </c>
      <c r="AW97" s="224">
        <v>97.527000000000001</v>
      </c>
      <c r="AX97" s="42"/>
      <c r="AY97" s="181"/>
      <c r="AZ97" s="197"/>
    </row>
    <row r="98" spans="2:52" ht="13" hidden="1" thickBot="1" x14ac:dyDescent="0.3">
      <c r="B98" s="2" t="s">
        <v>46</v>
      </c>
      <c r="C98" s="3"/>
      <c r="L98" s="55">
        <v>2405</v>
      </c>
      <c r="M98" s="274">
        <f t="shared" si="16"/>
        <v>0</v>
      </c>
      <c r="N98" s="275">
        <f t="shared" si="16"/>
        <v>0</v>
      </c>
      <c r="O98" s="276" t="e">
        <f ca="1"/>
        <v>#N/A</v>
      </c>
      <c r="Q98" s="34">
        <v>0</v>
      </c>
      <c r="R98" s="24">
        <v>0</v>
      </c>
      <c r="S98" s="24">
        <v>0</v>
      </c>
      <c r="T98" s="24">
        <v>0</v>
      </c>
      <c r="U98" s="24">
        <f t="array" ref="U98">IF(U$77&gt;" ",(U$628:U$1078),"")</f>
        <v>0</v>
      </c>
      <c r="V98" s="24">
        <f t="array" ref="V98">IF(V$77&gt;" ",(V$628:V$1078),"")</f>
        <v>0</v>
      </c>
      <c r="W98" s="24">
        <f t="array" ref="W98">IF(W$77&gt;" ",(W$628:W$1078),"")</f>
        <v>0</v>
      </c>
      <c r="X98" s="24">
        <f t="array" ref="X98">IF(X$77&gt;" ",(X$628:X$1078),"")</f>
        <v>0</v>
      </c>
      <c r="Y98" s="21">
        <v>0</v>
      </c>
      <c r="Z98" s="34">
        <f t="shared" si="5"/>
        <v>0</v>
      </c>
      <c r="AA98" s="24">
        <f t="shared" si="6"/>
        <v>0</v>
      </c>
      <c r="AB98" s="24">
        <f t="shared" si="7"/>
        <v>0</v>
      </c>
      <c r="AC98" s="24">
        <f t="shared" si="8"/>
        <v>0</v>
      </c>
      <c r="AD98" s="24">
        <f t="shared" si="17"/>
        <v>0</v>
      </c>
      <c r="AE98" s="24">
        <f t="shared" si="17"/>
        <v>0</v>
      </c>
      <c r="AF98" s="24">
        <f t="shared" si="17"/>
        <v>0</v>
      </c>
      <c r="AG98" s="24">
        <f t="shared" si="17"/>
        <v>0</v>
      </c>
      <c r="AH98" s="24">
        <f t="shared" si="11"/>
        <v>0</v>
      </c>
      <c r="AI98" s="24">
        <f t="shared" si="10"/>
        <v>0</v>
      </c>
      <c r="AJ98" s="261">
        <f t="shared" si="12"/>
        <v>0</v>
      </c>
      <c r="AK98" s="13"/>
      <c r="AL98" s="100">
        <v>2405</v>
      </c>
      <c r="AM98" s="202"/>
      <c r="AN98" s="200"/>
      <c r="AO98" s="200"/>
      <c r="AP98" s="284">
        <v>3.3500000000000002E-2</v>
      </c>
      <c r="AR98" s="222">
        <v>95.306526299019808</v>
      </c>
      <c r="AS98" s="223">
        <v>95.264421708686015</v>
      </c>
      <c r="AT98" s="223">
        <v>88.822795871770396</v>
      </c>
      <c r="AU98" s="223">
        <v>88.903056720724507</v>
      </c>
      <c r="AV98" s="223">
        <v>98.877499999999998</v>
      </c>
      <c r="AW98" s="224">
        <v>97.528999999999996</v>
      </c>
      <c r="AX98" s="42"/>
      <c r="AY98" s="181"/>
      <c r="AZ98" s="197"/>
    </row>
    <row r="99" spans="2:52" ht="13" hidden="1" thickBot="1" x14ac:dyDescent="0.3">
      <c r="B99" s="10" t="s">
        <v>40</v>
      </c>
      <c r="C99" s="16"/>
      <c r="L99" s="55">
        <v>2400</v>
      </c>
      <c r="M99" s="274">
        <f t="shared" si="16"/>
        <v>0</v>
      </c>
      <c r="N99" s="275">
        <f t="shared" si="16"/>
        <v>0</v>
      </c>
      <c r="O99" s="276" t="e">
        <f ca="1"/>
        <v>#N/A</v>
      </c>
      <c r="Q99" s="34">
        <v>0</v>
      </c>
      <c r="R99" s="24">
        <v>0</v>
      </c>
      <c r="S99" s="24">
        <v>0</v>
      </c>
      <c r="T99" s="24">
        <v>0</v>
      </c>
      <c r="U99" s="24">
        <f t="array" ref="U99">IF(U$77&gt;" ",(U$628:U$1078),"")</f>
        <v>0</v>
      </c>
      <c r="V99" s="24">
        <f t="array" ref="V99">IF(V$77&gt;" ",(V$628:V$1078),"")</f>
        <v>0</v>
      </c>
      <c r="W99" s="24">
        <f t="array" ref="W99">IF(W$77&gt;" ",(W$628:W$1078),"")</f>
        <v>0</v>
      </c>
      <c r="X99" s="24">
        <f t="array" ref="X99">IF(X$77&gt;" ",(X$628:X$1078),"")</f>
        <v>0</v>
      </c>
      <c r="Y99" s="21">
        <v>0</v>
      </c>
      <c r="Z99" s="34">
        <f t="shared" si="5"/>
        <v>0</v>
      </c>
      <c r="AA99" s="24">
        <f t="shared" si="6"/>
        <v>0</v>
      </c>
      <c r="AB99" s="24">
        <f t="shared" si="7"/>
        <v>0</v>
      </c>
      <c r="AC99" s="24">
        <f t="shared" si="8"/>
        <v>0</v>
      </c>
      <c r="AD99" s="24">
        <f t="shared" si="17"/>
        <v>0</v>
      </c>
      <c r="AE99" s="24">
        <f t="shared" si="17"/>
        <v>0</v>
      </c>
      <c r="AF99" s="24">
        <f t="shared" si="17"/>
        <v>0</v>
      </c>
      <c r="AG99" s="24">
        <f t="shared" si="17"/>
        <v>0</v>
      </c>
      <c r="AH99" s="24">
        <f t="shared" si="11"/>
        <v>0</v>
      </c>
      <c r="AI99" s="24">
        <f t="shared" si="10"/>
        <v>0</v>
      </c>
      <c r="AJ99" s="261">
        <f t="shared" si="12"/>
        <v>0</v>
      </c>
      <c r="AK99" s="13"/>
      <c r="AL99" s="100">
        <v>2400</v>
      </c>
      <c r="AM99" s="202"/>
      <c r="AN99" s="200"/>
      <c r="AO99" s="200"/>
      <c r="AP99" s="283">
        <v>4.4019999999999997E-2</v>
      </c>
      <c r="AR99" s="222">
        <v>95.356002886447911</v>
      </c>
      <c r="AS99" s="223">
        <v>95.294692685541136</v>
      </c>
      <c r="AT99" s="223">
        <v>88.951212150106628</v>
      </c>
      <c r="AU99" s="223">
        <v>89.032200937896405</v>
      </c>
      <c r="AV99" s="223">
        <v>98.873000000000005</v>
      </c>
      <c r="AW99" s="224">
        <v>97.531000000000006</v>
      </c>
      <c r="AX99" s="42"/>
      <c r="AY99" s="181"/>
      <c r="AZ99" s="197"/>
    </row>
    <row r="100" spans="2:52" ht="13" hidden="1" thickBot="1" x14ac:dyDescent="0.3">
      <c r="B100" s="10" t="s">
        <v>41</v>
      </c>
      <c r="C100" s="16"/>
      <c r="L100" s="55">
        <v>2395</v>
      </c>
      <c r="M100" s="274">
        <f t="shared" si="16"/>
        <v>0</v>
      </c>
      <c r="N100" s="275">
        <f t="shared" si="16"/>
        <v>0</v>
      </c>
      <c r="O100" s="276" t="e">
        <f ca="1"/>
        <v>#N/A</v>
      </c>
      <c r="Q100" s="34">
        <v>0</v>
      </c>
      <c r="R100" s="24">
        <v>0</v>
      </c>
      <c r="S100" s="24">
        <v>0</v>
      </c>
      <c r="T100" s="24">
        <v>0</v>
      </c>
      <c r="U100" s="24">
        <f t="array" ref="U100">IF(U$77&gt;" ",(U$628:U$1078),"")</f>
        <v>0</v>
      </c>
      <c r="V100" s="24">
        <f t="array" ref="V100">IF(V$77&gt;" ",(V$628:V$1078),"")</f>
        <v>0</v>
      </c>
      <c r="W100" s="24">
        <f t="array" ref="W100">IF(W$77&gt;" ",(W$628:W$1078),"")</f>
        <v>0</v>
      </c>
      <c r="X100" s="24">
        <f t="array" ref="X100">IF(X$77&gt;" ",(X$628:X$1078),"")</f>
        <v>0</v>
      </c>
      <c r="Y100" s="21">
        <v>0</v>
      </c>
      <c r="Z100" s="34">
        <f t="shared" si="5"/>
        <v>0</v>
      </c>
      <c r="AA100" s="24">
        <f t="shared" si="6"/>
        <v>0</v>
      </c>
      <c r="AB100" s="24">
        <f t="shared" si="7"/>
        <v>0</v>
      </c>
      <c r="AC100" s="24">
        <f t="shared" si="8"/>
        <v>0</v>
      </c>
      <c r="AD100" s="24">
        <f t="shared" si="17"/>
        <v>0</v>
      </c>
      <c r="AE100" s="24">
        <f t="shared" si="17"/>
        <v>0</v>
      </c>
      <c r="AF100" s="24">
        <f t="shared" si="17"/>
        <v>0</v>
      </c>
      <c r="AG100" s="24">
        <f t="shared" si="17"/>
        <v>0</v>
      </c>
      <c r="AH100" s="24">
        <f t="shared" si="11"/>
        <v>0</v>
      </c>
      <c r="AI100" s="24">
        <f t="shared" si="10"/>
        <v>0</v>
      </c>
      <c r="AJ100" s="261">
        <f t="shared" si="12"/>
        <v>0</v>
      </c>
      <c r="AK100" s="13"/>
      <c r="AL100" s="100">
        <v>2395</v>
      </c>
      <c r="AM100" s="202"/>
      <c r="AN100" s="200"/>
      <c r="AO100" s="200"/>
      <c r="AP100" s="284">
        <v>4.0480000000000002E-2</v>
      </c>
      <c r="AR100" s="222">
        <v>95.384975784005448</v>
      </c>
      <c r="AS100" s="223">
        <v>95.322731450166046</v>
      </c>
      <c r="AT100" s="223">
        <v>89.041793449033989</v>
      </c>
      <c r="AU100" s="223">
        <v>89.114541398767869</v>
      </c>
      <c r="AV100" s="223">
        <v>98.867999999999995</v>
      </c>
      <c r="AW100" s="224">
        <v>97.525000000000006</v>
      </c>
      <c r="AX100" s="42"/>
      <c r="AY100" s="181"/>
      <c r="AZ100" s="197"/>
    </row>
    <row r="101" spans="2:52" ht="13" hidden="1" thickBot="1" x14ac:dyDescent="0.3">
      <c r="B101" s="10" t="s">
        <v>42</v>
      </c>
      <c r="C101" s="16"/>
      <c r="L101" s="55">
        <v>2390</v>
      </c>
      <c r="M101" s="274">
        <f t="shared" si="16"/>
        <v>0</v>
      </c>
      <c r="N101" s="275">
        <f t="shared" si="16"/>
        <v>0</v>
      </c>
      <c r="O101" s="276" t="e">
        <f ca="1"/>
        <v>#N/A</v>
      </c>
      <c r="Q101" s="34">
        <v>0</v>
      </c>
      <c r="R101" s="24">
        <v>0</v>
      </c>
      <c r="S101" s="24">
        <v>0</v>
      </c>
      <c r="T101" s="24">
        <v>0</v>
      </c>
      <c r="U101" s="24">
        <f t="array" ref="U101">IF(U$77&gt;" ",(U$628:U$1078),"")</f>
        <v>0</v>
      </c>
      <c r="V101" s="24">
        <f t="array" ref="V101">IF(V$77&gt;" ",(V$628:V$1078),"")</f>
        <v>0</v>
      </c>
      <c r="W101" s="24">
        <f t="array" ref="W101">IF(W$77&gt;" ",(W$628:W$1078),"")</f>
        <v>0</v>
      </c>
      <c r="X101" s="24">
        <f t="array" ref="X101">IF(X$77&gt;" ",(X$628:X$1078),"")</f>
        <v>0</v>
      </c>
      <c r="Y101" s="21">
        <v>0</v>
      </c>
      <c r="Z101" s="34">
        <f t="shared" si="5"/>
        <v>0</v>
      </c>
      <c r="AA101" s="24">
        <f t="shared" si="6"/>
        <v>0</v>
      </c>
      <c r="AB101" s="24">
        <f t="shared" si="7"/>
        <v>0</v>
      </c>
      <c r="AC101" s="24">
        <f t="shared" si="8"/>
        <v>0</v>
      </c>
      <c r="AD101" s="24">
        <f t="shared" si="17"/>
        <v>0</v>
      </c>
      <c r="AE101" s="24">
        <f t="shared" si="17"/>
        <v>0</v>
      </c>
      <c r="AF101" s="24">
        <f t="shared" si="17"/>
        <v>0</v>
      </c>
      <c r="AG101" s="24">
        <f t="shared" si="17"/>
        <v>0</v>
      </c>
      <c r="AH101" s="24">
        <f t="shared" si="11"/>
        <v>0</v>
      </c>
      <c r="AI101" s="24">
        <f t="shared" si="10"/>
        <v>0</v>
      </c>
      <c r="AJ101" s="261">
        <f t="shared" si="12"/>
        <v>0</v>
      </c>
      <c r="AK101" s="13"/>
      <c r="AL101" s="100">
        <v>2390</v>
      </c>
      <c r="AM101" s="202"/>
      <c r="AN101" s="200"/>
      <c r="AO101" s="200"/>
      <c r="AP101" s="283">
        <v>3.6999999999999998E-2</v>
      </c>
      <c r="AR101" s="222">
        <v>95.405520468401718</v>
      </c>
      <c r="AS101" s="223">
        <v>95.370939841955916</v>
      </c>
      <c r="AT101" s="223">
        <v>89.147068770735473</v>
      </c>
      <c r="AU101" s="223">
        <v>89.227694894222068</v>
      </c>
      <c r="AV101" s="223">
        <v>98.863</v>
      </c>
      <c r="AW101" s="224">
        <v>97.519000000000005</v>
      </c>
      <c r="AX101" s="42"/>
      <c r="AY101" s="181"/>
      <c r="AZ101" s="197"/>
    </row>
    <row r="102" spans="2:52" ht="13" hidden="1" thickBot="1" x14ac:dyDescent="0.3">
      <c r="B102" s="11" t="s">
        <v>43</v>
      </c>
      <c r="C102" s="17"/>
      <c r="L102" s="55">
        <v>2385</v>
      </c>
      <c r="M102" s="274">
        <f t="shared" si="16"/>
        <v>0</v>
      </c>
      <c r="N102" s="275">
        <f t="shared" si="16"/>
        <v>0</v>
      </c>
      <c r="O102" s="276" t="e">
        <f ca="1"/>
        <v>#N/A</v>
      </c>
      <c r="Q102" s="34">
        <v>0</v>
      </c>
      <c r="R102" s="24">
        <v>0</v>
      </c>
      <c r="S102" s="24">
        <v>0</v>
      </c>
      <c r="T102" s="24">
        <v>0</v>
      </c>
      <c r="U102" s="24">
        <f t="array" ref="U102">IF(U$77&gt;" ",(U$628:U$1078),"")</f>
        <v>0</v>
      </c>
      <c r="V102" s="24">
        <f t="array" ref="V102">IF(V$77&gt;" ",(V$628:V$1078),"")</f>
        <v>0</v>
      </c>
      <c r="W102" s="24">
        <f t="array" ref="W102">IF(W$77&gt;" ",(W$628:W$1078),"")</f>
        <v>0</v>
      </c>
      <c r="X102" s="24">
        <f t="array" ref="X102">IF(X$77&gt;" ",(X$628:X$1078),"")</f>
        <v>0</v>
      </c>
      <c r="Y102" s="21">
        <v>0</v>
      </c>
      <c r="Z102" s="34">
        <f t="shared" si="5"/>
        <v>0</v>
      </c>
      <c r="AA102" s="24">
        <f t="shared" si="6"/>
        <v>0</v>
      </c>
      <c r="AB102" s="24">
        <f t="shared" si="7"/>
        <v>0</v>
      </c>
      <c r="AC102" s="24">
        <f t="shared" si="8"/>
        <v>0</v>
      </c>
      <c r="AD102" s="24">
        <f t="shared" si="17"/>
        <v>0</v>
      </c>
      <c r="AE102" s="24">
        <f t="shared" si="17"/>
        <v>0</v>
      </c>
      <c r="AF102" s="24">
        <f t="shared" si="17"/>
        <v>0</v>
      </c>
      <c r="AG102" s="24">
        <f t="shared" si="17"/>
        <v>0</v>
      </c>
      <c r="AH102" s="24">
        <f t="shared" si="11"/>
        <v>0</v>
      </c>
      <c r="AI102" s="24">
        <f t="shared" si="10"/>
        <v>0</v>
      </c>
      <c r="AJ102" s="261">
        <f t="shared" si="12"/>
        <v>0</v>
      </c>
      <c r="AK102" s="13"/>
      <c r="AL102" s="100">
        <v>2385</v>
      </c>
      <c r="AM102" s="202"/>
      <c r="AN102" s="200"/>
      <c r="AO102" s="200"/>
      <c r="AP102" s="284">
        <v>3.074E-2</v>
      </c>
      <c r="AR102" s="222">
        <v>95.480519830092518</v>
      </c>
      <c r="AS102" s="223">
        <v>95.411721477979157</v>
      </c>
      <c r="AT102" s="223">
        <v>89.274712645855743</v>
      </c>
      <c r="AU102" s="223">
        <v>89.358377067814828</v>
      </c>
      <c r="AV102" s="223">
        <v>98.869500000000002</v>
      </c>
      <c r="AW102" s="224">
        <v>97.554000000000002</v>
      </c>
      <c r="AX102" s="42"/>
      <c r="AY102" s="181"/>
      <c r="AZ102" s="197"/>
    </row>
    <row r="103" spans="2:52" ht="13" hidden="1" thickBot="1" x14ac:dyDescent="0.3">
      <c r="B103" s="42"/>
      <c r="C103" s="43"/>
      <c r="L103" s="55">
        <v>2380</v>
      </c>
      <c r="M103" s="274">
        <f t="shared" si="16"/>
        <v>0</v>
      </c>
      <c r="N103" s="275">
        <f t="shared" si="16"/>
        <v>0</v>
      </c>
      <c r="O103" s="276" t="e">
        <f ca="1"/>
        <v>#N/A</v>
      </c>
      <c r="Q103" s="34">
        <v>0</v>
      </c>
      <c r="R103" s="24">
        <v>0</v>
      </c>
      <c r="S103" s="24">
        <v>0</v>
      </c>
      <c r="T103" s="24">
        <v>0</v>
      </c>
      <c r="U103" s="24">
        <f t="array" ref="U103">IF(U$77&gt;" ",(U$628:U$1078),"")</f>
        <v>0</v>
      </c>
      <c r="V103" s="24">
        <f t="array" ref="V103">IF(V$77&gt;" ",(V$628:V$1078),"")</f>
        <v>0</v>
      </c>
      <c r="W103" s="24">
        <f t="array" ref="W103">IF(W$77&gt;" ",(W$628:W$1078),"")</f>
        <v>0</v>
      </c>
      <c r="X103" s="24">
        <f t="array" ref="X103">IF(X$77&gt;" ",(X$628:X$1078),"")</f>
        <v>0</v>
      </c>
      <c r="Y103" s="21">
        <v>0</v>
      </c>
      <c r="Z103" s="34">
        <f t="shared" si="5"/>
        <v>0</v>
      </c>
      <c r="AA103" s="24">
        <f t="shared" si="6"/>
        <v>0</v>
      </c>
      <c r="AB103" s="24">
        <f t="shared" si="7"/>
        <v>0</v>
      </c>
      <c r="AC103" s="24">
        <f t="shared" si="8"/>
        <v>0</v>
      </c>
      <c r="AD103" s="24">
        <f t="shared" si="17"/>
        <v>0</v>
      </c>
      <c r="AE103" s="24">
        <f t="shared" si="17"/>
        <v>0</v>
      </c>
      <c r="AF103" s="24">
        <f t="shared" si="17"/>
        <v>0</v>
      </c>
      <c r="AG103" s="24">
        <f t="shared" si="17"/>
        <v>0</v>
      </c>
      <c r="AH103" s="24">
        <f t="shared" si="11"/>
        <v>0</v>
      </c>
      <c r="AI103" s="24">
        <f t="shared" si="10"/>
        <v>0</v>
      </c>
      <c r="AJ103" s="261">
        <f t="shared" si="12"/>
        <v>0</v>
      </c>
      <c r="AK103" s="13"/>
      <c r="AL103" s="100">
        <v>2380</v>
      </c>
      <c r="AM103" s="202"/>
      <c r="AN103" s="200"/>
      <c r="AO103" s="200"/>
      <c r="AP103" s="283">
        <v>4.2430000000000002E-2</v>
      </c>
      <c r="AR103" s="222">
        <v>95.513767711151559</v>
      </c>
      <c r="AS103" s="223">
        <v>95.468765096151785</v>
      </c>
      <c r="AT103" s="223">
        <v>89.392911921355164</v>
      </c>
      <c r="AU103" s="223">
        <v>89.471992552311789</v>
      </c>
      <c r="AV103" s="223">
        <v>98.875999999999991</v>
      </c>
      <c r="AW103" s="224">
        <v>97.588999999999999</v>
      </c>
      <c r="AX103" s="42"/>
      <c r="AY103" s="181"/>
      <c r="AZ103" s="197"/>
    </row>
    <row r="104" spans="2:52" ht="13" hidden="1" thickBot="1" x14ac:dyDescent="0.3">
      <c r="B104" s="2" t="s">
        <v>48</v>
      </c>
      <c r="C104" s="18"/>
      <c r="L104" s="55">
        <v>2375</v>
      </c>
      <c r="M104" s="274">
        <f t="shared" si="16"/>
        <v>0</v>
      </c>
      <c r="N104" s="275">
        <f t="shared" si="16"/>
        <v>0</v>
      </c>
      <c r="O104" s="276" t="e">
        <f ca="1"/>
        <v>#N/A</v>
      </c>
      <c r="Q104" s="34">
        <v>0</v>
      </c>
      <c r="R104" s="24">
        <v>0</v>
      </c>
      <c r="S104" s="24">
        <v>0</v>
      </c>
      <c r="T104" s="24">
        <v>0</v>
      </c>
      <c r="U104" s="24">
        <f t="array" ref="U104">IF(U$77&gt;" ",(U$628:U$1078),"")</f>
        <v>0</v>
      </c>
      <c r="V104" s="24">
        <f t="array" ref="V104">IF(V$77&gt;" ",(V$628:V$1078),"")</f>
        <v>0</v>
      </c>
      <c r="W104" s="24">
        <f t="array" ref="W104">IF(W$77&gt;" ",(W$628:W$1078),"")</f>
        <v>0</v>
      </c>
      <c r="X104" s="24">
        <f t="array" ref="X104">IF(X$77&gt;" ",(X$628:X$1078),"")</f>
        <v>0</v>
      </c>
      <c r="Y104" s="21">
        <v>0</v>
      </c>
      <c r="Z104" s="34">
        <f t="shared" si="5"/>
        <v>0</v>
      </c>
      <c r="AA104" s="24">
        <f t="shared" si="6"/>
        <v>0</v>
      </c>
      <c r="AB104" s="24">
        <f t="shared" si="7"/>
        <v>0</v>
      </c>
      <c r="AC104" s="24">
        <f t="shared" si="8"/>
        <v>0</v>
      </c>
      <c r="AD104" s="24">
        <f t="shared" si="17"/>
        <v>0</v>
      </c>
      <c r="AE104" s="24">
        <f t="shared" si="17"/>
        <v>0</v>
      </c>
      <c r="AF104" s="24">
        <f t="shared" si="17"/>
        <v>0</v>
      </c>
      <c r="AG104" s="24">
        <f t="shared" si="17"/>
        <v>0</v>
      </c>
      <c r="AH104" s="24">
        <f t="shared" si="11"/>
        <v>0</v>
      </c>
      <c r="AI104" s="24">
        <f t="shared" si="10"/>
        <v>0</v>
      </c>
      <c r="AJ104" s="261">
        <f t="shared" si="12"/>
        <v>0</v>
      </c>
      <c r="AK104" s="13"/>
      <c r="AL104" s="100">
        <v>2375</v>
      </c>
      <c r="AM104" s="202"/>
      <c r="AN104" s="200"/>
      <c r="AO104" s="200"/>
      <c r="AP104" s="284">
        <v>4.4019999999999997E-2</v>
      </c>
      <c r="AR104" s="222">
        <v>95.551213773924488</v>
      </c>
      <c r="AS104" s="223">
        <v>95.503348500852738</v>
      </c>
      <c r="AT104" s="223">
        <v>89.464960521325239</v>
      </c>
      <c r="AU104" s="223">
        <v>89.547944197140893</v>
      </c>
      <c r="AV104" s="223">
        <v>98.87</v>
      </c>
      <c r="AW104" s="224">
        <v>97.5505</v>
      </c>
      <c r="AX104" s="42"/>
      <c r="AY104" s="181"/>
      <c r="AZ104" s="197"/>
    </row>
    <row r="105" spans="2:52" ht="13" hidden="1" thickBot="1" x14ac:dyDescent="0.3">
      <c r="B105" s="10" t="s">
        <v>40</v>
      </c>
      <c r="C105" s="16"/>
      <c r="L105" s="55">
        <v>2370</v>
      </c>
      <c r="M105" s="274">
        <f t="shared" si="16"/>
        <v>0</v>
      </c>
      <c r="N105" s="275">
        <f t="shared" si="16"/>
        <v>0</v>
      </c>
      <c r="O105" s="276" t="e">
        <f ca="1"/>
        <v>#N/A</v>
      </c>
      <c r="Q105" s="34">
        <v>0</v>
      </c>
      <c r="R105" s="24">
        <v>0</v>
      </c>
      <c r="S105" s="24">
        <v>0</v>
      </c>
      <c r="T105" s="24">
        <v>0</v>
      </c>
      <c r="U105" s="24">
        <f t="array" ref="U105">IF(U$77&gt;" ",(U$628:U$1078),"")</f>
        <v>0</v>
      </c>
      <c r="V105" s="24">
        <f t="array" ref="V105">IF(V$77&gt;" ",(V$628:V$1078),"")</f>
        <v>0</v>
      </c>
      <c r="W105" s="24">
        <f t="array" ref="W105">IF(W$77&gt;" ",(W$628:W$1078),"")</f>
        <v>0</v>
      </c>
      <c r="X105" s="24">
        <f t="array" ref="X105">IF(X$77&gt;" ",(X$628:X$1078),"")</f>
        <v>0</v>
      </c>
      <c r="Y105" s="21">
        <v>0</v>
      </c>
      <c r="Z105" s="34">
        <f t="shared" si="5"/>
        <v>0</v>
      </c>
      <c r="AA105" s="24">
        <f t="shared" si="6"/>
        <v>0</v>
      </c>
      <c r="AB105" s="24">
        <f t="shared" si="7"/>
        <v>0</v>
      </c>
      <c r="AC105" s="24">
        <f t="shared" si="8"/>
        <v>0</v>
      </c>
      <c r="AD105" s="24">
        <f t="shared" si="17"/>
        <v>0</v>
      </c>
      <c r="AE105" s="24">
        <f t="shared" si="17"/>
        <v>0</v>
      </c>
      <c r="AF105" s="24">
        <f t="shared" si="17"/>
        <v>0</v>
      </c>
      <c r="AG105" s="24">
        <f t="shared" si="17"/>
        <v>0</v>
      </c>
      <c r="AH105" s="24">
        <f t="shared" si="11"/>
        <v>0</v>
      </c>
      <c r="AI105" s="24">
        <f t="shared" si="10"/>
        <v>0</v>
      </c>
      <c r="AJ105" s="261">
        <f t="shared" si="12"/>
        <v>0</v>
      </c>
      <c r="AK105" s="13"/>
      <c r="AL105" s="100">
        <v>2370</v>
      </c>
      <c r="AM105" s="202"/>
      <c r="AN105" s="200"/>
      <c r="AO105" s="200"/>
      <c r="AP105" s="283">
        <v>3.073E-2</v>
      </c>
      <c r="AR105" s="222">
        <v>95.564750226092315</v>
      </c>
      <c r="AS105" s="223">
        <v>95.512413887416869</v>
      </c>
      <c r="AT105" s="223">
        <v>89.51960581238643</v>
      </c>
      <c r="AU105" s="223">
        <v>89.602419318891819</v>
      </c>
      <c r="AV105" s="223">
        <v>98.86399999999999</v>
      </c>
      <c r="AW105" s="224">
        <v>97.512</v>
      </c>
      <c r="AX105" s="42"/>
      <c r="AY105" s="181"/>
      <c r="AZ105" s="197"/>
    </row>
    <row r="106" spans="2:52" ht="13" hidden="1" thickBot="1" x14ac:dyDescent="0.3">
      <c r="B106" s="10" t="s">
        <v>41</v>
      </c>
      <c r="C106" s="16"/>
      <c r="L106" s="55">
        <v>2365</v>
      </c>
      <c r="M106" s="274">
        <f t="shared" si="16"/>
        <v>0</v>
      </c>
      <c r="N106" s="275">
        <f t="shared" si="16"/>
        <v>0</v>
      </c>
      <c r="O106" s="276" t="e">
        <f ca="1"/>
        <v>#N/A</v>
      </c>
      <c r="Q106" s="34">
        <v>0</v>
      </c>
      <c r="R106" s="24">
        <v>0</v>
      </c>
      <c r="S106" s="24">
        <v>0</v>
      </c>
      <c r="T106" s="24">
        <v>0</v>
      </c>
      <c r="U106" s="24">
        <f t="array" ref="U106">IF(U$77&gt;" ",(U$628:U$1078),"")</f>
        <v>0</v>
      </c>
      <c r="V106" s="24">
        <f t="array" ref="V106">IF(V$77&gt;" ",(V$628:V$1078),"")</f>
        <v>0</v>
      </c>
      <c r="W106" s="24">
        <f t="array" ref="W106">IF(W$77&gt;" ",(W$628:W$1078),"")</f>
        <v>0</v>
      </c>
      <c r="X106" s="24">
        <f t="array" ref="X106">IF(X$77&gt;" ",(X$628:X$1078),"")</f>
        <v>0</v>
      </c>
      <c r="Y106" s="21">
        <v>0</v>
      </c>
      <c r="Z106" s="34">
        <f t="shared" si="5"/>
        <v>0</v>
      </c>
      <c r="AA106" s="24">
        <f t="shared" si="6"/>
        <v>0</v>
      </c>
      <c r="AB106" s="24">
        <f t="shared" si="7"/>
        <v>0</v>
      </c>
      <c r="AC106" s="24">
        <f t="shared" si="8"/>
        <v>0</v>
      </c>
      <c r="AD106" s="24">
        <f t="shared" si="17"/>
        <v>0</v>
      </c>
      <c r="AE106" s="24">
        <f t="shared" si="17"/>
        <v>0</v>
      </c>
      <c r="AF106" s="24">
        <f t="shared" si="17"/>
        <v>0</v>
      </c>
      <c r="AG106" s="24">
        <f t="shared" si="17"/>
        <v>0</v>
      </c>
      <c r="AH106" s="24">
        <f t="shared" si="11"/>
        <v>0</v>
      </c>
      <c r="AI106" s="24">
        <f t="shared" si="10"/>
        <v>0</v>
      </c>
      <c r="AJ106" s="261">
        <f t="shared" si="12"/>
        <v>0</v>
      </c>
      <c r="AK106" s="13"/>
      <c r="AL106" s="100">
        <v>2365</v>
      </c>
      <c r="AM106" s="202"/>
      <c r="AN106" s="200"/>
      <c r="AO106" s="200"/>
      <c r="AP106" s="284">
        <v>4.9270000000000001E-2</v>
      </c>
      <c r="AR106" s="222">
        <v>95.539556594058624</v>
      </c>
      <c r="AS106" s="223">
        <v>95.502961575160043</v>
      </c>
      <c r="AT106" s="223">
        <v>89.557060151552207</v>
      </c>
      <c r="AU106" s="223">
        <v>89.643889271446596</v>
      </c>
      <c r="AV106" s="223">
        <v>98.862499999999997</v>
      </c>
      <c r="AW106" s="224">
        <v>97.507999999999996</v>
      </c>
      <c r="AX106" s="42"/>
      <c r="AY106" s="181"/>
      <c r="AZ106" s="197"/>
    </row>
    <row r="107" spans="2:52" ht="13" hidden="1" thickBot="1" x14ac:dyDescent="0.3">
      <c r="B107" s="10" t="s">
        <v>42</v>
      </c>
      <c r="C107" s="16"/>
      <c r="L107" s="55">
        <v>2360</v>
      </c>
      <c r="M107" s="274">
        <f t="shared" si="16"/>
        <v>0</v>
      </c>
      <c r="N107" s="275">
        <f t="shared" si="16"/>
        <v>0</v>
      </c>
      <c r="O107" s="276" t="e">
        <f ca="1"/>
        <v>#N/A</v>
      </c>
      <c r="Q107" s="34">
        <v>0</v>
      </c>
      <c r="R107" s="24">
        <v>0</v>
      </c>
      <c r="S107" s="24">
        <v>0</v>
      </c>
      <c r="T107" s="24">
        <v>0</v>
      </c>
      <c r="U107" s="24">
        <f t="array" ref="U107">IF(U$77&gt;" ",(U$628:U$1078),"")</f>
        <v>0</v>
      </c>
      <c r="V107" s="24">
        <f t="array" ref="V107">IF(V$77&gt;" ",(V$628:V$1078),"")</f>
        <v>0</v>
      </c>
      <c r="W107" s="24">
        <f t="array" ref="W107">IF(W$77&gt;" ",(W$628:W$1078),"")</f>
        <v>0</v>
      </c>
      <c r="X107" s="24">
        <f t="array" ref="X107">IF(X$77&gt;" ",(X$628:X$1078),"")</f>
        <v>0</v>
      </c>
      <c r="Y107" s="21">
        <v>0</v>
      </c>
      <c r="Z107" s="34">
        <f t="shared" si="5"/>
        <v>0</v>
      </c>
      <c r="AA107" s="24">
        <f t="shared" si="6"/>
        <v>0</v>
      </c>
      <c r="AB107" s="24">
        <f t="shared" si="7"/>
        <v>0</v>
      </c>
      <c r="AC107" s="24">
        <f t="shared" si="8"/>
        <v>0</v>
      </c>
      <c r="AD107" s="24">
        <f t="shared" si="17"/>
        <v>0</v>
      </c>
      <c r="AE107" s="24">
        <f t="shared" si="17"/>
        <v>0</v>
      </c>
      <c r="AF107" s="24">
        <f t="shared" si="17"/>
        <v>0</v>
      </c>
      <c r="AG107" s="24">
        <f t="shared" si="17"/>
        <v>0</v>
      </c>
      <c r="AH107" s="24">
        <f t="shared" si="11"/>
        <v>0</v>
      </c>
      <c r="AI107" s="24">
        <f t="shared" si="10"/>
        <v>0</v>
      </c>
      <c r="AJ107" s="261">
        <f t="shared" si="12"/>
        <v>0</v>
      </c>
      <c r="AK107" s="13"/>
      <c r="AL107" s="100">
        <v>2360</v>
      </c>
      <c r="AM107" s="202"/>
      <c r="AN107" s="200"/>
      <c r="AO107" s="200"/>
      <c r="AP107" s="283">
        <v>5.0090000000000003E-2</v>
      </c>
      <c r="AR107" s="222">
        <v>95.53134074895722</v>
      </c>
      <c r="AS107" s="223">
        <v>95.481728483669031</v>
      </c>
      <c r="AT107" s="223">
        <v>89.611066282127169</v>
      </c>
      <c r="AU107" s="223">
        <v>89.697326497909657</v>
      </c>
      <c r="AV107" s="223">
        <v>98.861000000000004</v>
      </c>
      <c r="AW107" s="224">
        <v>97.504000000000005</v>
      </c>
      <c r="AX107" s="42"/>
      <c r="AY107" s="181"/>
      <c r="AZ107" s="197"/>
    </row>
    <row r="108" spans="2:52" ht="13" hidden="1" thickBot="1" x14ac:dyDescent="0.3">
      <c r="B108" s="11" t="s">
        <v>43</v>
      </c>
      <c r="C108" s="17"/>
      <c r="L108" s="55">
        <v>2355</v>
      </c>
      <c r="M108" s="274">
        <f t="shared" si="16"/>
        <v>0</v>
      </c>
      <c r="N108" s="275">
        <f t="shared" si="16"/>
        <v>0</v>
      </c>
      <c r="O108" s="276" t="e">
        <f ca="1"/>
        <v>#N/A</v>
      </c>
      <c r="Q108" s="34">
        <v>0</v>
      </c>
      <c r="R108" s="24">
        <v>0</v>
      </c>
      <c r="S108" s="24">
        <v>0</v>
      </c>
      <c r="T108" s="24">
        <v>0</v>
      </c>
      <c r="U108" s="24">
        <f t="array" ref="U108">IF(U$77&gt;" ",(U$628:U$1078),"")</f>
        <v>0</v>
      </c>
      <c r="V108" s="24">
        <f t="array" ref="V108">IF(V$77&gt;" ",(V$628:V$1078),"")</f>
        <v>0</v>
      </c>
      <c r="W108" s="24">
        <f t="array" ref="W108">IF(W$77&gt;" ",(W$628:W$1078),"")</f>
        <v>0</v>
      </c>
      <c r="X108" s="24">
        <f t="array" ref="X108">IF(X$77&gt;" ",(X$628:X$1078),"")</f>
        <v>0</v>
      </c>
      <c r="Y108" s="21">
        <v>0</v>
      </c>
      <c r="Z108" s="34">
        <f t="shared" si="5"/>
        <v>0</v>
      </c>
      <c r="AA108" s="24">
        <f t="shared" si="6"/>
        <v>0</v>
      </c>
      <c r="AB108" s="24">
        <f t="shared" si="7"/>
        <v>0</v>
      </c>
      <c r="AC108" s="24">
        <f t="shared" si="8"/>
        <v>0</v>
      </c>
      <c r="AD108" s="24">
        <f t="shared" si="17"/>
        <v>0</v>
      </c>
      <c r="AE108" s="24">
        <f t="shared" si="17"/>
        <v>0</v>
      </c>
      <c r="AF108" s="24">
        <f t="shared" si="17"/>
        <v>0</v>
      </c>
      <c r="AG108" s="24">
        <f t="shared" si="17"/>
        <v>0</v>
      </c>
      <c r="AH108" s="24">
        <f t="shared" si="11"/>
        <v>0</v>
      </c>
      <c r="AI108" s="24">
        <f t="shared" si="10"/>
        <v>0</v>
      </c>
      <c r="AJ108" s="261">
        <f t="shared" si="12"/>
        <v>0</v>
      </c>
      <c r="AK108" s="13"/>
      <c r="AL108" s="100">
        <v>2355</v>
      </c>
      <c r="AM108" s="202"/>
      <c r="AN108" s="200"/>
      <c r="AO108" s="200"/>
      <c r="AP108" s="284">
        <v>4.734E-2</v>
      </c>
      <c r="AR108" s="222">
        <v>95.545941937517966</v>
      </c>
      <c r="AS108" s="223">
        <v>95.491427091886933</v>
      </c>
      <c r="AT108" s="223">
        <v>89.638179091929658</v>
      </c>
      <c r="AU108" s="223">
        <v>89.723023376687408</v>
      </c>
      <c r="AV108" s="223">
        <v>98.853999999999999</v>
      </c>
      <c r="AW108" s="224">
        <v>97.502499999999998</v>
      </c>
      <c r="AX108" s="42"/>
      <c r="AY108" s="181"/>
      <c r="AZ108" s="197"/>
    </row>
    <row r="109" spans="2:52" ht="13" hidden="1" thickBot="1" x14ac:dyDescent="0.3">
      <c r="B109" s="42"/>
      <c r="C109" s="43"/>
      <c r="L109" s="55">
        <v>2350</v>
      </c>
      <c r="M109" s="274">
        <f t="shared" si="16"/>
        <v>0</v>
      </c>
      <c r="N109" s="275">
        <f t="shared" si="16"/>
        <v>0</v>
      </c>
      <c r="O109" s="276" t="e">
        <f ca="1"/>
        <v>#N/A</v>
      </c>
      <c r="Q109" s="34">
        <v>0</v>
      </c>
      <c r="R109" s="24">
        <v>0</v>
      </c>
      <c r="S109" s="24">
        <v>0</v>
      </c>
      <c r="T109" s="24">
        <v>0</v>
      </c>
      <c r="U109" s="24">
        <f t="array" ref="U109">IF(U$77&gt;" ",(U$628:U$1078),"")</f>
        <v>0</v>
      </c>
      <c r="V109" s="24">
        <f t="array" ref="V109">IF(V$77&gt;" ",(V$628:V$1078),"")</f>
        <v>0</v>
      </c>
      <c r="W109" s="24">
        <f t="array" ref="W109">IF(W$77&gt;" ",(W$628:W$1078),"")</f>
        <v>0</v>
      </c>
      <c r="X109" s="24">
        <f t="array" ref="X109">IF(X$77&gt;" ",(X$628:X$1078),"")</f>
        <v>0</v>
      </c>
      <c r="Y109" s="21">
        <v>0</v>
      </c>
      <c r="Z109" s="34">
        <f t="shared" si="5"/>
        <v>0</v>
      </c>
      <c r="AA109" s="24">
        <f t="shared" si="6"/>
        <v>0</v>
      </c>
      <c r="AB109" s="24">
        <f t="shared" si="7"/>
        <v>0</v>
      </c>
      <c r="AC109" s="24">
        <f t="shared" si="8"/>
        <v>0</v>
      </c>
      <c r="AD109" s="24">
        <f t="shared" si="17"/>
        <v>0</v>
      </c>
      <c r="AE109" s="24">
        <f t="shared" si="17"/>
        <v>0</v>
      </c>
      <c r="AF109" s="24">
        <f t="shared" si="17"/>
        <v>0</v>
      </c>
      <c r="AG109" s="24">
        <f t="shared" si="17"/>
        <v>0</v>
      </c>
      <c r="AH109" s="24">
        <f t="shared" si="11"/>
        <v>0</v>
      </c>
      <c r="AI109" s="24">
        <f t="shared" si="10"/>
        <v>0</v>
      </c>
      <c r="AJ109" s="261">
        <f t="shared" si="12"/>
        <v>0</v>
      </c>
      <c r="AK109" s="13"/>
      <c r="AL109" s="100">
        <v>2350</v>
      </c>
      <c r="AM109" s="202"/>
      <c r="AN109" s="200"/>
      <c r="AO109" s="200"/>
      <c r="AP109" s="283">
        <v>4.1419999999999998E-2</v>
      </c>
      <c r="AR109" s="222">
        <v>95.568194615190691</v>
      </c>
      <c r="AS109" s="223">
        <v>95.511777154715631</v>
      </c>
      <c r="AT109" s="223">
        <v>89.681562022299488</v>
      </c>
      <c r="AU109" s="223">
        <v>89.767733806586406</v>
      </c>
      <c r="AV109" s="223">
        <v>98.846999999999994</v>
      </c>
      <c r="AW109" s="224">
        <v>97.501000000000005</v>
      </c>
      <c r="AX109" s="42"/>
      <c r="AY109" s="181"/>
      <c r="AZ109" s="197"/>
    </row>
    <row r="110" spans="2:52" ht="13" hidden="1" thickBot="1" x14ac:dyDescent="0.3">
      <c r="B110" s="2" t="s">
        <v>47</v>
      </c>
      <c r="C110" s="18"/>
      <c r="L110" s="55">
        <v>2345</v>
      </c>
      <c r="M110" s="274">
        <f t="shared" si="16"/>
        <v>0</v>
      </c>
      <c r="N110" s="275">
        <f t="shared" si="16"/>
        <v>0</v>
      </c>
      <c r="O110" s="276" t="e">
        <f ca="1"/>
        <v>#N/A</v>
      </c>
      <c r="Q110" s="34">
        <v>0</v>
      </c>
      <c r="R110" s="24">
        <v>0</v>
      </c>
      <c r="S110" s="24">
        <v>0</v>
      </c>
      <c r="T110" s="24">
        <v>0</v>
      </c>
      <c r="U110" s="24">
        <f t="array" ref="U110">IF(U$77&gt;" ",(U$628:U$1078),"")</f>
        <v>0</v>
      </c>
      <c r="V110" s="24">
        <f t="array" ref="V110">IF(V$77&gt;" ",(V$628:V$1078),"")</f>
        <v>0</v>
      </c>
      <c r="W110" s="24">
        <f t="array" ref="W110">IF(W$77&gt;" ",(W$628:W$1078),"")</f>
        <v>0</v>
      </c>
      <c r="X110" s="24">
        <f t="array" ref="X110">IF(X$77&gt;" ",(X$628:X$1078),"")</f>
        <v>0</v>
      </c>
      <c r="Y110" s="21">
        <v>0</v>
      </c>
      <c r="Z110" s="34">
        <f t="shared" si="5"/>
        <v>0</v>
      </c>
      <c r="AA110" s="24">
        <f t="shared" si="6"/>
        <v>0</v>
      </c>
      <c r="AB110" s="24">
        <f t="shared" si="7"/>
        <v>0</v>
      </c>
      <c r="AC110" s="24">
        <f t="shared" si="8"/>
        <v>0</v>
      </c>
      <c r="AD110" s="24">
        <f t="shared" si="17"/>
        <v>0</v>
      </c>
      <c r="AE110" s="24">
        <f t="shared" si="17"/>
        <v>0</v>
      </c>
      <c r="AF110" s="24">
        <f t="shared" si="17"/>
        <v>0</v>
      </c>
      <c r="AG110" s="24">
        <f t="shared" si="17"/>
        <v>0</v>
      </c>
      <c r="AH110" s="24">
        <f t="shared" si="11"/>
        <v>0</v>
      </c>
      <c r="AI110" s="24">
        <f t="shared" si="10"/>
        <v>0</v>
      </c>
      <c r="AJ110" s="261">
        <f t="shared" si="12"/>
        <v>0</v>
      </c>
      <c r="AK110" s="13"/>
      <c r="AL110" s="100">
        <v>2345</v>
      </c>
      <c r="AM110" s="202"/>
      <c r="AN110" s="200"/>
      <c r="AO110" s="200"/>
      <c r="AP110" s="284">
        <v>5.1249999999999997E-2</v>
      </c>
      <c r="AR110" s="222">
        <v>95.578630331747206</v>
      </c>
      <c r="AS110" s="223">
        <v>95.522627767324295</v>
      </c>
      <c r="AT110" s="223">
        <v>89.649929719258367</v>
      </c>
      <c r="AU110" s="223">
        <v>89.735399140711436</v>
      </c>
      <c r="AV110" s="223">
        <v>98.848500000000001</v>
      </c>
      <c r="AW110" s="224">
        <v>97.501000000000005</v>
      </c>
      <c r="AX110" s="42"/>
      <c r="AY110" s="181"/>
      <c r="AZ110" s="197"/>
    </row>
    <row r="111" spans="2:52" ht="13" hidden="1" thickBot="1" x14ac:dyDescent="0.3">
      <c r="B111" s="10" t="s">
        <v>40</v>
      </c>
      <c r="C111" s="16"/>
      <c r="L111" s="55">
        <v>2340</v>
      </c>
      <c r="M111" s="274">
        <f t="shared" ref="M111:N126" si="18">M660</f>
        <v>0</v>
      </c>
      <c r="N111" s="275">
        <f t="shared" si="18"/>
        <v>0</v>
      </c>
      <c r="O111" s="276" t="e">
        <f ca="1"/>
        <v>#N/A</v>
      </c>
      <c r="Q111" s="34">
        <v>0</v>
      </c>
      <c r="R111" s="24">
        <v>0</v>
      </c>
      <c r="S111" s="24">
        <v>0</v>
      </c>
      <c r="T111" s="24">
        <v>0</v>
      </c>
      <c r="U111" s="24">
        <f t="array" ref="U111">IF(U$77&gt;" ",(U$628:U$1078),"")</f>
        <v>0</v>
      </c>
      <c r="V111" s="24">
        <f t="array" ref="V111">IF(V$77&gt;" ",(V$628:V$1078),"")</f>
        <v>0</v>
      </c>
      <c r="W111" s="24">
        <f t="array" ref="W111">IF(W$77&gt;" ",(W$628:W$1078),"")</f>
        <v>0</v>
      </c>
      <c r="X111" s="24">
        <f t="array" ref="X111">IF(X$77&gt;" ",(X$628:X$1078),"")</f>
        <v>0</v>
      </c>
      <c r="Y111" s="21">
        <v>0</v>
      </c>
      <c r="Z111" s="34">
        <f t="shared" si="5"/>
        <v>0</v>
      </c>
      <c r="AA111" s="24">
        <f t="shared" si="6"/>
        <v>0</v>
      </c>
      <c r="AB111" s="24">
        <f t="shared" si="7"/>
        <v>0</v>
      </c>
      <c r="AC111" s="24">
        <f t="shared" si="8"/>
        <v>0</v>
      </c>
      <c r="AD111" s="24">
        <f t="shared" si="17"/>
        <v>0</v>
      </c>
      <c r="AE111" s="24">
        <f t="shared" si="17"/>
        <v>0</v>
      </c>
      <c r="AF111" s="24">
        <f t="shared" si="17"/>
        <v>0</v>
      </c>
      <c r="AG111" s="24">
        <f t="shared" si="17"/>
        <v>0</v>
      </c>
      <c r="AH111" s="24">
        <f t="shared" si="11"/>
        <v>0</v>
      </c>
      <c r="AI111" s="24">
        <f t="shared" si="10"/>
        <v>0</v>
      </c>
      <c r="AJ111" s="261">
        <f t="shared" si="12"/>
        <v>0</v>
      </c>
      <c r="AK111" s="13"/>
      <c r="AL111" s="100">
        <v>2340</v>
      </c>
      <c r="AM111" s="202"/>
      <c r="AN111" s="200"/>
      <c r="AO111" s="200"/>
      <c r="AP111" s="283">
        <v>4.5699999999999998E-2</v>
      </c>
      <c r="AR111" s="222">
        <v>95.556848817356737</v>
      </c>
      <c r="AS111" s="223">
        <v>95.522856013028147</v>
      </c>
      <c r="AT111" s="223">
        <v>89.631522035086519</v>
      </c>
      <c r="AU111" s="223">
        <v>89.717681386469962</v>
      </c>
      <c r="AV111" s="223">
        <v>98.85</v>
      </c>
      <c r="AW111" s="224">
        <v>97.501000000000005</v>
      </c>
      <c r="AX111" s="42"/>
      <c r="AY111" s="181"/>
      <c r="AZ111" s="197"/>
    </row>
    <row r="112" spans="2:52" ht="13" hidden="1" thickBot="1" x14ac:dyDescent="0.3">
      <c r="B112" s="10" t="s">
        <v>41</v>
      </c>
      <c r="C112" s="16"/>
      <c r="L112" s="55">
        <v>2335</v>
      </c>
      <c r="M112" s="274">
        <f t="shared" si="18"/>
        <v>0</v>
      </c>
      <c r="N112" s="275">
        <f t="shared" si="18"/>
        <v>0</v>
      </c>
      <c r="O112" s="276" t="e">
        <f ca="1"/>
        <v>#N/A</v>
      </c>
      <c r="Q112" s="34">
        <v>0</v>
      </c>
      <c r="R112" s="24">
        <v>0</v>
      </c>
      <c r="S112" s="24">
        <v>0</v>
      </c>
      <c r="T112" s="24">
        <v>0</v>
      </c>
      <c r="U112" s="24">
        <f t="array" ref="U112">IF(U$77&gt;" ",(U$628:U$1078),"")</f>
        <v>0</v>
      </c>
      <c r="V112" s="24">
        <f t="array" ref="V112">IF(V$77&gt;" ",(V$628:V$1078),"")</f>
        <v>0</v>
      </c>
      <c r="W112" s="24">
        <f t="array" ref="W112">IF(W$77&gt;" ",(W$628:W$1078),"")</f>
        <v>0</v>
      </c>
      <c r="X112" s="24">
        <f t="array" ref="X112">IF(X$77&gt;" ",(X$628:X$1078),"")</f>
        <v>0</v>
      </c>
      <c r="Y112" s="21">
        <v>0</v>
      </c>
      <c r="Z112" s="34">
        <f t="shared" si="5"/>
        <v>0</v>
      </c>
      <c r="AA112" s="24">
        <f t="shared" si="6"/>
        <v>0</v>
      </c>
      <c r="AB112" s="24">
        <f t="shared" si="7"/>
        <v>0</v>
      </c>
      <c r="AC112" s="24">
        <f t="shared" si="8"/>
        <v>0</v>
      </c>
      <c r="AD112" s="24">
        <f t="shared" si="17"/>
        <v>0</v>
      </c>
      <c r="AE112" s="24">
        <f t="shared" si="17"/>
        <v>0</v>
      </c>
      <c r="AF112" s="24">
        <f t="shared" si="17"/>
        <v>0</v>
      </c>
      <c r="AG112" s="24">
        <f t="shared" si="17"/>
        <v>0</v>
      </c>
      <c r="AH112" s="24">
        <f t="shared" si="11"/>
        <v>0</v>
      </c>
      <c r="AI112" s="24">
        <f t="shared" si="10"/>
        <v>0</v>
      </c>
      <c r="AJ112" s="261">
        <f t="shared" si="12"/>
        <v>0</v>
      </c>
      <c r="AK112" s="13"/>
      <c r="AL112" s="100">
        <v>2335</v>
      </c>
      <c r="AM112" s="202"/>
      <c r="AN112" s="200"/>
      <c r="AO112" s="200"/>
      <c r="AP112" s="284">
        <v>5.7799999999999997E-2</v>
      </c>
      <c r="AR112" s="222">
        <v>95.570532855278103</v>
      </c>
      <c r="AS112" s="223">
        <v>95.515669034401569</v>
      </c>
      <c r="AT112" s="223">
        <v>89.640583084766718</v>
      </c>
      <c r="AU112" s="223">
        <v>89.730665986097392</v>
      </c>
      <c r="AV112" s="223">
        <v>98.847999999999999</v>
      </c>
      <c r="AW112" s="224">
        <v>97.497500000000002</v>
      </c>
      <c r="AX112" s="42"/>
      <c r="AY112" s="181"/>
      <c r="AZ112" s="197"/>
    </row>
    <row r="113" spans="2:52" ht="13" hidden="1" thickBot="1" x14ac:dyDescent="0.3">
      <c r="B113" s="10" t="s">
        <v>42</v>
      </c>
      <c r="C113" s="16"/>
      <c r="L113" s="55">
        <v>2330</v>
      </c>
      <c r="M113" s="274">
        <f t="shared" si="18"/>
        <v>0</v>
      </c>
      <c r="N113" s="275">
        <f t="shared" si="18"/>
        <v>0</v>
      </c>
      <c r="O113" s="276" t="e">
        <f ca="1"/>
        <v>#N/A</v>
      </c>
      <c r="Q113" s="34">
        <v>0</v>
      </c>
      <c r="R113" s="24">
        <v>0</v>
      </c>
      <c r="S113" s="24">
        <v>0</v>
      </c>
      <c r="T113" s="24">
        <v>0</v>
      </c>
      <c r="U113" s="24">
        <f t="array" ref="U113">IF(U$77&gt;" ",(U$628:U$1078),"")</f>
        <v>0</v>
      </c>
      <c r="V113" s="24">
        <f t="array" ref="V113">IF(V$77&gt;" ",(V$628:V$1078),"")</f>
        <v>0</v>
      </c>
      <c r="W113" s="24">
        <f t="array" ref="W113">IF(W$77&gt;" ",(W$628:W$1078),"")</f>
        <v>0</v>
      </c>
      <c r="X113" s="24">
        <f t="array" ref="X113">IF(X$77&gt;" ",(X$628:X$1078),"")</f>
        <v>0</v>
      </c>
      <c r="Y113" s="21">
        <v>0</v>
      </c>
      <c r="Z113" s="34">
        <f t="shared" si="5"/>
        <v>0</v>
      </c>
      <c r="AA113" s="24">
        <f t="shared" si="6"/>
        <v>0</v>
      </c>
      <c r="AB113" s="24">
        <f t="shared" si="7"/>
        <v>0</v>
      </c>
      <c r="AC113" s="24">
        <f t="shared" si="8"/>
        <v>0</v>
      </c>
      <c r="AD113" s="24">
        <f t="shared" si="17"/>
        <v>0</v>
      </c>
      <c r="AE113" s="24">
        <f t="shared" si="17"/>
        <v>0</v>
      </c>
      <c r="AF113" s="24">
        <f t="shared" si="17"/>
        <v>0</v>
      </c>
      <c r="AG113" s="24">
        <f t="shared" si="17"/>
        <v>0</v>
      </c>
      <c r="AH113" s="24">
        <f t="shared" si="11"/>
        <v>0</v>
      </c>
      <c r="AI113" s="24">
        <f t="shared" si="10"/>
        <v>0</v>
      </c>
      <c r="AJ113" s="261">
        <f t="shared" si="12"/>
        <v>0</v>
      </c>
      <c r="AK113" s="13"/>
      <c r="AL113" s="100">
        <v>2330</v>
      </c>
      <c r="AM113" s="202"/>
      <c r="AN113" s="200"/>
      <c r="AO113" s="200"/>
      <c r="AP113" s="283">
        <v>5.6660000000000002E-2</v>
      </c>
      <c r="AR113" s="222">
        <v>95.570701736537671</v>
      </c>
      <c r="AS113" s="223">
        <v>95.518177556741094</v>
      </c>
      <c r="AT113" s="223">
        <v>89.650504006020796</v>
      </c>
      <c r="AU113" s="223">
        <v>89.742183981483663</v>
      </c>
      <c r="AV113" s="223">
        <v>98.846000000000004</v>
      </c>
      <c r="AW113" s="224">
        <v>97.494</v>
      </c>
      <c r="AX113" s="42"/>
      <c r="AY113" s="181"/>
      <c r="AZ113" s="197"/>
    </row>
    <row r="114" spans="2:52" ht="13" hidden="1" thickBot="1" x14ac:dyDescent="0.3">
      <c r="B114" s="11" t="s">
        <v>43</v>
      </c>
      <c r="C114" s="17"/>
      <c r="L114" s="55">
        <v>2325</v>
      </c>
      <c r="M114" s="274">
        <f t="shared" si="18"/>
        <v>0</v>
      </c>
      <c r="N114" s="275">
        <f t="shared" si="18"/>
        <v>0</v>
      </c>
      <c r="O114" s="276" t="e">
        <f ca="1"/>
        <v>#N/A</v>
      </c>
      <c r="Q114" s="34">
        <v>0</v>
      </c>
      <c r="R114" s="24">
        <v>0</v>
      </c>
      <c r="S114" s="24">
        <v>0</v>
      </c>
      <c r="T114" s="24">
        <v>0</v>
      </c>
      <c r="U114" s="24">
        <f t="array" ref="U114">IF(U$77&gt;" ",(U$628:U$1078),"")</f>
        <v>0</v>
      </c>
      <c r="V114" s="24">
        <f t="array" ref="V114">IF(V$77&gt;" ",(V$628:V$1078),"")</f>
        <v>0</v>
      </c>
      <c r="W114" s="24">
        <f t="array" ref="W114">IF(W$77&gt;" ",(W$628:W$1078),"")</f>
        <v>0</v>
      </c>
      <c r="X114" s="24">
        <f t="array" ref="X114">IF(X$77&gt;" ",(X$628:X$1078),"")</f>
        <v>0</v>
      </c>
      <c r="Y114" s="21">
        <v>0</v>
      </c>
      <c r="Z114" s="34">
        <f t="shared" si="5"/>
        <v>0</v>
      </c>
      <c r="AA114" s="24">
        <f t="shared" si="6"/>
        <v>0</v>
      </c>
      <c r="AB114" s="24">
        <f t="shared" si="7"/>
        <v>0</v>
      </c>
      <c r="AC114" s="24">
        <f t="shared" si="8"/>
        <v>0</v>
      </c>
      <c r="AD114" s="24">
        <f t="shared" si="17"/>
        <v>0</v>
      </c>
      <c r="AE114" s="24">
        <f t="shared" si="17"/>
        <v>0</v>
      </c>
      <c r="AF114" s="24">
        <f t="shared" si="17"/>
        <v>0</v>
      </c>
      <c r="AG114" s="24">
        <f t="shared" si="17"/>
        <v>0</v>
      </c>
      <c r="AH114" s="24">
        <f t="shared" si="11"/>
        <v>0</v>
      </c>
      <c r="AI114" s="24">
        <f t="shared" si="10"/>
        <v>0</v>
      </c>
      <c r="AJ114" s="261">
        <f t="shared" si="12"/>
        <v>0</v>
      </c>
      <c r="AK114" s="13"/>
      <c r="AL114" s="100">
        <v>2325</v>
      </c>
      <c r="AM114" s="202"/>
      <c r="AN114" s="200"/>
      <c r="AO114" s="200"/>
      <c r="AP114" s="284">
        <v>5.6050000000000003E-2</v>
      </c>
      <c r="AR114" s="222">
        <v>95.568030028784861</v>
      </c>
      <c r="AS114" s="223">
        <v>95.517173510818068</v>
      </c>
      <c r="AT114" s="223">
        <v>89.643137362549126</v>
      </c>
      <c r="AU114" s="223">
        <v>89.736475266604657</v>
      </c>
      <c r="AV114" s="223">
        <v>98.843000000000004</v>
      </c>
      <c r="AW114" s="224">
        <v>97.495500000000007</v>
      </c>
      <c r="AX114" s="42"/>
      <c r="AY114" s="181"/>
      <c r="AZ114" s="197"/>
    </row>
    <row r="115" spans="2:52" ht="13" hidden="1" thickBot="1" x14ac:dyDescent="0.3">
      <c r="B115" s="42"/>
      <c r="C115" s="13"/>
      <c r="L115" s="55">
        <v>2320</v>
      </c>
      <c r="M115" s="274">
        <f t="shared" si="18"/>
        <v>0</v>
      </c>
      <c r="N115" s="275">
        <f t="shared" si="18"/>
        <v>0</v>
      </c>
      <c r="O115" s="276" t="e">
        <f ca="1"/>
        <v>#N/A</v>
      </c>
      <c r="Q115" s="34">
        <v>0</v>
      </c>
      <c r="R115" s="24">
        <v>0</v>
      </c>
      <c r="S115" s="24">
        <v>0</v>
      </c>
      <c r="T115" s="24">
        <v>0</v>
      </c>
      <c r="U115" s="24">
        <f t="array" ref="U115">IF(U$77&gt;" ",(U$628:U$1078),"")</f>
        <v>0</v>
      </c>
      <c r="V115" s="24">
        <f t="array" ref="V115">IF(V$77&gt;" ",(V$628:V$1078),"")</f>
        <v>0</v>
      </c>
      <c r="W115" s="24">
        <f t="array" ref="W115">IF(W$77&gt;" ",(W$628:W$1078),"")</f>
        <v>0</v>
      </c>
      <c r="X115" s="24">
        <f t="array" ref="X115">IF(X$77&gt;" ",(X$628:X$1078),"")</f>
        <v>0</v>
      </c>
      <c r="Y115" s="21">
        <v>0</v>
      </c>
      <c r="Z115" s="34">
        <f t="shared" si="5"/>
        <v>0</v>
      </c>
      <c r="AA115" s="24">
        <f t="shared" si="6"/>
        <v>0</v>
      </c>
      <c r="AB115" s="24">
        <f t="shared" si="7"/>
        <v>0</v>
      </c>
      <c r="AC115" s="24">
        <f t="shared" si="8"/>
        <v>0</v>
      </c>
      <c r="AD115" s="24">
        <f t="shared" si="17"/>
        <v>0</v>
      </c>
      <c r="AE115" s="24">
        <f t="shared" si="17"/>
        <v>0</v>
      </c>
      <c r="AF115" s="24">
        <f t="shared" si="17"/>
        <v>0</v>
      </c>
      <c r="AG115" s="24">
        <f t="shared" si="17"/>
        <v>0</v>
      </c>
      <c r="AH115" s="24">
        <f t="shared" si="11"/>
        <v>0</v>
      </c>
      <c r="AI115" s="24">
        <f t="shared" si="10"/>
        <v>0</v>
      </c>
      <c r="AJ115" s="261">
        <f t="shared" si="12"/>
        <v>0</v>
      </c>
      <c r="AK115" s="13"/>
      <c r="AL115" s="100">
        <v>2320</v>
      </c>
      <c r="AM115" s="202"/>
      <c r="AN115" s="200"/>
      <c r="AO115" s="200"/>
      <c r="AP115" s="283">
        <v>5.1880000000000003E-2</v>
      </c>
      <c r="AR115" s="222">
        <v>95.565132666741718</v>
      </c>
      <c r="AS115" s="223">
        <v>95.509550065953576</v>
      </c>
      <c r="AT115" s="223">
        <v>89.647034292290002</v>
      </c>
      <c r="AU115" s="223">
        <v>89.736192635212888</v>
      </c>
      <c r="AV115" s="223">
        <v>98.84</v>
      </c>
      <c r="AW115" s="224">
        <v>97.497</v>
      </c>
      <c r="AX115" s="42"/>
      <c r="AY115" s="181"/>
      <c r="AZ115" s="197"/>
    </row>
    <row r="116" spans="2:52" ht="13" hidden="1" thickBot="1" x14ac:dyDescent="0.3">
      <c r="B116" s="2" t="s">
        <v>49</v>
      </c>
      <c r="C116" s="2"/>
      <c r="L116" s="55">
        <v>2315</v>
      </c>
      <c r="M116" s="274">
        <f t="shared" si="18"/>
        <v>0</v>
      </c>
      <c r="N116" s="275">
        <f t="shared" si="18"/>
        <v>0</v>
      </c>
      <c r="O116" s="276" t="e">
        <f ca="1"/>
        <v>#N/A</v>
      </c>
      <c r="Q116" s="34">
        <v>0</v>
      </c>
      <c r="R116" s="24">
        <v>0</v>
      </c>
      <c r="S116" s="24">
        <v>0</v>
      </c>
      <c r="T116" s="24">
        <v>0</v>
      </c>
      <c r="U116" s="24">
        <f t="array" ref="U116">IF(U$77&gt;" ",(U$628:U$1078),"")</f>
        <v>0</v>
      </c>
      <c r="V116" s="24">
        <f t="array" ref="V116">IF(V$77&gt;" ",(V$628:V$1078),"")</f>
        <v>0</v>
      </c>
      <c r="W116" s="24">
        <f t="array" ref="W116">IF(W$77&gt;" ",(W$628:W$1078),"")</f>
        <v>0</v>
      </c>
      <c r="X116" s="24">
        <f t="array" ref="X116">IF(X$77&gt;" ",(X$628:X$1078),"")</f>
        <v>0</v>
      </c>
      <c r="Y116" s="21">
        <v>0</v>
      </c>
      <c r="Z116" s="34">
        <f t="shared" si="5"/>
        <v>0</v>
      </c>
      <c r="AA116" s="24">
        <f t="shared" si="6"/>
        <v>0</v>
      </c>
      <c r="AB116" s="24">
        <f t="shared" si="7"/>
        <v>0</v>
      </c>
      <c r="AC116" s="24">
        <f t="shared" si="8"/>
        <v>0</v>
      </c>
      <c r="AD116" s="24">
        <f t="shared" si="17"/>
        <v>0</v>
      </c>
      <c r="AE116" s="24">
        <f t="shared" si="17"/>
        <v>0</v>
      </c>
      <c r="AF116" s="24">
        <f t="shared" si="17"/>
        <v>0</v>
      </c>
      <c r="AG116" s="24">
        <f t="shared" si="17"/>
        <v>0</v>
      </c>
      <c r="AH116" s="24">
        <f t="shared" si="11"/>
        <v>0</v>
      </c>
      <c r="AI116" s="24">
        <f t="shared" si="10"/>
        <v>0</v>
      </c>
      <c r="AJ116" s="261">
        <f t="shared" si="12"/>
        <v>0</v>
      </c>
      <c r="AK116" s="13"/>
      <c r="AL116" s="100">
        <v>2315</v>
      </c>
      <c r="AM116" s="202"/>
      <c r="AN116" s="200"/>
      <c r="AO116" s="200"/>
      <c r="AP116" s="284">
        <v>5.7970000000000001E-2</v>
      </c>
      <c r="AR116" s="222">
        <v>95.549666014338172</v>
      </c>
      <c r="AS116" s="223">
        <v>95.496305875961596</v>
      </c>
      <c r="AT116" s="223">
        <v>89.645487740984024</v>
      </c>
      <c r="AU116" s="223">
        <v>89.733605984439421</v>
      </c>
      <c r="AV116" s="223">
        <v>98.835499999999996</v>
      </c>
      <c r="AW116" s="224">
        <v>97.496499999999997</v>
      </c>
      <c r="AX116" s="42"/>
      <c r="AY116" s="181"/>
      <c r="AZ116" s="197"/>
    </row>
    <row r="117" spans="2:52" ht="13" hidden="1" thickBot="1" x14ac:dyDescent="0.3">
      <c r="B117" s="4" t="s">
        <v>54</v>
      </c>
      <c r="C117" s="41">
        <v>0.3</v>
      </c>
      <c r="L117" s="55">
        <v>2310</v>
      </c>
      <c r="M117" s="274">
        <f t="shared" si="18"/>
        <v>0</v>
      </c>
      <c r="N117" s="275">
        <f t="shared" si="18"/>
        <v>0</v>
      </c>
      <c r="O117" s="276" t="e">
        <f ca="1"/>
        <v>#N/A</v>
      </c>
      <c r="Q117" s="34">
        <v>0</v>
      </c>
      <c r="R117" s="24">
        <v>0</v>
      </c>
      <c r="S117" s="24">
        <v>0</v>
      </c>
      <c r="T117" s="24">
        <v>0</v>
      </c>
      <c r="U117" s="24">
        <f t="array" ref="U117">IF(U$77&gt;" ",(U$628:U$1078),"")</f>
        <v>0</v>
      </c>
      <c r="V117" s="24">
        <f t="array" ref="V117">IF(V$77&gt;" ",(V$628:V$1078),"")</f>
        <v>0</v>
      </c>
      <c r="W117" s="24">
        <f t="array" ref="W117">IF(W$77&gt;" ",(W$628:W$1078),"")</f>
        <v>0</v>
      </c>
      <c r="X117" s="24">
        <f t="array" ref="X117">IF(X$77&gt;" ",(X$628:X$1078),"")</f>
        <v>0</v>
      </c>
      <c r="Y117" s="21">
        <v>0</v>
      </c>
      <c r="Z117" s="34">
        <f t="shared" si="5"/>
        <v>0</v>
      </c>
      <c r="AA117" s="24">
        <f t="shared" si="6"/>
        <v>0</v>
      </c>
      <c r="AB117" s="24">
        <f t="shared" si="7"/>
        <v>0</v>
      </c>
      <c r="AC117" s="24">
        <f t="shared" si="8"/>
        <v>0</v>
      </c>
      <c r="AD117" s="24">
        <f t="shared" si="17"/>
        <v>0</v>
      </c>
      <c r="AE117" s="24">
        <f t="shared" si="17"/>
        <v>0</v>
      </c>
      <c r="AF117" s="24">
        <f t="shared" si="17"/>
        <v>0</v>
      </c>
      <c r="AG117" s="24">
        <f t="shared" si="17"/>
        <v>0</v>
      </c>
      <c r="AH117" s="24">
        <f t="shared" si="11"/>
        <v>0</v>
      </c>
      <c r="AI117" s="24">
        <f t="shared" si="10"/>
        <v>0</v>
      </c>
      <c r="AJ117" s="261">
        <f t="shared" si="12"/>
        <v>0</v>
      </c>
      <c r="AK117" s="13"/>
      <c r="AL117" s="100">
        <v>2310</v>
      </c>
      <c r="AM117" s="202"/>
      <c r="AN117" s="200"/>
      <c r="AO117" s="200"/>
      <c r="AP117" s="283">
        <v>6.368E-2</v>
      </c>
      <c r="AR117" s="222">
        <v>95.539767957573716</v>
      </c>
      <c r="AS117" s="223">
        <v>95.490294184574068</v>
      </c>
      <c r="AT117" s="223">
        <v>89.634596210168453</v>
      </c>
      <c r="AU117" s="223">
        <v>89.721510466888745</v>
      </c>
      <c r="AV117" s="223">
        <v>98.831000000000003</v>
      </c>
      <c r="AW117" s="224">
        <v>97.496000000000009</v>
      </c>
      <c r="AX117" s="42"/>
      <c r="AY117" s="181"/>
      <c r="AZ117" s="197"/>
    </row>
    <row r="118" spans="2:52" ht="13" hidden="1" thickBot="1" x14ac:dyDescent="0.3">
      <c r="B118" s="4" t="s">
        <v>52</v>
      </c>
      <c r="C118" s="41">
        <v>265</v>
      </c>
      <c r="L118" s="55">
        <v>2305</v>
      </c>
      <c r="M118" s="274">
        <f t="shared" si="18"/>
        <v>0</v>
      </c>
      <c r="N118" s="275">
        <f t="shared" si="18"/>
        <v>0</v>
      </c>
      <c r="O118" s="276" t="e">
        <f ca="1"/>
        <v>#N/A</v>
      </c>
      <c r="Q118" s="34">
        <v>0</v>
      </c>
      <c r="R118" s="24">
        <v>0</v>
      </c>
      <c r="S118" s="24">
        <v>0</v>
      </c>
      <c r="T118" s="24">
        <v>0</v>
      </c>
      <c r="U118" s="24">
        <f t="array" ref="U118">IF(U$77&gt;" ",(U$628:U$1078),"")</f>
        <v>0</v>
      </c>
      <c r="V118" s="24">
        <f t="array" ref="V118">IF(V$77&gt;" ",(V$628:V$1078),"")</f>
        <v>0</v>
      </c>
      <c r="W118" s="24">
        <f t="array" ref="W118">IF(W$77&gt;" ",(W$628:W$1078),"")</f>
        <v>0</v>
      </c>
      <c r="X118" s="24">
        <f t="array" ref="X118">IF(X$77&gt;" ",(X$628:X$1078),"")</f>
        <v>0</v>
      </c>
      <c r="Y118" s="21">
        <v>0</v>
      </c>
      <c r="Z118" s="34">
        <f t="shared" si="5"/>
        <v>0</v>
      </c>
      <c r="AA118" s="24">
        <f t="shared" si="6"/>
        <v>0</v>
      </c>
      <c r="AB118" s="24">
        <f t="shared" si="7"/>
        <v>0</v>
      </c>
      <c r="AC118" s="24">
        <f t="shared" si="8"/>
        <v>0</v>
      </c>
      <c r="AD118" s="24">
        <f t="shared" si="17"/>
        <v>0</v>
      </c>
      <c r="AE118" s="24">
        <f t="shared" si="17"/>
        <v>0</v>
      </c>
      <c r="AF118" s="24">
        <f t="shared" si="17"/>
        <v>0</v>
      </c>
      <c r="AG118" s="24">
        <f t="shared" si="17"/>
        <v>0</v>
      </c>
      <c r="AH118" s="24">
        <f t="shared" si="11"/>
        <v>0</v>
      </c>
      <c r="AI118" s="24">
        <f t="shared" si="10"/>
        <v>0</v>
      </c>
      <c r="AJ118" s="261">
        <f t="shared" si="12"/>
        <v>0</v>
      </c>
      <c r="AK118" s="13"/>
      <c r="AL118" s="100">
        <v>2305</v>
      </c>
      <c r="AM118" s="202"/>
      <c r="AN118" s="200"/>
      <c r="AO118" s="200"/>
      <c r="AP118" s="284">
        <v>5.8999999999999997E-2</v>
      </c>
      <c r="AR118" s="222">
        <v>95.54884645162501</v>
      </c>
      <c r="AS118" s="223">
        <v>95.495760386428302</v>
      </c>
      <c r="AT118" s="223">
        <v>89.631074289470689</v>
      </c>
      <c r="AU118" s="223">
        <v>89.717983735929124</v>
      </c>
      <c r="AV118" s="223">
        <v>98.82950000000001</v>
      </c>
      <c r="AW118" s="224">
        <v>97.509500000000003</v>
      </c>
      <c r="AX118" s="42"/>
      <c r="AY118" s="181"/>
      <c r="AZ118" s="197"/>
    </row>
    <row r="119" spans="2:52" ht="13" hidden="1" thickBot="1" x14ac:dyDescent="0.3">
      <c r="B119" s="4" t="s">
        <v>50</v>
      </c>
      <c r="C119" s="4" t="s">
        <v>37</v>
      </c>
      <c r="L119" s="55">
        <v>2300</v>
      </c>
      <c r="M119" s="274">
        <f t="shared" si="18"/>
        <v>0</v>
      </c>
      <c r="N119" s="275">
        <f t="shared" si="18"/>
        <v>0</v>
      </c>
      <c r="O119" s="276" t="e">
        <f ca="1"/>
        <v>#N/A</v>
      </c>
      <c r="Q119" s="34">
        <v>0</v>
      </c>
      <c r="R119" s="24">
        <v>0</v>
      </c>
      <c r="S119" s="24">
        <v>0</v>
      </c>
      <c r="T119" s="24">
        <v>0</v>
      </c>
      <c r="U119" s="24">
        <f t="array" ref="U119">IF(U$77&gt;" ",(U$628:U$1078),"")</f>
        <v>0</v>
      </c>
      <c r="V119" s="24">
        <f t="array" ref="V119">IF(V$77&gt;" ",(V$628:V$1078),"")</f>
        <v>0</v>
      </c>
      <c r="W119" s="24">
        <f t="array" ref="W119">IF(W$77&gt;" ",(W$628:W$1078),"")</f>
        <v>0</v>
      </c>
      <c r="X119" s="24">
        <f t="array" ref="X119">IF(X$77&gt;" ",(X$628:X$1078),"")</f>
        <v>0</v>
      </c>
      <c r="Y119" s="21">
        <v>0</v>
      </c>
      <c r="Z119" s="34">
        <f t="shared" si="5"/>
        <v>0</v>
      </c>
      <c r="AA119" s="24">
        <f t="shared" si="6"/>
        <v>0</v>
      </c>
      <c r="AB119" s="24">
        <f t="shared" si="7"/>
        <v>0</v>
      </c>
      <c r="AC119" s="24">
        <f t="shared" si="8"/>
        <v>0</v>
      </c>
      <c r="AD119" s="24">
        <f t="shared" si="17"/>
        <v>0</v>
      </c>
      <c r="AE119" s="24">
        <f t="shared" si="17"/>
        <v>0</v>
      </c>
      <c r="AF119" s="24">
        <f t="shared" si="17"/>
        <v>0</v>
      </c>
      <c r="AG119" s="24">
        <f t="shared" si="17"/>
        <v>0</v>
      </c>
      <c r="AH119" s="24">
        <f t="shared" si="11"/>
        <v>0</v>
      </c>
      <c r="AI119" s="24">
        <f t="shared" si="10"/>
        <v>0</v>
      </c>
      <c r="AJ119" s="261">
        <f t="shared" si="12"/>
        <v>0</v>
      </c>
      <c r="AK119" s="13"/>
      <c r="AL119" s="100">
        <v>2300</v>
      </c>
      <c r="AM119" s="202"/>
      <c r="AN119" s="200"/>
      <c r="AO119" s="200"/>
      <c r="AP119" s="283">
        <v>5.8650000000000001E-2</v>
      </c>
      <c r="AR119" s="222">
        <v>95.547237626430785</v>
      </c>
      <c r="AS119" s="223">
        <v>95.502502382370167</v>
      </c>
      <c r="AT119" s="223">
        <v>89.613292880312613</v>
      </c>
      <c r="AU119" s="223">
        <v>89.705256161175228</v>
      </c>
      <c r="AV119" s="223">
        <v>98.828000000000003</v>
      </c>
      <c r="AW119" s="224">
        <v>97.52300000000001</v>
      </c>
      <c r="AX119" s="42"/>
      <c r="AY119" s="181"/>
      <c r="AZ119" s="197"/>
    </row>
    <row r="120" spans="2:52" ht="13" hidden="1" thickBot="1" x14ac:dyDescent="0.3">
      <c r="B120" s="4" t="s">
        <v>51</v>
      </c>
      <c r="C120" s="4" t="s">
        <v>37</v>
      </c>
      <c r="L120" s="55">
        <v>2295</v>
      </c>
      <c r="M120" s="274">
        <f t="shared" si="18"/>
        <v>0</v>
      </c>
      <c r="N120" s="275">
        <f t="shared" si="18"/>
        <v>0</v>
      </c>
      <c r="O120" s="276" t="e">
        <f ca="1"/>
        <v>#N/A</v>
      </c>
      <c r="Q120" s="34">
        <v>0</v>
      </c>
      <c r="R120" s="24">
        <v>0</v>
      </c>
      <c r="S120" s="24">
        <v>0</v>
      </c>
      <c r="T120" s="24">
        <v>0</v>
      </c>
      <c r="U120" s="24">
        <f t="array" ref="U120">IF(U$77&gt;" ",(U$628:U$1078),"")</f>
        <v>0</v>
      </c>
      <c r="V120" s="24">
        <f t="array" ref="V120">IF(V$77&gt;" ",(V$628:V$1078),"")</f>
        <v>0</v>
      </c>
      <c r="W120" s="24">
        <f t="array" ref="W120">IF(W$77&gt;" ",(W$628:W$1078),"")</f>
        <v>0</v>
      </c>
      <c r="X120" s="24">
        <f t="array" ref="X120">IF(X$77&gt;" ",(X$628:X$1078),"")</f>
        <v>0</v>
      </c>
      <c r="Y120" s="21">
        <v>0</v>
      </c>
      <c r="Z120" s="34">
        <f t="shared" si="5"/>
        <v>0</v>
      </c>
      <c r="AA120" s="24">
        <f t="shared" si="6"/>
        <v>0</v>
      </c>
      <c r="AB120" s="24">
        <f t="shared" si="7"/>
        <v>0</v>
      </c>
      <c r="AC120" s="24">
        <f t="shared" si="8"/>
        <v>0</v>
      </c>
      <c r="AD120" s="24">
        <f t="shared" si="17"/>
        <v>0</v>
      </c>
      <c r="AE120" s="24">
        <f t="shared" si="17"/>
        <v>0</v>
      </c>
      <c r="AF120" s="24">
        <f t="shared" si="17"/>
        <v>0</v>
      </c>
      <c r="AG120" s="24">
        <f t="shared" si="17"/>
        <v>0</v>
      </c>
      <c r="AH120" s="24">
        <f t="shared" si="11"/>
        <v>0</v>
      </c>
      <c r="AI120" s="24">
        <f t="shared" si="10"/>
        <v>0</v>
      </c>
      <c r="AJ120" s="261">
        <f t="shared" si="12"/>
        <v>0</v>
      </c>
      <c r="AK120" s="13"/>
      <c r="AL120" s="100">
        <v>2295</v>
      </c>
      <c r="AM120" s="202"/>
      <c r="AN120" s="200"/>
      <c r="AO120" s="200"/>
      <c r="AP120" s="284">
        <v>6.1089999999999998E-2</v>
      </c>
      <c r="AR120" s="222">
        <v>95.535661003733765</v>
      </c>
      <c r="AS120" s="223">
        <v>95.470010410222713</v>
      </c>
      <c r="AT120" s="223">
        <v>89.593126320053955</v>
      </c>
      <c r="AU120" s="223">
        <v>89.684129223967361</v>
      </c>
      <c r="AV120" s="223">
        <v>98.826000000000008</v>
      </c>
      <c r="AW120" s="224">
        <v>97.506</v>
      </c>
      <c r="AX120" s="42"/>
      <c r="AY120" s="181"/>
      <c r="AZ120" s="197"/>
    </row>
    <row r="121" spans="2:52" ht="13" hidden="1" thickBot="1" x14ac:dyDescent="0.3">
      <c r="B121" s="6" t="s">
        <v>53</v>
      </c>
      <c r="C121" s="44"/>
      <c r="L121" s="55">
        <v>2290</v>
      </c>
      <c r="M121" s="274">
        <f t="shared" si="18"/>
        <v>0</v>
      </c>
      <c r="N121" s="275">
        <f t="shared" si="18"/>
        <v>0</v>
      </c>
      <c r="O121" s="276" t="e">
        <f ca="1"/>
        <v>#N/A</v>
      </c>
      <c r="Q121" s="34">
        <v>0</v>
      </c>
      <c r="R121" s="24">
        <v>0</v>
      </c>
      <c r="S121" s="24">
        <v>0</v>
      </c>
      <c r="T121" s="24">
        <v>0</v>
      </c>
      <c r="U121" s="24">
        <f t="array" ref="U121">IF(U$77&gt;" ",(U$628:U$1078),"")</f>
        <v>0</v>
      </c>
      <c r="V121" s="24">
        <f t="array" ref="V121">IF(V$77&gt;" ",(V$628:V$1078),"")</f>
        <v>0</v>
      </c>
      <c r="W121" s="24">
        <f t="array" ref="W121">IF(W$77&gt;" ",(W$628:W$1078),"")</f>
        <v>0</v>
      </c>
      <c r="X121" s="24">
        <f t="array" ref="X121">IF(X$77&gt;" ",(X$628:X$1078),"")</f>
        <v>0</v>
      </c>
      <c r="Y121" s="21">
        <v>0</v>
      </c>
      <c r="Z121" s="34">
        <f t="shared" si="5"/>
        <v>0</v>
      </c>
      <c r="AA121" s="24">
        <f t="shared" si="6"/>
        <v>0</v>
      </c>
      <c r="AB121" s="24">
        <f t="shared" si="7"/>
        <v>0</v>
      </c>
      <c r="AC121" s="24">
        <f t="shared" si="8"/>
        <v>0</v>
      </c>
      <c r="AD121" s="24">
        <f t="shared" si="17"/>
        <v>0</v>
      </c>
      <c r="AE121" s="24">
        <f t="shared" si="17"/>
        <v>0</v>
      </c>
      <c r="AF121" s="24">
        <f t="shared" si="17"/>
        <v>0</v>
      </c>
      <c r="AG121" s="24">
        <f t="shared" si="17"/>
        <v>0</v>
      </c>
      <c r="AH121" s="24">
        <f t="shared" si="11"/>
        <v>0</v>
      </c>
      <c r="AI121" s="24">
        <f t="shared" si="10"/>
        <v>0</v>
      </c>
      <c r="AJ121" s="261">
        <f t="shared" si="12"/>
        <v>0</v>
      </c>
      <c r="AK121" s="13"/>
      <c r="AL121" s="100">
        <v>2290</v>
      </c>
      <c r="AM121" s="202"/>
      <c r="AN121" s="200"/>
      <c r="AO121" s="200"/>
      <c r="AP121" s="283">
        <v>6.3039999999999999E-2</v>
      </c>
      <c r="AR121" s="222">
        <v>95.510290809989513</v>
      </c>
      <c r="AS121" s="223">
        <v>95.459002113162683</v>
      </c>
      <c r="AT121" s="223">
        <v>89.578860907170807</v>
      </c>
      <c r="AU121" s="223">
        <v>89.667327822746486</v>
      </c>
      <c r="AV121" s="223">
        <v>98.823999999999998</v>
      </c>
      <c r="AW121" s="224">
        <v>97.489000000000004</v>
      </c>
      <c r="AX121" s="42"/>
      <c r="AY121" s="181"/>
      <c r="AZ121" s="197"/>
    </row>
    <row r="122" spans="2:52" ht="13" thickBot="1" x14ac:dyDescent="0.3">
      <c r="L122" s="55">
        <v>2285</v>
      </c>
      <c r="M122" s="274">
        <f t="shared" si="18"/>
        <v>0</v>
      </c>
      <c r="N122" s="275">
        <f t="shared" si="18"/>
        <v>0</v>
      </c>
      <c r="O122" s="276" t="e">
        <f ca="1"/>
        <v>#N/A</v>
      </c>
      <c r="Q122" s="34">
        <v>0</v>
      </c>
      <c r="R122" s="24">
        <v>0</v>
      </c>
      <c r="S122" s="24">
        <v>0</v>
      </c>
      <c r="T122" s="24">
        <v>0</v>
      </c>
      <c r="U122" s="24">
        <f t="array" ref="U122">IF(U$77&gt;" ",(U$628:U$1078),"")</f>
        <v>0</v>
      </c>
      <c r="V122" s="24">
        <f t="array" ref="V122">IF(V$77&gt;" ",(V$628:V$1078),"")</f>
        <v>0</v>
      </c>
      <c r="W122" s="24">
        <f t="array" ref="W122">IF(W$77&gt;" ",(W$628:W$1078),"")</f>
        <v>0</v>
      </c>
      <c r="X122" s="24">
        <f t="array" ref="X122">IF(X$77&gt;" ",(X$628:X$1078),"")</f>
        <v>0</v>
      </c>
      <c r="Y122" s="21">
        <v>0</v>
      </c>
      <c r="Z122" s="34">
        <f t="shared" si="5"/>
        <v>0</v>
      </c>
      <c r="AA122" s="24">
        <f t="shared" si="6"/>
        <v>0</v>
      </c>
      <c r="AB122" s="24">
        <f t="shared" si="7"/>
        <v>0</v>
      </c>
      <c r="AC122" s="24">
        <f t="shared" si="8"/>
        <v>0</v>
      </c>
      <c r="AD122" s="24">
        <f t="shared" si="17"/>
        <v>0</v>
      </c>
      <c r="AE122" s="24">
        <f t="shared" si="17"/>
        <v>0</v>
      </c>
      <c r="AF122" s="24">
        <f t="shared" si="17"/>
        <v>0</v>
      </c>
      <c r="AG122" s="24">
        <f t="shared" si="17"/>
        <v>0</v>
      </c>
      <c r="AH122" s="24">
        <f t="shared" si="11"/>
        <v>0</v>
      </c>
      <c r="AI122" s="24">
        <f t="shared" si="10"/>
        <v>0</v>
      </c>
      <c r="AJ122" s="261">
        <f t="shared" si="12"/>
        <v>0</v>
      </c>
      <c r="AK122" s="13"/>
      <c r="AL122" s="100">
        <v>2285</v>
      </c>
      <c r="AM122" s="202"/>
      <c r="AN122" s="200"/>
      <c r="AO122" s="200"/>
      <c r="AP122" s="284">
        <v>6.2899999999999998E-2</v>
      </c>
      <c r="AR122" s="222">
        <v>95.491289934821836</v>
      </c>
      <c r="AS122" s="223">
        <v>95.42590884457951</v>
      </c>
      <c r="AT122" s="223">
        <v>89.517896107656952</v>
      </c>
      <c r="AU122" s="223">
        <v>89.614790652627889</v>
      </c>
      <c r="AV122" s="223">
        <v>98.8185</v>
      </c>
      <c r="AW122" s="224">
        <v>97.483500000000006</v>
      </c>
      <c r="AX122" s="42"/>
      <c r="AY122" s="181"/>
      <c r="AZ122" s="197"/>
    </row>
    <row r="123" spans="2:52" ht="13" thickBot="1" x14ac:dyDescent="0.3">
      <c r="L123" s="55">
        <v>2280</v>
      </c>
      <c r="M123" s="274">
        <f t="shared" si="18"/>
        <v>0</v>
      </c>
      <c r="N123" s="275">
        <f t="shared" si="18"/>
        <v>0</v>
      </c>
      <c r="O123" s="276" t="e">
        <f ca="1"/>
        <v>#N/A</v>
      </c>
      <c r="Q123" s="34">
        <v>0</v>
      </c>
      <c r="R123" s="24">
        <v>0</v>
      </c>
      <c r="S123" s="24">
        <v>0</v>
      </c>
      <c r="T123" s="24">
        <v>0</v>
      </c>
      <c r="U123" s="24">
        <f t="array" ref="U123">IF(U$77&gt;" ",(U$628:U$1078),"")</f>
        <v>0</v>
      </c>
      <c r="V123" s="24">
        <f t="array" ref="V123">IF(V$77&gt;" ",(V$628:V$1078),"")</f>
        <v>0</v>
      </c>
      <c r="W123" s="24">
        <f t="array" ref="W123">IF(W$77&gt;" ",(W$628:W$1078),"")</f>
        <v>0</v>
      </c>
      <c r="X123" s="24">
        <f t="array" ref="X123">IF(X$77&gt;" ",(X$628:X$1078),"")</f>
        <v>0</v>
      </c>
      <c r="Y123" s="21">
        <v>0</v>
      </c>
      <c r="Z123" s="34">
        <f t="shared" si="5"/>
        <v>0</v>
      </c>
      <c r="AA123" s="24">
        <f t="shared" si="6"/>
        <v>0</v>
      </c>
      <c r="AB123" s="24">
        <f t="shared" si="7"/>
        <v>0</v>
      </c>
      <c r="AC123" s="24">
        <f t="shared" si="8"/>
        <v>0</v>
      </c>
      <c r="AD123" s="24">
        <f t="shared" si="17"/>
        <v>0</v>
      </c>
      <c r="AE123" s="24">
        <f t="shared" si="17"/>
        <v>0</v>
      </c>
      <c r="AF123" s="24">
        <f t="shared" si="17"/>
        <v>0</v>
      </c>
      <c r="AG123" s="24">
        <f t="shared" si="17"/>
        <v>0</v>
      </c>
      <c r="AH123" s="24">
        <f t="shared" si="11"/>
        <v>0</v>
      </c>
      <c r="AI123" s="24">
        <f t="shared" si="10"/>
        <v>0</v>
      </c>
      <c r="AJ123" s="261">
        <f t="shared" si="12"/>
        <v>0</v>
      </c>
      <c r="AK123" s="13"/>
      <c r="AL123" s="100">
        <v>2280</v>
      </c>
      <c r="AM123" s="202"/>
      <c r="AN123" s="200"/>
      <c r="AO123" s="200"/>
      <c r="AP123" s="283">
        <v>6.6100000000000006E-2</v>
      </c>
      <c r="AR123" s="222">
        <v>95.454219683841032</v>
      </c>
      <c r="AS123" s="223">
        <v>95.402558584023495</v>
      </c>
      <c r="AT123" s="223">
        <v>89.471270574665269</v>
      </c>
      <c r="AU123" s="223">
        <v>89.56381767729674</v>
      </c>
      <c r="AV123" s="223">
        <v>98.812999999999988</v>
      </c>
      <c r="AW123" s="224">
        <v>97.477999999999994</v>
      </c>
      <c r="AX123" s="42"/>
      <c r="AY123" s="181"/>
      <c r="AZ123" s="197"/>
    </row>
    <row r="124" spans="2:52" ht="13" thickBot="1" x14ac:dyDescent="0.3">
      <c r="L124" s="55">
        <v>2275</v>
      </c>
      <c r="M124" s="274">
        <f t="shared" si="18"/>
        <v>0</v>
      </c>
      <c r="N124" s="275">
        <f t="shared" si="18"/>
        <v>0</v>
      </c>
      <c r="O124" s="276" t="e">
        <f ca="1"/>
        <v>#N/A</v>
      </c>
      <c r="Q124" s="34">
        <v>0</v>
      </c>
      <c r="R124" s="24">
        <v>0</v>
      </c>
      <c r="S124" s="24">
        <v>0</v>
      </c>
      <c r="T124" s="24">
        <v>0</v>
      </c>
      <c r="U124" s="24">
        <f t="array" ref="U124">IF(U$77&gt;" ",(U$628:U$1078),"")</f>
        <v>0</v>
      </c>
      <c r="V124" s="24">
        <f t="array" ref="V124">IF(V$77&gt;" ",(V$628:V$1078),"")</f>
        <v>0</v>
      </c>
      <c r="W124" s="24">
        <f t="array" ref="W124">IF(W$77&gt;" ",(W$628:W$1078),"")</f>
        <v>0</v>
      </c>
      <c r="X124" s="24">
        <f t="array" ref="X124">IF(X$77&gt;" ",(X$628:X$1078),"")</f>
        <v>0</v>
      </c>
      <c r="Y124" s="21">
        <v>0</v>
      </c>
      <c r="Z124" s="34">
        <f t="shared" si="5"/>
        <v>0</v>
      </c>
      <c r="AA124" s="24">
        <f t="shared" si="6"/>
        <v>0</v>
      </c>
      <c r="AB124" s="24">
        <f t="shared" si="7"/>
        <v>0</v>
      </c>
      <c r="AC124" s="24">
        <f t="shared" si="8"/>
        <v>0</v>
      </c>
      <c r="AD124" s="24">
        <f t="shared" si="17"/>
        <v>0</v>
      </c>
      <c r="AE124" s="24">
        <f t="shared" si="17"/>
        <v>0</v>
      </c>
      <c r="AF124" s="24">
        <f t="shared" si="17"/>
        <v>0</v>
      </c>
      <c r="AG124" s="24">
        <f t="shared" si="17"/>
        <v>0</v>
      </c>
      <c r="AH124" s="24">
        <f t="shared" si="11"/>
        <v>0</v>
      </c>
      <c r="AI124" s="24">
        <f t="shared" si="10"/>
        <v>0</v>
      </c>
      <c r="AJ124" s="261">
        <f t="shared" si="12"/>
        <v>0</v>
      </c>
      <c r="AK124" s="13"/>
      <c r="AL124" s="100">
        <v>2275</v>
      </c>
      <c r="AM124" s="202"/>
      <c r="AN124" s="200"/>
      <c r="AO124" s="200"/>
      <c r="AP124" s="284">
        <v>6.3829999999999998E-2</v>
      </c>
      <c r="AR124" s="222">
        <v>95.435107636022892</v>
      </c>
      <c r="AS124" s="223">
        <v>95.372677891129101</v>
      </c>
      <c r="AT124" s="223">
        <v>89.393681533890103</v>
      </c>
      <c r="AU124" s="223">
        <v>89.488611122808763</v>
      </c>
      <c r="AV124" s="223">
        <v>98.811000000000007</v>
      </c>
      <c r="AW124" s="224">
        <v>97.477500000000006</v>
      </c>
      <c r="AX124" s="42"/>
      <c r="AY124" s="181"/>
      <c r="AZ124" s="197"/>
    </row>
    <row r="125" spans="2:52" ht="13" thickBot="1" x14ac:dyDescent="0.3">
      <c r="L125" s="55">
        <v>2270</v>
      </c>
      <c r="M125" s="274">
        <f t="shared" si="18"/>
        <v>0</v>
      </c>
      <c r="N125" s="275">
        <f t="shared" si="18"/>
        <v>0</v>
      </c>
      <c r="O125" s="276" t="e">
        <f ca="1"/>
        <v>#N/A</v>
      </c>
      <c r="Q125" s="34">
        <v>0</v>
      </c>
      <c r="R125" s="24">
        <v>0</v>
      </c>
      <c r="S125" s="24">
        <v>0</v>
      </c>
      <c r="T125" s="24">
        <v>0</v>
      </c>
      <c r="U125" s="24">
        <f t="array" ref="U125">IF(U$77&gt;" ",(U$628:U$1078),"")</f>
        <v>0</v>
      </c>
      <c r="V125" s="24">
        <f t="array" ref="V125">IF(V$77&gt;" ",(V$628:V$1078),"")</f>
        <v>0</v>
      </c>
      <c r="W125" s="24">
        <f t="array" ref="W125">IF(W$77&gt;" ",(W$628:W$1078),"")</f>
        <v>0</v>
      </c>
      <c r="X125" s="24">
        <f t="array" ref="X125">IF(X$77&gt;" ",(X$628:X$1078),"")</f>
        <v>0</v>
      </c>
      <c r="Y125" s="21">
        <v>0</v>
      </c>
      <c r="Z125" s="34">
        <f t="shared" si="5"/>
        <v>0</v>
      </c>
      <c r="AA125" s="24">
        <f t="shared" si="6"/>
        <v>0</v>
      </c>
      <c r="AB125" s="24">
        <f t="shared" si="7"/>
        <v>0</v>
      </c>
      <c r="AC125" s="24">
        <f t="shared" si="8"/>
        <v>0</v>
      </c>
      <c r="AD125" s="24">
        <f t="shared" si="17"/>
        <v>0</v>
      </c>
      <c r="AE125" s="24">
        <f t="shared" si="17"/>
        <v>0</v>
      </c>
      <c r="AF125" s="24">
        <f t="shared" si="17"/>
        <v>0</v>
      </c>
      <c r="AG125" s="24">
        <f t="shared" si="17"/>
        <v>0</v>
      </c>
      <c r="AH125" s="24">
        <f t="shared" si="11"/>
        <v>0</v>
      </c>
      <c r="AI125" s="24">
        <f t="shared" si="10"/>
        <v>0</v>
      </c>
      <c r="AJ125" s="261">
        <f t="shared" si="12"/>
        <v>0</v>
      </c>
      <c r="AK125" s="13"/>
      <c r="AL125" s="100">
        <v>2270</v>
      </c>
      <c r="AM125" s="202"/>
      <c r="AN125" s="200"/>
      <c r="AO125" s="200"/>
      <c r="AP125" s="283">
        <v>6.4680000000000001E-2</v>
      </c>
      <c r="AR125" s="222">
        <v>95.418558212152291</v>
      </c>
      <c r="AS125" s="223">
        <v>95.352803815097332</v>
      </c>
      <c r="AT125" s="223">
        <v>89.316325910540158</v>
      </c>
      <c r="AU125" s="223">
        <v>89.411578383341237</v>
      </c>
      <c r="AV125" s="223">
        <v>98.808999999999997</v>
      </c>
      <c r="AW125" s="224">
        <v>97.477000000000004</v>
      </c>
      <c r="AX125" s="42"/>
      <c r="AY125" s="181"/>
      <c r="AZ125" s="197"/>
    </row>
    <row r="126" spans="2:52" ht="13" thickBot="1" x14ac:dyDescent="0.3">
      <c r="L126" s="55">
        <v>2265</v>
      </c>
      <c r="M126" s="274">
        <f t="shared" si="18"/>
        <v>0</v>
      </c>
      <c r="N126" s="275">
        <f t="shared" si="18"/>
        <v>0</v>
      </c>
      <c r="O126" s="276" t="e">
        <f ca="1"/>
        <v>#N/A</v>
      </c>
      <c r="Q126" s="34">
        <v>0</v>
      </c>
      <c r="R126" s="24">
        <v>0</v>
      </c>
      <c r="S126" s="24">
        <v>0</v>
      </c>
      <c r="T126" s="24">
        <v>0</v>
      </c>
      <c r="U126" s="24">
        <f t="array" ref="U126">IF(U$77&gt;" ",(U$628:U$1078),"")</f>
        <v>0</v>
      </c>
      <c r="V126" s="24">
        <f t="array" ref="V126">IF(V$77&gt;" ",(V$628:V$1078),"")</f>
        <v>0</v>
      </c>
      <c r="W126" s="24">
        <f t="array" ref="W126">IF(W$77&gt;" ",(W$628:W$1078),"")</f>
        <v>0</v>
      </c>
      <c r="X126" s="24">
        <f t="array" ref="X126">IF(X$77&gt;" ",(X$628:X$1078),"")</f>
        <v>0</v>
      </c>
      <c r="Y126" s="21">
        <v>0</v>
      </c>
      <c r="Z126" s="34">
        <f t="shared" si="5"/>
        <v>0</v>
      </c>
      <c r="AA126" s="24">
        <f t="shared" si="6"/>
        <v>0</v>
      </c>
      <c r="AB126" s="24">
        <f t="shared" si="7"/>
        <v>0</v>
      </c>
      <c r="AC126" s="24">
        <f t="shared" si="8"/>
        <v>0</v>
      </c>
      <c r="AD126" s="24">
        <f t="shared" si="17"/>
        <v>0</v>
      </c>
      <c r="AE126" s="24">
        <f t="shared" si="17"/>
        <v>0</v>
      </c>
      <c r="AF126" s="24">
        <f t="shared" si="17"/>
        <v>0</v>
      </c>
      <c r="AG126" s="24">
        <f t="shared" si="17"/>
        <v>0</v>
      </c>
      <c r="AH126" s="24">
        <f t="shared" si="11"/>
        <v>0</v>
      </c>
      <c r="AI126" s="24">
        <f t="shared" si="10"/>
        <v>0</v>
      </c>
      <c r="AJ126" s="261">
        <f t="shared" si="12"/>
        <v>0</v>
      </c>
      <c r="AK126" s="13"/>
      <c r="AL126" s="100">
        <v>2265</v>
      </c>
      <c r="AM126" s="202"/>
      <c r="AN126" s="200"/>
      <c r="AO126" s="200"/>
      <c r="AP126" s="284">
        <v>6.794E-2</v>
      </c>
      <c r="AR126" s="222">
        <v>95.397129434880227</v>
      </c>
      <c r="AS126" s="223">
        <v>95.327286731882907</v>
      </c>
      <c r="AT126" s="223">
        <v>89.229919155896553</v>
      </c>
      <c r="AU126" s="223">
        <v>89.332697431317044</v>
      </c>
      <c r="AV126" s="223">
        <v>98.807500000000005</v>
      </c>
      <c r="AW126" s="224">
        <v>97.472999999999999</v>
      </c>
      <c r="AX126" s="42"/>
      <c r="AY126" s="181"/>
      <c r="AZ126" s="197"/>
    </row>
    <row r="127" spans="2:52" ht="13" thickBot="1" x14ac:dyDescent="0.3">
      <c r="L127" s="55">
        <v>2260</v>
      </c>
      <c r="M127" s="274">
        <f t="shared" ref="M127:N142" si="19">M676</f>
        <v>0</v>
      </c>
      <c r="N127" s="275">
        <f t="shared" si="19"/>
        <v>0</v>
      </c>
      <c r="O127" s="276" t="e">
        <f ca="1"/>
        <v>#N/A</v>
      </c>
      <c r="Q127" s="34">
        <v>0</v>
      </c>
      <c r="R127" s="24">
        <v>0</v>
      </c>
      <c r="S127" s="24">
        <v>0</v>
      </c>
      <c r="T127" s="24">
        <v>0</v>
      </c>
      <c r="U127" s="24">
        <f t="array" ref="U127">IF(U$77&gt;" ",(U$628:U$1078),"")</f>
        <v>0</v>
      </c>
      <c r="V127" s="24">
        <f t="array" ref="V127">IF(V$77&gt;" ",(V$628:V$1078),"")</f>
        <v>0</v>
      </c>
      <c r="W127" s="24">
        <f t="array" ref="W127">IF(W$77&gt;" ",(W$628:W$1078),"")</f>
        <v>0</v>
      </c>
      <c r="X127" s="24">
        <f t="array" ref="X127">IF(X$77&gt;" ",(X$628:X$1078),"")</f>
        <v>0</v>
      </c>
      <c r="Y127" s="21">
        <v>0</v>
      </c>
      <c r="Z127" s="34">
        <f t="shared" si="5"/>
        <v>0</v>
      </c>
      <c r="AA127" s="24">
        <f t="shared" si="6"/>
        <v>0</v>
      </c>
      <c r="AB127" s="24">
        <f t="shared" si="7"/>
        <v>0</v>
      </c>
      <c r="AC127" s="24">
        <f t="shared" si="8"/>
        <v>0</v>
      </c>
      <c r="AD127" s="24">
        <f t="shared" si="17"/>
        <v>0</v>
      </c>
      <c r="AE127" s="24">
        <f t="shared" si="17"/>
        <v>0</v>
      </c>
      <c r="AF127" s="24">
        <f t="shared" si="17"/>
        <v>0</v>
      </c>
      <c r="AG127" s="24">
        <f t="shared" si="17"/>
        <v>0</v>
      </c>
      <c r="AH127" s="24">
        <f t="shared" si="11"/>
        <v>0</v>
      </c>
      <c r="AI127" s="24">
        <f t="shared" si="10"/>
        <v>0</v>
      </c>
      <c r="AJ127" s="261">
        <f t="shared" si="12"/>
        <v>0</v>
      </c>
      <c r="AK127" s="13"/>
      <c r="AL127" s="100">
        <v>2260</v>
      </c>
      <c r="AM127" s="202"/>
      <c r="AN127" s="200"/>
      <c r="AO127" s="200"/>
      <c r="AP127" s="283">
        <v>6.6729999999999998E-2</v>
      </c>
      <c r="AR127" s="222">
        <v>95.366586360185337</v>
      </c>
      <c r="AS127" s="223">
        <v>95.306498420289472</v>
      </c>
      <c r="AT127" s="223">
        <v>89.141125344612178</v>
      </c>
      <c r="AU127" s="223">
        <v>89.24541632380425</v>
      </c>
      <c r="AV127" s="223">
        <v>98.806000000000012</v>
      </c>
      <c r="AW127" s="224">
        <v>97.468999999999994</v>
      </c>
      <c r="AX127" s="42"/>
      <c r="AY127" s="181"/>
      <c r="AZ127" s="197"/>
    </row>
    <row r="128" spans="2:52" ht="13" thickBot="1" x14ac:dyDescent="0.3">
      <c r="L128" s="55">
        <v>2255</v>
      </c>
      <c r="M128" s="274">
        <f t="shared" si="19"/>
        <v>0</v>
      </c>
      <c r="N128" s="275">
        <f t="shared" si="19"/>
        <v>0</v>
      </c>
      <c r="O128" s="276" t="e">
        <f ca="1"/>
        <v>#N/A</v>
      </c>
      <c r="Q128" s="34">
        <v>0</v>
      </c>
      <c r="R128" s="24">
        <v>0</v>
      </c>
      <c r="S128" s="24">
        <v>0</v>
      </c>
      <c r="T128" s="24">
        <v>0</v>
      </c>
      <c r="U128" s="24">
        <f t="array" ref="U128">IF(U$77&gt;" ",(U$628:U$1078),"")</f>
        <v>0</v>
      </c>
      <c r="V128" s="24">
        <f t="array" ref="V128">IF(V$77&gt;" ",(V$628:V$1078),"")</f>
        <v>0</v>
      </c>
      <c r="W128" s="24">
        <f t="array" ref="W128">IF(W$77&gt;" ",(W$628:W$1078),"")</f>
        <v>0</v>
      </c>
      <c r="X128" s="24">
        <f t="array" ref="X128">IF(X$77&gt;" ",(X$628:X$1078),"")</f>
        <v>0</v>
      </c>
      <c r="Y128" s="21">
        <v>0</v>
      </c>
      <c r="Z128" s="34">
        <f t="shared" si="5"/>
        <v>0</v>
      </c>
      <c r="AA128" s="24">
        <f t="shared" si="6"/>
        <v>0</v>
      </c>
      <c r="AB128" s="24">
        <f t="shared" si="7"/>
        <v>0</v>
      </c>
      <c r="AC128" s="24">
        <f t="shared" si="8"/>
        <v>0</v>
      </c>
      <c r="AD128" s="24">
        <f t="shared" si="17"/>
        <v>0</v>
      </c>
      <c r="AE128" s="24">
        <f t="shared" si="17"/>
        <v>0</v>
      </c>
      <c r="AF128" s="24">
        <f t="shared" si="17"/>
        <v>0</v>
      </c>
      <c r="AG128" s="24">
        <f t="shared" si="17"/>
        <v>0</v>
      </c>
      <c r="AH128" s="24">
        <f t="shared" si="11"/>
        <v>0</v>
      </c>
      <c r="AI128" s="24">
        <f t="shared" si="10"/>
        <v>0</v>
      </c>
      <c r="AJ128" s="261">
        <f t="shared" si="12"/>
        <v>0</v>
      </c>
      <c r="AK128" s="13"/>
      <c r="AL128" s="100">
        <v>2255</v>
      </c>
      <c r="AM128" s="202"/>
      <c r="AN128" s="200"/>
      <c r="AO128" s="200"/>
      <c r="AP128" s="284">
        <v>6.7489999999999994E-2</v>
      </c>
      <c r="AR128" s="222">
        <v>95.350575842552416</v>
      </c>
      <c r="AS128" s="223">
        <v>95.273026058802273</v>
      </c>
      <c r="AT128" s="223">
        <v>89.074128464886186</v>
      </c>
      <c r="AU128" s="223">
        <v>89.179452338861054</v>
      </c>
      <c r="AV128" s="223">
        <v>98.802499999999995</v>
      </c>
      <c r="AW128" s="224">
        <v>97.471000000000004</v>
      </c>
      <c r="AX128" s="42"/>
      <c r="AY128" s="181"/>
      <c r="AZ128" s="197"/>
    </row>
    <row r="129" spans="12:52" ht="13" thickBot="1" x14ac:dyDescent="0.3">
      <c r="L129" s="55">
        <v>2250</v>
      </c>
      <c r="M129" s="274">
        <f t="shared" si="19"/>
        <v>0</v>
      </c>
      <c r="N129" s="275">
        <f t="shared" si="19"/>
        <v>0</v>
      </c>
      <c r="O129" s="276" t="e">
        <f ca="1"/>
        <v>#N/A</v>
      </c>
      <c r="Q129" s="34">
        <v>0</v>
      </c>
      <c r="R129" s="24">
        <v>0</v>
      </c>
      <c r="S129" s="24">
        <v>0</v>
      </c>
      <c r="T129" s="24">
        <v>0</v>
      </c>
      <c r="U129" s="24">
        <f t="array" ref="U129">IF(U$77&gt;" ",(U$628:U$1078),"")</f>
        <v>0</v>
      </c>
      <c r="V129" s="24">
        <f t="array" ref="V129">IF(V$77&gt;" ",(V$628:V$1078),"")</f>
        <v>0</v>
      </c>
      <c r="W129" s="24">
        <f t="array" ref="W129">IF(W$77&gt;" ",(W$628:W$1078),"")</f>
        <v>0</v>
      </c>
      <c r="X129" s="24">
        <f t="array" ref="X129">IF(X$77&gt;" ",(X$628:X$1078),"")</f>
        <v>0</v>
      </c>
      <c r="Y129" s="21">
        <v>0</v>
      </c>
      <c r="Z129" s="34">
        <f t="shared" si="5"/>
        <v>0</v>
      </c>
      <c r="AA129" s="24">
        <f t="shared" si="6"/>
        <v>0</v>
      </c>
      <c r="AB129" s="24">
        <f t="shared" si="7"/>
        <v>0</v>
      </c>
      <c r="AC129" s="24">
        <f t="shared" si="8"/>
        <v>0</v>
      </c>
      <c r="AD129" s="24">
        <f t="shared" si="17"/>
        <v>0</v>
      </c>
      <c r="AE129" s="24">
        <f t="shared" si="17"/>
        <v>0</v>
      </c>
      <c r="AF129" s="24">
        <f t="shared" si="17"/>
        <v>0</v>
      </c>
      <c r="AG129" s="24">
        <f t="shared" si="17"/>
        <v>0</v>
      </c>
      <c r="AH129" s="24">
        <f t="shared" si="11"/>
        <v>0</v>
      </c>
      <c r="AI129" s="24">
        <f t="shared" si="10"/>
        <v>0</v>
      </c>
      <c r="AJ129" s="261">
        <f t="shared" si="12"/>
        <v>0</v>
      </c>
      <c r="AK129" s="13"/>
      <c r="AL129" s="100">
        <v>2250</v>
      </c>
      <c r="AM129" s="202"/>
      <c r="AN129" s="200"/>
      <c r="AO129" s="200"/>
      <c r="AP129" s="283">
        <v>7.1730000000000002E-2</v>
      </c>
      <c r="AR129" s="222">
        <v>95.311422376281328</v>
      </c>
      <c r="AS129" s="223">
        <v>95.240546999880294</v>
      </c>
      <c r="AT129" s="223">
        <v>89.018489286974429</v>
      </c>
      <c r="AU129" s="223">
        <v>89.115283828008913</v>
      </c>
      <c r="AV129" s="223">
        <v>98.799000000000007</v>
      </c>
      <c r="AW129" s="224">
        <v>97.472999999999999</v>
      </c>
      <c r="AX129" s="42"/>
      <c r="AY129" s="181"/>
      <c r="AZ129" s="197"/>
    </row>
    <row r="130" spans="12:52" ht="13" thickBot="1" x14ac:dyDescent="0.3">
      <c r="L130" s="55">
        <v>2245</v>
      </c>
      <c r="M130" s="274">
        <f t="shared" si="19"/>
        <v>0</v>
      </c>
      <c r="N130" s="275">
        <f t="shared" si="19"/>
        <v>0</v>
      </c>
      <c r="O130" s="276" t="e">
        <f ca="1"/>
        <v>#N/A</v>
      </c>
      <c r="Q130" s="34">
        <v>0</v>
      </c>
      <c r="R130" s="24">
        <v>0</v>
      </c>
      <c r="S130" s="24">
        <v>0</v>
      </c>
      <c r="T130" s="24">
        <v>0</v>
      </c>
      <c r="U130" s="24">
        <f t="array" ref="U130">IF(U$77&gt;" ",(U$628:U$1078),"")</f>
        <v>0</v>
      </c>
      <c r="V130" s="24">
        <f t="array" ref="V130">IF(V$77&gt;" ",(V$628:V$1078),"")</f>
        <v>0</v>
      </c>
      <c r="W130" s="24">
        <f t="array" ref="W130">IF(W$77&gt;" ",(W$628:W$1078),"")</f>
        <v>0</v>
      </c>
      <c r="X130" s="24">
        <f t="array" ref="X130">IF(X$77&gt;" ",(X$628:X$1078),"")</f>
        <v>0</v>
      </c>
      <c r="Y130" s="21">
        <v>0</v>
      </c>
      <c r="Z130" s="34">
        <f t="shared" si="5"/>
        <v>0</v>
      </c>
      <c r="AA130" s="24">
        <f t="shared" si="6"/>
        <v>0</v>
      </c>
      <c r="AB130" s="24">
        <f t="shared" si="7"/>
        <v>0</v>
      </c>
      <c r="AC130" s="24">
        <f t="shared" si="8"/>
        <v>0</v>
      </c>
      <c r="AD130" s="24">
        <f t="shared" si="17"/>
        <v>0</v>
      </c>
      <c r="AE130" s="24">
        <f t="shared" si="17"/>
        <v>0</v>
      </c>
      <c r="AF130" s="24">
        <f t="shared" si="17"/>
        <v>0</v>
      </c>
      <c r="AG130" s="24">
        <f t="shared" si="17"/>
        <v>0</v>
      </c>
      <c r="AH130" s="24">
        <f t="shared" si="11"/>
        <v>0</v>
      </c>
      <c r="AI130" s="24">
        <f t="shared" si="10"/>
        <v>0</v>
      </c>
      <c r="AJ130" s="261">
        <f t="shared" si="12"/>
        <v>0</v>
      </c>
      <c r="AK130" s="13"/>
      <c r="AL130" s="100">
        <v>2245</v>
      </c>
      <c r="AM130" s="202"/>
      <c r="AN130" s="200"/>
      <c r="AO130" s="200"/>
      <c r="AP130" s="284">
        <v>7.0629999999999998E-2</v>
      </c>
      <c r="AR130" s="222">
        <v>95.288275188905459</v>
      </c>
      <c r="AS130" s="223">
        <v>95.217531100016302</v>
      </c>
      <c r="AT130" s="223">
        <v>88.952193472367853</v>
      </c>
      <c r="AU130" s="223">
        <v>89.041977421018728</v>
      </c>
      <c r="AV130" s="223">
        <v>98.798000000000002</v>
      </c>
      <c r="AW130" s="224">
        <v>97.468500000000006</v>
      </c>
      <c r="AX130" s="42"/>
      <c r="AY130" s="181"/>
      <c r="AZ130" s="197"/>
    </row>
    <row r="131" spans="12:52" ht="13" thickBot="1" x14ac:dyDescent="0.3">
      <c r="L131" s="55">
        <v>2240</v>
      </c>
      <c r="M131" s="274">
        <f t="shared" si="19"/>
        <v>0</v>
      </c>
      <c r="N131" s="275">
        <f t="shared" si="19"/>
        <v>0</v>
      </c>
      <c r="O131" s="276" t="e">
        <f ca="1"/>
        <v>#N/A</v>
      </c>
      <c r="Q131" s="34">
        <v>0</v>
      </c>
      <c r="R131" s="24">
        <v>0</v>
      </c>
      <c r="S131" s="24">
        <v>0</v>
      </c>
      <c r="T131" s="24">
        <v>0</v>
      </c>
      <c r="U131" s="24">
        <f t="array" ref="U131">IF(U$77&gt;" ",(U$628:U$1078),"")</f>
        <v>0</v>
      </c>
      <c r="V131" s="24">
        <f t="array" ref="V131">IF(V$77&gt;" ",(V$628:V$1078),"")</f>
        <v>0</v>
      </c>
      <c r="W131" s="24">
        <f t="array" ref="W131">IF(W$77&gt;" ",(W$628:W$1078),"")</f>
        <v>0</v>
      </c>
      <c r="X131" s="24">
        <f t="array" ref="X131">IF(X$77&gt;" ",(X$628:X$1078),"")</f>
        <v>0</v>
      </c>
      <c r="Y131" s="21">
        <v>0</v>
      </c>
      <c r="Z131" s="34">
        <f t="shared" si="5"/>
        <v>0</v>
      </c>
      <c r="AA131" s="24">
        <f t="shared" si="6"/>
        <v>0</v>
      </c>
      <c r="AB131" s="24">
        <f t="shared" si="7"/>
        <v>0</v>
      </c>
      <c r="AC131" s="24">
        <f t="shared" si="8"/>
        <v>0</v>
      </c>
      <c r="AD131" s="24">
        <f t="shared" si="17"/>
        <v>0</v>
      </c>
      <c r="AE131" s="24">
        <f t="shared" si="17"/>
        <v>0</v>
      </c>
      <c r="AF131" s="24">
        <f t="shared" si="17"/>
        <v>0</v>
      </c>
      <c r="AG131" s="24">
        <f t="shared" si="17"/>
        <v>0</v>
      </c>
      <c r="AH131" s="24">
        <f t="shared" ref="AH131:AH181" si="20">Y131</f>
        <v>0</v>
      </c>
      <c r="AI131" s="24">
        <f t="shared" si="10"/>
        <v>0</v>
      </c>
      <c r="AJ131" s="261">
        <f t="shared" si="12"/>
        <v>0</v>
      </c>
      <c r="AK131" s="13"/>
      <c r="AL131" s="100">
        <v>2240</v>
      </c>
      <c r="AM131" s="202"/>
      <c r="AN131" s="200"/>
      <c r="AO131" s="200"/>
      <c r="AP131" s="283">
        <v>7.2910000000000003E-2</v>
      </c>
      <c r="AR131" s="222">
        <v>95.265002210915341</v>
      </c>
      <c r="AS131" s="223">
        <v>95.183051317941946</v>
      </c>
      <c r="AT131" s="223">
        <v>88.880168652547567</v>
      </c>
      <c r="AU131" s="223">
        <v>88.977631315609187</v>
      </c>
      <c r="AV131" s="223">
        <v>98.796999999999997</v>
      </c>
      <c r="AW131" s="224">
        <v>97.463999999999999</v>
      </c>
      <c r="AX131" s="42"/>
      <c r="AY131" s="181"/>
      <c r="AZ131" s="197"/>
    </row>
    <row r="132" spans="12:52" ht="13" thickBot="1" x14ac:dyDescent="0.3">
      <c r="L132" s="55">
        <v>2235</v>
      </c>
      <c r="M132" s="274">
        <f t="shared" si="19"/>
        <v>0</v>
      </c>
      <c r="N132" s="275">
        <f t="shared" si="19"/>
        <v>0</v>
      </c>
      <c r="O132" s="276" t="e">
        <f ca="1"/>
        <v>#N/A</v>
      </c>
      <c r="Q132" s="34">
        <v>0</v>
      </c>
      <c r="R132" s="24">
        <v>0</v>
      </c>
      <c r="S132" s="24">
        <v>0</v>
      </c>
      <c r="T132" s="24">
        <v>0</v>
      </c>
      <c r="U132" s="24">
        <f t="array" ref="U132">IF(U$77&gt;" ",(U$628:U$1078),"")</f>
        <v>0</v>
      </c>
      <c r="V132" s="24">
        <f t="array" ref="V132">IF(V$77&gt;" ",(V$628:V$1078),"")</f>
        <v>0</v>
      </c>
      <c r="W132" s="24">
        <f t="array" ref="W132">IF(W$77&gt;" ",(W$628:W$1078),"")</f>
        <v>0</v>
      </c>
      <c r="X132" s="24">
        <f t="array" ref="X132">IF(X$77&gt;" ",(X$628:X$1078),"")</f>
        <v>0</v>
      </c>
      <c r="Y132" s="21">
        <v>0</v>
      </c>
      <c r="Z132" s="34">
        <f t="shared" si="5"/>
        <v>0</v>
      </c>
      <c r="AA132" s="24">
        <f t="shared" si="6"/>
        <v>0</v>
      </c>
      <c r="AB132" s="24">
        <f t="shared" si="7"/>
        <v>0</v>
      </c>
      <c r="AC132" s="24">
        <f t="shared" si="8"/>
        <v>0</v>
      </c>
      <c r="AD132" s="24">
        <f t="shared" si="17"/>
        <v>0</v>
      </c>
      <c r="AE132" s="24">
        <f t="shared" si="17"/>
        <v>0</v>
      </c>
      <c r="AF132" s="24">
        <f t="shared" si="17"/>
        <v>0</v>
      </c>
      <c r="AG132" s="24">
        <f t="shared" si="17"/>
        <v>0</v>
      </c>
      <c r="AH132" s="24">
        <f t="shared" si="20"/>
        <v>0</v>
      </c>
      <c r="AI132" s="24">
        <f t="shared" si="10"/>
        <v>0</v>
      </c>
      <c r="AJ132" s="261">
        <f t="shared" si="12"/>
        <v>0</v>
      </c>
      <c r="AK132" s="13"/>
      <c r="AL132" s="100">
        <v>2235</v>
      </c>
      <c r="AM132" s="202"/>
      <c r="AN132" s="200"/>
      <c r="AO132" s="200"/>
      <c r="AP132" s="284">
        <v>7.4079999999999993E-2</v>
      </c>
      <c r="AR132" s="222">
        <v>95.232656037874349</v>
      </c>
      <c r="AS132" s="223">
        <v>95.167899809051775</v>
      </c>
      <c r="AT132" s="223">
        <v>88.852951377847603</v>
      </c>
      <c r="AU132" s="223">
        <v>88.952137226653178</v>
      </c>
      <c r="AV132" s="223">
        <v>98.795000000000002</v>
      </c>
      <c r="AW132" s="224">
        <v>97.463999999999999</v>
      </c>
      <c r="AX132" s="42"/>
      <c r="AY132" s="181"/>
      <c r="AZ132" s="197"/>
    </row>
    <row r="133" spans="12:52" ht="13" thickBot="1" x14ac:dyDescent="0.3">
      <c r="L133" s="55">
        <v>2230</v>
      </c>
      <c r="M133" s="274">
        <f t="shared" si="19"/>
        <v>0</v>
      </c>
      <c r="N133" s="275">
        <f t="shared" si="19"/>
        <v>0</v>
      </c>
      <c r="O133" s="276" t="e">
        <f ca="1"/>
        <v>#N/A</v>
      </c>
      <c r="Q133" s="34">
        <v>0</v>
      </c>
      <c r="R133" s="24">
        <v>0</v>
      </c>
      <c r="S133" s="24">
        <v>0</v>
      </c>
      <c r="T133" s="24">
        <v>0</v>
      </c>
      <c r="U133" s="24">
        <f t="array" ref="U133">IF(U$77&gt;" ",(U$628:U$1078),"")</f>
        <v>0</v>
      </c>
      <c r="V133" s="24">
        <f t="array" ref="V133">IF(V$77&gt;" ",(V$628:V$1078),"")</f>
        <v>0</v>
      </c>
      <c r="W133" s="24">
        <f t="array" ref="W133">IF(W$77&gt;" ",(W$628:W$1078),"")</f>
        <v>0</v>
      </c>
      <c r="X133" s="24">
        <f t="array" ref="X133">IF(X$77&gt;" ",(X$628:X$1078),"")</f>
        <v>0</v>
      </c>
      <c r="Y133" s="21">
        <v>0</v>
      </c>
      <c r="Z133" s="34">
        <f t="shared" si="5"/>
        <v>0</v>
      </c>
      <c r="AA133" s="24">
        <f t="shared" si="6"/>
        <v>0</v>
      </c>
      <c r="AB133" s="24">
        <f t="shared" si="7"/>
        <v>0</v>
      </c>
      <c r="AC133" s="24">
        <f t="shared" si="8"/>
        <v>0</v>
      </c>
      <c r="AD133" s="24">
        <f t="shared" si="17"/>
        <v>0</v>
      </c>
      <c r="AE133" s="24">
        <f t="shared" si="17"/>
        <v>0</v>
      </c>
      <c r="AF133" s="24">
        <f t="shared" si="17"/>
        <v>0</v>
      </c>
      <c r="AG133" s="24">
        <f t="shared" si="17"/>
        <v>0</v>
      </c>
      <c r="AH133" s="24">
        <f t="shared" si="20"/>
        <v>0</v>
      </c>
      <c r="AI133" s="24">
        <f t="shared" si="10"/>
        <v>0</v>
      </c>
      <c r="AJ133" s="261">
        <f t="shared" si="12"/>
        <v>0</v>
      </c>
      <c r="AK133" s="13"/>
      <c r="AL133" s="100">
        <v>2230</v>
      </c>
      <c r="AM133" s="202"/>
      <c r="AN133" s="200"/>
      <c r="AO133" s="200"/>
      <c r="AP133" s="283">
        <v>7.5550000000000006E-2</v>
      </c>
      <c r="AR133" s="222">
        <v>95.221563700702518</v>
      </c>
      <c r="AS133" s="223">
        <v>95.152720800029542</v>
      </c>
      <c r="AT133" s="223">
        <v>88.820880360387264</v>
      </c>
      <c r="AU133" s="223">
        <v>88.912583320077445</v>
      </c>
      <c r="AV133" s="223">
        <v>98.792999999999992</v>
      </c>
      <c r="AW133" s="224">
        <v>97.463999999999999</v>
      </c>
      <c r="AX133" s="42"/>
      <c r="AY133" s="181"/>
      <c r="AZ133" s="197"/>
    </row>
    <row r="134" spans="12:52" ht="13" thickBot="1" x14ac:dyDescent="0.3">
      <c r="L134" s="55">
        <v>2225</v>
      </c>
      <c r="M134" s="274">
        <f t="shared" si="19"/>
        <v>0</v>
      </c>
      <c r="N134" s="275">
        <f t="shared" si="19"/>
        <v>0</v>
      </c>
      <c r="O134" s="276" t="e">
        <f ca="1"/>
        <v>#N/A</v>
      </c>
      <c r="Q134" s="34">
        <v>0</v>
      </c>
      <c r="R134" s="24">
        <v>0</v>
      </c>
      <c r="S134" s="24">
        <v>0</v>
      </c>
      <c r="T134" s="24">
        <v>0</v>
      </c>
      <c r="U134" s="24">
        <f t="array" ref="U134">IF(U$77&gt;" ",(U$628:U$1078),"")</f>
        <v>0</v>
      </c>
      <c r="V134" s="24">
        <f t="array" ref="V134">IF(V$77&gt;" ",(V$628:V$1078),"")</f>
        <v>0</v>
      </c>
      <c r="W134" s="24">
        <f t="array" ref="W134">IF(W$77&gt;" ",(W$628:W$1078),"")</f>
        <v>0</v>
      </c>
      <c r="X134" s="24">
        <f t="array" ref="X134">IF(X$77&gt;" ",(X$628:X$1078),"")</f>
        <v>0</v>
      </c>
      <c r="Y134" s="21">
        <v>0</v>
      </c>
      <c r="Z134" s="34">
        <f t="shared" si="5"/>
        <v>0</v>
      </c>
      <c r="AA134" s="24">
        <f t="shared" si="6"/>
        <v>0</v>
      </c>
      <c r="AB134" s="24">
        <f t="shared" si="7"/>
        <v>0</v>
      </c>
      <c r="AC134" s="24">
        <f t="shared" si="8"/>
        <v>0</v>
      </c>
      <c r="AD134" s="24">
        <f t="shared" si="17"/>
        <v>0</v>
      </c>
      <c r="AE134" s="24">
        <f t="shared" si="17"/>
        <v>0</v>
      </c>
      <c r="AF134" s="24">
        <f t="shared" si="17"/>
        <v>0</v>
      </c>
      <c r="AG134" s="24">
        <f t="shared" si="17"/>
        <v>0</v>
      </c>
      <c r="AH134" s="24">
        <f t="shared" si="20"/>
        <v>0</v>
      </c>
      <c r="AI134" s="24">
        <f t="shared" si="10"/>
        <v>0</v>
      </c>
      <c r="AJ134" s="261">
        <f t="shared" si="12"/>
        <v>0</v>
      </c>
      <c r="AK134" s="13"/>
      <c r="AL134" s="100">
        <v>2225</v>
      </c>
      <c r="AM134" s="202"/>
      <c r="AN134" s="200"/>
      <c r="AO134" s="200"/>
      <c r="AP134" s="284">
        <v>7.5230000000000005E-2</v>
      </c>
      <c r="AR134" s="222">
        <v>95.226315506077</v>
      </c>
      <c r="AS134" s="223">
        <v>95.157939358729735</v>
      </c>
      <c r="AT134" s="223">
        <v>88.847884708397601</v>
      </c>
      <c r="AU134" s="223">
        <v>88.941620163640138</v>
      </c>
      <c r="AV134" s="223">
        <v>98.792000000000002</v>
      </c>
      <c r="AW134" s="224">
        <v>97.462999999999994</v>
      </c>
      <c r="AX134" s="42"/>
      <c r="AY134" s="181"/>
      <c r="AZ134" s="197"/>
    </row>
    <row r="135" spans="12:52" ht="13" thickBot="1" x14ac:dyDescent="0.3">
      <c r="L135" s="55">
        <v>2220</v>
      </c>
      <c r="M135" s="274">
        <f t="shared" si="19"/>
        <v>0</v>
      </c>
      <c r="N135" s="275">
        <f t="shared" si="19"/>
        <v>0</v>
      </c>
      <c r="O135" s="276" t="e">
        <f ca="1"/>
        <v>#N/A</v>
      </c>
      <c r="Q135" s="34">
        <v>0</v>
      </c>
      <c r="R135" s="24">
        <v>0</v>
      </c>
      <c r="S135" s="24">
        <v>0</v>
      </c>
      <c r="T135" s="24">
        <v>0</v>
      </c>
      <c r="U135" s="24">
        <f t="array" ref="U135">IF(U$77&gt;" ",(U$628:U$1078),"")</f>
        <v>0</v>
      </c>
      <c r="V135" s="24">
        <f t="array" ref="V135">IF(V$77&gt;" ",(V$628:V$1078),"")</f>
        <v>0</v>
      </c>
      <c r="W135" s="24">
        <f t="array" ref="W135">IF(W$77&gt;" ",(W$628:W$1078),"")</f>
        <v>0</v>
      </c>
      <c r="X135" s="24">
        <f t="array" ref="X135">IF(X$77&gt;" ",(X$628:X$1078),"")</f>
        <v>0</v>
      </c>
      <c r="Y135" s="21">
        <v>0</v>
      </c>
      <c r="Z135" s="34">
        <f t="shared" si="5"/>
        <v>0</v>
      </c>
      <c r="AA135" s="24">
        <f t="shared" si="6"/>
        <v>0</v>
      </c>
      <c r="AB135" s="24">
        <f t="shared" si="7"/>
        <v>0</v>
      </c>
      <c r="AC135" s="24">
        <f t="shared" si="8"/>
        <v>0</v>
      </c>
      <c r="AD135" s="24">
        <f t="shared" si="17"/>
        <v>0</v>
      </c>
      <c r="AE135" s="24">
        <f t="shared" si="17"/>
        <v>0</v>
      </c>
      <c r="AF135" s="24">
        <f t="shared" si="17"/>
        <v>0</v>
      </c>
      <c r="AG135" s="24">
        <f t="shared" si="17"/>
        <v>0</v>
      </c>
      <c r="AH135" s="24">
        <f t="shared" si="20"/>
        <v>0</v>
      </c>
      <c r="AI135" s="24">
        <f t="shared" si="10"/>
        <v>0</v>
      </c>
      <c r="AJ135" s="261">
        <f t="shared" si="12"/>
        <v>0</v>
      </c>
      <c r="AK135" s="13"/>
      <c r="AL135" s="100">
        <v>2220</v>
      </c>
      <c r="AM135" s="202"/>
      <c r="AN135" s="200"/>
      <c r="AO135" s="200"/>
      <c r="AP135" s="283">
        <v>7.7499999999999999E-2</v>
      </c>
      <c r="AR135" s="222">
        <v>95.241189400310418</v>
      </c>
      <c r="AS135" s="223">
        <v>95.16255528974834</v>
      </c>
      <c r="AT135" s="223">
        <v>88.873106088155509</v>
      </c>
      <c r="AU135" s="223">
        <v>88.970547625902171</v>
      </c>
      <c r="AV135" s="223">
        <v>98.790999999999997</v>
      </c>
      <c r="AW135" s="224">
        <v>97.462000000000003</v>
      </c>
      <c r="AX135" s="42"/>
      <c r="AY135" s="181"/>
      <c r="AZ135" s="197"/>
    </row>
    <row r="136" spans="12:52" ht="13" thickBot="1" x14ac:dyDescent="0.3">
      <c r="L136" s="55">
        <v>2215</v>
      </c>
      <c r="M136" s="274">
        <f t="shared" si="19"/>
        <v>0</v>
      </c>
      <c r="N136" s="275">
        <f t="shared" si="19"/>
        <v>0</v>
      </c>
      <c r="O136" s="276" t="e">
        <f ca="1"/>
        <v>#N/A</v>
      </c>
      <c r="Q136" s="34">
        <v>0</v>
      </c>
      <c r="R136" s="24">
        <v>0</v>
      </c>
      <c r="S136" s="24">
        <v>0</v>
      </c>
      <c r="T136" s="24">
        <v>0</v>
      </c>
      <c r="U136" s="24">
        <f t="array" ref="U136">IF(U$77&gt;" ",(U$628:U$1078),"")</f>
        <v>0</v>
      </c>
      <c r="V136" s="24">
        <f t="array" ref="V136">IF(V$77&gt;" ",(V$628:V$1078),"")</f>
        <v>0</v>
      </c>
      <c r="W136" s="24">
        <f t="array" ref="W136">IF(W$77&gt;" ",(W$628:W$1078),"")</f>
        <v>0</v>
      </c>
      <c r="X136" s="24">
        <f t="array" ref="X136">IF(X$77&gt;" ",(X$628:X$1078),"")</f>
        <v>0</v>
      </c>
      <c r="Y136" s="21">
        <v>0</v>
      </c>
      <c r="Z136" s="34">
        <f t="shared" si="5"/>
        <v>0</v>
      </c>
      <c r="AA136" s="24">
        <f t="shared" si="6"/>
        <v>0</v>
      </c>
      <c r="AB136" s="24">
        <f t="shared" si="7"/>
        <v>0</v>
      </c>
      <c r="AC136" s="24">
        <f t="shared" si="8"/>
        <v>0</v>
      </c>
      <c r="AD136" s="24">
        <f t="shared" si="17"/>
        <v>0</v>
      </c>
      <c r="AE136" s="24">
        <f t="shared" si="17"/>
        <v>0</v>
      </c>
      <c r="AF136" s="24">
        <f t="shared" si="17"/>
        <v>0</v>
      </c>
      <c r="AG136" s="24">
        <f t="shared" si="17"/>
        <v>0</v>
      </c>
      <c r="AH136" s="24">
        <f t="shared" si="20"/>
        <v>0</v>
      </c>
      <c r="AI136" s="24">
        <f t="shared" si="10"/>
        <v>0</v>
      </c>
      <c r="AJ136" s="261">
        <f t="shared" si="12"/>
        <v>0</v>
      </c>
      <c r="AK136" s="13"/>
      <c r="AL136" s="100">
        <v>2215</v>
      </c>
      <c r="AM136" s="202"/>
      <c r="AN136" s="200"/>
      <c r="AO136" s="200"/>
      <c r="AP136" s="284">
        <v>7.6050000000000006E-2</v>
      </c>
      <c r="AR136" s="222">
        <v>95.280102561300779</v>
      </c>
      <c r="AS136" s="223">
        <v>95.203710594933071</v>
      </c>
      <c r="AT136" s="223">
        <v>89.000742226012378</v>
      </c>
      <c r="AU136" s="223">
        <v>89.095657009927663</v>
      </c>
      <c r="AV136" s="223">
        <v>98.790999999999997</v>
      </c>
      <c r="AW136" s="224">
        <v>97.46</v>
      </c>
      <c r="AX136" s="42"/>
      <c r="AY136" s="181"/>
      <c r="AZ136" s="197"/>
    </row>
    <row r="137" spans="12:52" ht="13" thickBot="1" x14ac:dyDescent="0.3">
      <c r="L137" s="55">
        <v>2210</v>
      </c>
      <c r="M137" s="274">
        <f t="shared" si="19"/>
        <v>0</v>
      </c>
      <c r="N137" s="275">
        <f t="shared" si="19"/>
        <v>0</v>
      </c>
      <c r="O137" s="276" t="e">
        <f ca="1"/>
        <v>#N/A</v>
      </c>
      <c r="Q137" s="34">
        <v>0</v>
      </c>
      <c r="R137" s="24">
        <v>0</v>
      </c>
      <c r="S137" s="24">
        <v>0</v>
      </c>
      <c r="T137" s="24">
        <v>0</v>
      </c>
      <c r="U137" s="24">
        <f t="array" ref="U137">IF(U$77&gt;" ",(U$628:U$1078),"")</f>
        <v>0</v>
      </c>
      <c r="V137" s="24">
        <f t="array" ref="V137">IF(V$77&gt;" ",(V$628:V$1078),"")</f>
        <v>0</v>
      </c>
      <c r="W137" s="24">
        <f t="array" ref="W137">IF(W$77&gt;" ",(W$628:W$1078),"")</f>
        <v>0</v>
      </c>
      <c r="X137" s="24">
        <f t="array" ref="X137">IF(X$77&gt;" ",(X$628:X$1078),"")</f>
        <v>0</v>
      </c>
      <c r="Y137" s="21">
        <v>0</v>
      </c>
      <c r="Z137" s="34">
        <f t="shared" si="5"/>
        <v>0</v>
      </c>
      <c r="AA137" s="24">
        <f t="shared" si="6"/>
        <v>0</v>
      </c>
      <c r="AB137" s="24">
        <f t="shared" si="7"/>
        <v>0</v>
      </c>
      <c r="AC137" s="24">
        <f t="shared" si="8"/>
        <v>0</v>
      </c>
      <c r="AD137" s="24">
        <f t="shared" si="17"/>
        <v>0</v>
      </c>
      <c r="AE137" s="24">
        <f t="shared" si="17"/>
        <v>0</v>
      </c>
      <c r="AF137" s="24">
        <f t="shared" si="17"/>
        <v>0</v>
      </c>
      <c r="AG137" s="24">
        <f t="shared" si="17"/>
        <v>0</v>
      </c>
      <c r="AH137" s="24">
        <f t="shared" si="20"/>
        <v>0</v>
      </c>
      <c r="AI137" s="24">
        <f t="shared" si="10"/>
        <v>0</v>
      </c>
      <c r="AJ137" s="261">
        <f t="shared" si="12"/>
        <v>0</v>
      </c>
      <c r="AK137" s="13"/>
      <c r="AL137" s="100">
        <v>2210</v>
      </c>
      <c r="AM137" s="202"/>
      <c r="AN137" s="200"/>
      <c r="AO137" s="200"/>
      <c r="AP137" s="283">
        <v>7.9079999999999998E-2</v>
      </c>
      <c r="AR137" s="222">
        <v>95.310076764951646</v>
      </c>
      <c r="AS137" s="223">
        <v>95.244265940404375</v>
      </c>
      <c r="AT137" s="223">
        <v>89.111091830199825</v>
      </c>
      <c r="AU137" s="223">
        <v>89.205136004221927</v>
      </c>
      <c r="AV137" s="223">
        <v>98.790999999999997</v>
      </c>
      <c r="AW137" s="224">
        <v>97.457999999999998</v>
      </c>
      <c r="AX137" s="42"/>
      <c r="AY137" s="181"/>
      <c r="AZ137" s="197"/>
    </row>
    <row r="138" spans="12:52" ht="13" thickBot="1" x14ac:dyDescent="0.3">
      <c r="L138" s="55">
        <v>2205</v>
      </c>
      <c r="M138" s="274">
        <f t="shared" si="19"/>
        <v>0</v>
      </c>
      <c r="N138" s="275">
        <f t="shared" si="19"/>
        <v>0</v>
      </c>
      <c r="O138" s="276" t="e">
        <f ca="1"/>
        <v>#N/A</v>
      </c>
      <c r="Q138" s="34">
        <v>0</v>
      </c>
      <c r="R138" s="24">
        <v>0</v>
      </c>
      <c r="S138" s="24">
        <v>0</v>
      </c>
      <c r="T138" s="24">
        <v>0</v>
      </c>
      <c r="U138" s="24">
        <f t="array" ref="U138">IF(U$77&gt;" ",(U$628:U$1078),"")</f>
        <v>0</v>
      </c>
      <c r="V138" s="24">
        <f t="array" ref="V138">IF(V$77&gt;" ",(V$628:V$1078),"")</f>
        <v>0</v>
      </c>
      <c r="W138" s="24">
        <f t="array" ref="W138">IF(W$77&gt;" ",(W$628:W$1078),"")</f>
        <v>0</v>
      </c>
      <c r="X138" s="24">
        <f t="array" ref="X138">IF(X$77&gt;" ",(X$628:X$1078),"")</f>
        <v>0</v>
      </c>
      <c r="Y138" s="21">
        <v>0</v>
      </c>
      <c r="Z138" s="34">
        <f t="shared" si="5"/>
        <v>0</v>
      </c>
      <c r="AA138" s="24">
        <f t="shared" si="6"/>
        <v>0</v>
      </c>
      <c r="AB138" s="24">
        <f t="shared" si="7"/>
        <v>0</v>
      </c>
      <c r="AC138" s="24">
        <f t="shared" si="8"/>
        <v>0</v>
      </c>
      <c r="AD138" s="24">
        <f t="shared" si="17"/>
        <v>0</v>
      </c>
      <c r="AE138" s="24">
        <f t="shared" si="17"/>
        <v>0</v>
      </c>
      <c r="AF138" s="24">
        <f t="shared" si="17"/>
        <v>0</v>
      </c>
      <c r="AG138" s="24">
        <f t="shared" si="17"/>
        <v>0</v>
      </c>
      <c r="AH138" s="24">
        <f t="shared" si="20"/>
        <v>0</v>
      </c>
      <c r="AI138" s="24">
        <f t="shared" si="10"/>
        <v>0</v>
      </c>
      <c r="AJ138" s="261">
        <f t="shared" si="12"/>
        <v>0</v>
      </c>
      <c r="AK138" s="13"/>
      <c r="AL138" s="100">
        <v>2205</v>
      </c>
      <c r="AM138" s="202"/>
      <c r="AN138" s="200"/>
      <c r="AO138" s="200"/>
      <c r="AP138" s="284">
        <v>7.3789999999999994E-2</v>
      </c>
      <c r="AR138" s="222">
        <v>95.385279345514391</v>
      </c>
      <c r="AS138" s="223">
        <v>95.326838764736308</v>
      </c>
      <c r="AT138" s="223">
        <v>89.330537981788552</v>
      </c>
      <c r="AU138" s="223">
        <v>89.425379333465528</v>
      </c>
      <c r="AV138" s="223">
        <v>98.789500000000004</v>
      </c>
      <c r="AW138" s="224">
        <v>97.456000000000003</v>
      </c>
      <c r="AX138" s="42"/>
      <c r="AY138" s="181"/>
      <c r="AZ138" s="197"/>
    </row>
    <row r="139" spans="12:52" ht="13" thickBot="1" x14ac:dyDescent="0.3">
      <c r="L139" s="55">
        <v>2200</v>
      </c>
      <c r="M139" s="274">
        <f t="shared" si="19"/>
        <v>0</v>
      </c>
      <c r="N139" s="275">
        <f t="shared" si="19"/>
        <v>0</v>
      </c>
      <c r="O139" s="276" t="e">
        <f ca="1"/>
        <v>#N/A</v>
      </c>
      <c r="Q139" s="34">
        <v>0</v>
      </c>
      <c r="R139" s="24">
        <v>0</v>
      </c>
      <c r="S139" s="24">
        <v>0</v>
      </c>
      <c r="T139" s="24">
        <v>0</v>
      </c>
      <c r="U139" s="24">
        <f t="array" ref="U139">IF(U$77&gt;" ",(U$628:U$1078),"")</f>
        <v>0</v>
      </c>
      <c r="V139" s="24">
        <f t="array" ref="V139">IF(V$77&gt;" ",(V$628:V$1078),"")</f>
        <v>0</v>
      </c>
      <c r="W139" s="24">
        <f t="array" ref="W139">IF(W$77&gt;" ",(W$628:W$1078),"")</f>
        <v>0</v>
      </c>
      <c r="X139" s="24">
        <f t="array" ref="X139">IF(X$77&gt;" ",(X$628:X$1078),"")</f>
        <v>0</v>
      </c>
      <c r="Y139" s="21">
        <v>0</v>
      </c>
      <c r="Z139" s="34">
        <f t="shared" si="5"/>
        <v>0</v>
      </c>
      <c r="AA139" s="24">
        <f t="shared" si="6"/>
        <v>0</v>
      </c>
      <c r="AB139" s="24">
        <f t="shared" si="7"/>
        <v>0</v>
      </c>
      <c r="AC139" s="24">
        <f t="shared" si="8"/>
        <v>0</v>
      </c>
      <c r="AD139" s="24">
        <f t="shared" si="17"/>
        <v>0</v>
      </c>
      <c r="AE139" s="24">
        <f t="shared" si="17"/>
        <v>0</v>
      </c>
      <c r="AF139" s="24">
        <f t="shared" si="17"/>
        <v>0</v>
      </c>
      <c r="AG139" s="24">
        <f t="shared" si="17"/>
        <v>0</v>
      </c>
      <c r="AH139" s="24">
        <f t="shared" si="20"/>
        <v>0</v>
      </c>
      <c r="AI139" s="24">
        <f t="shared" si="10"/>
        <v>0</v>
      </c>
      <c r="AJ139" s="261">
        <f t="shared" si="12"/>
        <v>0</v>
      </c>
      <c r="AK139" s="13"/>
      <c r="AL139" s="100">
        <v>2200</v>
      </c>
      <c r="AM139" s="202"/>
      <c r="AN139" s="200"/>
      <c r="AO139" s="200"/>
      <c r="AP139" s="283">
        <v>7.0989999999999998E-2</v>
      </c>
      <c r="AR139" s="222">
        <v>95.467026465642107</v>
      </c>
      <c r="AS139" s="223">
        <v>95.402483707948704</v>
      </c>
      <c r="AT139" s="223">
        <v>89.541141691501466</v>
      </c>
      <c r="AU139" s="223">
        <v>89.638282701881579</v>
      </c>
      <c r="AV139" s="223">
        <v>98.787999999999997</v>
      </c>
      <c r="AW139" s="224">
        <v>97.453999999999994</v>
      </c>
      <c r="AX139" s="42"/>
      <c r="AY139" s="181"/>
      <c r="AZ139" s="197"/>
    </row>
    <row r="140" spans="12:52" ht="13" thickBot="1" x14ac:dyDescent="0.3">
      <c r="L140" s="55">
        <v>2195</v>
      </c>
      <c r="M140" s="274">
        <f t="shared" si="19"/>
        <v>0</v>
      </c>
      <c r="N140" s="275">
        <f t="shared" si="19"/>
        <v>0</v>
      </c>
      <c r="O140" s="276" t="e">
        <f ca="1"/>
        <v>#N/A</v>
      </c>
      <c r="Q140" s="34">
        <v>0</v>
      </c>
      <c r="R140" s="24">
        <v>0</v>
      </c>
      <c r="S140" s="24">
        <v>0</v>
      </c>
      <c r="T140" s="24">
        <v>0</v>
      </c>
      <c r="U140" s="24">
        <f t="array" ref="U140">IF(U$77&gt;" ",(U$628:U$1078),"")</f>
        <v>0</v>
      </c>
      <c r="V140" s="24">
        <f t="array" ref="V140">IF(V$77&gt;" ",(V$628:V$1078),"")</f>
        <v>0</v>
      </c>
      <c r="W140" s="24">
        <f t="array" ref="W140">IF(W$77&gt;" ",(W$628:W$1078),"")</f>
        <v>0</v>
      </c>
      <c r="X140" s="24">
        <f t="array" ref="X140">IF(X$77&gt;" ",(X$628:X$1078),"")</f>
        <v>0</v>
      </c>
      <c r="Y140" s="21">
        <v>0</v>
      </c>
      <c r="Z140" s="34">
        <f t="shared" si="5"/>
        <v>0</v>
      </c>
      <c r="AA140" s="24">
        <f t="shared" si="6"/>
        <v>0</v>
      </c>
      <c r="AB140" s="24">
        <f t="shared" si="7"/>
        <v>0</v>
      </c>
      <c r="AC140" s="24">
        <f t="shared" si="8"/>
        <v>0</v>
      </c>
      <c r="AD140" s="24">
        <f t="shared" si="17"/>
        <v>0</v>
      </c>
      <c r="AE140" s="24">
        <f t="shared" si="17"/>
        <v>0</v>
      </c>
      <c r="AF140" s="24">
        <f t="shared" si="17"/>
        <v>0</v>
      </c>
      <c r="AG140" s="24">
        <f t="shared" si="17"/>
        <v>0</v>
      </c>
      <c r="AH140" s="24">
        <f t="shared" si="20"/>
        <v>0</v>
      </c>
      <c r="AI140" s="24">
        <f t="shared" si="10"/>
        <v>0</v>
      </c>
      <c r="AJ140" s="261">
        <f t="shared" si="12"/>
        <v>0</v>
      </c>
      <c r="AK140" s="13"/>
      <c r="AL140" s="100">
        <v>2195</v>
      </c>
      <c r="AM140" s="202"/>
      <c r="AN140" s="200"/>
      <c r="AO140" s="200"/>
      <c r="AP140" s="284">
        <v>7.8759999999999997E-2</v>
      </c>
      <c r="AR140" s="222">
        <v>95.583372360189188</v>
      </c>
      <c r="AS140" s="223">
        <v>95.520729188729618</v>
      </c>
      <c r="AT140" s="223">
        <v>89.872434141374995</v>
      </c>
      <c r="AU140" s="223">
        <v>89.976864552475988</v>
      </c>
      <c r="AV140" s="223">
        <v>98.786500000000004</v>
      </c>
      <c r="AW140" s="224">
        <v>97.451999999999998</v>
      </c>
      <c r="AX140" s="42"/>
      <c r="AY140" s="181"/>
      <c r="AZ140" s="197"/>
    </row>
    <row r="141" spans="12:52" ht="13" thickBot="1" x14ac:dyDescent="0.3">
      <c r="L141" s="55">
        <v>2190</v>
      </c>
      <c r="M141" s="274">
        <f t="shared" si="19"/>
        <v>0</v>
      </c>
      <c r="N141" s="275">
        <f t="shared" si="19"/>
        <v>0</v>
      </c>
      <c r="O141" s="276" t="e">
        <f ca="1"/>
        <v>#N/A</v>
      </c>
      <c r="Q141" s="34">
        <v>0</v>
      </c>
      <c r="R141" s="24">
        <v>0</v>
      </c>
      <c r="S141" s="24">
        <v>0</v>
      </c>
      <c r="T141" s="24">
        <v>0</v>
      </c>
      <c r="U141" s="24">
        <f t="array" ref="U141">IF(U$77&gt;" ",(U$628:U$1078),"")</f>
        <v>0</v>
      </c>
      <c r="V141" s="24">
        <f t="array" ref="V141">IF(V$77&gt;" ",(V$628:V$1078),"")</f>
        <v>0</v>
      </c>
      <c r="W141" s="24">
        <f t="array" ref="W141">IF(W$77&gt;" ",(W$628:W$1078),"")</f>
        <v>0</v>
      </c>
      <c r="X141" s="24">
        <f t="array" ref="X141">IF(X$77&gt;" ",(X$628:X$1078),"")</f>
        <v>0</v>
      </c>
      <c r="Y141" s="21">
        <v>0</v>
      </c>
      <c r="Z141" s="34">
        <f t="shared" si="5"/>
        <v>0</v>
      </c>
      <c r="AA141" s="24">
        <f t="shared" si="6"/>
        <v>0</v>
      </c>
      <c r="AB141" s="24">
        <f t="shared" si="7"/>
        <v>0</v>
      </c>
      <c r="AC141" s="24">
        <f t="shared" si="8"/>
        <v>0</v>
      </c>
      <c r="AD141" s="24">
        <f t="shared" si="17"/>
        <v>0</v>
      </c>
      <c r="AE141" s="24">
        <f t="shared" si="17"/>
        <v>0</v>
      </c>
      <c r="AF141" s="24">
        <f t="shared" si="17"/>
        <v>0</v>
      </c>
      <c r="AG141" s="24">
        <f t="shared" si="17"/>
        <v>0</v>
      </c>
      <c r="AH141" s="24">
        <f t="shared" si="20"/>
        <v>0</v>
      </c>
      <c r="AI141" s="24">
        <f t="shared" si="10"/>
        <v>0</v>
      </c>
      <c r="AJ141" s="261">
        <f t="shared" si="12"/>
        <v>0</v>
      </c>
      <c r="AK141" s="13"/>
      <c r="AL141" s="100">
        <v>2190</v>
      </c>
      <c r="AM141" s="202"/>
      <c r="AN141" s="200"/>
      <c r="AO141" s="200"/>
      <c r="AP141" s="283">
        <v>7.8839999999999993E-2</v>
      </c>
      <c r="AR141" s="222">
        <v>95.692387166883989</v>
      </c>
      <c r="AS141" s="223">
        <v>95.632843645230125</v>
      </c>
      <c r="AT141" s="223">
        <v>90.191694063099433</v>
      </c>
      <c r="AU141" s="223">
        <v>90.290791257575094</v>
      </c>
      <c r="AV141" s="223">
        <v>98.784999999999997</v>
      </c>
      <c r="AW141" s="224">
        <v>97.45</v>
      </c>
      <c r="AX141" s="42"/>
      <c r="AY141" s="181"/>
      <c r="AZ141" s="197"/>
    </row>
    <row r="142" spans="12:52" ht="13" thickBot="1" x14ac:dyDescent="0.3">
      <c r="L142" s="55">
        <v>2185</v>
      </c>
      <c r="M142" s="274">
        <f t="shared" si="19"/>
        <v>0</v>
      </c>
      <c r="N142" s="275">
        <f t="shared" si="19"/>
        <v>0</v>
      </c>
      <c r="O142" s="276" t="e">
        <f ca="1"/>
        <v>#N/A</v>
      </c>
      <c r="Q142" s="34">
        <v>0</v>
      </c>
      <c r="R142" s="24">
        <v>0</v>
      </c>
      <c r="S142" s="24">
        <v>0</v>
      </c>
      <c r="T142" s="24">
        <v>0</v>
      </c>
      <c r="U142" s="24">
        <f t="array" ref="U142">IF(U$77&gt;" ",(U$628:U$1078),"")</f>
        <v>0</v>
      </c>
      <c r="V142" s="24">
        <f t="array" ref="V142">IF(V$77&gt;" ",(V$628:V$1078),"")</f>
        <v>0</v>
      </c>
      <c r="W142" s="24">
        <f t="array" ref="W142">IF(W$77&gt;" ",(W$628:W$1078),"")</f>
        <v>0</v>
      </c>
      <c r="X142" s="24">
        <f t="array" ref="X142">IF(X$77&gt;" ",(X$628:X$1078),"")</f>
        <v>0</v>
      </c>
      <c r="Y142" s="21">
        <v>0</v>
      </c>
      <c r="Z142" s="34">
        <f t="shared" si="5"/>
        <v>0</v>
      </c>
      <c r="AA142" s="24">
        <f t="shared" si="6"/>
        <v>0</v>
      </c>
      <c r="AB142" s="24">
        <f t="shared" si="7"/>
        <v>0</v>
      </c>
      <c r="AC142" s="24">
        <f t="shared" si="8"/>
        <v>0</v>
      </c>
      <c r="AD142" s="24">
        <f t="shared" si="17"/>
        <v>0</v>
      </c>
      <c r="AE142" s="24">
        <f t="shared" si="17"/>
        <v>0</v>
      </c>
      <c r="AF142" s="24">
        <f t="shared" si="17"/>
        <v>0</v>
      </c>
      <c r="AG142" s="24">
        <f t="shared" si="17"/>
        <v>0</v>
      </c>
      <c r="AH142" s="24">
        <f t="shared" si="20"/>
        <v>0</v>
      </c>
      <c r="AI142" s="24">
        <f t="shared" si="10"/>
        <v>0</v>
      </c>
      <c r="AJ142" s="261">
        <f t="shared" si="12"/>
        <v>0</v>
      </c>
      <c r="AK142" s="13"/>
      <c r="AL142" s="100">
        <v>2185</v>
      </c>
      <c r="AM142" s="202"/>
      <c r="AN142" s="200"/>
      <c r="AO142" s="200"/>
      <c r="AP142" s="284">
        <v>7.4329999999999993E-2</v>
      </c>
      <c r="AR142" s="222">
        <v>95.815011406219313</v>
      </c>
      <c r="AS142" s="223">
        <v>95.760735967393842</v>
      </c>
      <c r="AT142" s="223">
        <v>90.53447911721544</v>
      </c>
      <c r="AU142" s="223">
        <v>90.63346250337338</v>
      </c>
      <c r="AV142" s="223">
        <v>98.784499999999994</v>
      </c>
      <c r="AW142" s="224">
        <v>97.4495</v>
      </c>
      <c r="AX142" s="42"/>
      <c r="AY142" s="181"/>
      <c r="AZ142" s="197"/>
    </row>
    <row r="143" spans="12:52" ht="13" thickBot="1" x14ac:dyDescent="0.3">
      <c r="L143" s="55">
        <v>2180</v>
      </c>
      <c r="M143" s="274">
        <f t="shared" ref="M143:N158" si="21">M692</f>
        <v>0</v>
      </c>
      <c r="N143" s="275">
        <f t="shared" si="21"/>
        <v>0</v>
      </c>
      <c r="O143" s="276" t="e">
        <f ca="1"/>
        <v>#N/A</v>
      </c>
      <c r="Q143" s="34">
        <v>0</v>
      </c>
      <c r="R143" s="24">
        <v>0</v>
      </c>
      <c r="S143" s="24">
        <v>0</v>
      </c>
      <c r="T143" s="24">
        <v>0</v>
      </c>
      <c r="U143" s="24">
        <f t="array" ref="U143">IF(U$77&gt;" ",(U$628:U$1078),"")</f>
        <v>0</v>
      </c>
      <c r="V143" s="24">
        <f t="array" ref="V143">IF(V$77&gt;" ",(V$628:V$1078),"")</f>
        <v>0</v>
      </c>
      <c r="W143" s="24">
        <f t="array" ref="W143">IF(W$77&gt;" ",(W$628:W$1078),"")</f>
        <v>0</v>
      </c>
      <c r="X143" s="24">
        <f t="array" ref="X143">IF(X$77&gt;" ",(X$628:X$1078),"")</f>
        <v>0</v>
      </c>
      <c r="Y143" s="21">
        <v>0</v>
      </c>
      <c r="Z143" s="34">
        <f t="shared" ref="Z143:Z206" si="22">Q143</f>
        <v>0</v>
      </c>
      <c r="AA143" s="24">
        <f t="shared" ref="AA143:AA206" si="23">R143</f>
        <v>0</v>
      </c>
      <c r="AB143" s="24">
        <f t="shared" ref="AB143:AB206" si="24">S143</f>
        <v>0</v>
      </c>
      <c r="AC143" s="24">
        <f t="shared" ref="AC143:AC206" si="25">T143</f>
        <v>0</v>
      </c>
      <c r="AD143" s="24">
        <f t="shared" si="17"/>
        <v>0</v>
      </c>
      <c r="AE143" s="24">
        <f t="shared" si="17"/>
        <v>0</v>
      </c>
      <c r="AF143" s="24">
        <f t="shared" si="17"/>
        <v>0</v>
      </c>
      <c r="AG143" s="24">
        <f t="shared" si="17"/>
        <v>0</v>
      </c>
      <c r="AH143" s="24">
        <f t="shared" si="20"/>
        <v>0</v>
      </c>
      <c r="AI143" s="24">
        <f t="shared" ref="AI143:AI205" si="26">AVERAGE(Z143:AH143)</f>
        <v>0</v>
      </c>
      <c r="AJ143" s="261">
        <f t="shared" si="12"/>
        <v>0</v>
      </c>
      <c r="AK143" s="13"/>
      <c r="AL143" s="100">
        <v>2180</v>
      </c>
      <c r="AM143" s="202"/>
      <c r="AN143" s="200"/>
      <c r="AO143" s="200"/>
      <c r="AP143" s="283">
        <v>8.1570000000000004E-2</v>
      </c>
      <c r="AR143" s="222">
        <v>95.938847618609159</v>
      </c>
      <c r="AS143" s="223">
        <v>95.903079509427585</v>
      </c>
      <c r="AT143" s="223">
        <v>90.890411184397024</v>
      </c>
      <c r="AU143" s="223">
        <v>90.995197325785696</v>
      </c>
      <c r="AV143" s="223">
        <v>98.784000000000006</v>
      </c>
      <c r="AW143" s="224">
        <v>97.448999999999998</v>
      </c>
      <c r="AX143" s="42"/>
      <c r="AY143" s="181"/>
      <c r="AZ143" s="197"/>
    </row>
    <row r="144" spans="12:52" ht="13" thickBot="1" x14ac:dyDescent="0.3">
      <c r="L144" s="55">
        <v>2175</v>
      </c>
      <c r="M144" s="274">
        <f t="shared" si="21"/>
        <v>0</v>
      </c>
      <c r="N144" s="275">
        <f t="shared" si="21"/>
        <v>0</v>
      </c>
      <c r="O144" s="276" t="e">
        <f ca="1"/>
        <v>#N/A</v>
      </c>
      <c r="Q144" s="34">
        <v>0</v>
      </c>
      <c r="R144" s="24">
        <v>0</v>
      </c>
      <c r="S144" s="24">
        <v>0</v>
      </c>
      <c r="T144" s="24">
        <v>0</v>
      </c>
      <c r="U144" s="24">
        <f t="array" ref="U144">IF(U$77&gt;" ",(U$628:U$1078),"")</f>
        <v>0</v>
      </c>
      <c r="V144" s="24">
        <f t="array" ref="V144">IF(V$77&gt;" ",(V$628:V$1078),"")</f>
        <v>0</v>
      </c>
      <c r="W144" s="24">
        <f t="array" ref="W144">IF(W$77&gt;" ",(W$628:W$1078),"")</f>
        <v>0</v>
      </c>
      <c r="X144" s="24">
        <f t="array" ref="X144">IF(X$77&gt;" ",(X$628:X$1078),"")</f>
        <v>0</v>
      </c>
      <c r="Y144" s="21">
        <v>0</v>
      </c>
      <c r="Z144" s="34">
        <f t="shared" si="22"/>
        <v>0</v>
      </c>
      <c r="AA144" s="24">
        <f t="shared" si="23"/>
        <v>0</v>
      </c>
      <c r="AB144" s="24">
        <f t="shared" si="24"/>
        <v>0</v>
      </c>
      <c r="AC144" s="24">
        <f t="shared" si="25"/>
        <v>0</v>
      </c>
      <c r="AD144" s="24">
        <f t="shared" si="17"/>
        <v>0</v>
      </c>
      <c r="AE144" s="24">
        <f t="shared" si="17"/>
        <v>0</v>
      </c>
      <c r="AF144" s="24">
        <f t="shared" si="17"/>
        <v>0</v>
      </c>
      <c r="AG144" s="24">
        <f t="shared" si="17"/>
        <v>0</v>
      </c>
      <c r="AH144" s="24">
        <f t="shared" si="20"/>
        <v>0</v>
      </c>
      <c r="AI144" s="24">
        <f t="shared" si="26"/>
        <v>0</v>
      </c>
      <c r="AJ144" s="261">
        <f t="shared" ref="AJ144:AJ207" si="27">AI144/100</f>
        <v>0</v>
      </c>
      <c r="AK144" s="13"/>
      <c r="AL144" s="100">
        <v>2175</v>
      </c>
      <c r="AM144" s="202"/>
      <c r="AN144" s="200"/>
      <c r="AO144" s="200"/>
      <c r="AP144" s="284">
        <v>8.0210000000000004E-2</v>
      </c>
      <c r="AR144" s="222">
        <v>96.045367557211463</v>
      </c>
      <c r="AS144" s="223">
        <v>96.013430734719194</v>
      </c>
      <c r="AT144" s="223">
        <v>91.177934288113036</v>
      </c>
      <c r="AU144" s="223">
        <v>91.282517271920668</v>
      </c>
      <c r="AV144" s="223">
        <v>98.784499999999994</v>
      </c>
      <c r="AW144" s="224">
        <v>97.4465</v>
      </c>
      <c r="AX144" s="42"/>
      <c r="AY144" s="181"/>
      <c r="AZ144" s="197"/>
    </row>
    <row r="145" spans="12:52" ht="13" thickBot="1" x14ac:dyDescent="0.3">
      <c r="L145" s="55">
        <v>2170</v>
      </c>
      <c r="M145" s="274">
        <f t="shared" si="21"/>
        <v>0</v>
      </c>
      <c r="N145" s="275">
        <f t="shared" si="21"/>
        <v>0</v>
      </c>
      <c r="O145" s="276" t="e">
        <f ca="1"/>
        <v>#N/A</v>
      </c>
      <c r="Q145" s="34">
        <v>0</v>
      </c>
      <c r="R145" s="24">
        <v>0</v>
      </c>
      <c r="S145" s="24">
        <v>0</v>
      </c>
      <c r="T145" s="24">
        <v>0</v>
      </c>
      <c r="U145" s="24">
        <f t="array" ref="U145">IF(U$77&gt;" ",(U$628:U$1078),"")</f>
        <v>0</v>
      </c>
      <c r="V145" s="24">
        <f t="array" ref="V145">IF(V$77&gt;" ",(V$628:V$1078),"")</f>
        <v>0</v>
      </c>
      <c r="W145" s="24">
        <f t="array" ref="W145">IF(W$77&gt;" ",(W$628:W$1078),"")</f>
        <v>0</v>
      </c>
      <c r="X145" s="24">
        <f t="array" ref="X145">IF(X$77&gt;" ",(X$628:X$1078),"")</f>
        <v>0</v>
      </c>
      <c r="Y145" s="21">
        <v>0</v>
      </c>
      <c r="Z145" s="34">
        <f t="shared" si="22"/>
        <v>0</v>
      </c>
      <c r="AA145" s="24">
        <f t="shared" si="23"/>
        <v>0</v>
      </c>
      <c r="AB145" s="24">
        <f t="shared" si="24"/>
        <v>0</v>
      </c>
      <c r="AC145" s="24">
        <f t="shared" si="25"/>
        <v>0</v>
      </c>
      <c r="AD145" s="24">
        <f t="shared" si="17"/>
        <v>0</v>
      </c>
      <c r="AE145" s="24">
        <f t="shared" si="17"/>
        <v>0</v>
      </c>
      <c r="AF145" s="24">
        <f t="shared" si="17"/>
        <v>0</v>
      </c>
      <c r="AG145" s="24">
        <f t="shared" si="17"/>
        <v>0</v>
      </c>
      <c r="AH145" s="24">
        <f t="shared" si="20"/>
        <v>0</v>
      </c>
      <c r="AI145" s="24">
        <f t="shared" si="26"/>
        <v>0</v>
      </c>
      <c r="AJ145" s="261">
        <f t="shared" si="27"/>
        <v>0</v>
      </c>
      <c r="AK145" s="13"/>
      <c r="AL145" s="100">
        <v>2170</v>
      </c>
      <c r="AM145" s="202"/>
      <c r="AN145" s="200"/>
      <c r="AO145" s="200"/>
      <c r="AP145" s="283">
        <v>8.1759999999999999E-2</v>
      </c>
      <c r="AR145" s="222">
        <v>96.145579309414487</v>
      </c>
      <c r="AS145" s="223">
        <v>96.11542393620158</v>
      </c>
      <c r="AT145" s="223">
        <v>91.466100204617007</v>
      </c>
      <c r="AU145" s="223">
        <v>91.570265763903464</v>
      </c>
      <c r="AV145" s="223">
        <v>98.784999999999997</v>
      </c>
      <c r="AW145" s="224">
        <v>97.444000000000003</v>
      </c>
      <c r="AX145" s="42"/>
      <c r="AY145" s="181"/>
      <c r="AZ145" s="197"/>
    </row>
    <row r="146" spans="12:52" ht="13" thickBot="1" x14ac:dyDescent="0.3">
      <c r="L146" s="55">
        <v>2165</v>
      </c>
      <c r="M146" s="274">
        <f t="shared" si="21"/>
        <v>0</v>
      </c>
      <c r="N146" s="275">
        <f t="shared" si="21"/>
        <v>0</v>
      </c>
      <c r="O146" s="276" t="e">
        <f ca="1"/>
        <v>#N/A</v>
      </c>
      <c r="Q146" s="34">
        <v>0</v>
      </c>
      <c r="R146" s="24">
        <v>0</v>
      </c>
      <c r="S146" s="24">
        <v>0</v>
      </c>
      <c r="T146" s="24">
        <v>0</v>
      </c>
      <c r="U146" s="24">
        <f t="array" ref="U146">IF(U$77&gt;" ",(U$628:U$1078),"")</f>
        <v>0</v>
      </c>
      <c r="V146" s="24">
        <f t="array" ref="V146">IF(V$77&gt;" ",(V$628:V$1078),"")</f>
        <v>0</v>
      </c>
      <c r="W146" s="24">
        <f t="array" ref="W146">IF(W$77&gt;" ",(W$628:W$1078),"")</f>
        <v>0</v>
      </c>
      <c r="X146" s="24">
        <f t="array" ref="X146">IF(X$77&gt;" ",(X$628:X$1078),"")</f>
        <v>0</v>
      </c>
      <c r="Y146" s="21">
        <v>0</v>
      </c>
      <c r="Z146" s="34">
        <f t="shared" si="22"/>
        <v>0</v>
      </c>
      <c r="AA146" s="24">
        <f t="shared" si="23"/>
        <v>0</v>
      </c>
      <c r="AB146" s="24">
        <f t="shared" si="24"/>
        <v>0</v>
      </c>
      <c r="AC146" s="24">
        <f t="shared" si="25"/>
        <v>0</v>
      </c>
      <c r="AD146" s="24">
        <f t="shared" si="17"/>
        <v>0</v>
      </c>
      <c r="AE146" s="24">
        <f t="shared" si="17"/>
        <v>0</v>
      </c>
      <c r="AF146" s="24">
        <f t="shared" si="17"/>
        <v>0</v>
      </c>
      <c r="AG146" s="24">
        <f t="shared" si="17"/>
        <v>0</v>
      </c>
      <c r="AH146" s="24">
        <f t="shared" si="20"/>
        <v>0</v>
      </c>
      <c r="AI146" s="24">
        <f t="shared" si="26"/>
        <v>0</v>
      </c>
      <c r="AJ146" s="261">
        <f t="shared" si="27"/>
        <v>0</v>
      </c>
      <c r="AK146" s="13"/>
      <c r="AL146" s="100">
        <v>2165</v>
      </c>
      <c r="AM146" s="202"/>
      <c r="AN146" s="200"/>
      <c r="AO146" s="200"/>
      <c r="AP146" s="284">
        <v>7.6090000000000005E-2</v>
      </c>
      <c r="AR146" s="222">
        <v>96.218543789508502</v>
      </c>
      <c r="AS146" s="223">
        <v>96.186872954477835</v>
      </c>
      <c r="AT146" s="223">
        <v>91.672319551425332</v>
      </c>
      <c r="AU146" s="223">
        <v>91.773191135263758</v>
      </c>
      <c r="AV146" s="223">
        <v>98.781999999999996</v>
      </c>
      <c r="AW146" s="224">
        <v>97.442999999999998</v>
      </c>
      <c r="AX146" s="42"/>
      <c r="AY146" s="181"/>
      <c r="AZ146" s="197"/>
    </row>
    <row r="147" spans="12:52" ht="13" thickBot="1" x14ac:dyDescent="0.3">
      <c r="L147" s="55">
        <v>2160</v>
      </c>
      <c r="M147" s="274">
        <f t="shared" si="21"/>
        <v>0</v>
      </c>
      <c r="N147" s="275">
        <f t="shared" si="21"/>
        <v>0</v>
      </c>
      <c r="O147" s="276" t="e">
        <f ca="1"/>
        <v>#N/A</v>
      </c>
      <c r="Q147" s="34">
        <v>0</v>
      </c>
      <c r="R147" s="24">
        <v>0</v>
      </c>
      <c r="S147" s="24">
        <v>0</v>
      </c>
      <c r="T147" s="24">
        <v>0</v>
      </c>
      <c r="U147" s="24">
        <f t="array" ref="U147">IF(U$77&gt;" ",(U$628:U$1078),"")</f>
        <v>0</v>
      </c>
      <c r="V147" s="24">
        <f t="array" ref="V147">IF(V$77&gt;" ",(V$628:V$1078),"")</f>
        <v>0</v>
      </c>
      <c r="W147" s="24">
        <f t="array" ref="W147">IF(W$77&gt;" ",(W$628:W$1078),"")</f>
        <v>0</v>
      </c>
      <c r="X147" s="24">
        <f t="array" ref="X147">IF(X$77&gt;" ",(X$628:X$1078),"")</f>
        <v>0</v>
      </c>
      <c r="Y147" s="21">
        <v>0</v>
      </c>
      <c r="Z147" s="34">
        <f t="shared" si="22"/>
        <v>0</v>
      </c>
      <c r="AA147" s="24">
        <f t="shared" si="23"/>
        <v>0</v>
      </c>
      <c r="AB147" s="24">
        <f t="shared" si="24"/>
        <v>0</v>
      </c>
      <c r="AC147" s="24">
        <f t="shared" si="25"/>
        <v>0</v>
      </c>
      <c r="AD147" s="24">
        <f t="shared" si="17"/>
        <v>0</v>
      </c>
      <c r="AE147" s="24">
        <f t="shared" si="17"/>
        <v>0</v>
      </c>
      <c r="AF147" s="24">
        <f t="shared" si="17"/>
        <v>0</v>
      </c>
      <c r="AG147" s="24">
        <f t="shared" si="17"/>
        <v>0</v>
      </c>
      <c r="AH147" s="24">
        <f t="shared" si="20"/>
        <v>0</v>
      </c>
      <c r="AI147" s="24">
        <f t="shared" si="26"/>
        <v>0</v>
      </c>
      <c r="AJ147" s="261">
        <f t="shared" si="27"/>
        <v>0</v>
      </c>
      <c r="AK147" s="13"/>
      <c r="AL147" s="100">
        <v>2160</v>
      </c>
      <c r="AM147" s="202"/>
      <c r="AN147" s="200"/>
      <c r="AO147" s="200"/>
      <c r="AP147" s="283">
        <v>8.3919999999999995E-2</v>
      </c>
      <c r="AR147" s="222">
        <v>96.28208270875173</v>
      </c>
      <c r="AS147" s="223">
        <v>96.263023164969738</v>
      </c>
      <c r="AT147" s="223">
        <v>91.883290407143591</v>
      </c>
      <c r="AU147" s="223">
        <v>91.985252179782961</v>
      </c>
      <c r="AV147" s="223">
        <v>98.778999999999996</v>
      </c>
      <c r="AW147" s="224">
        <v>97.441999999999993</v>
      </c>
      <c r="AX147" s="42"/>
      <c r="AY147" s="181"/>
      <c r="AZ147" s="197"/>
    </row>
    <row r="148" spans="12:52" ht="13" thickBot="1" x14ac:dyDescent="0.3">
      <c r="L148" s="55">
        <v>2155</v>
      </c>
      <c r="M148" s="274">
        <f t="shared" si="21"/>
        <v>0</v>
      </c>
      <c r="N148" s="275">
        <f t="shared" si="21"/>
        <v>0</v>
      </c>
      <c r="O148" s="276" t="e">
        <f ca="1"/>
        <v>#N/A</v>
      </c>
      <c r="Q148" s="34">
        <v>0</v>
      </c>
      <c r="R148" s="24">
        <v>0</v>
      </c>
      <c r="S148" s="24">
        <v>0</v>
      </c>
      <c r="T148" s="24">
        <v>0</v>
      </c>
      <c r="U148" s="24">
        <f t="array" ref="U148">IF(U$77&gt;" ",(U$628:U$1078),"")</f>
        <v>0</v>
      </c>
      <c r="V148" s="24">
        <f t="array" ref="V148">IF(V$77&gt;" ",(V$628:V$1078),"")</f>
        <v>0</v>
      </c>
      <c r="W148" s="24">
        <f t="array" ref="W148">IF(W$77&gt;" ",(W$628:W$1078),"")</f>
        <v>0</v>
      </c>
      <c r="X148" s="24">
        <f t="array" ref="X148">IF(X$77&gt;" ",(X$628:X$1078),"")</f>
        <v>0</v>
      </c>
      <c r="Y148" s="21">
        <v>0</v>
      </c>
      <c r="Z148" s="34">
        <f t="shared" si="22"/>
        <v>0</v>
      </c>
      <c r="AA148" s="24">
        <f t="shared" si="23"/>
        <v>0</v>
      </c>
      <c r="AB148" s="24">
        <f t="shared" si="24"/>
        <v>0</v>
      </c>
      <c r="AC148" s="24">
        <f t="shared" si="25"/>
        <v>0</v>
      </c>
      <c r="AD148" s="24">
        <f t="shared" si="17"/>
        <v>0</v>
      </c>
      <c r="AE148" s="24">
        <f t="shared" si="17"/>
        <v>0</v>
      </c>
      <c r="AF148" s="24">
        <f t="shared" si="17"/>
        <v>0</v>
      </c>
      <c r="AG148" s="24">
        <f t="shared" si="17"/>
        <v>0</v>
      </c>
      <c r="AH148" s="24">
        <f t="shared" si="20"/>
        <v>0</v>
      </c>
      <c r="AI148" s="24">
        <f t="shared" si="26"/>
        <v>0</v>
      </c>
      <c r="AJ148" s="261">
        <f t="shared" si="27"/>
        <v>0</v>
      </c>
      <c r="AK148" s="13"/>
      <c r="AL148" s="100">
        <v>2155</v>
      </c>
      <c r="AM148" s="202"/>
      <c r="AN148" s="200"/>
      <c r="AO148" s="200"/>
      <c r="AP148" s="284">
        <v>8.4589999999999999E-2</v>
      </c>
      <c r="AR148" s="222">
        <v>96.327804762855521</v>
      </c>
      <c r="AS148" s="223">
        <v>96.31556631238584</v>
      </c>
      <c r="AT148" s="223">
        <v>92.027219904533368</v>
      </c>
      <c r="AU148" s="223">
        <v>92.128142652198861</v>
      </c>
      <c r="AV148" s="223">
        <v>98.777500000000003</v>
      </c>
      <c r="AW148" s="224">
        <v>97.439499999999995</v>
      </c>
      <c r="AX148" s="42"/>
      <c r="AY148" s="181"/>
      <c r="AZ148" s="197"/>
    </row>
    <row r="149" spans="12:52" ht="13" thickBot="1" x14ac:dyDescent="0.3">
      <c r="L149" s="55">
        <v>2150</v>
      </c>
      <c r="M149" s="274">
        <f t="shared" si="21"/>
        <v>0</v>
      </c>
      <c r="N149" s="275">
        <f t="shared" si="21"/>
        <v>0</v>
      </c>
      <c r="O149" s="276" t="e">
        <f ca="1"/>
        <v>#N/A</v>
      </c>
      <c r="Q149" s="34">
        <v>0</v>
      </c>
      <c r="R149" s="24">
        <v>0</v>
      </c>
      <c r="S149" s="24">
        <v>0</v>
      </c>
      <c r="T149" s="24">
        <v>0</v>
      </c>
      <c r="U149" s="24">
        <f t="array" ref="U149">IF(U$77&gt;" ",(U$628:U$1078),"")</f>
        <v>0</v>
      </c>
      <c r="V149" s="24">
        <f t="array" ref="V149">IF(V$77&gt;" ",(V$628:V$1078),"")</f>
        <v>0</v>
      </c>
      <c r="W149" s="24">
        <f t="array" ref="W149">IF(W$77&gt;" ",(W$628:W$1078),"")</f>
        <v>0</v>
      </c>
      <c r="X149" s="24">
        <f t="array" ref="X149">IF(X$77&gt;" ",(X$628:X$1078),"")</f>
        <v>0</v>
      </c>
      <c r="Y149" s="21">
        <v>0</v>
      </c>
      <c r="Z149" s="34">
        <f t="shared" si="22"/>
        <v>0</v>
      </c>
      <c r="AA149" s="24">
        <f t="shared" si="23"/>
        <v>0</v>
      </c>
      <c r="AB149" s="24">
        <f t="shared" si="24"/>
        <v>0</v>
      </c>
      <c r="AC149" s="24">
        <f t="shared" si="25"/>
        <v>0</v>
      </c>
      <c r="AD149" s="24">
        <f t="shared" si="17"/>
        <v>0</v>
      </c>
      <c r="AE149" s="24">
        <f t="shared" si="17"/>
        <v>0</v>
      </c>
      <c r="AF149" s="24">
        <f t="shared" si="17"/>
        <v>0</v>
      </c>
      <c r="AG149" s="24">
        <f t="shared" si="17"/>
        <v>0</v>
      </c>
      <c r="AH149" s="24">
        <f t="shared" si="20"/>
        <v>0</v>
      </c>
      <c r="AI149" s="24">
        <f t="shared" si="26"/>
        <v>0</v>
      </c>
      <c r="AJ149" s="261">
        <f t="shared" si="27"/>
        <v>0</v>
      </c>
      <c r="AK149" s="13"/>
      <c r="AL149" s="100">
        <v>2150</v>
      </c>
      <c r="AM149" s="202"/>
      <c r="AN149" s="200"/>
      <c r="AO149" s="200"/>
      <c r="AP149" s="283">
        <v>8.4390000000000007E-2</v>
      </c>
      <c r="AR149" s="222">
        <v>96.390454809836044</v>
      </c>
      <c r="AS149" s="223">
        <v>96.369008819190299</v>
      </c>
      <c r="AT149" s="223">
        <v>92.157057288497697</v>
      </c>
      <c r="AU149" s="223">
        <v>92.264099086437341</v>
      </c>
      <c r="AV149" s="223">
        <v>98.775999999999996</v>
      </c>
      <c r="AW149" s="224">
        <v>97.436999999999998</v>
      </c>
      <c r="AX149" s="42"/>
      <c r="AY149" s="181"/>
      <c r="AZ149" s="197"/>
    </row>
    <row r="150" spans="12:52" ht="13" thickBot="1" x14ac:dyDescent="0.3">
      <c r="L150" s="55">
        <v>2145</v>
      </c>
      <c r="M150" s="274">
        <f t="shared" si="21"/>
        <v>0</v>
      </c>
      <c r="N150" s="275">
        <f t="shared" si="21"/>
        <v>0</v>
      </c>
      <c r="O150" s="276" t="e">
        <f ca="1"/>
        <v>#N/A</v>
      </c>
      <c r="Q150" s="34">
        <v>0</v>
      </c>
      <c r="R150" s="24">
        <v>0</v>
      </c>
      <c r="S150" s="24">
        <v>0</v>
      </c>
      <c r="T150" s="24">
        <v>0</v>
      </c>
      <c r="U150" s="24">
        <f t="array" ref="U150">IF(U$77&gt;" ",(U$628:U$1078),"")</f>
        <v>0</v>
      </c>
      <c r="V150" s="24">
        <f t="array" ref="V150">IF(V$77&gt;" ",(V$628:V$1078),"")</f>
        <v>0</v>
      </c>
      <c r="W150" s="24">
        <f t="array" ref="W150">IF(W$77&gt;" ",(W$628:W$1078),"")</f>
        <v>0</v>
      </c>
      <c r="X150" s="24">
        <f t="array" ref="X150">IF(X$77&gt;" ",(X$628:X$1078),"")</f>
        <v>0</v>
      </c>
      <c r="Y150" s="21">
        <v>0</v>
      </c>
      <c r="Z150" s="34">
        <f t="shared" si="22"/>
        <v>0</v>
      </c>
      <c r="AA150" s="24">
        <f t="shared" si="23"/>
        <v>0</v>
      </c>
      <c r="AB150" s="24">
        <f t="shared" si="24"/>
        <v>0</v>
      </c>
      <c r="AC150" s="24">
        <f t="shared" si="25"/>
        <v>0</v>
      </c>
      <c r="AD150" s="24">
        <f t="shared" si="17"/>
        <v>0</v>
      </c>
      <c r="AE150" s="24">
        <f t="shared" si="17"/>
        <v>0</v>
      </c>
      <c r="AF150" s="24">
        <f t="shared" si="17"/>
        <v>0</v>
      </c>
      <c r="AG150" s="24">
        <f t="shared" si="17"/>
        <v>0</v>
      </c>
      <c r="AH150" s="24">
        <f t="shared" si="20"/>
        <v>0</v>
      </c>
      <c r="AI150" s="24">
        <f t="shared" si="26"/>
        <v>0</v>
      </c>
      <c r="AJ150" s="261">
        <f t="shared" si="27"/>
        <v>0</v>
      </c>
      <c r="AK150" s="13"/>
      <c r="AL150" s="100">
        <v>2145</v>
      </c>
      <c r="AM150" s="202"/>
      <c r="AN150" s="200"/>
      <c r="AO150" s="200"/>
      <c r="AP150" s="284">
        <v>8.9230000000000004E-2</v>
      </c>
      <c r="AR150" s="222">
        <v>96.431400430619206</v>
      </c>
      <c r="AS150" s="223">
        <v>96.410526559312245</v>
      </c>
      <c r="AT150" s="223">
        <v>92.274180702480976</v>
      </c>
      <c r="AU150" s="223">
        <v>92.383766639888847</v>
      </c>
      <c r="AV150" s="223">
        <v>98.774000000000001</v>
      </c>
      <c r="AW150" s="224">
        <v>97.433499999999995</v>
      </c>
      <c r="AX150" s="42"/>
      <c r="AY150" s="181"/>
      <c r="AZ150" s="197"/>
    </row>
    <row r="151" spans="12:52" ht="13" thickBot="1" x14ac:dyDescent="0.3">
      <c r="L151" s="55">
        <v>2140</v>
      </c>
      <c r="M151" s="274">
        <f t="shared" si="21"/>
        <v>0</v>
      </c>
      <c r="N151" s="275">
        <f t="shared" si="21"/>
        <v>0</v>
      </c>
      <c r="O151" s="276" t="e">
        <f ca="1"/>
        <v>#N/A</v>
      </c>
      <c r="Q151" s="34">
        <v>0</v>
      </c>
      <c r="R151" s="24">
        <v>0</v>
      </c>
      <c r="S151" s="24">
        <v>0</v>
      </c>
      <c r="T151" s="24">
        <v>0</v>
      </c>
      <c r="U151" s="24">
        <f t="array" ref="U151">IF(U$77&gt;" ",(U$628:U$1078),"")</f>
        <v>0</v>
      </c>
      <c r="V151" s="24">
        <f t="array" ref="V151">IF(V$77&gt;" ",(V$628:V$1078),"")</f>
        <v>0</v>
      </c>
      <c r="W151" s="24">
        <f t="array" ref="W151">IF(W$77&gt;" ",(W$628:W$1078),"")</f>
        <v>0</v>
      </c>
      <c r="X151" s="24">
        <f t="array" ref="X151">IF(X$77&gt;" ",(X$628:X$1078),"")</f>
        <v>0</v>
      </c>
      <c r="Y151" s="21">
        <v>0</v>
      </c>
      <c r="Z151" s="34">
        <f t="shared" si="22"/>
        <v>0</v>
      </c>
      <c r="AA151" s="24">
        <f t="shared" si="23"/>
        <v>0</v>
      </c>
      <c r="AB151" s="24">
        <f t="shared" si="24"/>
        <v>0</v>
      </c>
      <c r="AC151" s="24">
        <f t="shared" si="25"/>
        <v>0</v>
      </c>
      <c r="AD151" s="24">
        <f t="shared" si="17"/>
        <v>0</v>
      </c>
      <c r="AE151" s="24">
        <f t="shared" si="17"/>
        <v>0</v>
      </c>
      <c r="AF151" s="24">
        <f t="shared" si="17"/>
        <v>0</v>
      </c>
      <c r="AG151" s="24">
        <f t="shared" si="17"/>
        <v>0</v>
      </c>
      <c r="AH151" s="24">
        <f t="shared" si="20"/>
        <v>0</v>
      </c>
      <c r="AI151" s="24">
        <f t="shared" si="26"/>
        <v>0</v>
      </c>
      <c r="AJ151" s="261">
        <f t="shared" si="27"/>
        <v>0</v>
      </c>
      <c r="AK151" s="13"/>
      <c r="AL151" s="100">
        <v>2140</v>
      </c>
      <c r="AM151" s="202"/>
      <c r="AN151" s="200"/>
      <c r="AO151" s="200"/>
      <c r="AP151" s="283">
        <v>9.0499999999999997E-2</v>
      </c>
      <c r="AR151" s="222">
        <v>96.465481217718022</v>
      </c>
      <c r="AS151" s="223">
        <v>96.443131674389988</v>
      </c>
      <c r="AT151" s="223">
        <v>92.390906934362206</v>
      </c>
      <c r="AU151" s="223">
        <v>92.500063205583402</v>
      </c>
      <c r="AV151" s="223">
        <v>98.772000000000006</v>
      </c>
      <c r="AW151" s="224">
        <v>97.43</v>
      </c>
      <c r="AX151" s="42"/>
      <c r="AY151" s="181"/>
      <c r="AZ151" s="197"/>
    </row>
    <row r="152" spans="12:52" ht="13" thickBot="1" x14ac:dyDescent="0.3">
      <c r="L152" s="55">
        <v>2135</v>
      </c>
      <c r="M152" s="274">
        <f t="shared" si="21"/>
        <v>0</v>
      </c>
      <c r="N152" s="275">
        <f t="shared" si="21"/>
        <v>0</v>
      </c>
      <c r="O152" s="276" t="e">
        <f ca="1"/>
        <v>#N/A</v>
      </c>
      <c r="Q152" s="34">
        <v>0</v>
      </c>
      <c r="R152" s="24">
        <v>0</v>
      </c>
      <c r="S152" s="24">
        <v>0</v>
      </c>
      <c r="T152" s="24">
        <v>0</v>
      </c>
      <c r="U152" s="24">
        <f t="array" ref="U152">IF(U$77&gt;" ",(U$628:U$1078),"")</f>
        <v>0</v>
      </c>
      <c r="V152" s="24">
        <f t="array" ref="V152">IF(V$77&gt;" ",(V$628:V$1078),"")</f>
        <v>0</v>
      </c>
      <c r="W152" s="24">
        <f t="array" ref="W152">IF(W$77&gt;" ",(W$628:W$1078),"")</f>
        <v>0</v>
      </c>
      <c r="X152" s="24">
        <f t="array" ref="X152">IF(X$77&gt;" ",(X$628:X$1078),"")</f>
        <v>0</v>
      </c>
      <c r="Y152" s="21">
        <v>0</v>
      </c>
      <c r="Z152" s="34">
        <f t="shared" si="22"/>
        <v>0</v>
      </c>
      <c r="AA152" s="24">
        <f t="shared" si="23"/>
        <v>0</v>
      </c>
      <c r="AB152" s="24">
        <f t="shared" si="24"/>
        <v>0</v>
      </c>
      <c r="AC152" s="24">
        <f t="shared" si="25"/>
        <v>0</v>
      </c>
      <c r="AD152" s="24">
        <f t="shared" si="17"/>
        <v>0</v>
      </c>
      <c r="AE152" s="24">
        <f t="shared" si="17"/>
        <v>0</v>
      </c>
      <c r="AF152" s="24">
        <f t="shared" si="17"/>
        <v>0</v>
      </c>
      <c r="AG152" s="24">
        <f t="shared" si="17"/>
        <v>0</v>
      </c>
      <c r="AH152" s="24">
        <f t="shared" si="20"/>
        <v>0</v>
      </c>
      <c r="AI152" s="24">
        <f t="shared" si="26"/>
        <v>0</v>
      </c>
      <c r="AJ152" s="261">
        <f t="shared" si="27"/>
        <v>0</v>
      </c>
      <c r="AK152" s="13"/>
      <c r="AL152" s="100">
        <v>2135</v>
      </c>
      <c r="AM152" s="202"/>
      <c r="AN152" s="200"/>
      <c r="AO152" s="200"/>
      <c r="AP152" s="284">
        <v>8.9779999999999999E-2</v>
      </c>
      <c r="AR152" s="222">
        <v>96.495339596669041</v>
      </c>
      <c r="AS152" s="223">
        <v>96.480847129614048</v>
      </c>
      <c r="AT152" s="223">
        <v>92.483507539964748</v>
      </c>
      <c r="AU152" s="223">
        <v>92.59367294821152</v>
      </c>
      <c r="AV152" s="223">
        <v>98.770499999999998</v>
      </c>
      <c r="AW152" s="224">
        <v>97.4285</v>
      </c>
      <c r="AX152" s="42"/>
      <c r="AY152" s="181"/>
      <c r="AZ152" s="197"/>
    </row>
    <row r="153" spans="12:52" ht="13" thickBot="1" x14ac:dyDescent="0.3">
      <c r="L153" s="55">
        <v>2130</v>
      </c>
      <c r="M153" s="274">
        <f t="shared" si="21"/>
        <v>0</v>
      </c>
      <c r="N153" s="275">
        <f t="shared" si="21"/>
        <v>0</v>
      </c>
      <c r="O153" s="276" t="e">
        <f ca="1"/>
        <v>#N/A</v>
      </c>
      <c r="Q153" s="34">
        <v>0</v>
      </c>
      <c r="R153" s="24">
        <v>0</v>
      </c>
      <c r="S153" s="24">
        <v>0</v>
      </c>
      <c r="T153" s="24">
        <v>0</v>
      </c>
      <c r="U153" s="24">
        <f t="array" ref="U153">IF(U$77&gt;" ",(U$628:U$1078),"")</f>
        <v>0</v>
      </c>
      <c r="V153" s="24">
        <f t="array" ref="V153">IF(V$77&gt;" ",(V$628:V$1078),"")</f>
        <v>0</v>
      </c>
      <c r="W153" s="24">
        <f t="array" ref="W153">IF(W$77&gt;" ",(W$628:W$1078),"")</f>
        <v>0</v>
      </c>
      <c r="X153" s="24">
        <f t="array" ref="X153">IF(X$77&gt;" ",(X$628:X$1078),"")</f>
        <v>0</v>
      </c>
      <c r="Y153" s="21">
        <v>0</v>
      </c>
      <c r="Z153" s="34">
        <f t="shared" si="22"/>
        <v>0</v>
      </c>
      <c r="AA153" s="24">
        <f t="shared" si="23"/>
        <v>0</v>
      </c>
      <c r="AB153" s="24">
        <f t="shared" si="24"/>
        <v>0</v>
      </c>
      <c r="AC153" s="24">
        <f t="shared" si="25"/>
        <v>0</v>
      </c>
      <c r="AD153" s="24">
        <f t="shared" si="17"/>
        <v>0</v>
      </c>
      <c r="AE153" s="24">
        <f t="shared" si="17"/>
        <v>0</v>
      </c>
      <c r="AF153" s="24">
        <f t="shared" si="17"/>
        <v>0</v>
      </c>
      <c r="AG153" s="24">
        <f t="shared" si="17"/>
        <v>0</v>
      </c>
      <c r="AH153" s="24">
        <f t="shared" si="20"/>
        <v>0</v>
      </c>
      <c r="AI153" s="24">
        <f t="shared" si="26"/>
        <v>0</v>
      </c>
      <c r="AJ153" s="261">
        <f t="shared" si="27"/>
        <v>0</v>
      </c>
      <c r="AK153" s="13"/>
      <c r="AL153" s="100">
        <v>2130</v>
      </c>
      <c r="AM153" s="202"/>
      <c r="AN153" s="200"/>
      <c r="AO153" s="200"/>
      <c r="AP153" s="283">
        <v>8.9510000000000006E-2</v>
      </c>
      <c r="AR153" s="222">
        <v>96.511439966296777</v>
      </c>
      <c r="AS153" s="223">
        <v>96.509458813097467</v>
      </c>
      <c r="AT153" s="223">
        <v>92.573721605029789</v>
      </c>
      <c r="AU153" s="223">
        <v>92.673634379928103</v>
      </c>
      <c r="AV153" s="223">
        <v>98.768999999999991</v>
      </c>
      <c r="AW153" s="224">
        <v>97.426999999999992</v>
      </c>
      <c r="AX153" s="42"/>
      <c r="AY153" s="181"/>
      <c r="AZ153" s="197"/>
    </row>
    <row r="154" spans="12:52" ht="13" thickBot="1" x14ac:dyDescent="0.3">
      <c r="L154" s="55">
        <v>2125</v>
      </c>
      <c r="M154" s="274">
        <f t="shared" si="21"/>
        <v>0</v>
      </c>
      <c r="N154" s="275">
        <f t="shared" si="21"/>
        <v>0</v>
      </c>
      <c r="O154" s="276" t="e">
        <f ca="1"/>
        <v>#N/A</v>
      </c>
      <c r="Q154" s="34">
        <v>0</v>
      </c>
      <c r="R154" s="24">
        <v>0</v>
      </c>
      <c r="S154" s="24">
        <v>0</v>
      </c>
      <c r="T154" s="24">
        <v>0</v>
      </c>
      <c r="U154" s="24">
        <f t="array" ref="U154">IF(U$77&gt;" ",(U$628:U$1078),"")</f>
        <v>0</v>
      </c>
      <c r="V154" s="24">
        <f t="array" ref="V154">IF(V$77&gt;" ",(V$628:V$1078),"")</f>
        <v>0</v>
      </c>
      <c r="W154" s="24">
        <f t="array" ref="W154">IF(W$77&gt;" ",(W$628:W$1078),"")</f>
        <v>0</v>
      </c>
      <c r="X154" s="24">
        <f t="array" ref="X154">IF(X$77&gt;" ",(X$628:X$1078),"")</f>
        <v>0</v>
      </c>
      <c r="Y154" s="21">
        <v>0</v>
      </c>
      <c r="Z154" s="34">
        <f t="shared" si="22"/>
        <v>0</v>
      </c>
      <c r="AA154" s="24">
        <f t="shared" si="23"/>
        <v>0</v>
      </c>
      <c r="AB154" s="24">
        <f t="shared" si="24"/>
        <v>0</v>
      </c>
      <c r="AC154" s="24">
        <f t="shared" si="25"/>
        <v>0</v>
      </c>
      <c r="AD154" s="24">
        <f t="shared" si="17"/>
        <v>0</v>
      </c>
      <c r="AE154" s="24">
        <f t="shared" si="17"/>
        <v>0</v>
      </c>
      <c r="AF154" s="24">
        <f t="shared" si="17"/>
        <v>0</v>
      </c>
      <c r="AG154" s="24">
        <f t="shared" si="17"/>
        <v>0</v>
      </c>
      <c r="AH154" s="24">
        <f t="shared" si="20"/>
        <v>0</v>
      </c>
      <c r="AI154" s="24">
        <f t="shared" si="26"/>
        <v>0</v>
      </c>
      <c r="AJ154" s="261">
        <f t="shared" si="27"/>
        <v>0</v>
      </c>
      <c r="AK154" s="13"/>
      <c r="AL154" s="100">
        <v>2125</v>
      </c>
      <c r="AM154" s="202"/>
      <c r="AN154" s="200"/>
      <c r="AO154" s="200"/>
      <c r="AP154" s="284">
        <v>8.8370000000000004E-2</v>
      </c>
      <c r="AR154" s="222">
        <v>96.544747712358401</v>
      </c>
      <c r="AS154" s="223">
        <v>96.530296698562097</v>
      </c>
      <c r="AT154" s="223">
        <v>92.650248789763793</v>
      </c>
      <c r="AU154" s="223">
        <v>92.751200122421835</v>
      </c>
      <c r="AV154" s="223">
        <v>98.765499999999989</v>
      </c>
      <c r="AW154" s="224">
        <v>97.4255</v>
      </c>
      <c r="AX154" s="42"/>
      <c r="AY154" s="181"/>
      <c r="AZ154" s="197"/>
    </row>
    <row r="155" spans="12:52" ht="13" thickBot="1" x14ac:dyDescent="0.3">
      <c r="L155" s="55">
        <v>2120</v>
      </c>
      <c r="M155" s="274">
        <f t="shared" si="21"/>
        <v>0</v>
      </c>
      <c r="N155" s="275">
        <f t="shared" si="21"/>
        <v>0</v>
      </c>
      <c r="O155" s="276" t="e">
        <f ca="1"/>
        <v>#N/A</v>
      </c>
      <c r="Q155" s="34">
        <v>0</v>
      </c>
      <c r="R155" s="24">
        <v>0</v>
      </c>
      <c r="S155" s="24">
        <v>0</v>
      </c>
      <c r="T155" s="24">
        <v>0</v>
      </c>
      <c r="U155" s="24">
        <f t="array" ref="U155">IF(U$77&gt;" ",(U$628:U$1078),"")</f>
        <v>0</v>
      </c>
      <c r="V155" s="24">
        <f t="array" ref="V155">IF(V$77&gt;" ",(V$628:V$1078),"")</f>
        <v>0</v>
      </c>
      <c r="W155" s="24">
        <f t="array" ref="W155">IF(W$77&gt;" ",(W$628:W$1078),"")</f>
        <v>0</v>
      </c>
      <c r="X155" s="24">
        <f t="array" ref="X155">IF(X$77&gt;" ",(X$628:X$1078),"")</f>
        <v>0</v>
      </c>
      <c r="Y155" s="21">
        <v>0</v>
      </c>
      <c r="Z155" s="34">
        <f t="shared" si="22"/>
        <v>0</v>
      </c>
      <c r="AA155" s="24">
        <f t="shared" si="23"/>
        <v>0</v>
      </c>
      <c r="AB155" s="24">
        <f t="shared" si="24"/>
        <v>0</v>
      </c>
      <c r="AC155" s="24">
        <f t="shared" si="25"/>
        <v>0</v>
      </c>
      <c r="AD155" s="24">
        <f t="shared" si="17"/>
        <v>0</v>
      </c>
      <c r="AE155" s="24">
        <f t="shared" si="17"/>
        <v>0</v>
      </c>
      <c r="AF155" s="24">
        <f t="shared" si="17"/>
        <v>0</v>
      </c>
      <c r="AG155" s="24">
        <f t="shared" si="17"/>
        <v>0</v>
      </c>
      <c r="AH155" s="24">
        <f t="shared" si="20"/>
        <v>0</v>
      </c>
      <c r="AI155" s="24">
        <f t="shared" si="26"/>
        <v>0</v>
      </c>
      <c r="AJ155" s="261">
        <f t="shared" si="27"/>
        <v>0</v>
      </c>
      <c r="AK155" s="13"/>
      <c r="AL155" s="100">
        <v>2120</v>
      </c>
      <c r="AM155" s="202"/>
      <c r="AN155" s="200"/>
      <c r="AO155" s="200"/>
      <c r="AP155" s="283">
        <v>8.7330000000000005E-2</v>
      </c>
      <c r="AR155" s="222">
        <v>96.557215884016401</v>
      </c>
      <c r="AS155" s="223">
        <v>96.55392250481755</v>
      </c>
      <c r="AT155" s="223">
        <v>92.72791838495084</v>
      </c>
      <c r="AU155" s="223">
        <v>92.835074095572736</v>
      </c>
      <c r="AV155" s="223">
        <v>98.762</v>
      </c>
      <c r="AW155" s="224">
        <v>97.424000000000007</v>
      </c>
      <c r="AX155" s="42"/>
      <c r="AY155" s="181"/>
      <c r="AZ155" s="197"/>
    </row>
    <row r="156" spans="12:52" ht="13" thickBot="1" x14ac:dyDescent="0.3">
      <c r="L156" s="55">
        <v>2115</v>
      </c>
      <c r="M156" s="274">
        <f t="shared" si="21"/>
        <v>0</v>
      </c>
      <c r="N156" s="275">
        <f t="shared" si="21"/>
        <v>0</v>
      </c>
      <c r="O156" s="276" t="e">
        <f ca="1"/>
        <v>#N/A</v>
      </c>
      <c r="Q156" s="34">
        <v>0</v>
      </c>
      <c r="R156" s="24">
        <v>0</v>
      </c>
      <c r="S156" s="24">
        <v>0</v>
      </c>
      <c r="T156" s="24">
        <v>0</v>
      </c>
      <c r="U156" s="24">
        <f t="array" ref="U156">IF(U$77&gt;" ",(U$628:U$1078),"")</f>
        <v>0</v>
      </c>
      <c r="V156" s="24">
        <f t="array" ref="V156">IF(V$77&gt;" ",(V$628:V$1078),"")</f>
        <v>0</v>
      </c>
      <c r="W156" s="24">
        <f t="array" ref="W156">IF(W$77&gt;" ",(W$628:W$1078),"")</f>
        <v>0</v>
      </c>
      <c r="X156" s="24">
        <f t="array" ref="X156">IF(X$77&gt;" ",(X$628:X$1078),"")</f>
        <v>0</v>
      </c>
      <c r="Y156" s="21">
        <v>0</v>
      </c>
      <c r="Z156" s="34">
        <f t="shared" si="22"/>
        <v>0</v>
      </c>
      <c r="AA156" s="24">
        <f t="shared" si="23"/>
        <v>0</v>
      </c>
      <c r="AB156" s="24">
        <f t="shared" si="24"/>
        <v>0</v>
      </c>
      <c r="AC156" s="24">
        <f t="shared" si="25"/>
        <v>0</v>
      </c>
      <c r="AD156" s="24">
        <f t="shared" si="17"/>
        <v>0</v>
      </c>
      <c r="AE156" s="24">
        <f t="shared" si="17"/>
        <v>0</v>
      </c>
      <c r="AF156" s="24">
        <f t="shared" si="17"/>
        <v>0</v>
      </c>
      <c r="AG156" s="24">
        <f t="shared" si="17"/>
        <v>0</v>
      </c>
      <c r="AH156" s="24">
        <f t="shared" si="20"/>
        <v>0</v>
      </c>
      <c r="AI156" s="24">
        <f t="shared" si="26"/>
        <v>0</v>
      </c>
      <c r="AJ156" s="261">
        <f t="shared" si="27"/>
        <v>0</v>
      </c>
      <c r="AK156" s="13"/>
      <c r="AL156" s="100">
        <v>2115</v>
      </c>
      <c r="AM156" s="202"/>
      <c r="AN156" s="200"/>
      <c r="AO156" s="200"/>
      <c r="AP156" s="284">
        <v>9.1410000000000005E-2</v>
      </c>
      <c r="AR156" s="222">
        <v>96.590044845486531</v>
      </c>
      <c r="AS156" s="223">
        <v>96.578513443403963</v>
      </c>
      <c r="AT156" s="223">
        <v>92.789089277364454</v>
      </c>
      <c r="AU156" s="223">
        <v>92.893561940903041</v>
      </c>
      <c r="AV156" s="223">
        <v>98.759500000000003</v>
      </c>
      <c r="AW156" s="224">
        <v>97.421999999999997</v>
      </c>
      <c r="AX156" s="42"/>
      <c r="AY156" s="181"/>
      <c r="AZ156" s="197"/>
    </row>
    <row r="157" spans="12:52" ht="13" thickBot="1" x14ac:dyDescent="0.3">
      <c r="L157" s="55">
        <v>2110</v>
      </c>
      <c r="M157" s="274">
        <f t="shared" si="21"/>
        <v>0</v>
      </c>
      <c r="N157" s="275">
        <f t="shared" si="21"/>
        <v>0</v>
      </c>
      <c r="O157" s="276" t="e">
        <f ca="1"/>
        <v>#N/A</v>
      </c>
      <c r="Q157" s="34">
        <v>0</v>
      </c>
      <c r="R157" s="24">
        <v>0</v>
      </c>
      <c r="S157" s="24">
        <v>0</v>
      </c>
      <c r="T157" s="24">
        <v>0</v>
      </c>
      <c r="U157" s="24">
        <f t="array" ref="U157">IF(U$77&gt;" ",(U$628:U$1078),"")</f>
        <v>0</v>
      </c>
      <c r="V157" s="24">
        <f t="array" ref="V157">IF(V$77&gt;" ",(V$628:V$1078),"")</f>
        <v>0</v>
      </c>
      <c r="W157" s="24">
        <f t="array" ref="W157">IF(W$77&gt;" ",(W$628:W$1078),"")</f>
        <v>0</v>
      </c>
      <c r="X157" s="24">
        <f t="array" ref="X157">IF(X$77&gt;" ",(X$628:X$1078),"")</f>
        <v>0</v>
      </c>
      <c r="Y157" s="21">
        <v>0</v>
      </c>
      <c r="Z157" s="34">
        <f t="shared" si="22"/>
        <v>0</v>
      </c>
      <c r="AA157" s="24">
        <f t="shared" si="23"/>
        <v>0</v>
      </c>
      <c r="AB157" s="24">
        <f t="shared" si="24"/>
        <v>0</v>
      </c>
      <c r="AC157" s="24">
        <f t="shared" si="25"/>
        <v>0</v>
      </c>
      <c r="AD157" s="24">
        <f t="shared" si="17"/>
        <v>0</v>
      </c>
      <c r="AE157" s="24">
        <f t="shared" si="17"/>
        <v>0</v>
      </c>
      <c r="AF157" s="24">
        <f t="shared" si="17"/>
        <v>0</v>
      </c>
      <c r="AG157" s="24">
        <f t="shared" si="17"/>
        <v>0</v>
      </c>
      <c r="AH157" s="24">
        <f t="shared" si="20"/>
        <v>0</v>
      </c>
      <c r="AI157" s="24">
        <f t="shared" si="26"/>
        <v>0</v>
      </c>
      <c r="AJ157" s="261">
        <f t="shared" si="27"/>
        <v>0</v>
      </c>
      <c r="AK157" s="13"/>
      <c r="AL157" s="100">
        <v>2110</v>
      </c>
      <c r="AM157" s="202"/>
      <c r="AN157" s="200"/>
      <c r="AO157" s="200"/>
      <c r="AP157" s="283">
        <v>8.9389999999999997E-2</v>
      </c>
      <c r="AR157" s="222">
        <v>96.6098920487903</v>
      </c>
      <c r="AS157" s="223">
        <v>96.595961850996503</v>
      </c>
      <c r="AT157" s="223">
        <v>92.857136533740956</v>
      </c>
      <c r="AU157" s="223">
        <v>92.963226394411677</v>
      </c>
      <c r="AV157" s="223">
        <v>98.756999999999991</v>
      </c>
      <c r="AW157" s="224">
        <v>97.42</v>
      </c>
      <c r="AX157" s="42"/>
      <c r="AY157" s="181"/>
      <c r="AZ157" s="197"/>
    </row>
    <row r="158" spans="12:52" ht="13" thickBot="1" x14ac:dyDescent="0.3">
      <c r="L158" s="55">
        <v>2105</v>
      </c>
      <c r="M158" s="274">
        <f t="shared" si="21"/>
        <v>0</v>
      </c>
      <c r="N158" s="275">
        <f t="shared" si="21"/>
        <v>0</v>
      </c>
      <c r="O158" s="276" t="e">
        <f ca="1"/>
        <v>#N/A</v>
      </c>
      <c r="Q158" s="34">
        <v>0</v>
      </c>
      <c r="R158" s="24">
        <v>0</v>
      </c>
      <c r="S158" s="24">
        <v>0</v>
      </c>
      <c r="T158" s="24">
        <v>0</v>
      </c>
      <c r="U158" s="24">
        <f t="array" ref="U158">IF(U$77&gt;" ",(U$628:U$1078),"")</f>
        <v>0</v>
      </c>
      <c r="V158" s="24">
        <f t="array" ref="V158">IF(V$77&gt;" ",(V$628:V$1078),"")</f>
        <v>0</v>
      </c>
      <c r="W158" s="24">
        <f t="array" ref="W158">IF(W$77&gt;" ",(W$628:W$1078),"")</f>
        <v>0</v>
      </c>
      <c r="X158" s="24">
        <f t="array" ref="X158">IF(X$77&gt;" ",(X$628:X$1078),"")</f>
        <v>0</v>
      </c>
      <c r="Y158" s="21">
        <v>0</v>
      </c>
      <c r="Z158" s="34">
        <f t="shared" si="22"/>
        <v>0</v>
      </c>
      <c r="AA158" s="24">
        <f t="shared" si="23"/>
        <v>0</v>
      </c>
      <c r="AB158" s="24">
        <f t="shared" si="24"/>
        <v>0</v>
      </c>
      <c r="AC158" s="24">
        <f t="shared" si="25"/>
        <v>0</v>
      </c>
      <c r="AD158" s="24">
        <f t="shared" si="17"/>
        <v>0</v>
      </c>
      <c r="AE158" s="24">
        <f t="shared" si="17"/>
        <v>0</v>
      </c>
      <c r="AF158" s="24">
        <f t="shared" si="17"/>
        <v>0</v>
      </c>
      <c r="AG158" s="24">
        <f t="shared" ref="AG158:AG221" si="28">X158</f>
        <v>0</v>
      </c>
      <c r="AH158" s="24">
        <f t="shared" si="20"/>
        <v>0</v>
      </c>
      <c r="AI158" s="24">
        <f t="shared" si="26"/>
        <v>0</v>
      </c>
      <c r="AJ158" s="261">
        <f t="shared" si="27"/>
        <v>0</v>
      </c>
      <c r="AK158" s="13"/>
      <c r="AL158" s="100">
        <v>2105</v>
      </c>
      <c r="AM158" s="202"/>
      <c r="AN158" s="200"/>
      <c r="AO158" s="200"/>
      <c r="AP158" s="284">
        <v>9.2880000000000004E-2</v>
      </c>
      <c r="AR158" s="222">
        <v>96.631815033147191</v>
      </c>
      <c r="AS158" s="223">
        <v>96.615676880064527</v>
      </c>
      <c r="AT158" s="223">
        <v>92.903457903111601</v>
      </c>
      <c r="AU158" s="223">
        <v>93.014029200556408</v>
      </c>
      <c r="AV158" s="223">
        <v>98.754999999999995</v>
      </c>
      <c r="AW158" s="224">
        <v>97.418000000000006</v>
      </c>
      <c r="AX158" s="42"/>
      <c r="AY158" s="181"/>
      <c r="AZ158" s="197"/>
    </row>
    <row r="159" spans="12:52" ht="13" thickBot="1" x14ac:dyDescent="0.3">
      <c r="L159" s="55">
        <v>2100</v>
      </c>
      <c r="M159" s="274">
        <f t="shared" ref="M159:N174" si="29">M708</f>
        <v>0</v>
      </c>
      <c r="N159" s="275">
        <f t="shared" si="29"/>
        <v>0</v>
      </c>
      <c r="O159" s="276" t="e">
        <f ca="1"/>
        <v>#N/A</v>
      </c>
      <c r="Q159" s="34">
        <v>0</v>
      </c>
      <c r="R159" s="24">
        <v>0</v>
      </c>
      <c r="S159" s="24">
        <v>0</v>
      </c>
      <c r="T159" s="24">
        <v>0</v>
      </c>
      <c r="U159" s="24">
        <f t="array" ref="U159">IF(U$77&gt;" ",(U$628:U$1078),"")</f>
        <v>0</v>
      </c>
      <c r="V159" s="24">
        <f t="array" ref="V159">IF(V$77&gt;" ",(V$628:V$1078),"")</f>
        <v>0</v>
      </c>
      <c r="W159" s="24">
        <f t="array" ref="W159">IF(W$77&gt;" ",(W$628:W$1078),"")</f>
        <v>0</v>
      </c>
      <c r="X159" s="24">
        <f t="array" ref="X159">IF(X$77&gt;" ",(X$628:X$1078),"")</f>
        <v>0</v>
      </c>
      <c r="Y159" s="21">
        <v>0</v>
      </c>
      <c r="Z159" s="34">
        <f t="shared" si="22"/>
        <v>0</v>
      </c>
      <c r="AA159" s="24">
        <f t="shared" si="23"/>
        <v>0</v>
      </c>
      <c r="AB159" s="24">
        <f t="shared" si="24"/>
        <v>0</v>
      </c>
      <c r="AC159" s="24">
        <f t="shared" si="25"/>
        <v>0</v>
      </c>
      <c r="AD159" s="24">
        <f t="shared" ref="AD159:AG222" si="30">U159</f>
        <v>0</v>
      </c>
      <c r="AE159" s="24">
        <f t="shared" si="30"/>
        <v>0</v>
      </c>
      <c r="AF159" s="24">
        <f t="shared" si="30"/>
        <v>0</v>
      </c>
      <c r="AG159" s="24">
        <f t="shared" si="28"/>
        <v>0</v>
      </c>
      <c r="AH159" s="24">
        <f t="shared" si="20"/>
        <v>0</v>
      </c>
      <c r="AI159" s="24">
        <f t="shared" si="26"/>
        <v>0</v>
      </c>
      <c r="AJ159" s="261">
        <f t="shared" si="27"/>
        <v>0</v>
      </c>
      <c r="AK159" s="13"/>
      <c r="AL159" s="100">
        <v>2100</v>
      </c>
      <c r="AM159" s="202"/>
      <c r="AN159" s="200"/>
      <c r="AO159" s="200"/>
      <c r="AP159" s="283">
        <v>8.5879999999999998E-2</v>
      </c>
      <c r="AR159" s="222">
        <v>96.644126789406712</v>
      </c>
      <c r="AS159" s="223">
        <v>96.624475758418882</v>
      </c>
      <c r="AT159" s="223">
        <v>92.950318574301733</v>
      </c>
      <c r="AU159" s="223">
        <v>93.061756475978768</v>
      </c>
      <c r="AV159" s="223">
        <v>98.753</v>
      </c>
      <c r="AW159" s="224">
        <v>97.415999999999997</v>
      </c>
      <c r="AX159" s="42"/>
      <c r="AY159" s="181"/>
      <c r="AZ159" s="197"/>
    </row>
    <row r="160" spans="12:52" ht="13" thickBot="1" x14ac:dyDescent="0.3">
      <c r="L160" s="55">
        <v>2095</v>
      </c>
      <c r="M160" s="274">
        <f t="shared" si="29"/>
        <v>0</v>
      </c>
      <c r="N160" s="275">
        <f t="shared" si="29"/>
        <v>0</v>
      </c>
      <c r="O160" s="276" t="e">
        <f ca="1"/>
        <v>#N/A</v>
      </c>
      <c r="Q160" s="34">
        <v>0</v>
      </c>
      <c r="R160" s="24">
        <v>0</v>
      </c>
      <c r="S160" s="24">
        <v>0</v>
      </c>
      <c r="T160" s="24">
        <v>0</v>
      </c>
      <c r="U160" s="24">
        <f t="array" ref="U160">IF(U$77&gt;" ",(U$628:U$1078),"")</f>
        <v>0</v>
      </c>
      <c r="V160" s="24">
        <f t="array" ref="V160">IF(V$77&gt;" ",(V$628:V$1078),"")</f>
        <v>0</v>
      </c>
      <c r="W160" s="24">
        <f t="array" ref="W160">IF(W$77&gt;" ",(W$628:W$1078),"")</f>
        <v>0</v>
      </c>
      <c r="X160" s="24">
        <f t="array" ref="X160">IF(X$77&gt;" ",(X$628:X$1078),"")</f>
        <v>0</v>
      </c>
      <c r="Y160" s="21">
        <v>0</v>
      </c>
      <c r="Z160" s="34">
        <f t="shared" si="22"/>
        <v>0</v>
      </c>
      <c r="AA160" s="24">
        <f t="shared" si="23"/>
        <v>0</v>
      </c>
      <c r="AB160" s="24">
        <f t="shared" si="24"/>
        <v>0</v>
      </c>
      <c r="AC160" s="24">
        <f t="shared" si="25"/>
        <v>0</v>
      </c>
      <c r="AD160" s="24">
        <f t="shared" si="30"/>
        <v>0</v>
      </c>
      <c r="AE160" s="24">
        <f t="shared" si="30"/>
        <v>0</v>
      </c>
      <c r="AF160" s="24">
        <f t="shared" si="30"/>
        <v>0</v>
      </c>
      <c r="AG160" s="24">
        <f t="shared" si="28"/>
        <v>0</v>
      </c>
      <c r="AH160" s="24">
        <f t="shared" si="20"/>
        <v>0</v>
      </c>
      <c r="AI160" s="24">
        <f t="shared" si="26"/>
        <v>0</v>
      </c>
      <c r="AJ160" s="261">
        <f t="shared" si="27"/>
        <v>0</v>
      </c>
      <c r="AK160" s="13"/>
      <c r="AL160" s="100">
        <v>2095</v>
      </c>
      <c r="AM160" s="202"/>
      <c r="AN160" s="200"/>
      <c r="AO160" s="200"/>
      <c r="AP160" s="284">
        <v>8.949E-2</v>
      </c>
      <c r="AR160" s="222">
        <v>96.650895012781731</v>
      </c>
      <c r="AS160" s="223">
        <v>96.639956779443295</v>
      </c>
      <c r="AT160" s="223">
        <v>92.993988465506405</v>
      </c>
      <c r="AU160" s="223">
        <v>93.104186085147674</v>
      </c>
      <c r="AV160" s="223">
        <v>98.750500000000002</v>
      </c>
      <c r="AW160" s="224">
        <v>97.415000000000006</v>
      </c>
      <c r="AX160" s="42"/>
      <c r="AY160" s="181"/>
      <c r="AZ160" s="197"/>
    </row>
    <row r="161" spans="12:52" ht="13" thickBot="1" x14ac:dyDescent="0.3">
      <c r="L161" s="55">
        <v>2090</v>
      </c>
      <c r="M161" s="274">
        <f t="shared" si="29"/>
        <v>0</v>
      </c>
      <c r="N161" s="275">
        <f t="shared" si="29"/>
        <v>0</v>
      </c>
      <c r="O161" s="276" t="e">
        <f ca="1"/>
        <v>#N/A</v>
      </c>
      <c r="Q161" s="34">
        <v>0</v>
      </c>
      <c r="R161" s="24">
        <v>0</v>
      </c>
      <c r="S161" s="24">
        <v>0</v>
      </c>
      <c r="T161" s="24">
        <v>0</v>
      </c>
      <c r="U161" s="24">
        <f t="array" ref="U161">IF(U$77&gt;" ",(U$628:U$1078),"")</f>
        <v>0</v>
      </c>
      <c r="V161" s="24">
        <f t="array" ref="V161">IF(V$77&gt;" ",(V$628:V$1078),"")</f>
        <v>0</v>
      </c>
      <c r="W161" s="24">
        <f t="array" ref="W161">IF(W$77&gt;" ",(W$628:W$1078),"")</f>
        <v>0</v>
      </c>
      <c r="X161" s="24">
        <f t="array" ref="X161">IF(X$77&gt;" ",(X$628:X$1078),"")</f>
        <v>0</v>
      </c>
      <c r="Y161" s="21">
        <v>0</v>
      </c>
      <c r="Z161" s="34">
        <f t="shared" si="22"/>
        <v>0</v>
      </c>
      <c r="AA161" s="24">
        <f t="shared" si="23"/>
        <v>0</v>
      </c>
      <c r="AB161" s="24">
        <f t="shared" si="24"/>
        <v>0</v>
      </c>
      <c r="AC161" s="24">
        <f t="shared" si="25"/>
        <v>0</v>
      </c>
      <c r="AD161" s="24">
        <f t="shared" si="30"/>
        <v>0</v>
      </c>
      <c r="AE161" s="24">
        <f t="shared" si="30"/>
        <v>0</v>
      </c>
      <c r="AF161" s="24">
        <f t="shared" si="30"/>
        <v>0</v>
      </c>
      <c r="AG161" s="24">
        <f t="shared" si="28"/>
        <v>0</v>
      </c>
      <c r="AH161" s="24">
        <f t="shared" si="20"/>
        <v>0</v>
      </c>
      <c r="AI161" s="24">
        <f t="shared" si="26"/>
        <v>0</v>
      </c>
      <c r="AJ161" s="261">
        <f t="shared" si="27"/>
        <v>0</v>
      </c>
      <c r="AK161" s="13"/>
      <c r="AL161" s="100">
        <v>2090</v>
      </c>
      <c r="AM161" s="202"/>
      <c r="AN161" s="200"/>
      <c r="AO161" s="200"/>
      <c r="AP161" s="283">
        <v>8.8840000000000002E-2</v>
      </c>
      <c r="AR161" s="222">
        <v>96.671876387585101</v>
      </c>
      <c r="AS161" s="223">
        <v>96.65991309403006</v>
      </c>
      <c r="AT161" s="223">
        <v>93.042760853563493</v>
      </c>
      <c r="AU161" s="223">
        <v>93.1436163648399</v>
      </c>
      <c r="AV161" s="223">
        <v>98.748000000000005</v>
      </c>
      <c r="AW161" s="224">
        <v>97.414000000000001</v>
      </c>
      <c r="AX161" s="42"/>
      <c r="AY161" s="181"/>
      <c r="AZ161" s="197"/>
    </row>
    <row r="162" spans="12:52" ht="13" thickBot="1" x14ac:dyDescent="0.3">
      <c r="L162" s="55">
        <v>2085</v>
      </c>
      <c r="M162" s="274">
        <f t="shared" si="29"/>
        <v>0</v>
      </c>
      <c r="N162" s="275">
        <f t="shared" si="29"/>
        <v>0</v>
      </c>
      <c r="O162" s="276" t="e">
        <f ca="1"/>
        <v>#N/A</v>
      </c>
      <c r="Q162" s="34">
        <v>0</v>
      </c>
      <c r="R162" s="24">
        <v>0</v>
      </c>
      <c r="S162" s="24">
        <v>0</v>
      </c>
      <c r="T162" s="24">
        <v>0</v>
      </c>
      <c r="U162" s="24">
        <f t="array" ref="U162">IF(U$77&gt;" ",(U$628:U$1078),"")</f>
        <v>0</v>
      </c>
      <c r="V162" s="24">
        <f t="array" ref="V162">IF(V$77&gt;" ",(V$628:V$1078),"")</f>
        <v>0</v>
      </c>
      <c r="W162" s="24">
        <f t="array" ref="W162">IF(W$77&gt;" ",(W$628:W$1078),"")</f>
        <v>0</v>
      </c>
      <c r="X162" s="24">
        <f t="array" ref="X162">IF(X$77&gt;" ",(X$628:X$1078),"")</f>
        <v>0</v>
      </c>
      <c r="Y162" s="21">
        <v>0</v>
      </c>
      <c r="Z162" s="34">
        <f t="shared" si="22"/>
        <v>0</v>
      </c>
      <c r="AA162" s="24">
        <f t="shared" si="23"/>
        <v>0</v>
      </c>
      <c r="AB162" s="24">
        <f t="shared" si="24"/>
        <v>0</v>
      </c>
      <c r="AC162" s="24">
        <f t="shared" si="25"/>
        <v>0</v>
      </c>
      <c r="AD162" s="24">
        <f t="shared" si="30"/>
        <v>0</v>
      </c>
      <c r="AE162" s="24">
        <f t="shared" si="30"/>
        <v>0</v>
      </c>
      <c r="AF162" s="24">
        <f t="shared" si="30"/>
        <v>0</v>
      </c>
      <c r="AG162" s="24">
        <f t="shared" si="28"/>
        <v>0</v>
      </c>
      <c r="AH162" s="24">
        <f t="shared" si="20"/>
        <v>0</v>
      </c>
      <c r="AI162" s="24">
        <f t="shared" si="26"/>
        <v>0</v>
      </c>
      <c r="AJ162" s="261">
        <f t="shared" si="27"/>
        <v>0</v>
      </c>
      <c r="AK162" s="13"/>
      <c r="AL162" s="100">
        <v>2085</v>
      </c>
      <c r="AM162" s="202"/>
      <c r="AN162" s="200"/>
      <c r="AO162" s="200"/>
      <c r="AP162" s="284">
        <v>8.4849999999999995E-2</v>
      </c>
      <c r="AR162" s="222">
        <v>96.682722440450377</v>
      </c>
      <c r="AS162" s="223">
        <v>96.678505520146246</v>
      </c>
      <c r="AT162" s="223">
        <v>93.088706681982046</v>
      </c>
      <c r="AU162" s="223">
        <v>93.198495171159593</v>
      </c>
      <c r="AV162" s="223">
        <v>98.745499999999993</v>
      </c>
      <c r="AW162" s="224">
        <v>97.411999999999992</v>
      </c>
      <c r="AX162" s="42"/>
      <c r="AY162" s="181"/>
      <c r="AZ162" s="197"/>
    </row>
    <row r="163" spans="12:52" ht="13" thickBot="1" x14ac:dyDescent="0.3">
      <c r="L163" s="55">
        <v>2080</v>
      </c>
      <c r="M163" s="274">
        <f t="shared" si="29"/>
        <v>0</v>
      </c>
      <c r="N163" s="275">
        <f t="shared" si="29"/>
        <v>0</v>
      </c>
      <c r="O163" s="276" t="e">
        <f ca="1"/>
        <v>#N/A</v>
      </c>
      <c r="Q163" s="34">
        <v>0</v>
      </c>
      <c r="R163" s="24">
        <v>0</v>
      </c>
      <c r="S163" s="24">
        <v>0</v>
      </c>
      <c r="T163" s="24">
        <v>0</v>
      </c>
      <c r="U163" s="24">
        <f t="array" ref="U163">IF(U$77&gt;" ",(U$628:U$1078),"")</f>
        <v>0</v>
      </c>
      <c r="V163" s="24">
        <f t="array" ref="V163">IF(V$77&gt;" ",(V$628:V$1078),"")</f>
        <v>0</v>
      </c>
      <c r="W163" s="24">
        <f t="array" ref="W163">IF(W$77&gt;" ",(W$628:W$1078),"")</f>
        <v>0</v>
      </c>
      <c r="X163" s="24">
        <f t="array" ref="X163">IF(X$77&gt;" ",(X$628:X$1078),"")</f>
        <v>0</v>
      </c>
      <c r="Y163" s="21">
        <v>0</v>
      </c>
      <c r="Z163" s="34">
        <f t="shared" si="22"/>
        <v>0</v>
      </c>
      <c r="AA163" s="24">
        <f t="shared" si="23"/>
        <v>0</v>
      </c>
      <c r="AB163" s="24">
        <f t="shared" si="24"/>
        <v>0</v>
      </c>
      <c r="AC163" s="24">
        <f t="shared" si="25"/>
        <v>0</v>
      </c>
      <c r="AD163" s="24">
        <f t="shared" si="30"/>
        <v>0</v>
      </c>
      <c r="AE163" s="24">
        <f t="shared" si="30"/>
        <v>0</v>
      </c>
      <c r="AF163" s="24">
        <f t="shared" si="30"/>
        <v>0</v>
      </c>
      <c r="AG163" s="24">
        <f t="shared" si="28"/>
        <v>0</v>
      </c>
      <c r="AH163" s="24">
        <f t="shared" si="20"/>
        <v>0</v>
      </c>
      <c r="AI163" s="24">
        <f t="shared" si="26"/>
        <v>0</v>
      </c>
      <c r="AJ163" s="261">
        <f t="shared" si="27"/>
        <v>0</v>
      </c>
      <c r="AK163" s="13"/>
      <c r="AL163" s="100">
        <v>2080</v>
      </c>
      <c r="AM163" s="202"/>
      <c r="AN163" s="200"/>
      <c r="AO163" s="200"/>
      <c r="AP163" s="283">
        <v>8.6559999999999998E-2</v>
      </c>
      <c r="AR163" s="222">
        <v>96.698657029477317</v>
      </c>
      <c r="AS163" s="223">
        <v>96.687374168582053</v>
      </c>
      <c r="AT163" s="223">
        <v>93.125951895439883</v>
      </c>
      <c r="AU163" s="223">
        <v>93.232738946194573</v>
      </c>
      <c r="AV163" s="223">
        <v>98.743000000000009</v>
      </c>
      <c r="AW163" s="224">
        <v>97.41</v>
      </c>
      <c r="AX163" s="42"/>
      <c r="AY163" s="181"/>
      <c r="AZ163" s="197"/>
    </row>
    <row r="164" spans="12:52" ht="13" thickBot="1" x14ac:dyDescent="0.3">
      <c r="L164" s="55">
        <v>2075</v>
      </c>
      <c r="M164" s="274">
        <f t="shared" si="29"/>
        <v>0</v>
      </c>
      <c r="N164" s="275">
        <f t="shared" si="29"/>
        <v>0</v>
      </c>
      <c r="O164" s="276" t="e">
        <f ca="1"/>
        <v>#N/A</v>
      </c>
      <c r="Q164" s="34">
        <v>0</v>
      </c>
      <c r="R164" s="24">
        <v>0</v>
      </c>
      <c r="S164" s="24">
        <v>0</v>
      </c>
      <c r="T164" s="24">
        <v>0</v>
      </c>
      <c r="U164" s="24">
        <f t="array" ref="U164">IF(U$77&gt;" ",(U$628:U$1078),"")</f>
        <v>0</v>
      </c>
      <c r="V164" s="24">
        <f t="array" ref="V164">IF(V$77&gt;" ",(V$628:V$1078),"")</f>
        <v>0</v>
      </c>
      <c r="W164" s="24">
        <f t="array" ref="W164">IF(W$77&gt;" ",(W$628:W$1078),"")</f>
        <v>0</v>
      </c>
      <c r="X164" s="24">
        <f t="array" ref="X164">IF(X$77&gt;" ",(X$628:X$1078),"")</f>
        <v>0</v>
      </c>
      <c r="Y164" s="21">
        <v>0</v>
      </c>
      <c r="Z164" s="34">
        <f t="shared" si="22"/>
        <v>0</v>
      </c>
      <c r="AA164" s="24">
        <f t="shared" si="23"/>
        <v>0</v>
      </c>
      <c r="AB164" s="24">
        <f t="shared" si="24"/>
        <v>0</v>
      </c>
      <c r="AC164" s="24">
        <f t="shared" si="25"/>
        <v>0</v>
      </c>
      <c r="AD164" s="24">
        <f t="shared" si="30"/>
        <v>0</v>
      </c>
      <c r="AE164" s="24">
        <f t="shared" si="30"/>
        <v>0</v>
      </c>
      <c r="AF164" s="24">
        <f t="shared" si="30"/>
        <v>0</v>
      </c>
      <c r="AG164" s="24">
        <f t="shared" si="28"/>
        <v>0</v>
      </c>
      <c r="AH164" s="24">
        <f t="shared" si="20"/>
        <v>0</v>
      </c>
      <c r="AI164" s="24">
        <f t="shared" si="26"/>
        <v>0</v>
      </c>
      <c r="AJ164" s="261">
        <f t="shared" si="27"/>
        <v>0</v>
      </c>
      <c r="AK164" s="13"/>
      <c r="AL164" s="100">
        <v>2075</v>
      </c>
      <c r="AM164" s="202"/>
      <c r="AN164" s="200"/>
      <c r="AO164" s="200"/>
      <c r="AP164" s="284">
        <v>7.7219999999999997E-2</v>
      </c>
      <c r="AR164" s="222">
        <v>96.704776898508101</v>
      </c>
      <c r="AS164" s="223">
        <v>96.692698961999483</v>
      </c>
      <c r="AT164" s="223">
        <v>93.15246322961768</v>
      </c>
      <c r="AU164" s="223">
        <v>93.258614708837911</v>
      </c>
      <c r="AV164" s="223">
        <v>98.74199999999999</v>
      </c>
      <c r="AW164" s="224">
        <v>97.408000000000001</v>
      </c>
      <c r="AX164" s="42"/>
      <c r="AY164" s="181"/>
      <c r="AZ164" s="197"/>
    </row>
    <row r="165" spans="12:52" ht="13" thickBot="1" x14ac:dyDescent="0.3">
      <c r="L165" s="55">
        <v>2070</v>
      </c>
      <c r="M165" s="274">
        <f t="shared" si="29"/>
        <v>0</v>
      </c>
      <c r="N165" s="275">
        <f t="shared" si="29"/>
        <v>0</v>
      </c>
      <c r="O165" s="276" t="e">
        <f ca="1"/>
        <v>#N/A</v>
      </c>
      <c r="Q165" s="34">
        <v>0</v>
      </c>
      <c r="R165" s="24">
        <v>0</v>
      </c>
      <c r="S165" s="24">
        <v>0</v>
      </c>
      <c r="T165" s="24">
        <v>0</v>
      </c>
      <c r="U165" s="24">
        <f t="array" ref="U165">IF(U$77&gt;" ",(U$628:U$1078),"")</f>
        <v>0</v>
      </c>
      <c r="V165" s="24">
        <f t="array" ref="V165">IF(V$77&gt;" ",(V$628:V$1078),"")</f>
        <v>0</v>
      </c>
      <c r="W165" s="24">
        <f t="array" ref="W165">IF(W$77&gt;" ",(W$628:W$1078),"")</f>
        <v>0</v>
      </c>
      <c r="X165" s="24">
        <f t="array" ref="X165">IF(X$77&gt;" ",(X$628:X$1078),"")</f>
        <v>0</v>
      </c>
      <c r="Y165" s="21">
        <v>0</v>
      </c>
      <c r="Z165" s="34">
        <f t="shared" si="22"/>
        <v>0</v>
      </c>
      <c r="AA165" s="24">
        <f t="shared" si="23"/>
        <v>0</v>
      </c>
      <c r="AB165" s="24">
        <f t="shared" si="24"/>
        <v>0</v>
      </c>
      <c r="AC165" s="24">
        <f t="shared" si="25"/>
        <v>0</v>
      </c>
      <c r="AD165" s="24">
        <f t="shared" si="30"/>
        <v>0</v>
      </c>
      <c r="AE165" s="24">
        <f t="shared" si="30"/>
        <v>0</v>
      </c>
      <c r="AF165" s="24">
        <f t="shared" si="30"/>
        <v>0</v>
      </c>
      <c r="AG165" s="24">
        <f t="shared" si="28"/>
        <v>0</v>
      </c>
      <c r="AH165" s="24">
        <f t="shared" si="20"/>
        <v>0</v>
      </c>
      <c r="AI165" s="24">
        <f t="shared" si="26"/>
        <v>0</v>
      </c>
      <c r="AJ165" s="261">
        <f t="shared" si="27"/>
        <v>0</v>
      </c>
      <c r="AK165" s="13"/>
      <c r="AL165" s="100">
        <v>2070</v>
      </c>
      <c r="AM165" s="202"/>
      <c r="AN165" s="200"/>
      <c r="AO165" s="200"/>
      <c r="AP165" s="283">
        <v>6.5479999999999997E-2</v>
      </c>
      <c r="AR165" s="222">
        <v>96.706484117222274</v>
      </c>
      <c r="AS165" s="223">
        <v>96.701379254958411</v>
      </c>
      <c r="AT165" s="223">
        <v>93.185311794628475</v>
      </c>
      <c r="AU165" s="223">
        <v>93.300912205026464</v>
      </c>
      <c r="AV165" s="223">
        <v>98.741</v>
      </c>
      <c r="AW165" s="224">
        <v>97.406000000000006</v>
      </c>
      <c r="AX165" s="42"/>
      <c r="AY165" s="181"/>
      <c r="AZ165" s="197"/>
    </row>
    <row r="166" spans="12:52" ht="13" thickBot="1" x14ac:dyDescent="0.3">
      <c r="L166" s="55">
        <v>2065</v>
      </c>
      <c r="M166" s="274">
        <f t="shared" si="29"/>
        <v>0</v>
      </c>
      <c r="N166" s="275">
        <f t="shared" si="29"/>
        <v>0</v>
      </c>
      <c r="O166" s="276" t="e">
        <f ca="1"/>
        <v>#N/A</v>
      </c>
      <c r="Q166" s="34">
        <v>0</v>
      </c>
      <c r="R166" s="24">
        <v>0</v>
      </c>
      <c r="S166" s="24">
        <v>0</v>
      </c>
      <c r="T166" s="24">
        <v>0</v>
      </c>
      <c r="U166" s="24">
        <f t="array" ref="U166">IF(U$77&gt;" ",(U$628:U$1078),"")</f>
        <v>0</v>
      </c>
      <c r="V166" s="24">
        <f t="array" ref="V166">IF(V$77&gt;" ",(V$628:V$1078),"")</f>
        <v>0</v>
      </c>
      <c r="W166" s="24">
        <f t="array" ref="W166">IF(W$77&gt;" ",(W$628:W$1078),"")</f>
        <v>0</v>
      </c>
      <c r="X166" s="24">
        <f t="array" ref="X166">IF(X$77&gt;" ",(X$628:X$1078),"")</f>
        <v>0</v>
      </c>
      <c r="Y166" s="21">
        <v>0</v>
      </c>
      <c r="Z166" s="34">
        <f t="shared" si="22"/>
        <v>0</v>
      </c>
      <c r="AA166" s="24">
        <f t="shared" si="23"/>
        <v>0</v>
      </c>
      <c r="AB166" s="24">
        <f t="shared" si="24"/>
        <v>0</v>
      </c>
      <c r="AC166" s="24">
        <f t="shared" si="25"/>
        <v>0</v>
      </c>
      <c r="AD166" s="24">
        <f t="shared" si="30"/>
        <v>0</v>
      </c>
      <c r="AE166" s="24">
        <f t="shared" si="30"/>
        <v>0</v>
      </c>
      <c r="AF166" s="24">
        <f t="shared" si="30"/>
        <v>0</v>
      </c>
      <c r="AG166" s="24">
        <f t="shared" si="28"/>
        <v>0</v>
      </c>
      <c r="AH166" s="24">
        <f t="shared" si="20"/>
        <v>0</v>
      </c>
      <c r="AI166" s="24">
        <f t="shared" si="26"/>
        <v>0</v>
      </c>
      <c r="AJ166" s="261">
        <f t="shared" si="27"/>
        <v>0</v>
      </c>
      <c r="AK166" s="13"/>
      <c r="AL166" s="100">
        <v>2065</v>
      </c>
      <c r="AM166" s="202"/>
      <c r="AN166" s="200"/>
      <c r="AO166" s="200"/>
      <c r="AP166" s="284">
        <v>6.1699999999999998E-2</v>
      </c>
      <c r="AR166" s="222">
        <v>96.728980256168896</v>
      </c>
      <c r="AS166" s="223">
        <v>96.710799406453489</v>
      </c>
      <c r="AT166" s="223">
        <v>93.204711671424931</v>
      </c>
      <c r="AU166" s="223">
        <v>93.319436473643449</v>
      </c>
      <c r="AV166" s="223">
        <v>98.736500000000007</v>
      </c>
      <c r="AW166" s="224">
        <v>97.402999999999992</v>
      </c>
      <c r="AX166" s="42"/>
      <c r="AY166" s="181"/>
      <c r="AZ166" s="197"/>
    </row>
    <row r="167" spans="12:52" ht="13" thickBot="1" x14ac:dyDescent="0.3">
      <c r="L167" s="55">
        <v>2060</v>
      </c>
      <c r="M167" s="274">
        <f t="shared" si="29"/>
        <v>0</v>
      </c>
      <c r="N167" s="275">
        <f t="shared" si="29"/>
        <v>0</v>
      </c>
      <c r="O167" s="276" t="e">
        <f ca="1"/>
        <v>#N/A</v>
      </c>
      <c r="Q167" s="34">
        <v>0</v>
      </c>
      <c r="R167" s="24">
        <v>0</v>
      </c>
      <c r="S167" s="24">
        <v>0</v>
      </c>
      <c r="T167" s="24">
        <v>0</v>
      </c>
      <c r="U167" s="24">
        <f t="array" ref="U167">IF(U$77&gt;" ",(U$628:U$1078),"")</f>
        <v>0</v>
      </c>
      <c r="V167" s="24">
        <f t="array" ref="V167">IF(V$77&gt;" ",(V$628:V$1078),"")</f>
        <v>0</v>
      </c>
      <c r="W167" s="24">
        <f t="array" ref="W167">IF(W$77&gt;" ",(W$628:W$1078),"")</f>
        <v>0</v>
      </c>
      <c r="X167" s="24">
        <f t="array" ref="X167">IF(X$77&gt;" ",(X$628:X$1078),"")</f>
        <v>0</v>
      </c>
      <c r="Y167" s="21">
        <v>0</v>
      </c>
      <c r="Z167" s="34">
        <f t="shared" si="22"/>
        <v>0</v>
      </c>
      <c r="AA167" s="24">
        <f t="shared" si="23"/>
        <v>0</v>
      </c>
      <c r="AB167" s="24">
        <f t="shared" si="24"/>
        <v>0</v>
      </c>
      <c r="AC167" s="24">
        <f t="shared" si="25"/>
        <v>0</v>
      </c>
      <c r="AD167" s="24">
        <f t="shared" si="30"/>
        <v>0</v>
      </c>
      <c r="AE167" s="24">
        <f t="shared" si="30"/>
        <v>0</v>
      </c>
      <c r="AF167" s="24">
        <f t="shared" si="30"/>
        <v>0</v>
      </c>
      <c r="AG167" s="24">
        <f t="shared" si="28"/>
        <v>0</v>
      </c>
      <c r="AH167" s="24">
        <f t="shared" si="20"/>
        <v>0</v>
      </c>
      <c r="AI167" s="24">
        <f t="shared" si="26"/>
        <v>0</v>
      </c>
      <c r="AJ167" s="261">
        <f t="shared" si="27"/>
        <v>0</v>
      </c>
      <c r="AK167" s="13"/>
      <c r="AL167" s="100">
        <v>2060</v>
      </c>
      <c r="AM167" s="202"/>
      <c r="AN167" s="200"/>
      <c r="AO167" s="200"/>
      <c r="AP167" s="283">
        <v>6.8989999999999996E-2</v>
      </c>
      <c r="AR167" s="222">
        <v>96.732672725469683</v>
      </c>
      <c r="AS167" s="223">
        <v>96.727503886955219</v>
      </c>
      <c r="AT167" s="223">
        <v>93.22843969014265</v>
      </c>
      <c r="AU167" s="223">
        <v>93.342762531860672</v>
      </c>
      <c r="AV167" s="223">
        <v>98.731999999999999</v>
      </c>
      <c r="AW167" s="224">
        <v>97.4</v>
      </c>
      <c r="AX167" s="42"/>
      <c r="AY167" s="181"/>
      <c r="AZ167" s="197"/>
    </row>
    <row r="168" spans="12:52" ht="13" thickBot="1" x14ac:dyDescent="0.3">
      <c r="L168" s="55">
        <v>2055</v>
      </c>
      <c r="M168" s="274">
        <f t="shared" si="29"/>
        <v>0</v>
      </c>
      <c r="N168" s="275">
        <f t="shared" si="29"/>
        <v>0</v>
      </c>
      <c r="O168" s="276" t="e">
        <f ca="1"/>
        <v>#N/A</v>
      </c>
      <c r="Q168" s="34">
        <v>0</v>
      </c>
      <c r="R168" s="24">
        <v>0</v>
      </c>
      <c r="S168" s="24">
        <v>0</v>
      </c>
      <c r="T168" s="24">
        <v>0</v>
      </c>
      <c r="U168" s="24">
        <f t="array" ref="U168">IF(U$77&gt;" ",(U$628:U$1078),"")</f>
        <v>0</v>
      </c>
      <c r="V168" s="24">
        <f t="array" ref="V168">IF(V$77&gt;" ",(V$628:V$1078),"")</f>
        <v>0</v>
      </c>
      <c r="W168" s="24">
        <f t="array" ref="W168">IF(W$77&gt;" ",(W$628:W$1078),"")</f>
        <v>0</v>
      </c>
      <c r="X168" s="24">
        <f t="array" ref="X168">IF(X$77&gt;" ",(X$628:X$1078),"")</f>
        <v>0</v>
      </c>
      <c r="Y168" s="21">
        <v>0</v>
      </c>
      <c r="Z168" s="34">
        <f t="shared" si="22"/>
        <v>0</v>
      </c>
      <c r="AA168" s="24">
        <f t="shared" si="23"/>
        <v>0</v>
      </c>
      <c r="AB168" s="24">
        <f t="shared" si="24"/>
        <v>0</v>
      </c>
      <c r="AC168" s="24">
        <f t="shared" si="25"/>
        <v>0</v>
      </c>
      <c r="AD168" s="24">
        <f t="shared" si="30"/>
        <v>0</v>
      </c>
      <c r="AE168" s="24">
        <f t="shared" si="30"/>
        <v>0</v>
      </c>
      <c r="AF168" s="24">
        <f t="shared" si="30"/>
        <v>0</v>
      </c>
      <c r="AG168" s="24">
        <f t="shared" si="28"/>
        <v>0</v>
      </c>
      <c r="AH168" s="24">
        <f t="shared" si="20"/>
        <v>0</v>
      </c>
      <c r="AI168" s="24">
        <f t="shared" si="26"/>
        <v>0</v>
      </c>
      <c r="AJ168" s="261">
        <f t="shared" si="27"/>
        <v>0</v>
      </c>
      <c r="AK168" s="13"/>
      <c r="AL168" s="100">
        <v>2055</v>
      </c>
      <c r="AM168" s="202"/>
      <c r="AN168" s="200"/>
      <c r="AO168" s="200"/>
      <c r="AP168" s="284">
        <v>5.475E-2</v>
      </c>
      <c r="AR168" s="222">
        <v>96.734302848728063</v>
      </c>
      <c r="AS168" s="223">
        <v>96.732969713604561</v>
      </c>
      <c r="AT168" s="223">
        <v>93.262919084927887</v>
      </c>
      <c r="AU168" s="223">
        <v>93.379345728781345</v>
      </c>
      <c r="AV168" s="223">
        <v>98.730499999999992</v>
      </c>
      <c r="AW168" s="224">
        <v>97.397499999999994</v>
      </c>
      <c r="AX168" s="42"/>
      <c r="AY168" s="181"/>
      <c r="AZ168" s="197"/>
    </row>
    <row r="169" spans="12:52" ht="13" thickBot="1" x14ac:dyDescent="0.3">
      <c r="L169" s="55">
        <v>2050</v>
      </c>
      <c r="M169" s="274">
        <f t="shared" si="29"/>
        <v>0</v>
      </c>
      <c r="N169" s="275">
        <f t="shared" si="29"/>
        <v>0</v>
      </c>
      <c r="O169" s="276" t="e">
        <f ca="1"/>
        <v>#N/A</v>
      </c>
      <c r="Q169" s="34">
        <v>0</v>
      </c>
      <c r="R169" s="24">
        <v>0</v>
      </c>
      <c r="S169" s="24">
        <v>0</v>
      </c>
      <c r="T169" s="24">
        <v>0</v>
      </c>
      <c r="U169" s="24">
        <f t="array" ref="U169">IF(U$77&gt;" ",(U$628:U$1078),"")</f>
        <v>0</v>
      </c>
      <c r="V169" s="24">
        <f t="array" ref="V169">IF(V$77&gt;" ",(V$628:V$1078),"")</f>
        <v>0</v>
      </c>
      <c r="W169" s="24">
        <f t="array" ref="W169">IF(W$77&gt;" ",(W$628:W$1078),"")</f>
        <v>0</v>
      </c>
      <c r="X169" s="24">
        <f t="array" ref="X169">IF(X$77&gt;" ",(X$628:X$1078),"")</f>
        <v>0</v>
      </c>
      <c r="Y169" s="21">
        <v>0</v>
      </c>
      <c r="Z169" s="34">
        <f t="shared" si="22"/>
        <v>0</v>
      </c>
      <c r="AA169" s="24">
        <f t="shared" si="23"/>
        <v>0</v>
      </c>
      <c r="AB169" s="24">
        <f t="shared" si="24"/>
        <v>0</v>
      </c>
      <c r="AC169" s="24">
        <f t="shared" si="25"/>
        <v>0</v>
      </c>
      <c r="AD169" s="24">
        <f t="shared" si="30"/>
        <v>0</v>
      </c>
      <c r="AE169" s="24">
        <f t="shared" si="30"/>
        <v>0</v>
      </c>
      <c r="AF169" s="24">
        <f t="shared" si="30"/>
        <v>0</v>
      </c>
      <c r="AG169" s="24">
        <f t="shared" si="28"/>
        <v>0</v>
      </c>
      <c r="AH169" s="24">
        <f t="shared" si="20"/>
        <v>0</v>
      </c>
      <c r="AI169" s="24">
        <f t="shared" si="26"/>
        <v>0</v>
      </c>
      <c r="AJ169" s="261">
        <f t="shared" si="27"/>
        <v>0</v>
      </c>
      <c r="AK169" s="13"/>
      <c r="AL169" s="100">
        <v>2050</v>
      </c>
      <c r="AM169" s="202"/>
      <c r="AN169" s="200"/>
      <c r="AO169" s="200"/>
      <c r="AP169" s="283">
        <v>6.7729999999999999E-2</v>
      </c>
      <c r="AR169" s="222">
        <v>96.74005989960358</v>
      </c>
      <c r="AS169" s="223">
        <v>96.741252124277366</v>
      </c>
      <c r="AT169" s="223">
        <v>93.285416214335939</v>
      </c>
      <c r="AU169" s="223">
        <v>93.401608468656676</v>
      </c>
      <c r="AV169" s="223">
        <v>98.728999999999999</v>
      </c>
      <c r="AW169" s="224">
        <v>97.394999999999996</v>
      </c>
      <c r="AX169" s="42"/>
      <c r="AY169" s="181"/>
      <c r="AZ169" s="197"/>
    </row>
    <row r="170" spans="12:52" ht="13" thickBot="1" x14ac:dyDescent="0.3">
      <c r="L170" s="55">
        <v>2045</v>
      </c>
      <c r="M170" s="274">
        <f t="shared" si="29"/>
        <v>0</v>
      </c>
      <c r="N170" s="275">
        <f t="shared" si="29"/>
        <v>0</v>
      </c>
      <c r="O170" s="276" t="e">
        <f ca="1"/>
        <v>#N/A</v>
      </c>
      <c r="Q170" s="34">
        <v>0</v>
      </c>
      <c r="R170" s="24">
        <v>0</v>
      </c>
      <c r="S170" s="24">
        <v>0</v>
      </c>
      <c r="T170" s="24">
        <v>0</v>
      </c>
      <c r="U170" s="24">
        <f t="array" ref="U170">IF(U$77&gt;" ",(U$628:U$1078),"")</f>
        <v>0</v>
      </c>
      <c r="V170" s="24">
        <f t="array" ref="V170">IF(V$77&gt;" ",(V$628:V$1078),"")</f>
        <v>0</v>
      </c>
      <c r="W170" s="24">
        <f t="array" ref="W170">IF(W$77&gt;" ",(W$628:W$1078),"")</f>
        <v>0</v>
      </c>
      <c r="X170" s="24">
        <f t="array" ref="X170">IF(X$77&gt;" ",(X$628:X$1078),"")</f>
        <v>0</v>
      </c>
      <c r="Y170" s="21">
        <v>0</v>
      </c>
      <c r="Z170" s="34">
        <f t="shared" si="22"/>
        <v>0</v>
      </c>
      <c r="AA170" s="24">
        <f t="shared" si="23"/>
        <v>0</v>
      </c>
      <c r="AB170" s="24">
        <f t="shared" si="24"/>
        <v>0</v>
      </c>
      <c r="AC170" s="24">
        <f t="shared" si="25"/>
        <v>0</v>
      </c>
      <c r="AD170" s="24">
        <f t="shared" si="30"/>
        <v>0</v>
      </c>
      <c r="AE170" s="24">
        <f t="shared" si="30"/>
        <v>0</v>
      </c>
      <c r="AF170" s="24">
        <f t="shared" si="30"/>
        <v>0</v>
      </c>
      <c r="AG170" s="24">
        <f t="shared" si="28"/>
        <v>0</v>
      </c>
      <c r="AH170" s="24">
        <f t="shared" si="20"/>
        <v>0</v>
      </c>
      <c r="AI170" s="24">
        <f t="shared" si="26"/>
        <v>0</v>
      </c>
      <c r="AJ170" s="261">
        <f t="shared" si="27"/>
        <v>0</v>
      </c>
      <c r="AK170" s="13"/>
      <c r="AL170" s="100">
        <v>2045</v>
      </c>
      <c r="AM170" s="202"/>
      <c r="AN170" s="200"/>
      <c r="AO170" s="200"/>
      <c r="AP170" s="284">
        <v>9.0810000000000002E-2</v>
      </c>
      <c r="AR170" s="222">
        <v>96.75631138157901</v>
      </c>
      <c r="AS170" s="223">
        <v>96.743991541796959</v>
      </c>
      <c r="AT170" s="223">
        <v>93.308147480282216</v>
      </c>
      <c r="AU170" s="223">
        <v>93.431464618625384</v>
      </c>
      <c r="AV170" s="223">
        <v>98.725999999999999</v>
      </c>
      <c r="AW170" s="224">
        <v>97.391999999999996</v>
      </c>
      <c r="AX170" s="42"/>
      <c r="AY170" s="181"/>
      <c r="AZ170" s="197"/>
    </row>
    <row r="171" spans="12:52" ht="13" thickBot="1" x14ac:dyDescent="0.3">
      <c r="L171" s="55">
        <v>2040</v>
      </c>
      <c r="M171" s="274">
        <f t="shared" si="29"/>
        <v>0</v>
      </c>
      <c r="N171" s="275">
        <f t="shared" si="29"/>
        <v>0</v>
      </c>
      <c r="O171" s="276" t="e">
        <f ca="1"/>
        <v>#N/A</v>
      </c>
      <c r="Q171" s="34">
        <v>0</v>
      </c>
      <c r="R171" s="24">
        <v>0</v>
      </c>
      <c r="S171" s="24">
        <v>0</v>
      </c>
      <c r="T171" s="24">
        <v>0</v>
      </c>
      <c r="U171" s="24">
        <f t="array" ref="U171">IF(U$77&gt;" ",(U$628:U$1078),"")</f>
        <v>0</v>
      </c>
      <c r="V171" s="24">
        <f t="array" ref="V171">IF(V$77&gt;" ",(V$628:V$1078),"")</f>
        <v>0</v>
      </c>
      <c r="W171" s="24">
        <f t="array" ref="W171">IF(W$77&gt;" ",(W$628:W$1078),"")</f>
        <v>0</v>
      </c>
      <c r="X171" s="24">
        <f t="array" ref="X171">IF(X$77&gt;" ",(X$628:X$1078),"")</f>
        <v>0</v>
      </c>
      <c r="Y171" s="21">
        <v>0</v>
      </c>
      <c r="Z171" s="34">
        <f t="shared" si="22"/>
        <v>0</v>
      </c>
      <c r="AA171" s="24">
        <f t="shared" si="23"/>
        <v>0</v>
      </c>
      <c r="AB171" s="24">
        <f t="shared" si="24"/>
        <v>0</v>
      </c>
      <c r="AC171" s="24">
        <f t="shared" si="25"/>
        <v>0</v>
      </c>
      <c r="AD171" s="24">
        <f t="shared" si="30"/>
        <v>0</v>
      </c>
      <c r="AE171" s="24">
        <f t="shared" si="30"/>
        <v>0</v>
      </c>
      <c r="AF171" s="24">
        <f t="shared" si="30"/>
        <v>0</v>
      </c>
      <c r="AG171" s="24">
        <f t="shared" si="28"/>
        <v>0</v>
      </c>
      <c r="AH171" s="24">
        <f t="shared" si="20"/>
        <v>0</v>
      </c>
      <c r="AI171" s="24">
        <f t="shared" si="26"/>
        <v>0</v>
      </c>
      <c r="AJ171" s="261">
        <f t="shared" si="27"/>
        <v>0</v>
      </c>
      <c r="AK171" s="13"/>
      <c r="AL171" s="100">
        <v>2040</v>
      </c>
      <c r="AM171" s="202"/>
      <c r="AN171" s="200"/>
      <c r="AO171" s="200"/>
      <c r="AP171" s="283">
        <v>8.9520000000000002E-2</v>
      </c>
      <c r="AR171" s="222">
        <v>96.766170147447511</v>
      </c>
      <c r="AS171" s="223">
        <v>96.754075580831412</v>
      </c>
      <c r="AT171" s="223">
        <v>93.331084725665292</v>
      </c>
      <c r="AU171" s="223">
        <v>93.455800081712141</v>
      </c>
      <c r="AV171" s="223">
        <v>98.722999999999999</v>
      </c>
      <c r="AW171" s="224">
        <v>97.38900000000001</v>
      </c>
      <c r="AX171" s="42"/>
      <c r="AY171" s="181"/>
      <c r="AZ171" s="197"/>
    </row>
    <row r="172" spans="12:52" ht="13" thickBot="1" x14ac:dyDescent="0.3">
      <c r="L172" s="55">
        <v>2035</v>
      </c>
      <c r="M172" s="274">
        <f t="shared" si="29"/>
        <v>0</v>
      </c>
      <c r="N172" s="275">
        <f t="shared" si="29"/>
        <v>0</v>
      </c>
      <c r="O172" s="276" t="e">
        <f ca="1"/>
        <v>#N/A</v>
      </c>
      <c r="Q172" s="34">
        <v>0</v>
      </c>
      <c r="R172" s="24">
        <v>0</v>
      </c>
      <c r="S172" s="24">
        <v>0</v>
      </c>
      <c r="T172" s="24">
        <v>0</v>
      </c>
      <c r="U172" s="24">
        <f t="array" ref="U172">IF(U$77&gt;" ",(U$628:U$1078),"")</f>
        <v>0</v>
      </c>
      <c r="V172" s="24">
        <f t="array" ref="V172">IF(V$77&gt;" ",(V$628:V$1078),"")</f>
        <v>0</v>
      </c>
      <c r="W172" s="24">
        <f t="array" ref="W172">IF(W$77&gt;" ",(W$628:W$1078),"")</f>
        <v>0</v>
      </c>
      <c r="X172" s="24">
        <f t="array" ref="X172">IF(X$77&gt;" ",(X$628:X$1078),"")</f>
        <v>0</v>
      </c>
      <c r="Y172" s="21">
        <v>0</v>
      </c>
      <c r="Z172" s="34">
        <f t="shared" si="22"/>
        <v>0</v>
      </c>
      <c r="AA172" s="24">
        <f t="shared" si="23"/>
        <v>0</v>
      </c>
      <c r="AB172" s="24">
        <f t="shared" si="24"/>
        <v>0</v>
      </c>
      <c r="AC172" s="24">
        <f t="shared" si="25"/>
        <v>0</v>
      </c>
      <c r="AD172" s="24">
        <f t="shared" si="30"/>
        <v>0</v>
      </c>
      <c r="AE172" s="24">
        <f t="shared" si="30"/>
        <v>0</v>
      </c>
      <c r="AF172" s="24">
        <f t="shared" si="30"/>
        <v>0</v>
      </c>
      <c r="AG172" s="24">
        <f t="shared" si="28"/>
        <v>0</v>
      </c>
      <c r="AH172" s="24">
        <f t="shared" si="20"/>
        <v>0</v>
      </c>
      <c r="AI172" s="24">
        <f t="shared" si="26"/>
        <v>0</v>
      </c>
      <c r="AJ172" s="261">
        <f t="shared" si="27"/>
        <v>0</v>
      </c>
      <c r="AK172" s="13"/>
      <c r="AL172" s="100">
        <v>2035</v>
      </c>
      <c r="AM172" s="202"/>
      <c r="AN172" s="200"/>
      <c r="AO172" s="200"/>
      <c r="AP172" s="284">
        <v>9.6110000000000001E-2</v>
      </c>
      <c r="AR172" s="222">
        <v>96.773577755449523</v>
      </c>
      <c r="AS172" s="223">
        <v>96.760817665169156</v>
      </c>
      <c r="AT172" s="223">
        <v>93.361773113385993</v>
      </c>
      <c r="AU172" s="223">
        <v>93.485527993343865</v>
      </c>
      <c r="AV172" s="223">
        <v>98.718999999999994</v>
      </c>
      <c r="AW172" s="224">
        <v>97.386499999999998</v>
      </c>
      <c r="AX172" s="42"/>
      <c r="AY172" s="181"/>
      <c r="AZ172" s="197"/>
    </row>
    <row r="173" spans="12:52" ht="13" thickBot="1" x14ac:dyDescent="0.3">
      <c r="L173" s="55">
        <v>2030</v>
      </c>
      <c r="M173" s="274">
        <f t="shared" si="29"/>
        <v>0</v>
      </c>
      <c r="N173" s="275">
        <f t="shared" si="29"/>
        <v>0</v>
      </c>
      <c r="O173" s="276" t="e">
        <f ca="1"/>
        <v>#N/A</v>
      </c>
      <c r="Q173" s="34">
        <v>0</v>
      </c>
      <c r="R173" s="24">
        <v>0</v>
      </c>
      <c r="S173" s="24">
        <v>0</v>
      </c>
      <c r="T173" s="24">
        <v>0</v>
      </c>
      <c r="U173" s="24">
        <f t="array" ref="U173">IF(U$77&gt;" ",(U$628:U$1078),"")</f>
        <v>0</v>
      </c>
      <c r="V173" s="24">
        <f t="array" ref="V173">IF(V$77&gt;" ",(V$628:V$1078),"")</f>
        <v>0</v>
      </c>
      <c r="W173" s="24">
        <f t="array" ref="W173">IF(W$77&gt;" ",(W$628:W$1078),"")</f>
        <v>0</v>
      </c>
      <c r="X173" s="24">
        <f t="array" ref="X173">IF(X$77&gt;" ",(X$628:X$1078),"")</f>
        <v>0</v>
      </c>
      <c r="Y173" s="21">
        <v>0</v>
      </c>
      <c r="Z173" s="34">
        <f t="shared" si="22"/>
        <v>0</v>
      </c>
      <c r="AA173" s="24">
        <f t="shared" si="23"/>
        <v>0</v>
      </c>
      <c r="AB173" s="24">
        <f t="shared" si="24"/>
        <v>0</v>
      </c>
      <c r="AC173" s="24">
        <f t="shared" si="25"/>
        <v>0</v>
      </c>
      <c r="AD173" s="24">
        <f t="shared" si="30"/>
        <v>0</v>
      </c>
      <c r="AE173" s="24">
        <f t="shared" si="30"/>
        <v>0</v>
      </c>
      <c r="AF173" s="24">
        <f t="shared" si="30"/>
        <v>0</v>
      </c>
      <c r="AG173" s="24">
        <f t="shared" si="28"/>
        <v>0</v>
      </c>
      <c r="AH173" s="24">
        <f t="shared" si="20"/>
        <v>0</v>
      </c>
      <c r="AI173" s="24">
        <f t="shared" si="26"/>
        <v>0</v>
      </c>
      <c r="AJ173" s="261">
        <f t="shared" si="27"/>
        <v>0</v>
      </c>
      <c r="AK173" s="13"/>
      <c r="AL173" s="100">
        <v>2030</v>
      </c>
      <c r="AM173" s="202"/>
      <c r="AN173" s="200"/>
      <c r="AO173" s="200"/>
      <c r="AP173" s="283">
        <v>8.4610000000000005E-2</v>
      </c>
      <c r="AR173" s="222">
        <v>96.790243924065564</v>
      </c>
      <c r="AS173" s="223">
        <v>96.769377807973441</v>
      </c>
      <c r="AT173" s="223">
        <v>93.38479968906141</v>
      </c>
      <c r="AU173" s="223">
        <v>93.5118072085249</v>
      </c>
      <c r="AV173" s="223">
        <v>98.715000000000003</v>
      </c>
      <c r="AW173" s="224">
        <v>97.384</v>
      </c>
      <c r="AX173" s="42"/>
      <c r="AY173" s="181"/>
      <c r="AZ173" s="197"/>
    </row>
    <row r="174" spans="12:52" ht="13" thickBot="1" x14ac:dyDescent="0.3">
      <c r="L174" s="55">
        <v>2025</v>
      </c>
      <c r="M174" s="274">
        <f t="shared" si="29"/>
        <v>0</v>
      </c>
      <c r="N174" s="275">
        <f t="shared" si="29"/>
        <v>0</v>
      </c>
      <c r="O174" s="276" t="e">
        <f ca="1"/>
        <v>#N/A</v>
      </c>
      <c r="Q174" s="34">
        <v>0</v>
      </c>
      <c r="R174" s="24">
        <v>0</v>
      </c>
      <c r="S174" s="24">
        <v>0</v>
      </c>
      <c r="T174" s="24">
        <v>0</v>
      </c>
      <c r="U174" s="24">
        <f t="array" ref="U174">IF(U$77&gt;" ",(U$628:U$1078),"")</f>
        <v>0</v>
      </c>
      <c r="V174" s="24">
        <f t="array" ref="V174">IF(V$77&gt;" ",(V$628:V$1078),"")</f>
        <v>0</v>
      </c>
      <c r="W174" s="24">
        <f t="array" ref="W174">IF(W$77&gt;" ",(W$628:W$1078),"")</f>
        <v>0</v>
      </c>
      <c r="X174" s="24">
        <f t="array" ref="X174">IF(X$77&gt;" ",(X$628:X$1078),"")</f>
        <v>0</v>
      </c>
      <c r="Y174" s="21">
        <v>0</v>
      </c>
      <c r="Z174" s="34">
        <f t="shared" si="22"/>
        <v>0</v>
      </c>
      <c r="AA174" s="24">
        <f t="shared" si="23"/>
        <v>0</v>
      </c>
      <c r="AB174" s="24">
        <f t="shared" si="24"/>
        <v>0</v>
      </c>
      <c r="AC174" s="24">
        <f t="shared" si="25"/>
        <v>0</v>
      </c>
      <c r="AD174" s="24">
        <f t="shared" si="30"/>
        <v>0</v>
      </c>
      <c r="AE174" s="24">
        <f t="shared" si="30"/>
        <v>0</v>
      </c>
      <c r="AF174" s="24">
        <f t="shared" si="30"/>
        <v>0</v>
      </c>
      <c r="AG174" s="24">
        <f t="shared" si="28"/>
        <v>0</v>
      </c>
      <c r="AH174" s="24">
        <f t="shared" si="20"/>
        <v>0</v>
      </c>
      <c r="AI174" s="24">
        <f t="shared" si="26"/>
        <v>0</v>
      </c>
      <c r="AJ174" s="261">
        <f t="shared" si="27"/>
        <v>0</v>
      </c>
      <c r="AK174" s="13"/>
      <c r="AL174" s="100">
        <v>2025</v>
      </c>
      <c r="AM174" s="202"/>
      <c r="AN174" s="200"/>
      <c r="AO174" s="200"/>
      <c r="AP174" s="284">
        <v>7.3789999999999994E-2</v>
      </c>
      <c r="AR174" s="222">
        <v>96.797690882418621</v>
      </c>
      <c r="AS174" s="223">
        <v>96.777755041911846</v>
      </c>
      <c r="AT174" s="223">
        <v>93.417273244824798</v>
      </c>
      <c r="AU174" s="223">
        <v>93.538814301781073</v>
      </c>
      <c r="AV174" s="223">
        <v>98.710499999999996</v>
      </c>
      <c r="AW174" s="224">
        <v>97.382999999999996</v>
      </c>
      <c r="AX174" s="42"/>
      <c r="AY174" s="181"/>
      <c r="AZ174" s="197"/>
    </row>
    <row r="175" spans="12:52" ht="13" thickBot="1" x14ac:dyDescent="0.3">
      <c r="L175" s="55">
        <v>2020</v>
      </c>
      <c r="M175" s="274">
        <f t="shared" ref="M175:N190" si="31">M724</f>
        <v>0</v>
      </c>
      <c r="N175" s="275">
        <f t="shared" si="31"/>
        <v>0</v>
      </c>
      <c r="O175" s="276" t="e">
        <f ca="1"/>
        <v>#N/A</v>
      </c>
      <c r="Q175" s="34">
        <v>0</v>
      </c>
      <c r="R175" s="24">
        <v>0</v>
      </c>
      <c r="S175" s="24">
        <v>0</v>
      </c>
      <c r="T175" s="24">
        <v>0</v>
      </c>
      <c r="U175" s="24">
        <f t="array" ref="U175">IF(U$77&gt;" ",(U$628:U$1078),"")</f>
        <v>0</v>
      </c>
      <c r="V175" s="24">
        <f t="array" ref="V175">IF(V$77&gt;" ",(V$628:V$1078),"")</f>
        <v>0</v>
      </c>
      <c r="W175" s="24">
        <f t="array" ref="W175">IF(W$77&gt;" ",(W$628:W$1078),"")</f>
        <v>0</v>
      </c>
      <c r="X175" s="24">
        <f t="array" ref="X175">IF(X$77&gt;" ",(X$628:X$1078),"")</f>
        <v>0</v>
      </c>
      <c r="Y175" s="21">
        <v>0</v>
      </c>
      <c r="Z175" s="34">
        <f t="shared" si="22"/>
        <v>0</v>
      </c>
      <c r="AA175" s="24">
        <f t="shared" si="23"/>
        <v>0</v>
      </c>
      <c r="AB175" s="24">
        <f t="shared" si="24"/>
        <v>0</v>
      </c>
      <c r="AC175" s="24">
        <f t="shared" si="25"/>
        <v>0</v>
      </c>
      <c r="AD175" s="24">
        <f t="shared" si="30"/>
        <v>0</v>
      </c>
      <c r="AE175" s="24">
        <f t="shared" si="30"/>
        <v>0</v>
      </c>
      <c r="AF175" s="24">
        <f t="shared" si="30"/>
        <v>0</v>
      </c>
      <c r="AG175" s="24">
        <f t="shared" si="28"/>
        <v>0</v>
      </c>
      <c r="AH175" s="24">
        <f t="shared" si="20"/>
        <v>0</v>
      </c>
      <c r="AI175" s="24">
        <f t="shared" si="26"/>
        <v>0</v>
      </c>
      <c r="AJ175" s="261">
        <f t="shared" si="27"/>
        <v>0</v>
      </c>
      <c r="AK175" s="13"/>
      <c r="AL175" s="100">
        <v>2020</v>
      </c>
      <c r="AM175" s="202"/>
      <c r="AN175" s="200"/>
      <c r="AO175" s="200"/>
      <c r="AP175" s="283">
        <v>4.4850000000000001E-2</v>
      </c>
      <c r="AR175" s="222">
        <v>96.805265727646585</v>
      </c>
      <c r="AS175" s="223">
        <v>96.782112039884211</v>
      </c>
      <c r="AT175" s="223">
        <v>93.444197446275965</v>
      </c>
      <c r="AU175" s="223">
        <v>93.568420379720479</v>
      </c>
      <c r="AV175" s="223">
        <v>98.706000000000003</v>
      </c>
      <c r="AW175" s="224">
        <v>97.382000000000005</v>
      </c>
      <c r="AX175" s="42"/>
      <c r="AY175" s="181"/>
      <c r="AZ175" s="197"/>
    </row>
    <row r="176" spans="12:52" ht="13" thickBot="1" x14ac:dyDescent="0.3">
      <c r="L176" s="55">
        <v>2015</v>
      </c>
      <c r="M176" s="274">
        <f t="shared" si="31"/>
        <v>0</v>
      </c>
      <c r="N176" s="275">
        <f t="shared" si="31"/>
        <v>0</v>
      </c>
      <c r="O176" s="276" t="e">
        <f ca="1"/>
        <v>#N/A</v>
      </c>
      <c r="Q176" s="34">
        <v>0</v>
      </c>
      <c r="R176" s="24">
        <v>0</v>
      </c>
      <c r="S176" s="24">
        <v>0</v>
      </c>
      <c r="T176" s="24">
        <v>0</v>
      </c>
      <c r="U176" s="24">
        <f t="array" ref="U176">IF(U$77&gt;" ",(U$628:U$1078),"")</f>
        <v>0</v>
      </c>
      <c r="V176" s="24">
        <f t="array" ref="V176">IF(V$77&gt;" ",(V$628:V$1078),"")</f>
        <v>0</v>
      </c>
      <c r="W176" s="24">
        <f t="array" ref="W176">IF(W$77&gt;" ",(W$628:W$1078),"")</f>
        <v>0</v>
      </c>
      <c r="X176" s="24">
        <f t="array" ref="X176">IF(X$77&gt;" ",(X$628:X$1078),"")</f>
        <v>0</v>
      </c>
      <c r="Y176" s="21">
        <v>0</v>
      </c>
      <c r="Z176" s="34">
        <f t="shared" si="22"/>
        <v>0</v>
      </c>
      <c r="AA176" s="24">
        <f t="shared" si="23"/>
        <v>0</v>
      </c>
      <c r="AB176" s="24">
        <f t="shared" si="24"/>
        <v>0</v>
      </c>
      <c r="AC176" s="24">
        <f t="shared" si="25"/>
        <v>0</v>
      </c>
      <c r="AD176" s="24">
        <f t="shared" si="30"/>
        <v>0</v>
      </c>
      <c r="AE176" s="24">
        <f t="shared" si="30"/>
        <v>0</v>
      </c>
      <c r="AF176" s="24">
        <f t="shared" si="30"/>
        <v>0</v>
      </c>
      <c r="AG176" s="24">
        <f t="shared" si="28"/>
        <v>0</v>
      </c>
      <c r="AH176" s="24">
        <f t="shared" si="20"/>
        <v>0</v>
      </c>
      <c r="AI176" s="24">
        <f t="shared" si="26"/>
        <v>0</v>
      </c>
      <c r="AJ176" s="261">
        <f t="shared" si="27"/>
        <v>0</v>
      </c>
      <c r="AK176" s="13"/>
      <c r="AL176" s="100">
        <v>2015</v>
      </c>
      <c r="AM176" s="202"/>
      <c r="AN176" s="200"/>
      <c r="AO176" s="200"/>
      <c r="AP176" s="284">
        <v>2.657E-2</v>
      </c>
      <c r="AR176" s="222">
        <v>96.812394313798563</v>
      </c>
      <c r="AS176" s="223">
        <v>96.793231245831166</v>
      </c>
      <c r="AT176" s="223">
        <v>93.46479216609066</v>
      </c>
      <c r="AU176" s="223">
        <v>93.594378283023275</v>
      </c>
      <c r="AV176" s="223">
        <v>98.701999999999998</v>
      </c>
      <c r="AW176" s="224">
        <v>97.379499999999993</v>
      </c>
      <c r="AX176" s="42"/>
      <c r="AY176" s="181"/>
      <c r="AZ176" s="197"/>
    </row>
    <row r="177" spans="12:52" ht="13" thickBot="1" x14ac:dyDescent="0.3">
      <c r="L177" s="55">
        <v>2010</v>
      </c>
      <c r="M177" s="274">
        <f t="shared" si="31"/>
        <v>0</v>
      </c>
      <c r="N177" s="275">
        <f t="shared" si="31"/>
        <v>0</v>
      </c>
      <c r="O177" s="276" t="e">
        <f ca="1"/>
        <v>#N/A</v>
      </c>
      <c r="Q177" s="34">
        <v>0</v>
      </c>
      <c r="R177" s="24">
        <v>0</v>
      </c>
      <c r="S177" s="24">
        <v>0</v>
      </c>
      <c r="T177" s="24">
        <v>0</v>
      </c>
      <c r="U177" s="24">
        <f t="array" ref="U177">IF(U$77&gt;" ",(U$628:U$1078),"")</f>
        <v>0</v>
      </c>
      <c r="V177" s="24">
        <f t="array" ref="V177">IF(V$77&gt;" ",(V$628:V$1078),"")</f>
        <v>0</v>
      </c>
      <c r="W177" s="24">
        <f t="array" ref="W177">IF(W$77&gt;" ",(W$628:W$1078),"")</f>
        <v>0</v>
      </c>
      <c r="X177" s="24">
        <f t="array" ref="X177">IF(X$77&gt;" ",(X$628:X$1078),"")</f>
        <v>0</v>
      </c>
      <c r="Y177" s="21">
        <v>0</v>
      </c>
      <c r="Z177" s="34">
        <f t="shared" si="22"/>
        <v>0</v>
      </c>
      <c r="AA177" s="24">
        <f t="shared" si="23"/>
        <v>0</v>
      </c>
      <c r="AB177" s="24">
        <f t="shared" si="24"/>
        <v>0</v>
      </c>
      <c r="AC177" s="24">
        <f t="shared" si="25"/>
        <v>0</v>
      </c>
      <c r="AD177" s="24">
        <f t="shared" si="30"/>
        <v>0</v>
      </c>
      <c r="AE177" s="24">
        <f t="shared" si="30"/>
        <v>0</v>
      </c>
      <c r="AF177" s="24">
        <f t="shared" si="30"/>
        <v>0</v>
      </c>
      <c r="AG177" s="24">
        <f t="shared" si="28"/>
        <v>0</v>
      </c>
      <c r="AH177" s="24">
        <f t="shared" si="20"/>
        <v>0</v>
      </c>
      <c r="AI177" s="24">
        <f t="shared" si="26"/>
        <v>0</v>
      </c>
      <c r="AJ177" s="261">
        <f t="shared" si="27"/>
        <v>0</v>
      </c>
      <c r="AK177" s="13"/>
      <c r="AL177" s="100">
        <v>2010</v>
      </c>
      <c r="AM177" s="202"/>
      <c r="AN177" s="200"/>
      <c r="AO177" s="200"/>
      <c r="AP177" s="283">
        <v>3.9629999999999999E-2</v>
      </c>
      <c r="AR177" s="222">
        <v>96.809348546680283</v>
      </c>
      <c r="AS177" s="223">
        <v>96.802119080783157</v>
      </c>
      <c r="AT177" s="223">
        <v>93.496157605899498</v>
      </c>
      <c r="AU177" s="223">
        <v>93.623585834333724</v>
      </c>
      <c r="AV177" s="223">
        <v>98.697999999999993</v>
      </c>
      <c r="AW177" s="224">
        <v>97.37700000000001</v>
      </c>
      <c r="AX177" s="42"/>
      <c r="AY177" s="181"/>
      <c r="AZ177" s="197"/>
    </row>
    <row r="178" spans="12:52" ht="13" thickBot="1" x14ac:dyDescent="0.3">
      <c r="L178" s="55">
        <v>2005</v>
      </c>
      <c r="M178" s="274">
        <f t="shared" si="31"/>
        <v>0</v>
      </c>
      <c r="N178" s="275">
        <f t="shared" si="31"/>
        <v>0</v>
      </c>
      <c r="O178" s="276" t="e">
        <f ca="1"/>
        <v>#N/A</v>
      </c>
      <c r="Q178" s="34">
        <v>0</v>
      </c>
      <c r="R178" s="24">
        <v>0</v>
      </c>
      <c r="S178" s="24">
        <v>0</v>
      </c>
      <c r="T178" s="24">
        <v>0</v>
      </c>
      <c r="U178" s="24">
        <f t="array" ref="U178">IF(U$77&gt;" ",(U$628:U$1078),"")</f>
        <v>0</v>
      </c>
      <c r="V178" s="24">
        <f t="array" ref="V178">IF(V$77&gt;" ",(V$628:V$1078),"")</f>
        <v>0</v>
      </c>
      <c r="W178" s="24">
        <f t="array" ref="W178">IF(W$77&gt;" ",(W$628:W$1078),"")</f>
        <v>0</v>
      </c>
      <c r="X178" s="24">
        <f t="array" ref="X178">IF(X$77&gt;" ",(X$628:X$1078),"")</f>
        <v>0</v>
      </c>
      <c r="Y178" s="21">
        <v>0</v>
      </c>
      <c r="Z178" s="34">
        <f t="shared" si="22"/>
        <v>0</v>
      </c>
      <c r="AA178" s="24">
        <f t="shared" si="23"/>
        <v>0</v>
      </c>
      <c r="AB178" s="24">
        <f t="shared" si="24"/>
        <v>0</v>
      </c>
      <c r="AC178" s="24">
        <f t="shared" si="25"/>
        <v>0</v>
      </c>
      <c r="AD178" s="24">
        <f t="shared" si="30"/>
        <v>0</v>
      </c>
      <c r="AE178" s="24">
        <f t="shared" si="30"/>
        <v>0</v>
      </c>
      <c r="AF178" s="24">
        <f t="shared" si="30"/>
        <v>0</v>
      </c>
      <c r="AG178" s="24">
        <f t="shared" si="28"/>
        <v>0</v>
      </c>
      <c r="AH178" s="24">
        <f t="shared" si="20"/>
        <v>0</v>
      </c>
      <c r="AI178" s="24">
        <f t="shared" si="26"/>
        <v>0</v>
      </c>
      <c r="AJ178" s="261">
        <f t="shared" si="27"/>
        <v>0</v>
      </c>
      <c r="AK178" s="13"/>
      <c r="AL178" s="100">
        <v>2005</v>
      </c>
      <c r="AM178" s="202"/>
      <c r="AN178" s="200"/>
      <c r="AO178" s="200"/>
      <c r="AP178" s="284">
        <v>1.4959999999999999E-2</v>
      </c>
      <c r="AR178" s="222">
        <v>96.822074533609168</v>
      </c>
      <c r="AS178" s="223">
        <v>96.810893536906406</v>
      </c>
      <c r="AT178" s="223">
        <v>93.522448536246188</v>
      </c>
      <c r="AU178" s="223">
        <v>93.656803195944974</v>
      </c>
      <c r="AV178" s="223">
        <v>98.694999999999993</v>
      </c>
      <c r="AW178" s="224">
        <v>97.376499999999993</v>
      </c>
      <c r="AX178" s="42"/>
      <c r="AY178" s="181"/>
      <c r="AZ178" s="197"/>
    </row>
    <row r="179" spans="12:52" ht="13" thickBot="1" x14ac:dyDescent="0.3">
      <c r="L179" s="55">
        <v>2000</v>
      </c>
      <c r="M179" s="274">
        <f t="shared" si="31"/>
        <v>0</v>
      </c>
      <c r="N179" s="275">
        <f t="shared" si="31"/>
        <v>0</v>
      </c>
      <c r="O179" s="276" t="e">
        <f ca="1"/>
        <v>#N/A</v>
      </c>
      <c r="Q179" s="34">
        <v>0</v>
      </c>
      <c r="R179" s="24">
        <v>0</v>
      </c>
      <c r="S179" s="24">
        <v>0</v>
      </c>
      <c r="T179" s="24">
        <v>0</v>
      </c>
      <c r="U179" s="24">
        <f t="array" ref="U179">IF(U$77&gt;" ",(U$628:U$1078),"")</f>
        <v>0</v>
      </c>
      <c r="V179" s="24">
        <f t="array" ref="V179">IF(V$77&gt;" ",(V$628:V$1078),"")</f>
        <v>0</v>
      </c>
      <c r="W179" s="24">
        <f t="array" ref="W179">IF(W$77&gt;" ",(W$628:W$1078),"")</f>
        <v>0</v>
      </c>
      <c r="X179" s="24">
        <f t="array" ref="X179">IF(X$77&gt;" ",(X$628:X$1078),"")</f>
        <v>0</v>
      </c>
      <c r="Y179" s="21">
        <v>0</v>
      </c>
      <c r="Z179" s="34">
        <f t="shared" si="22"/>
        <v>0</v>
      </c>
      <c r="AA179" s="24">
        <f t="shared" si="23"/>
        <v>0</v>
      </c>
      <c r="AB179" s="24">
        <f t="shared" si="24"/>
        <v>0</v>
      </c>
      <c r="AC179" s="24">
        <f t="shared" si="25"/>
        <v>0</v>
      </c>
      <c r="AD179" s="24">
        <f t="shared" si="30"/>
        <v>0</v>
      </c>
      <c r="AE179" s="24">
        <f t="shared" si="30"/>
        <v>0</v>
      </c>
      <c r="AF179" s="24">
        <f t="shared" si="30"/>
        <v>0</v>
      </c>
      <c r="AG179" s="24">
        <f t="shared" si="28"/>
        <v>0</v>
      </c>
      <c r="AH179" s="24">
        <f t="shared" si="20"/>
        <v>0</v>
      </c>
      <c r="AI179" s="24">
        <f t="shared" si="26"/>
        <v>0</v>
      </c>
      <c r="AJ179" s="261">
        <f t="shared" si="27"/>
        <v>0</v>
      </c>
      <c r="AK179" s="13"/>
      <c r="AL179" s="100">
        <v>2000</v>
      </c>
      <c r="AM179" s="202"/>
      <c r="AN179" s="200"/>
      <c r="AO179" s="200"/>
      <c r="AP179" s="283">
        <v>3.805E-2</v>
      </c>
      <c r="AR179" s="222">
        <v>96.836457767892284</v>
      </c>
      <c r="AS179" s="223">
        <v>96.814030824305519</v>
      </c>
      <c r="AT179" s="223">
        <v>93.557689891906932</v>
      </c>
      <c r="AU179" s="223">
        <v>93.693503168901216</v>
      </c>
      <c r="AV179" s="223">
        <v>98.692000000000007</v>
      </c>
      <c r="AW179" s="224">
        <v>97.375999999999991</v>
      </c>
      <c r="AX179" s="42"/>
      <c r="AY179" s="181"/>
      <c r="AZ179" s="197"/>
    </row>
    <row r="180" spans="12:52" ht="13" thickBot="1" x14ac:dyDescent="0.3">
      <c r="L180" s="55">
        <v>1995</v>
      </c>
      <c r="M180" s="274">
        <f t="shared" si="31"/>
        <v>0</v>
      </c>
      <c r="N180" s="275">
        <f t="shared" si="31"/>
        <v>0</v>
      </c>
      <c r="O180" s="276" t="e">
        <f ca="1"/>
        <v>#N/A</v>
      </c>
      <c r="Q180" s="34">
        <v>0</v>
      </c>
      <c r="R180" s="24">
        <v>0</v>
      </c>
      <c r="S180" s="24">
        <v>0</v>
      </c>
      <c r="T180" s="24">
        <v>0</v>
      </c>
      <c r="U180" s="24">
        <f t="array" ref="U180">IF(U$77&gt;" ",(U$628:U$1078),"")</f>
        <v>0</v>
      </c>
      <c r="V180" s="24">
        <f t="array" ref="V180">IF(V$77&gt;" ",(V$628:V$1078),"")</f>
        <v>0</v>
      </c>
      <c r="W180" s="24">
        <f t="array" ref="W180">IF(W$77&gt;" ",(W$628:W$1078),"")</f>
        <v>0</v>
      </c>
      <c r="X180" s="24">
        <f t="array" ref="X180">IF(X$77&gt;" ",(X$628:X$1078),"")</f>
        <v>0</v>
      </c>
      <c r="Y180" s="21">
        <v>0</v>
      </c>
      <c r="Z180" s="34">
        <f t="shared" si="22"/>
        <v>0</v>
      </c>
      <c r="AA180" s="24">
        <f t="shared" si="23"/>
        <v>0</v>
      </c>
      <c r="AB180" s="24">
        <f t="shared" si="24"/>
        <v>0</v>
      </c>
      <c r="AC180" s="24">
        <f t="shared" si="25"/>
        <v>0</v>
      </c>
      <c r="AD180" s="24">
        <f t="shared" si="30"/>
        <v>0</v>
      </c>
      <c r="AE180" s="24">
        <f t="shared" si="30"/>
        <v>0</v>
      </c>
      <c r="AF180" s="24">
        <f t="shared" si="30"/>
        <v>0</v>
      </c>
      <c r="AG180" s="24">
        <f t="shared" si="28"/>
        <v>0</v>
      </c>
      <c r="AH180" s="24">
        <f t="shared" si="20"/>
        <v>0</v>
      </c>
      <c r="AI180" s="24">
        <f t="shared" si="26"/>
        <v>0</v>
      </c>
      <c r="AJ180" s="261">
        <f t="shared" si="27"/>
        <v>0</v>
      </c>
      <c r="AK180" s="13"/>
      <c r="AL180" s="100">
        <v>1995</v>
      </c>
      <c r="AM180" s="202"/>
      <c r="AN180" s="200"/>
      <c r="AO180" s="200"/>
      <c r="AP180" s="284">
        <v>8.0949999999999994E-2</v>
      </c>
      <c r="AR180" s="222">
        <v>96.852771967760376</v>
      </c>
      <c r="AS180" s="223">
        <v>96.819230664944556</v>
      </c>
      <c r="AT180" s="223">
        <v>93.586188190019769</v>
      </c>
      <c r="AU180" s="223">
        <v>93.7164568823179</v>
      </c>
      <c r="AV180" s="223">
        <v>98.688000000000002</v>
      </c>
      <c r="AW180" s="224">
        <v>97.373500000000007</v>
      </c>
      <c r="AX180" s="42"/>
      <c r="AY180" s="181"/>
      <c r="AZ180" s="197"/>
    </row>
    <row r="181" spans="12:52" ht="13" thickBot="1" x14ac:dyDescent="0.3">
      <c r="L181" s="55">
        <v>1990</v>
      </c>
      <c r="M181" s="274">
        <f t="shared" si="31"/>
        <v>0</v>
      </c>
      <c r="N181" s="275">
        <f t="shared" si="31"/>
        <v>0</v>
      </c>
      <c r="O181" s="276" t="e">
        <f ca="1"/>
        <v>#N/A</v>
      </c>
      <c r="Q181" s="34">
        <v>0</v>
      </c>
      <c r="R181" s="24">
        <v>0</v>
      </c>
      <c r="S181" s="24">
        <v>0</v>
      </c>
      <c r="T181" s="24">
        <v>0</v>
      </c>
      <c r="U181" s="24">
        <f t="array" ref="U181">IF(U$77&gt;" ",(U$628:U$1078),"")</f>
        <v>0</v>
      </c>
      <c r="V181" s="24">
        <f t="array" ref="V181">IF(V$77&gt;" ",(V$628:V$1078),"")</f>
        <v>0</v>
      </c>
      <c r="W181" s="24">
        <f t="array" ref="W181">IF(W$77&gt;" ",(W$628:W$1078),"")</f>
        <v>0</v>
      </c>
      <c r="X181" s="24">
        <f t="array" ref="X181">IF(X$77&gt;" ",(X$628:X$1078),"")</f>
        <v>0</v>
      </c>
      <c r="Y181" s="21">
        <v>0</v>
      </c>
      <c r="Z181" s="34">
        <f t="shared" si="22"/>
        <v>0</v>
      </c>
      <c r="AA181" s="24">
        <f t="shared" si="23"/>
        <v>0</v>
      </c>
      <c r="AB181" s="24">
        <f t="shared" si="24"/>
        <v>0</v>
      </c>
      <c r="AC181" s="24">
        <f t="shared" si="25"/>
        <v>0</v>
      </c>
      <c r="AD181" s="24">
        <f t="shared" si="30"/>
        <v>0</v>
      </c>
      <c r="AE181" s="24">
        <f t="shared" si="30"/>
        <v>0</v>
      </c>
      <c r="AF181" s="24">
        <f t="shared" si="30"/>
        <v>0</v>
      </c>
      <c r="AG181" s="24">
        <f t="shared" si="28"/>
        <v>0</v>
      </c>
      <c r="AH181" s="24">
        <f t="shared" si="20"/>
        <v>0</v>
      </c>
      <c r="AI181" s="24">
        <f t="shared" si="26"/>
        <v>0</v>
      </c>
      <c r="AJ181" s="261">
        <f t="shared" si="27"/>
        <v>0</v>
      </c>
      <c r="AK181" s="13"/>
      <c r="AL181" s="100">
        <v>1990</v>
      </c>
      <c r="AM181" s="202"/>
      <c r="AN181" s="200"/>
      <c r="AO181" s="200"/>
      <c r="AP181" s="283">
        <v>8.5360000000000005E-2</v>
      </c>
      <c r="AR181" s="222">
        <v>96.853436795380688</v>
      </c>
      <c r="AS181" s="223">
        <v>96.833730217192169</v>
      </c>
      <c r="AT181" s="223">
        <v>93.618246585189056</v>
      </c>
      <c r="AU181" s="223">
        <v>93.747713461319165</v>
      </c>
      <c r="AV181" s="223">
        <v>98.684000000000012</v>
      </c>
      <c r="AW181" s="224">
        <v>97.370999999999995</v>
      </c>
      <c r="AX181" s="42"/>
      <c r="AY181" s="181"/>
      <c r="AZ181" s="197"/>
    </row>
    <row r="182" spans="12:52" ht="13" thickBot="1" x14ac:dyDescent="0.3">
      <c r="L182" s="55">
        <v>1985</v>
      </c>
      <c r="M182" s="274">
        <f t="shared" si="31"/>
        <v>0</v>
      </c>
      <c r="N182" s="275">
        <f t="shared" si="31"/>
        <v>0</v>
      </c>
      <c r="O182" s="276" t="e">
        <f ca="1"/>
        <v>#N/A</v>
      </c>
      <c r="Q182" s="34">
        <v>0</v>
      </c>
      <c r="R182" s="24">
        <v>0</v>
      </c>
      <c r="S182" s="24">
        <v>0</v>
      </c>
      <c r="T182" s="24">
        <v>0</v>
      </c>
      <c r="U182" s="24">
        <f t="array" ref="U182">IF(U$77&gt;" ",(U$628:U$1078),"")</f>
        <v>0</v>
      </c>
      <c r="V182" s="24">
        <f t="array" ref="V182">IF(V$77&gt;" ",(V$628:V$1078),"")</f>
        <v>0</v>
      </c>
      <c r="W182" s="24">
        <f t="array" ref="W182">IF(W$77&gt;" ",(W$628:W$1078),"")</f>
        <v>0</v>
      </c>
      <c r="X182" s="24">
        <f t="array" ref="X182">IF(X$77&gt;" ",(X$628:X$1078),"")</f>
        <v>0</v>
      </c>
      <c r="Y182" s="21">
        <v>0</v>
      </c>
      <c r="Z182" s="34">
        <f t="shared" si="22"/>
        <v>0</v>
      </c>
      <c r="AA182" s="24">
        <f t="shared" si="23"/>
        <v>0</v>
      </c>
      <c r="AB182" s="24">
        <f t="shared" si="24"/>
        <v>0</v>
      </c>
      <c r="AC182" s="24">
        <f t="shared" si="25"/>
        <v>0</v>
      </c>
      <c r="AD182" s="24">
        <f t="shared" si="30"/>
        <v>0</v>
      </c>
      <c r="AE182" s="24">
        <f t="shared" si="30"/>
        <v>0</v>
      </c>
      <c r="AF182" s="24">
        <f t="shared" si="30"/>
        <v>0</v>
      </c>
      <c r="AG182" s="24">
        <f t="shared" si="28"/>
        <v>0</v>
      </c>
      <c r="AH182" s="24">
        <f t="shared" ref="AH182:AH232" si="32">Y182</f>
        <v>0</v>
      </c>
      <c r="AI182" s="24">
        <f t="shared" si="26"/>
        <v>0</v>
      </c>
      <c r="AJ182" s="261">
        <f t="shared" si="27"/>
        <v>0</v>
      </c>
      <c r="AK182" s="13"/>
      <c r="AL182" s="100">
        <v>1985</v>
      </c>
      <c r="AM182" s="202"/>
      <c r="AN182" s="200"/>
      <c r="AO182" s="200"/>
      <c r="AP182" s="284">
        <v>8.2820000000000005E-2</v>
      </c>
      <c r="AR182" s="222">
        <v>96.863581392091135</v>
      </c>
      <c r="AS182" s="223">
        <v>96.852950298259756</v>
      </c>
      <c r="AT182" s="223">
        <v>93.661588346244727</v>
      </c>
      <c r="AU182" s="223">
        <v>93.794620060533546</v>
      </c>
      <c r="AV182" s="223">
        <v>98.682000000000002</v>
      </c>
      <c r="AW182" s="224">
        <v>97.367500000000007</v>
      </c>
      <c r="AX182" s="42"/>
      <c r="AY182" s="181"/>
      <c r="AZ182" s="197"/>
    </row>
    <row r="183" spans="12:52" ht="13" thickBot="1" x14ac:dyDescent="0.3">
      <c r="L183" s="55">
        <v>1980</v>
      </c>
      <c r="M183" s="274">
        <f t="shared" si="31"/>
        <v>0</v>
      </c>
      <c r="N183" s="275">
        <f t="shared" si="31"/>
        <v>0</v>
      </c>
      <c r="O183" s="276" t="e">
        <f ca="1"/>
        <v>#N/A</v>
      </c>
      <c r="Q183" s="34">
        <v>0</v>
      </c>
      <c r="R183" s="24">
        <v>0</v>
      </c>
      <c r="S183" s="24">
        <v>0</v>
      </c>
      <c r="T183" s="24">
        <v>0</v>
      </c>
      <c r="U183" s="24">
        <f t="array" ref="U183">IF(U$77&gt;" ",(U$628:U$1078),"")</f>
        <v>0</v>
      </c>
      <c r="V183" s="24">
        <f t="array" ref="V183">IF(V$77&gt;" ",(V$628:V$1078),"")</f>
        <v>0</v>
      </c>
      <c r="W183" s="24">
        <f t="array" ref="W183">IF(W$77&gt;" ",(W$628:W$1078),"")</f>
        <v>0</v>
      </c>
      <c r="X183" s="24">
        <f t="array" ref="X183">IF(X$77&gt;" ",(X$628:X$1078),"")</f>
        <v>0</v>
      </c>
      <c r="Y183" s="21">
        <v>0</v>
      </c>
      <c r="Z183" s="34">
        <f t="shared" si="22"/>
        <v>0</v>
      </c>
      <c r="AA183" s="24">
        <f t="shared" si="23"/>
        <v>0</v>
      </c>
      <c r="AB183" s="24">
        <f t="shared" si="24"/>
        <v>0</v>
      </c>
      <c r="AC183" s="24">
        <f t="shared" si="25"/>
        <v>0</v>
      </c>
      <c r="AD183" s="24">
        <f t="shared" si="30"/>
        <v>0</v>
      </c>
      <c r="AE183" s="24">
        <f t="shared" si="30"/>
        <v>0</v>
      </c>
      <c r="AF183" s="24">
        <f t="shared" si="30"/>
        <v>0</v>
      </c>
      <c r="AG183" s="24">
        <f t="shared" si="28"/>
        <v>0</v>
      </c>
      <c r="AH183" s="24">
        <f t="shared" si="32"/>
        <v>0</v>
      </c>
      <c r="AI183" s="24">
        <f t="shared" si="26"/>
        <v>0</v>
      </c>
      <c r="AJ183" s="261">
        <f t="shared" si="27"/>
        <v>0</v>
      </c>
      <c r="AK183" s="13"/>
      <c r="AL183" s="100">
        <v>1980</v>
      </c>
      <c r="AM183" s="202"/>
      <c r="AN183" s="200"/>
      <c r="AO183" s="200"/>
      <c r="AP183" s="283">
        <v>7.5289999999999996E-2</v>
      </c>
      <c r="AR183" s="222">
        <v>96.869933627882219</v>
      </c>
      <c r="AS183" s="223">
        <v>96.867361747812879</v>
      </c>
      <c r="AT183" s="223">
        <v>93.688747119259119</v>
      </c>
      <c r="AU183" s="223">
        <v>93.826008742400234</v>
      </c>
      <c r="AV183" s="223">
        <v>98.68</v>
      </c>
      <c r="AW183" s="224">
        <v>97.36399999999999</v>
      </c>
      <c r="AX183" s="42"/>
      <c r="AY183" s="181"/>
      <c r="AZ183" s="197"/>
    </row>
    <row r="184" spans="12:52" ht="13" thickBot="1" x14ac:dyDescent="0.3">
      <c r="L184" s="55">
        <v>1975</v>
      </c>
      <c r="M184" s="274">
        <f t="shared" si="31"/>
        <v>0</v>
      </c>
      <c r="N184" s="275">
        <f t="shared" si="31"/>
        <v>0</v>
      </c>
      <c r="O184" s="276" t="e">
        <f ca="1"/>
        <v>#N/A</v>
      </c>
      <c r="Q184" s="34">
        <v>0</v>
      </c>
      <c r="R184" s="24">
        <v>0</v>
      </c>
      <c r="S184" s="24">
        <v>0</v>
      </c>
      <c r="T184" s="24">
        <v>0</v>
      </c>
      <c r="U184" s="24">
        <f t="array" ref="U184">IF(U$77&gt;" ",(U$628:U$1078),"")</f>
        <v>0</v>
      </c>
      <c r="V184" s="24">
        <f t="array" ref="V184">IF(V$77&gt;" ",(V$628:V$1078),"")</f>
        <v>0</v>
      </c>
      <c r="W184" s="24">
        <f t="array" ref="W184">IF(W$77&gt;" ",(W$628:W$1078),"")</f>
        <v>0</v>
      </c>
      <c r="X184" s="24">
        <f t="array" ref="X184">IF(X$77&gt;" ",(X$628:X$1078),"")</f>
        <v>0</v>
      </c>
      <c r="Y184" s="21">
        <v>0</v>
      </c>
      <c r="Z184" s="34">
        <f t="shared" si="22"/>
        <v>0</v>
      </c>
      <c r="AA184" s="24">
        <f t="shared" si="23"/>
        <v>0</v>
      </c>
      <c r="AB184" s="24">
        <f t="shared" si="24"/>
        <v>0</v>
      </c>
      <c r="AC184" s="24">
        <f t="shared" si="25"/>
        <v>0</v>
      </c>
      <c r="AD184" s="24">
        <f t="shared" si="30"/>
        <v>0</v>
      </c>
      <c r="AE184" s="24">
        <f t="shared" si="30"/>
        <v>0</v>
      </c>
      <c r="AF184" s="24">
        <f t="shared" si="30"/>
        <v>0</v>
      </c>
      <c r="AG184" s="24">
        <f t="shared" si="28"/>
        <v>0</v>
      </c>
      <c r="AH184" s="24">
        <f t="shared" si="32"/>
        <v>0</v>
      </c>
      <c r="AI184" s="24">
        <f t="shared" si="26"/>
        <v>0</v>
      </c>
      <c r="AJ184" s="261">
        <f t="shared" si="27"/>
        <v>0</v>
      </c>
      <c r="AK184" s="13"/>
      <c r="AL184" s="100">
        <v>1975</v>
      </c>
      <c r="AM184" s="202"/>
      <c r="AN184" s="200"/>
      <c r="AO184" s="200"/>
      <c r="AP184" s="284">
        <v>6.7659999999999998E-2</v>
      </c>
      <c r="AR184" s="222">
        <v>96.886519027599846</v>
      </c>
      <c r="AS184" s="223">
        <v>96.870166239104378</v>
      </c>
      <c r="AT184" s="223">
        <v>93.734522628165891</v>
      </c>
      <c r="AU184" s="223">
        <v>93.8721680913158</v>
      </c>
      <c r="AV184" s="223">
        <v>98.673000000000002</v>
      </c>
      <c r="AW184" s="224">
        <v>97.362000000000009</v>
      </c>
      <c r="AX184" s="42"/>
      <c r="AY184" s="181"/>
      <c r="AZ184" s="197"/>
    </row>
    <row r="185" spans="12:52" ht="13" thickBot="1" x14ac:dyDescent="0.3">
      <c r="L185" s="55">
        <v>1970</v>
      </c>
      <c r="M185" s="274">
        <f t="shared" si="31"/>
        <v>0</v>
      </c>
      <c r="N185" s="275">
        <f t="shared" si="31"/>
        <v>0</v>
      </c>
      <c r="O185" s="276" t="e">
        <f ca="1"/>
        <v>#N/A</v>
      </c>
      <c r="Q185" s="34">
        <v>0</v>
      </c>
      <c r="R185" s="24">
        <v>0</v>
      </c>
      <c r="S185" s="24">
        <v>0</v>
      </c>
      <c r="T185" s="24">
        <v>0</v>
      </c>
      <c r="U185" s="24">
        <f t="array" ref="U185">IF(U$77&gt;" ",(U$628:U$1078),"")</f>
        <v>0</v>
      </c>
      <c r="V185" s="24">
        <f t="array" ref="V185">IF(V$77&gt;" ",(V$628:V$1078),"")</f>
        <v>0</v>
      </c>
      <c r="W185" s="24">
        <f t="array" ref="W185">IF(W$77&gt;" ",(W$628:W$1078),"")</f>
        <v>0</v>
      </c>
      <c r="X185" s="24">
        <f t="array" ref="X185">IF(X$77&gt;" ",(X$628:X$1078),"")</f>
        <v>0</v>
      </c>
      <c r="Y185" s="21">
        <v>0</v>
      </c>
      <c r="Z185" s="34">
        <f t="shared" si="22"/>
        <v>0</v>
      </c>
      <c r="AA185" s="24">
        <f t="shared" si="23"/>
        <v>0</v>
      </c>
      <c r="AB185" s="24">
        <f t="shared" si="24"/>
        <v>0</v>
      </c>
      <c r="AC185" s="24">
        <f t="shared" si="25"/>
        <v>0</v>
      </c>
      <c r="AD185" s="24">
        <f t="shared" si="30"/>
        <v>0</v>
      </c>
      <c r="AE185" s="24">
        <f t="shared" si="30"/>
        <v>0</v>
      </c>
      <c r="AF185" s="24">
        <f t="shared" si="30"/>
        <v>0</v>
      </c>
      <c r="AG185" s="24">
        <f t="shared" si="28"/>
        <v>0</v>
      </c>
      <c r="AH185" s="24">
        <f t="shared" si="32"/>
        <v>0</v>
      </c>
      <c r="AI185" s="24">
        <f t="shared" si="26"/>
        <v>0</v>
      </c>
      <c r="AJ185" s="261">
        <f t="shared" si="27"/>
        <v>0</v>
      </c>
      <c r="AK185" s="13"/>
      <c r="AL185" s="100">
        <v>1970</v>
      </c>
      <c r="AM185" s="202"/>
      <c r="AN185" s="200"/>
      <c r="AO185" s="200"/>
      <c r="AP185" s="283">
        <v>4.8710000000000003E-2</v>
      </c>
      <c r="AR185" s="222">
        <v>96.896577822429848</v>
      </c>
      <c r="AS185" s="223">
        <v>96.883213547954526</v>
      </c>
      <c r="AT185" s="223">
        <v>93.775715077169693</v>
      </c>
      <c r="AU185" s="223">
        <v>93.910782108191356</v>
      </c>
      <c r="AV185" s="223">
        <v>98.665999999999997</v>
      </c>
      <c r="AW185" s="224">
        <v>97.36</v>
      </c>
      <c r="AX185" s="42"/>
      <c r="AY185" s="181"/>
      <c r="AZ185" s="197"/>
    </row>
    <row r="186" spans="12:52" ht="13" thickBot="1" x14ac:dyDescent="0.3">
      <c r="L186" s="55">
        <v>1965</v>
      </c>
      <c r="M186" s="274">
        <f t="shared" si="31"/>
        <v>0</v>
      </c>
      <c r="N186" s="275">
        <f t="shared" si="31"/>
        <v>0</v>
      </c>
      <c r="O186" s="276" t="e">
        <f ca="1"/>
        <v>#N/A</v>
      </c>
      <c r="Q186" s="34">
        <v>0</v>
      </c>
      <c r="R186" s="24">
        <v>0</v>
      </c>
      <c r="S186" s="24">
        <v>0</v>
      </c>
      <c r="T186" s="24">
        <v>0</v>
      </c>
      <c r="U186" s="24">
        <f t="array" ref="U186">IF(U$77&gt;" ",(U$628:U$1078),"")</f>
        <v>0</v>
      </c>
      <c r="V186" s="24">
        <f t="array" ref="V186">IF(V$77&gt;" ",(V$628:V$1078),"")</f>
        <v>0</v>
      </c>
      <c r="W186" s="24">
        <f t="array" ref="W186">IF(W$77&gt;" ",(W$628:W$1078),"")</f>
        <v>0</v>
      </c>
      <c r="X186" s="24">
        <f t="array" ref="X186">IF(X$77&gt;" ",(X$628:X$1078),"")</f>
        <v>0</v>
      </c>
      <c r="Y186" s="21">
        <v>0</v>
      </c>
      <c r="Z186" s="34">
        <f t="shared" si="22"/>
        <v>0</v>
      </c>
      <c r="AA186" s="24">
        <f t="shared" si="23"/>
        <v>0</v>
      </c>
      <c r="AB186" s="24">
        <f t="shared" si="24"/>
        <v>0</v>
      </c>
      <c r="AC186" s="24">
        <f t="shared" si="25"/>
        <v>0</v>
      </c>
      <c r="AD186" s="24">
        <f t="shared" si="30"/>
        <v>0</v>
      </c>
      <c r="AE186" s="24">
        <f t="shared" si="30"/>
        <v>0</v>
      </c>
      <c r="AF186" s="24">
        <f t="shared" si="30"/>
        <v>0</v>
      </c>
      <c r="AG186" s="24">
        <f t="shared" si="28"/>
        <v>0</v>
      </c>
      <c r="AH186" s="24">
        <f t="shared" si="32"/>
        <v>0</v>
      </c>
      <c r="AI186" s="24">
        <f t="shared" si="26"/>
        <v>0</v>
      </c>
      <c r="AJ186" s="261">
        <f t="shared" si="27"/>
        <v>0</v>
      </c>
      <c r="AK186" s="13"/>
      <c r="AL186" s="100">
        <v>1965</v>
      </c>
      <c r="AM186" s="202"/>
      <c r="AN186" s="200"/>
      <c r="AO186" s="200"/>
      <c r="AP186" s="284">
        <v>2.8479999999999998E-2</v>
      </c>
      <c r="AR186" s="222">
        <v>96.904149352593365</v>
      </c>
      <c r="AS186" s="223">
        <v>96.895344139439558</v>
      </c>
      <c r="AT186" s="223">
        <v>93.816338390662153</v>
      </c>
      <c r="AU186" s="223">
        <v>93.954184044779467</v>
      </c>
      <c r="AV186" s="223">
        <v>98.662000000000006</v>
      </c>
      <c r="AW186" s="224">
        <v>97.359499999999997</v>
      </c>
      <c r="AX186" s="42"/>
      <c r="AY186" s="181"/>
      <c r="AZ186" s="197"/>
    </row>
    <row r="187" spans="12:52" ht="13" thickBot="1" x14ac:dyDescent="0.3">
      <c r="L187" s="55">
        <v>1960</v>
      </c>
      <c r="M187" s="274">
        <f t="shared" si="31"/>
        <v>0</v>
      </c>
      <c r="N187" s="275">
        <f t="shared" si="31"/>
        <v>0</v>
      </c>
      <c r="O187" s="276" t="e">
        <f ca="1"/>
        <v>#N/A</v>
      </c>
      <c r="Q187" s="34">
        <v>0</v>
      </c>
      <c r="R187" s="24">
        <v>0</v>
      </c>
      <c r="S187" s="24">
        <v>0</v>
      </c>
      <c r="T187" s="24">
        <v>0</v>
      </c>
      <c r="U187" s="24">
        <f t="array" ref="U187">IF(U$77&gt;" ",(U$628:U$1078),"")</f>
        <v>0</v>
      </c>
      <c r="V187" s="24">
        <f t="array" ref="V187">IF(V$77&gt;" ",(V$628:V$1078),"")</f>
        <v>0</v>
      </c>
      <c r="W187" s="24">
        <f t="array" ref="W187">IF(W$77&gt;" ",(W$628:W$1078),"")</f>
        <v>0</v>
      </c>
      <c r="X187" s="24">
        <f t="array" ref="X187">IF(X$77&gt;" ",(X$628:X$1078),"")</f>
        <v>0</v>
      </c>
      <c r="Y187" s="21">
        <v>0</v>
      </c>
      <c r="Z187" s="34">
        <f t="shared" si="22"/>
        <v>0</v>
      </c>
      <c r="AA187" s="24">
        <f t="shared" si="23"/>
        <v>0</v>
      </c>
      <c r="AB187" s="24">
        <f t="shared" si="24"/>
        <v>0</v>
      </c>
      <c r="AC187" s="24">
        <f t="shared" si="25"/>
        <v>0</v>
      </c>
      <c r="AD187" s="24">
        <f t="shared" si="30"/>
        <v>0</v>
      </c>
      <c r="AE187" s="24">
        <f t="shared" si="30"/>
        <v>0</v>
      </c>
      <c r="AF187" s="24">
        <f t="shared" si="30"/>
        <v>0</v>
      </c>
      <c r="AG187" s="24">
        <f t="shared" si="28"/>
        <v>0</v>
      </c>
      <c r="AH187" s="24">
        <f t="shared" si="32"/>
        <v>0</v>
      </c>
      <c r="AI187" s="24">
        <f t="shared" si="26"/>
        <v>0</v>
      </c>
      <c r="AJ187" s="261">
        <f t="shared" si="27"/>
        <v>0</v>
      </c>
      <c r="AK187" s="13"/>
      <c r="AL187" s="100">
        <v>1960</v>
      </c>
      <c r="AM187" s="202"/>
      <c r="AN187" s="200"/>
      <c r="AO187" s="200"/>
      <c r="AP187" s="283">
        <v>2.1839999999999998E-2</v>
      </c>
      <c r="AR187" s="222">
        <v>96.922235035881954</v>
      </c>
      <c r="AS187" s="223">
        <v>96.909033704419173</v>
      </c>
      <c r="AT187" s="223">
        <v>93.849946892887075</v>
      </c>
      <c r="AU187" s="223">
        <v>93.989626247061267</v>
      </c>
      <c r="AV187" s="223">
        <v>98.658000000000001</v>
      </c>
      <c r="AW187" s="224">
        <v>97.358999999999995</v>
      </c>
      <c r="AX187" s="42"/>
      <c r="AY187" s="181"/>
      <c r="AZ187" s="197"/>
    </row>
    <row r="188" spans="12:52" ht="13" thickBot="1" x14ac:dyDescent="0.3">
      <c r="L188" s="55">
        <v>1955</v>
      </c>
      <c r="M188" s="274">
        <f t="shared" si="31"/>
        <v>0</v>
      </c>
      <c r="N188" s="275">
        <f t="shared" si="31"/>
        <v>0</v>
      </c>
      <c r="O188" s="276" t="e">
        <f ca="1"/>
        <v>#N/A</v>
      </c>
      <c r="Q188" s="34">
        <v>0</v>
      </c>
      <c r="R188" s="24">
        <v>0</v>
      </c>
      <c r="S188" s="24">
        <v>0</v>
      </c>
      <c r="T188" s="24">
        <v>0</v>
      </c>
      <c r="U188" s="24">
        <f t="array" ref="U188">IF(U$77&gt;" ",(U$628:U$1078),"")</f>
        <v>0</v>
      </c>
      <c r="V188" s="24">
        <f t="array" ref="V188">IF(V$77&gt;" ",(V$628:V$1078),"")</f>
        <v>0</v>
      </c>
      <c r="W188" s="24">
        <f t="array" ref="W188">IF(W$77&gt;" ",(W$628:W$1078),"")</f>
        <v>0</v>
      </c>
      <c r="X188" s="24">
        <f t="array" ref="X188">IF(X$77&gt;" ",(X$628:X$1078),"")</f>
        <v>0</v>
      </c>
      <c r="Y188" s="21">
        <v>0</v>
      </c>
      <c r="Z188" s="34">
        <f t="shared" si="22"/>
        <v>0</v>
      </c>
      <c r="AA188" s="24">
        <f t="shared" si="23"/>
        <v>0</v>
      </c>
      <c r="AB188" s="24">
        <f t="shared" si="24"/>
        <v>0</v>
      </c>
      <c r="AC188" s="24">
        <f t="shared" si="25"/>
        <v>0</v>
      </c>
      <c r="AD188" s="24">
        <f t="shared" si="30"/>
        <v>0</v>
      </c>
      <c r="AE188" s="24">
        <f t="shared" si="30"/>
        <v>0</v>
      </c>
      <c r="AF188" s="24">
        <f t="shared" si="30"/>
        <v>0</v>
      </c>
      <c r="AG188" s="24">
        <f t="shared" si="28"/>
        <v>0</v>
      </c>
      <c r="AH188" s="24">
        <f t="shared" si="32"/>
        <v>0</v>
      </c>
      <c r="AI188" s="24">
        <f t="shared" si="26"/>
        <v>0</v>
      </c>
      <c r="AJ188" s="261">
        <f t="shared" si="27"/>
        <v>0</v>
      </c>
      <c r="AK188" s="13"/>
      <c r="AL188" s="100">
        <v>1955</v>
      </c>
      <c r="AM188" s="202"/>
      <c r="AN188" s="200"/>
      <c r="AO188" s="200"/>
      <c r="AP188" s="284">
        <v>1.001E-2</v>
      </c>
      <c r="AR188" s="222">
        <v>96.944246045657849</v>
      </c>
      <c r="AS188" s="223">
        <v>96.920444638168973</v>
      </c>
      <c r="AT188" s="223">
        <v>93.892216399455492</v>
      </c>
      <c r="AU188" s="223">
        <v>94.025419326099055</v>
      </c>
      <c r="AV188" s="223">
        <v>98.652000000000001</v>
      </c>
      <c r="AW188" s="224">
        <v>97.355999999999995</v>
      </c>
      <c r="AX188" s="42"/>
      <c r="AY188" s="181"/>
      <c r="AZ188" s="197"/>
    </row>
    <row r="189" spans="12:52" ht="13" thickBot="1" x14ac:dyDescent="0.3">
      <c r="L189" s="55">
        <v>1950</v>
      </c>
      <c r="M189" s="274">
        <f t="shared" si="31"/>
        <v>0</v>
      </c>
      <c r="N189" s="275">
        <f t="shared" si="31"/>
        <v>0</v>
      </c>
      <c r="O189" s="276" t="e">
        <f ca="1"/>
        <v>#N/A</v>
      </c>
      <c r="Q189" s="34">
        <v>0</v>
      </c>
      <c r="R189" s="24">
        <v>0</v>
      </c>
      <c r="S189" s="24">
        <v>0</v>
      </c>
      <c r="T189" s="24">
        <v>0</v>
      </c>
      <c r="U189" s="24">
        <f t="array" ref="U189">IF(U$77&gt;" ",(U$628:U$1078),"")</f>
        <v>0</v>
      </c>
      <c r="V189" s="24">
        <f t="array" ref="V189">IF(V$77&gt;" ",(V$628:V$1078),"")</f>
        <v>0</v>
      </c>
      <c r="W189" s="24">
        <f t="array" ref="W189">IF(W$77&gt;" ",(W$628:W$1078),"")</f>
        <v>0</v>
      </c>
      <c r="X189" s="24">
        <f t="array" ref="X189">IF(X$77&gt;" ",(X$628:X$1078),"")</f>
        <v>0</v>
      </c>
      <c r="Y189" s="21">
        <v>0</v>
      </c>
      <c r="Z189" s="34">
        <f t="shared" si="22"/>
        <v>0</v>
      </c>
      <c r="AA189" s="24">
        <f t="shared" si="23"/>
        <v>0</v>
      </c>
      <c r="AB189" s="24">
        <f t="shared" si="24"/>
        <v>0</v>
      </c>
      <c r="AC189" s="24">
        <f t="shared" si="25"/>
        <v>0</v>
      </c>
      <c r="AD189" s="24">
        <f t="shared" si="30"/>
        <v>0</v>
      </c>
      <c r="AE189" s="24">
        <f t="shared" si="30"/>
        <v>0</v>
      </c>
      <c r="AF189" s="24">
        <f t="shared" si="30"/>
        <v>0</v>
      </c>
      <c r="AG189" s="24">
        <f t="shared" si="28"/>
        <v>0</v>
      </c>
      <c r="AH189" s="24">
        <f t="shared" si="32"/>
        <v>0</v>
      </c>
      <c r="AI189" s="24">
        <f t="shared" si="26"/>
        <v>0</v>
      </c>
      <c r="AJ189" s="261">
        <f t="shared" si="27"/>
        <v>0</v>
      </c>
      <c r="AK189" s="13"/>
      <c r="AL189" s="100">
        <v>1950</v>
      </c>
      <c r="AM189" s="202"/>
      <c r="AN189" s="200"/>
      <c r="AO189" s="200"/>
      <c r="AP189" s="283">
        <v>1.668E-2</v>
      </c>
      <c r="AR189" s="222">
        <v>96.959726543209868</v>
      </c>
      <c r="AS189" s="223">
        <v>96.93850649623802</v>
      </c>
      <c r="AT189" s="223">
        <v>93.92957167669266</v>
      </c>
      <c r="AU189" s="223">
        <v>94.069392857323919</v>
      </c>
      <c r="AV189" s="223">
        <v>98.646000000000001</v>
      </c>
      <c r="AW189" s="224">
        <v>97.352999999999994</v>
      </c>
      <c r="AX189" s="42"/>
      <c r="AY189" s="181"/>
      <c r="AZ189" s="197"/>
    </row>
    <row r="190" spans="12:52" ht="13" thickBot="1" x14ac:dyDescent="0.3">
      <c r="L190" s="55">
        <v>1945</v>
      </c>
      <c r="M190" s="274">
        <f t="shared" si="31"/>
        <v>0</v>
      </c>
      <c r="N190" s="275">
        <f t="shared" si="31"/>
        <v>0</v>
      </c>
      <c r="O190" s="276" t="e">
        <f ca="1"/>
        <v>#N/A</v>
      </c>
      <c r="Q190" s="34">
        <v>0</v>
      </c>
      <c r="R190" s="24">
        <v>0</v>
      </c>
      <c r="S190" s="24">
        <v>0</v>
      </c>
      <c r="T190" s="24">
        <v>0</v>
      </c>
      <c r="U190" s="24">
        <f t="array" ref="U190">IF(U$77&gt;" ",(U$628:U$1078),"")</f>
        <v>0</v>
      </c>
      <c r="V190" s="24">
        <f t="array" ref="V190">IF(V$77&gt;" ",(V$628:V$1078),"")</f>
        <v>0</v>
      </c>
      <c r="W190" s="24">
        <f t="array" ref="W190">IF(W$77&gt;" ",(W$628:W$1078),"")</f>
        <v>0</v>
      </c>
      <c r="X190" s="24">
        <f t="array" ref="X190">IF(X$77&gt;" ",(X$628:X$1078),"")</f>
        <v>0</v>
      </c>
      <c r="Y190" s="21">
        <v>0</v>
      </c>
      <c r="Z190" s="34">
        <f t="shared" si="22"/>
        <v>0</v>
      </c>
      <c r="AA190" s="24">
        <f t="shared" si="23"/>
        <v>0</v>
      </c>
      <c r="AB190" s="24">
        <f t="shared" si="24"/>
        <v>0</v>
      </c>
      <c r="AC190" s="24">
        <f t="shared" si="25"/>
        <v>0</v>
      </c>
      <c r="AD190" s="24">
        <f t="shared" si="30"/>
        <v>0</v>
      </c>
      <c r="AE190" s="24">
        <f t="shared" si="30"/>
        <v>0</v>
      </c>
      <c r="AF190" s="24">
        <f t="shared" si="30"/>
        <v>0</v>
      </c>
      <c r="AG190" s="24">
        <f t="shared" si="28"/>
        <v>0</v>
      </c>
      <c r="AH190" s="24">
        <f t="shared" si="32"/>
        <v>0</v>
      </c>
      <c r="AI190" s="24">
        <f t="shared" si="26"/>
        <v>0</v>
      </c>
      <c r="AJ190" s="261">
        <f t="shared" si="27"/>
        <v>0</v>
      </c>
      <c r="AK190" s="13"/>
      <c r="AL190" s="100">
        <v>1945</v>
      </c>
      <c r="AM190" s="202"/>
      <c r="AN190" s="200"/>
      <c r="AO190" s="200"/>
      <c r="AP190" s="284">
        <v>1.0829999999999999E-2</v>
      </c>
      <c r="AR190" s="222">
        <v>96.973136696668817</v>
      </c>
      <c r="AS190" s="223">
        <v>96.957513807763249</v>
      </c>
      <c r="AT190" s="223">
        <v>93.949974498146005</v>
      </c>
      <c r="AU190" s="223">
        <v>94.099009775795139</v>
      </c>
      <c r="AV190" s="223">
        <v>98.641500000000008</v>
      </c>
      <c r="AW190" s="224">
        <v>97.351500000000001</v>
      </c>
      <c r="AX190" s="42"/>
      <c r="AY190" s="181"/>
      <c r="AZ190" s="197"/>
    </row>
    <row r="191" spans="12:52" ht="13" thickBot="1" x14ac:dyDescent="0.3">
      <c r="L191" s="55">
        <v>1940</v>
      </c>
      <c r="M191" s="274">
        <f t="shared" ref="M191:N206" si="33">M740</f>
        <v>0</v>
      </c>
      <c r="N191" s="275">
        <f t="shared" si="33"/>
        <v>0</v>
      </c>
      <c r="O191" s="276" t="e">
        <f ca="1"/>
        <v>#N/A</v>
      </c>
      <c r="Q191" s="34">
        <v>0</v>
      </c>
      <c r="R191" s="24">
        <v>0</v>
      </c>
      <c r="S191" s="24">
        <v>0</v>
      </c>
      <c r="T191" s="24">
        <v>0</v>
      </c>
      <c r="U191" s="24">
        <f t="array" ref="U191">IF(U$77&gt;" ",(U$628:U$1078),"")</f>
        <v>0</v>
      </c>
      <c r="V191" s="24">
        <f t="array" ref="V191">IF(V$77&gt;" ",(V$628:V$1078),"")</f>
        <v>0</v>
      </c>
      <c r="W191" s="24">
        <f t="array" ref="W191">IF(W$77&gt;" ",(W$628:W$1078),"")</f>
        <v>0</v>
      </c>
      <c r="X191" s="24">
        <f t="array" ref="X191">IF(X$77&gt;" ",(X$628:X$1078),"")</f>
        <v>0</v>
      </c>
      <c r="Y191" s="21">
        <v>0</v>
      </c>
      <c r="Z191" s="34">
        <f t="shared" si="22"/>
        <v>0</v>
      </c>
      <c r="AA191" s="24">
        <f t="shared" si="23"/>
        <v>0</v>
      </c>
      <c r="AB191" s="24">
        <f t="shared" si="24"/>
        <v>0</v>
      </c>
      <c r="AC191" s="24">
        <f t="shared" si="25"/>
        <v>0</v>
      </c>
      <c r="AD191" s="24">
        <f t="shared" si="30"/>
        <v>0</v>
      </c>
      <c r="AE191" s="24">
        <f t="shared" si="30"/>
        <v>0</v>
      </c>
      <c r="AF191" s="24">
        <f t="shared" si="30"/>
        <v>0</v>
      </c>
      <c r="AG191" s="24">
        <f t="shared" si="28"/>
        <v>0</v>
      </c>
      <c r="AH191" s="24">
        <f t="shared" si="32"/>
        <v>0</v>
      </c>
      <c r="AI191" s="24">
        <f t="shared" si="26"/>
        <v>0</v>
      </c>
      <c r="AJ191" s="261">
        <f t="shared" si="27"/>
        <v>0</v>
      </c>
      <c r="AK191" s="13"/>
      <c r="AL191" s="100">
        <v>1940</v>
      </c>
      <c r="AM191" s="202"/>
      <c r="AN191" s="200"/>
      <c r="AO191" s="200"/>
      <c r="AP191" s="283">
        <v>3.2729999999999999E-3</v>
      </c>
      <c r="AR191" s="222">
        <v>96.982694892106522</v>
      </c>
      <c r="AS191" s="223">
        <v>96.963005933229056</v>
      </c>
      <c r="AT191" s="223">
        <v>93.995523439894882</v>
      </c>
      <c r="AU191" s="223">
        <v>94.13474081276307</v>
      </c>
      <c r="AV191" s="223">
        <v>98.637</v>
      </c>
      <c r="AW191" s="224">
        <v>97.35</v>
      </c>
      <c r="AX191" s="42"/>
      <c r="AY191" s="181"/>
      <c r="AZ191" s="197"/>
    </row>
    <row r="192" spans="12:52" ht="13" thickBot="1" x14ac:dyDescent="0.3">
      <c r="L192" s="55">
        <v>1935</v>
      </c>
      <c r="M192" s="274">
        <f t="shared" si="33"/>
        <v>0</v>
      </c>
      <c r="N192" s="275">
        <f t="shared" si="33"/>
        <v>0</v>
      </c>
      <c r="O192" s="276" t="e">
        <f ca="1"/>
        <v>#N/A</v>
      </c>
      <c r="Q192" s="34">
        <v>0</v>
      </c>
      <c r="R192" s="24">
        <v>0</v>
      </c>
      <c r="S192" s="24">
        <v>0</v>
      </c>
      <c r="T192" s="24">
        <v>0</v>
      </c>
      <c r="U192" s="24">
        <f t="array" ref="U192">IF(U$77&gt;" ",(U$628:U$1078),"")</f>
        <v>0</v>
      </c>
      <c r="V192" s="24">
        <f t="array" ref="V192">IF(V$77&gt;" ",(V$628:V$1078),"")</f>
        <v>0</v>
      </c>
      <c r="W192" s="24">
        <f t="array" ref="W192">IF(W$77&gt;" ",(W$628:W$1078),"")</f>
        <v>0</v>
      </c>
      <c r="X192" s="24">
        <f t="array" ref="X192">IF(X$77&gt;" ",(X$628:X$1078),"")</f>
        <v>0</v>
      </c>
      <c r="Y192" s="21">
        <v>0</v>
      </c>
      <c r="Z192" s="34">
        <f t="shared" si="22"/>
        <v>0</v>
      </c>
      <c r="AA192" s="24">
        <f t="shared" si="23"/>
        <v>0</v>
      </c>
      <c r="AB192" s="24">
        <f t="shared" si="24"/>
        <v>0</v>
      </c>
      <c r="AC192" s="24">
        <f t="shared" si="25"/>
        <v>0</v>
      </c>
      <c r="AD192" s="24">
        <f t="shared" si="30"/>
        <v>0</v>
      </c>
      <c r="AE192" s="24">
        <f t="shared" si="30"/>
        <v>0</v>
      </c>
      <c r="AF192" s="24">
        <f t="shared" si="30"/>
        <v>0</v>
      </c>
      <c r="AG192" s="24">
        <f t="shared" si="28"/>
        <v>0</v>
      </c>
      <c r="AH192" s="24">
        <f t="shared" si="32"/>
        <v>0</v>
      </c>
      <c r="AI192" s="24">
        <f t="shared" si="26"/>
        <v>0</v>
      </c>
      <c r="AJ192" s="261">
        <f t="shared" si="27"/>
        <v>0</v>
      </c>
      <c r="AK192" s="13"/>
      <c r="AL192" s="100">
        <v>1935</v>
      </c>
      <c r="AM192" s="202"/>
      <c r="AN192" s="200"/>
      <c r="AO192" s="200"/>
      <c r="AP192" s="284">
        <v>3.5829999999999998E-3</v>
      </c>
      <c r="AR192" s="222">
        <v>96.976748170369248</v>
      </c>
      <c r="AS192" s="223">
        <v>96.968461780711323</v>
      </c>
      <c r="AT192" s="223">
        <v>94.041896395224668</v>
      </c>
      <c r="AU192" s="223">
        <v>94.173573923957122</v>
      </c>
      <c r="AV192" s="223">
        <v>98.629500000000007</v>
      </c>
      <c r="AW192" s="224">
        <v>97.347999999999999</v>
      </c>
      <c r="AX192" s="42"/>
      <c r="AY192" s="181"/>
      <c r="AZ192" s="197"/>
    </row>
    <row r="193" spans="12:52" ht="13" thickBot="1" x14ac:dyDescent="0.3">
      <c r="L193" s="55">
        <v>1930</v>
      </c>
      <c r="M193" s="274">
        <f t="shared" si="33"/>
        <v>0</v>
      </c>
      <c r="N193" s="275">
        <f t="shared" si="33"/>
        <v>0</v>
      </c>
      <c r="O193" s="276" t="e">
        <f ca="1"/>
        <v>#N/A</v>
      </c>
      <c r="Q193" s="34">
        <v>0</v>
      </c>
      <c r="R193" s="24">
        <v>0</v>
      </c>
      <c r="S193" s="24">
        <v>0</v>
      </c>
      <c r="T193" s="24">
        <v>0</v>
      </c>
      <c r="U193" s="24">
        <f t="array" ref="U193">IF(U$77&gt;" ",(U$628:U$1078),"")</f>
        <v>0</v>
      </c>
      <c r="V193" s="24">
        <f t="array" ref="V193">IF(V$77&gt;" ",(V$628:V$1078),"")</f>
        <v>0</v>
      </c>
      <c r="W193" s="24">
        <f t="array" ref="W193">IF(W$77&gt;" ",(W$628:W$1078),"")</f>
        <v>0</v>
      </c>
      <c r="X193" s="24">
        <f t="array" ref="X193">IF(X$77&gt;" ",(X$628:X$1078),"")</f>
        <v>0</v>
      </c>
      <c r="Y193" s="21">
        <v>0</v>
      </c>
      <c r="Z193" s="34">
        <f t="shared" si="22"/>
        <v>0</v>
      </c>
      <c r="AA193" s="24">
        <f t="shared" si="23"/>
        <v>0</v>
      </c>
      <c r="AB193" s="24">
        <f t="shared" si="24"/>
        <v>0</v>
      </c>
      <c r="AC193" s="24">
        <f t="shared" si="25"/>
        <v>0</v>
      </c>
      <c r="AD193" s="24">
        <f t="shared" si="30"/>
        <v>0</v>
      </c>
      <c r="AE193" s="24">
        <f t="shared" si="30"/>
        <v>0</v>
      </c>
      <c r="AF193" s="24">
        <f t="shared" si="30"/>
        <v>0</v>
      </c>
      <c r="AG193" s="24">
        <f t="shared" si="28"/>
        <v>0</v>
      </c>
      <c r="AH193" s="24">
        <f t="shared" si="32"/>
        <v>0</v>
      </c>
      <c r="AI193" s="24">
        <f t="shared" si="26"/>
        <v>0</v>
      </c>
      <c r="AJ193" s="261">
        <f t="shared" si="27"/>
        <v>0</v>
      </c>
      <c r="AK193" s="13"/>
      <c r="AL193" s="100">
        <v>1930</v>
      </c>
      <c r="AM193" s="202"/>
      <c r="AN193" s="200"/>
      <c r="AO193" s="200"/>
      <c r="AP193" s="283">
        <v>5.5080000000000005E-4</v>
      </c>
      <c r="AR193" s="222">
        <v>97.00214458865257</v>
      </c>
      <c r="AS193" s="223">
        <v>96.967390108209599</v>
      </c>
      <c r="AT193" s="223">
        <v>94.077930908605254</v>
      </c>
      <c r="AU193" s="223">
        <v>94.211711938419953</v>
      </c>
      <c r="AV193" s="223">
        <v>98.622</v>
      </c>
      <c r="AW193" s="224">
        <v>97.346000000000004</v>
      </c>
      <c r="AX193" s="42"/>
      <c r="AY193" s="181"/>
      <c r="AZ193" s="197"/>
    </row>
    <row r="194" spans="12:52" ht="13" thickBot="1" x14ac:dyDescent="0.3">
      <c r="L194" s="55">
        <v>1925</v>
      </c>
      <c r="M194" s="274">
        <f t="shared" si="33"/>
        <v>0</v>
      </c>
      <c r="N194" s="275">
        <f t="shared" si="33"/>
        <v>0</v>
      </c>
      <c r="O194" s="276" t="e">
        <f ca="1"/>
        <v>#N/A</v>
      </c>
      <c r="Q194" s="34">
        <v>0</v>
      </c>
      <c r="R194" s="24">
        <v>0</v>
      </c>
      <c r="S194" s="24">
        <v>0</v>
      </c>
      <c r="T194" s="24">
        <v>0</v>
      </c>
      <c r="U194" s="24">
        <f t="array" ref="U194">IF(U$77&gt;" ",(U$628:U$1078),"")</f>
        <v>0</v>
      </c>
      <c r="V194" s="24">
        <f t="array" ref="V194">IF(V$77&gt;" ",(V$628:V$1078),"")</f>
        <v>0</v>
      </c>
      <c r="W194" s="24">
        <f t="array" ref="W194">IF(W$77&gt;" ",(W$628:W$1078),"")</f>
        <v>0</v>
      </c>
      <c r="X194" s="24">
        <f t="array" ref="X194">IF(X$77&gt;" ",(X$628:X$1078),"")</f>
        <v>0</v>
      </c>
      <c r="Y194" s="21">
        <v>0</v>
      </c>
      <c r="Z194" s="34">
        <f t="shared" si="22"/>
        <v>0</v>
      </c>
      <c r="AA194" s="24">
        <f t="shared" si="23"/>
        <v>0</v>
      </c>
      <c r="AB194" s="24">
        <f t="shared" si="24"/>
        <v>0</v>
      </c>
      <c r="AC194" s="24">
        <f t="shared" si="25"/>
        <v>0</v>
      </c>
      <c r="AD194" s="24">
        <f t="shared" si="30"/>
        <v>0</v>
      </c>
      <c r="AE194" s="24">
        <f t="shared" si="30"/>
        <v>0</v>
      </c>
      <c r="AF194" s="24">
        <f t="shared" si="30"/>
        <v>0</v>
      </c>
      <c r="AG194" s="24">
        <f t="shared" si="28"/>
        <v>0</v>
      </c>
      <c r="AH194" s="24">
        <f t="shared" si="32"/>
        <v>0</v>
      </c>
      <c r="AI194" s="24">
        <f t="shared" si="26"/>
        <v>0</v>
      </c>
      <c r="AJ194" s="261">
        <f t="shared" si="27"/>
        <v>0</v>
      </c>
      <c r="AK194" s="13"/>
      <c r="AL194" s="100">
        <v>1925</v>
      </c>
      <c r="AM194" s="202"/>
      <c r="AN194" s="200"/>
      <c r="AO194" s="200"/>
      <c r="AP194" s="284">
        <v>9.3340000000000003E-4</v>
      </c>
      <c r="AR194" s="222">
        <v>97.022415829654008</v>
      </c>
      <c r="AS194" s="223">
        <v>96.986685502832259</v>
      </c>
      <c r="AT194" s="223">
        <v>94.136129496776562</v>
      </c>
      <c r="AU194" s="223">
        <v>94.26765493958203</v>
      </c>
      <c r="AV194" s="223">
        <v>98.616</v>
      </c>
      <c r="AW194" s="224">
        <v>97.341999999999999</v>
      </c>
      <c r="AX194" s="42"/>
      <c r="AY194" s="181"/>
      <c r="AZ194" s="197"/>
    </row>
    <row r="195" spans="12:52" ht="13" thickBot="1" x14ac:dyDescent="0.3">
      <c r="L195" s="55">
        <v>1920</v>
      </c>
      <c r="M195" s="274">
        <f t="shared" si="33"/>
        <v>0</v>
      </c>
      <c r="N195" s="275">
        <f t="shared" si="33"/>
        <v>0</v>
      </c>
      <c r="O195" s="276" t="e">
        <f ca="1"/>
        <v>#N/A</v>
      </c>
      <c r="Q195" s="34">
        <v>0</v>
      </c>
      <c r="R195" s="24">
        <v>0</v>
      </c>
      <c r="S195" s="24">
        <v>0</v>
      </c>
      <c r="T195" s="24">
        <v>0</v>
      </c>
      <c r="U195" s="24">
        <f t="array" ref="U195">IF(U$77&gt;" ",(U$628:U$1078),"")</f>
        <v>0</v>
      </c>
      <c r="V195" s="24">
        <f t="array" ref="V195">IF(V$77&gt;" ",(V$628:V$1078),"")</f>
        <v>0</v>
      </c>
      <c r="W195" s="24">
        <f t="array" ref="W195">IF(W$77&gt;" ",(W$628:W$1078),"")</f>
        <v>0</v>
      </c>
      <c r="X195" s="24">
        <f t="array" ref="X195">IF(X$77&gt;" ",(X$628:X$1078),"")</f>
        <v>0</v>
      </c>
      <c r="Y195" s="21">
        <v>0</v>
      </c>
      <c r="Z195" s="34">
        <f t="shared" si="22"/>
        <v>0</v>
      </c>
      <c r="AA195" s="24">
        <f t="shared" si="23"/>
        <v>0</v>
      </c>
      <c r="AB195" s="24">
        <f t="shared" si="24"/>
        <v>0</v>
      </c>
      <c r="AC195" s="24">
        <f t="shared" si="25"/>
        <v>0</v>
      </c>
      <c r="AD195" s="24">
        <f t="shared" si="30"/>
        <v>0</v>
      </c>
      <c r="AE195" s="24">
        <f t="shared" si="30"/>
        <v>0</v>
      </c>
      <c r="AF195" s="24">
        <f t="shared" si="30"/>
        <v>0</v>
      </c>
      <c r="AG195" s="24">
        <f t="shared" si="28"/>
        <v>0</v>
      </c>
      <c r="AH195" s="24">
        <f t="shared" si="32"/>
        <v>0</v>
      </c>
      <c r="AI195" s="24">
        <f t="shared" si="26"/>
        <v>0</v>
      </c>
      <c r="AJ195" s="261">
        <f t="shared" si="27"/>
        <v>0</v>
      </c>
      <c r="AK195" s="13"/>
      <c r="AL195" s="100">
        <v>1920</v>
      </c>
      <c r="AM195" s="202"/>
      <c r="AN195" s="200"/>
      <c r="AO195" s="200"/>
      <c r="AP195" s="283">
        <v>4.4939999999999997E-4</v>
      </c>
      <c r="AR195" s="222">
        <v>97.022090748984553</v>
      </c>
      <c r="AS195" s="223">
        <v>96.998168567456972</v>
      </c>
      <c r="AT195" s="223">
        <v>94.173543775352258</v>
      </c>
      <c r="AU195" s="223">
        <v>94.305817274784104</v>
      </c>
      <c r="AV195" s="223">
        <v>98.61</v>
      </c>
      <c r="AW195" s="224">
        <v>97.338000000000008</v>
      </c>
      <c r="AX195" s="42"/>
      <c r="AY195" s="181"/>
      <c r="AZ195" s="197"/>
    </row>
    <row r="196" spans="12:52" ht="13" thickBot="1" x14ac:dyDescent="0.3">
      <c r="L196" s="55">
        <v>1915</v>
      </c>
      <c r="M196" s="274">
        <f t="shared" si="33"/>
        <v>0</v>
      </c>
      <c r="N196" s="275">
        <f t="shared" si="33"/>
        <v>0</v>
      </c>
      <c r="O196" s="276" t="e">
        <f ca="1"/>
        <v>#N/A</v>
      </c>
      <c r="Q196" s="34">
        <v>0</v>
      </c>
      <c r="R196" s="24">
        <v>0</v>
      </c>
      <c r="S196" s="24">
        <v>0</v>
      </c>
      <c r="T196" s="24">
        <v>0</v>
      </c>
      <c r="U196" s="24">
        <f t="array" ref="U196">IF(U$77&gt;" ",(U$628:U$1078),"")</f>
        <v>0</v>
      </c>
      <c r="V196" s="24">
        <f t="array" ref="V196">IF(V$77&gt;" ",(V$628:V$1078),"")</f>
        <v>0</v>
      </c>
      <c r="W196" s="24">
        <f t="array" ref="W196">IF(W$77&gt;" ",(W$628:W$1078),"")</f>
        <v>0</v>
      </c>
      <c r="X196" s="24">
        <f t="array" ref="X196">IF(X$77&gt;" ",(X$628:X$1078),"")</f>
        <v>0</v>
      </c>
      <c r="Y196" s="21">
        <v>0</v>
      </c>
      <c r="Z196" s="34">
        <f t="shared" si="22"/>
        <v>0</v>
      </c>
      <c r="AA196" s="24">
        <f t="shared" si="23"/>
        <v>0</v>
      </c>
      <c r="AB196" s="24">
        <f t="shared" si="24"/>
        <v>0</v>
      </c>
      <c r="AC196" s="24">
        <f t="shared" si="25"/>
        <v>0</v>
      </c>
      <c r="AD196" s="24">
        <f t="shared" si="30"/>
        <v>0</v>
      </c>
      <c r="AE196" s="24">
        <f t="shared" si="30"/>
        <v>0</v>
      </c>
      <c r="AF196" s="24">
        <f t="shared" si="30"/>
        <v>0</v>
      </c>
      <c r="AG196" s="24">
        <f t="shared" si="28"/>
        <v>0</v>
      </c>
      <c r="AH196" s="24">
        <f t="shared" si="32"/>
        <v>0</v>
      </c>
      <c r="AI196" s="24">
        <f t="shared" si="26"/>
        <v>0</v>
      </c>
      <c r="AJ196" s="261">
        <f t="shared" si="27"/>
        <v>0</v>
      </c>
      <c r="AK196" s="13"/>
      <c r="AL196" s="100">
        <v>1915</v>
      </c>
      <c r="AM196" s="202"/>
      <c r="AN196" s="200"/>
      <c r="AO196" s="200"/>
      <c r="AP196" s="284">
        <v>1.9890000000000001E-5</v>
      </c>
      <c r="AR196" s="222">
        <v>97.031626639714432</v>
      </c>
      <c r="AS196" s="223">
        <v>97.005251059786175</v>
      </c>
      <c r="AT196" s="223">
        <v>94.188966305366151</v>
      </c>
      <c r="AU196" s="223">
        <v>94.321137666377069</v>
      </c>
      <c r="AV196" s="223">
        <v>98.603999999999999</v>
      </c>
      <c r="AW196" s="224">
        <v>97.335999999999999</v>
      </c>
      <c r="AX196" s="42"/>
      <c r="AY196" s="181"/>
      <c r="AZ196" s="197"/>
    </row>
    <row r="197" spans="12:52" ht="13" thickBot="1" x14ac:dyDescent="0.3">
      <c r="L197" s="55">
        <v>1910</v>
      </c>
      <c r="M197" s="274">
        <f t="shared" si="33"/>
        <v>0</v>
      </c>
      <c r="N197" s="275">
        <f t="shared" si="33"/>
        <v>0</v>
      </c>
      <c r="O197" s="276" t="e">
        <f ca="1"/>
        <v>#N/A</v>
      </c>
      <c r="Q197" s="34">
        <v>0</v>
      </c>
      <c r="R197" s="24">
        <v>0</v>
      </c>
      <c r="S197" s="24">
        <v>0</v>
      </c>
      <c r="T197" s="24">
        <v>0</v>
      </c>
      <c r="U197" s="24">
        <f t="array" ref="U197">IF(U$77&gt;" ",(U$628:U$1078),"")</f>
        <v>0</v>
      </c>
      <c r="V197" s="24">
        <f t="array" ref="V197">IF(V$77&gt;" ",(V$628:V$1078),"")</f>
        <v>0</v>
      </c>
      <c r="W197" s="24">
        <f t="array" ref="W197">IF(W$77&gt;" ",(W$628:W$1078),"")</f>
        <v>0</v>
      </c>
      <c r="X197" s="24">
        <f t="array" ref="X197">IF(X$77&gt;" ",(X$628:X$1078),"")</f>
        <v>0</v>
      </c>
      <c r="Y197" s="21">
        <v>0</v>
      </c>
      <c r="Z197" s="34">
        <f t="shared" si="22"/>
        <v>0</v>
      </c>
      <c r="AA197" s="24">
        <f t="shared" si="23"/>
        <v>0</v>
      </c>
      <c r="AB197" s="24">
        <f t="shared" si="24"/>
        <v>0</v>
      </c>
      <c r="AC197" s="24">
        <f t="shared" si="25"/>
        <v>0</v>
      </c>
      <c r="AD197" s="24">
        <f t="shared" si="30"/>
        <v>0</v>
      </c>
      <c r="AE197" s="24">
        <f t="shared" si="30"/>
        <v>0</v>
      </c>
      <c r="AF197" s="24">
        <f t="shared" si="30"/>
        <v>0</v>
      </c>
      <c r="AG197" s="24">
        <f t="shared" si="28"/>
        <v>0</v>
      </c>
      <c r="AH197" s="24">
        <f t="shared" si="32"/>
        <v>0</v>
      </c>
      <c r="AI197" s="24">
        <f t="shared" si="26"/>
        <v>0</v>
      </c>
      <c r="AJ197" s="261">
        <f t="shared" si="27"/>
        <v>0</v>
      </c>
      <c r="AK197" s="13"/>
      <c r="AL197" s="100">
        <v>1910</v>
      </c>
      <c r="AM197" s="202"/>
      <c r="AN197" s="200"/>
      <c r="AO197" s="200"/>
      <c r="AP197" s="283">
        <v>2.298E-5</v>
      </c>
      <c r="AR197" s="222">
        <v>97.035990788407616</v>
      </c>
      <c r="AS197" s="223">
        <v>97.028549708972719</v>
      </c>
      <c r="AT197" s="223">
        <v>94.228581892591919</v>
      </c>
      <c r="AU197" s="223">
        <v>94.367508114962519</v>
      </c>
      <c r="AV197" s="223">
        <v>98.597999999999999</v>
      </c>
      <c r="AW197" s="224">
        <v>97.334000000000003</v>
      </c>
      <c r="AX197" s="42"/>
      <c r="AY197" s="181"/>
      <c r="AZ197" s="197"/>
    </row>
    <row r="198" spans="12:52" ht="13" thickBot="1" x14ac:dyDescent="0.3">
      <c r="L198" s="55">
        <v>1905</v>
      </c>
      <c r="M198" s="274">
        <f t="shared" si="33"/>
        <v>0</v>
      </c>
      <c r="N198" s="275">
        <f t="shared" si="33"/>
        <v>0</v>
      </c>
      <c r="O198" s="276" t="e">
        <f ca="1"/>
        <v>#N/A</v>
      </c>
      <c r="Q198" s="34">
        <v>0</v>
      </c>
      <c r="R198" s="24">
        <v>0</v>
      </c>
      <c r="S198" s="24">
        <v>0</v>
      </c>
      <c r="T198" s="24">
        <v>0</v>
      </c>
      <c r="U198" s="24">
        <f t="array" ref="U198">IF(U$77&gt;" ",(U$628:U$1078),"")</f>
        <v>0</v>
      </c>
      <c r="V198" s="24">
        <f t="array" ref="V198">IF(V$77&gt;" ",(V$628:V$1078),"")</f>
        <v>0</v>
      </c>
      <c r="W198" s="24">
        <f t="array" ref="W198">IF(W$77&gt;" ",(W$628:W$1078),"")</f>
        <v>0</v>
      </c>
      <c r="X198" s="24">
        <f t="array" ref="X198">IF(X$77&gt;" ",(X$628:X$1078),"")</f>
        <v>0</v>
      </c>
      <c r="Y198" s="21">
        <v>0</v>
      </c>
      <c r="Z198" s="34">
        <f t="shared" si="22"/>
        <v>0</v>
      </c>
      <c r="AA198" s="24">
        <f t="shared" si="23"/>
        <v>0</v>
      </c>
      <c r="AB198" s="24">
        <f t="shared" si="24"/>
        <v>0</v>
      </c>
      <c r="AC198" s="24">
        <f t="shared" si="25"/>
        <v>0</v>
      </c>
      <c r="AD198" s="24">
        <f t="shared" si="30"/>
        <v>0</v>
      </c>
      <c r="AE198" s="24">
        <f t="shared" si="30"/>
        <v>0</v>
      </c>
      <c r="AF198" s="24">
        <f t="shared" si="30"/>
        <v>0</v>
      </c>
      <c r="AG198" s="24">
        <f t="shared" si="28"/>
        <v>0</v>
      </c>
      <c r="AH198" s="24">
        <f t="shared" si="32"/>
        <v>0</v>
      </c>
      <c r="AI198" s="24">
        <f t="shared" si="26"/>
        <v>0</v>
      </c>
      <c r="AJ198" s="261">
        <f t="shared" si="27"/>
        <v>0</v>
      </c>
      <c r="AK198" s="13"/>
      <c r="AL198" s="100">
        <v>1905</v>
      </c>
      <c r="AM198" s="202"/>
      <c r="AN198" s="200"/>
      <c r="AO198" s="200"/>
      <c r="AP198" s="284">
        <v>5.6499999999999999E-7</v>
      </c>
      <c r="AR198" s="222">
        <v>97.03258071209963</v>
      </c>
      <c r="AS198" s="223">
        <v>97.037184658580074</v>
      </c>
      <c r="AT198" s="223">
        <v>94.264188497195434</v>
      </c>
      <c r="AU198" s="223">
        <v>94.399993692166959</v>
      </c>
      <c r="AV198" s="223">
        <v>98.595500000000001</v>
      </c>
      <c r="AW198" s="224">
        <v>97.331000000000003</v>
      </c>
      <c r="AX198" s="42"/>
      <c r="AY198" s="181"/>
      <c r="AZ198" s="197"/>
    </row>
    <row r="199" spans="12:52" ht="13" thickBot="1" x14ac:dyDescent="0.3">
      <c r="L199" s="55">
        <v>1900</v>
      </c>
      <c r="M199" s="274">
        <f t="shared" si="33"/>
        <v>0</v>
      </c>
      <c r="N199" s="275">
        <f t="shared" si="33"/>
        <v>0</v>
      </c>
      <c r="O199" s="276" t="e">
        <f ca="1"/>
        <v>#N/A</v>
      </c>
      <c r="Q199" s="34">
        <v>0</v>
      </c>
      <c r="R199" s="24">
        <v>0</v>
      </c>
      <c r="S199" s="24">
        <v>0</v>
      </c>
      <c r="T199" s="24">
        <v>0</v>
      </c>
      <c r="U199" s="24">
        <f t="array" ref="U199">IF(U$77&gt;" ",(U$628:U$1078),"")</f>
        <v>0</v>
      </c>
      <c r="V199" s="24">
        <f t="array" ref="V199">IF(V$77&gt;" ",(V$628:V$1078),"")</f>
        <v>0</v>
      </c>
      <c r="W199" s="24">
        <f t="array" ref="W199">IF(W$77&gt;" ",(W$628:W$1078),"")</f>
        <v>0</v>
      </c>
      <c r="X199" s="24">
        <f t="array" ref="X199">IF(X$77&gt;" ",(X$628:X$1078),"")</f>
        <v>0</v>
      </c>
      <c r="Y199" s="21">
        <v>0</v>
      </c>
      <c r="Z199" s="34">
        <f t="shared" si="22"/>
        <v>0</v>
      </c>
      <c r="AA199" s="24">
        <f t="shared" si="23"/>
        <v>0</v>
      </c>
      <c r="AB199" s="24">
        <f t="shared" si="24"/>
        <v>0</v>
      </c>
      <c r="AC199" s="24">
        <f t="shared" si="25"/>
        <v>0</v>
      </c>
      <c r="AD199" s="24">
        <f t="shared" si="30"/>
        <v>0</v>
      </c>
      <c r="AE199" s="24">
        <f t="shared" si="30"/>
        <v>0</v>
      </c>
      <c r="AF199" s="24">
        <f t="shared" si="30"/>
        <v>0</v>
      </c>
      <c r="AG199" s="24">
        <f t="shared" si="28"/>
        <v>0</v>
      </c>
      <c r="AH199" s="24">
        <f t="shared" si="32"/>
        <v>0</v>
      </c>
      <c r="AI199" s="24">
        <f t="shared" si="26"/>
        <v>0</v>
      </c>
      <c r="AJ199" s="261">
        <f t="shared" si="27"/>
        <v>0</v>
      </c>
      <c r="AK199" s="13"/>
      <c r="AL199" s="100">
        <v>1900</v>
      </c>
      <c r="AM199" s="202"/>
      <c r="AN199" s="200"/>
      <c r="AO199" s="200"/>
      <c r="AP199" s="283">
        <v>8.597E-7</v>
      </c>
      <c r="AR199" s="222">
        <v>97.043907421296737</v>
      </c>
      <c r="AS199" s="223">
        <v>97.04924411601246</v>
      </c>
      <c r="AT199" s="223">
        <v>94.28620386178595</v>
      </c>
      <c r="AU199" s="223">
        <v>94.41934418764076</v>
      </c>
      <c r="AV199" s="223">
        <v>98.593000000000004</v>
      </c>
      <c r="AW199" s="224">
        <v>97.328000000000003</v>
      </c>
      <c r="AX199" s="42"/>
      <c r="AY199" s="181"/>
      <c r="AZ199" s="197"/>
    </row>
    <row r="200" spans="12:52" ht="13" thickBot="1" x14ac:dyDescent="0.3">
      <c r="L200" s="55">
        <v>1895</v>
      </c>
      <c r="M200" s="274">
        <f t="shared" si="33"/>
        <v>0</v>
      </c>
      <c r="N200" s="275">
        <f t="shared" si="33"/>
        <v>0</v>
      </c>
      <c r="O200" s="276" t="e">
        <f ca="1"/>
        <v>#N/A</v>
      </c>
      <c r="Q200" s="34">
        <v>0</v>
      </c>
      <c r="R200" s="24">
        <v>0</v>
      </c>
      <c r="S200" s="24">
        <v>0</v>
      </c>
      <c r="T200" s="24">
        <v>0</v>
      </c>
      <c r="U200" s="24">
        <f t="array" ref="U200">IF(U$77&gt;" ",(U$628:U$1078),"")</f>
        <v>0</v>
      </c>
      <c r="V200" s="24">
        <f t="array" ref="V200">IF(V$77&gt;" ",(V$628:V$1078),"")</f>
        <v>0</v>
      </c>
      <c r="W200" s="24">
        <f t="array" ref="W200">IF(W$77&gt;" ",(W$628:W$1078),"")</f>
        <v>0</v>
      </c>
      <c r="X200" s="24">
        <f t="array" ref="X200">IF(X$77&gt;" ",(X$628:X$1078),"")</f>
        <v>0</v>
      </c>
      <c r="Y200" s="21">
        <v>0</v>
      </c>
      <c r="Z200" s="34">
        <f t="shared" si="22"/>
        <v>0</v>
      </c>
      <c r="AA200" s="24">
        <f t="shared" si="23"/>
        <v>0</v>
      </c>
      <c r="AB200" s="24">
        <f t="shared" si="24"/>
        <v>0</v>
      </c>
      <c r="AC200" s="24">
        <f t="shared" si="25"/>
        <v>0</v>
      </c>
      <c r="AD200" s="24">
        <f t="shared" si="30"/>
        <v>0</v>
      </c>
      <c r="AE200" s="24">
        <f t="shared" si="30"/>
        <v>0</v>
      </c>
      <c r="AF200" s="24">
        <f t="shared" si="30"/>
        <v>0</v>
      </c>
      <c r="AG200" s="24">
        <f t="shared" si="28"/>
        <v>0</v>
      </c>
      <c r="AH200" s="24">
        <f t="shared" si="32"/>
        <v>0</v>
      </c>
      <c r="AI200" s="24">
        <f t="shared" si="26"/>
        <v>0</v>
      </c>
      <c r="AJ200" s="261">
        <f t="shared" si="27"/>
        <v>0</v>
      </c>
      <c r="AK200" s="13"/>
      <c r="AL200" s="100">
        <v>1895</v>
      </c>
      <c r="AM200" s="202"/>
      <c r="AN200" s="200"/>
      <c r="AO200" s="200"/>
      <c r="AP200" s="284">
        <v>1.2909999999999999E-4</v>
      </c>
      <c r="AR200" s="222">
        <v>97.053257316190766</v>
      </c>
      <c r="AS200" s="223">
        <v>97.06155736515359</v>
      </c>
      <c r="AT200" s="223">
        <v>94.328780882975551</v>
      </c>
      <c r="AU200" s="223">
        <v>94.467540677305536</v>
      </c>
      <c r="AV200" s="223">
        <v>98.598500000000001</v>
      </c>
      <c r="AW200" s="224">
        <v>97.325000000000003</v>
      </c>
      <c r="AX200" s="42"/>
      <c r="AY200" s="181"/>
      <c r="AZ200" s="197"/>
    </row>
    <row r="201" spans="12:52" ht="13" thickBot="1" x14ac:dyDescent="0.3">
      <c r="L201" s="55">
        <v>1890</v>
      </c>
      <c r="M201" s="274">
        <f t="shared" si="33"/>
        <v>0</v>
      </c>
      <c r="N201" s="275">
        <f t="shared" si="33"/>
        <v>0</v>
      </c>
      <c r="O201" s="276" t="e">
        <f ca="1"/>
        <v>#N/A</v>
      </c>
      <c r="Q201" s="34">
        <v>0</v>
      </c>
      <c r="R201" s="24">
        <v>0</v>
      </c>
      <c r="S201" s="24">
        <v>0</v>
      </c>
      <c r="T201" s="24">
        <v>0</v>
      </c>
      <c r="U201" s="24">
        <f t="array" ref="U201">IF(U$77&gt;" ",(U$628:U$1078),"")</f>
        <v>0</v>
      </c>
      <c r="V201" s="24">
        <f t="array" ref="V201">IF(V$77&gt;" ",(V$628:V$1078),"")</f>
        <v>0</v>
      </c>
      <c r="W201" s="24">
        <f t="array" ref="W201">IF(W$77&gt;" ",(W$628:W$1078),"")</f>
        <v>0</v>
      </c>
      <c r="X201" s="24">
        <f t="array" ref="X201">IF(X$77&gt;" ",(X$628:X$1078),"")</f>
        <v>0</v>
      </c>
      <c r="Y201" s="21">
        <v>0</v>
      </c>
      <c r="Z201" s="34">
        <f t="shared" si="22"/>
        <v>0</v>
      </c>
      <c r="AA201" s="24">
        <f t="shared" si="23"/>
        <v>0</v>
      </c>
      <c r="AB201" s="24">
        <f t="shared" si="24"/>
        <v>0</v>
      </c>
      <c r="AC201" s="24">
        <f t="shared" si="25"/>
        <v>0</v>
      </c>
      <c r="AD201" s="24">
        <f t="shared" si="30"/>
        <v>0</v>
      </c>
      <c r="AE201" s="24">
        <f t="shared" si="30"/>
        <v>0</v>
      </c>
      <c r="AF201" s="24">
        <f t="shared" si="30"/>
        <v>0</v>
      </c>
      <c r="AG201" s="24">
        <f t="shared" si="28"/>
        <v>0</v>
      </c>
      <c r="AH201" s="24">
        <f t="shared" si="32"/>
        <v>0</v>
      </c>
      <c r="AI201" s="24">
        <f t="shared" si="26"/>
        <v>0</v>
      </c>
      <c r="AJ201" s="261">
        <f t="shared" si="27"/>
        <v>0</v>
      </c>
      <c r="AK201" s="13"/>
      <c r="AL201" s="100">
        <v>1890</v>
      </c>
      <c r="AM201" s="202"/>
      <c r="AN201" s="200"/>
      <c r="AO201" s="200"/>
      <c r="AP201" s="283">
        <v>2.2269999999999999E-4</v>
      </c>
      <c r="AR201" s="222">
        <v>97.058327053395388</v>
      </c>
      <c r="AS201" s="223">
        <v>97.062269446725395</v>
      </c>
      <c r="AT201" s="223">
        <v>94.361447522367669</v>
      </c>
      <c r="AU201" s="223">
        <v>94.508099679353549</v>
      </c>
      <c r="AV201" s="223">
        <v>98.603999999999999</v>
      </c>
      <c r="AW201" s="224">
        <v>97.322000000000003</v>
      </c>
      <c r="AX201" s="42"/>
      <c r="AY201" s="181"/>
      <c r="AZ201" s="197"/>
    </row>
    <row r="202" spans="12:52" ht="13" thickBot="1" x14ac:dyDescent="0.3">
      <c r="L202" s="55">
        <v>1885</v>
      </c>
      <c r="M202" s="274">
        <f t="shared" si="33"/>
        <v>0</v>
      </c>
      <c r="N202" s="275">
        <f t="shared" si="33"/>
        <v>0</v>
      </c>
      <c r="O202" s="276" t="e">
        <f ca="1"/>
        <v>#N/A</v>
      </c>
      <c r="Q202" s="34">
        <v>0</v>
      </c>
      <c r="R202" s="24">
        <v>0</v>
      </c>
      <c r="S202" s="24">
        <v>0</v>
      </c>
      <c r="T202" s="24">
        <v>0</v>
      </c>
      <c r="U202" s="24">
        <f t="array" ref="U202">IF(U$77&gt;" ",(U$628:U$1078),"")</f>
        <v>0</v>
      </c>
      <c r="V202" s="24">
        <f t="array" ref="V202">IF(V$77&gt;" ",(V$628:V$1078),"")</f>
        <v>0</v>
      </c>
      <c r="W202" s="24">
        <f t="array" ref="W202">IF(W$77&gt;" ",(W$628:W$1078),"")</f>
        <v>0</v>
      </c>
      <c r="X202" s="24">
        <f t="array" ref="X202">IF(X$77&gt;" ",(X$628:X$1078),"")</f>
        <v>0</v>
      </c>
      <c r="Y202" s="21">
        <v>0</v>
      </c>
      <c r="Z202" s="34">
        <f t="shared" si="22"/>
        <v>0</v>
      </c>
      <c r="AA202" s="24">
        <f t="shared" si="23"/>
        <v>0</v>
      </c>
      <c r="AB202" s="24">
        <f t="shared" si="24"/>
        <v>0</v>
      </c>
      <c r="AC202" s="24">
        <f t="shared" si="25"/>
        <v>0</v>
      </c>
      <c r="AD202" s="24">
        <f t="shared" si="30"/>
        <v>0</v>
      </c>
      <c r="AE202" s="24">
        <f t="shared" si="30"/>
        <v>0</v>
      </c>
      <c r="AF202" s="24">
        <f t="shared" si="30"/>
        <v>0</v>
      </c>
      <c r="AG202" s="24">
        <f t="shared" si="28"/>
        <v>0</v>
      </c>
      <c r="AH202" s="24">
        <f t="shared" si="32"/>
        <v>0</v>
      </c>
      <c r="AI202" s="24">
        <f t="shared" si="26"/>
        <v>0</v>
      </c>
      <c r="AJ202" s="261">
        <f t="shared" si="27"/>
        <v>0</v>
      </c>
      <c r="AK202" s="13"/>
      <c r="AL202" s="100">
        <v>1885</v>
      </c>
      <c r="AM202" s="202"/>
      <c r="AN202" s="200"/>
      <c r="AO202" s="200"/>
      <c r="AP202" s="284">
        <v>4.3760000000000001E-5</v>
      </c>
      <c r="AR202" s="222">
        <v>97.077184828749637</v>
      </c>
      <c r="AS202" s="223">
        <v>97.069974492882508</v>
      </c>
      <c r="AT202" s="223">
        <v>94.400625363359723</v>
      </c>
      <c r="AU202" s="223">
        <v>94.544258886099442</v>
      </c>
      <c r="AV202" s="223">
        <v>98.606499999999997</v>
      </c>
      <c r="AW202" s="224">
        <v>97.319500000000005</v>
      </c>
      <c r="AX202" s="42"/>
      <c r="AY202" s="181"/>
      <c r="AZ202" s="197"/>
    </row>
    <row r="203" spans="12:52" ht="13" thickBot="1" x14ac:dyDescent="0.3">
      <c r="L203" s="55">
        <v>1880</v>
      </c>
      <c r="M203" s="274">
        <f t="shared" si="33"/>
        <v>0</v>
      </c>
      <c r="N203" s="275">
        <f t="shared" si="33"/>
        <v>0</v>
      </c>
      <c r="O203" s="276" t="e">
        <f ca="1"/>
        <v>#N/A</v>
      </c>
      <c r="Q203" s="34">
        <v>0</v>
      </c>
      <c r="R203" s="24">
        <v>0</v>
      </c>
      <c r="S203" s="24">
        <v>0</v>
      </c>
      <c r="T203" s="24">
        <v>0</v>
      </c>
      <c r="U203" s="24">
        <f t="array" ref="U203">IF(U$77&gt;" ",(U$628:U$1078),"")</f>
        <v>0</v>
      </c>
      <c r="V203" s="24">
        <f t="array" ref="V203">IF(V$77&gt;" ",(V$628:V$1078),"")</f>
        <v>0</v>
      </c>
      <c r="W203" s="24">
        <f t="array" ref="W203">IF(W$77&gt;" ",(W$628:W$1078),"")</f>
        <v>0</v>
      </c>
      <c r="X203" s="24">
        <f t="array" ref="X203">IF(X$77&gt;" ",(X$628:X$1078),"")</f>
        <v>0</v>
      </c>
      <c r="Y203" s="21">
        <v>0</v>
      </c>
      <c r="Z203" s="34">
        <f t="shared" si="22"/>
        <v>0</v>
      </c>
      <c r="AA203" s="24">
        <f t="shared" si="23"/>
        <v>0</v>
      </c>
      <c r="AB203" s="24">
        <f t="shared" si="24"/>
        <v>0</v>
      </c>
      <c r="AC203" s="24">
        <f t="shared" si="25"/>
        <v>0</v>
      </c>
      <c r="AD203" s="24">
        <f t="shared" si="30"/>
        <v>0</v>
      </c>
      <c r="AE203" s="24">
        <f t="shared" si="30"/>
        <v>0</v>
      </c>
      <c r="AF203" s="24">
        <f t="shared" si="30"/>
        <v>0</v>
      </c>
      <c r="AG203" s="24">
        <f t="shared" si="28"/>
        <v>0</v>
      </c>
      <c r="AH203" s="24">
        <f t="shared" si="32"/>
        <v>0</v>
      </c>
      <c r="AI203" s="24">
        <f t="shared" si="26"/>
        <v>0</v>
      </c>
      <c r="AJ203" s="261">
        <f t="shared" si="27"/>
        <v>0</v>
      </c>
      <c r="AK203" s="13"/>
      <c r="AL203" s="100">
        <v>1880</v>
      </c>
      <c r="AM203" s="202"/>
      <c r="AN203" s="200"/>
      <c r="AO203" s="200"/>
      <c r="AP203" s="283">
        <v>7.7280000000000005E-5</v>
      </c>
      <c r="AR203" s="222">
        <v>97.098826255707763</v>
      </c>
      <c r="AS203" s="223">
        <v>97.087693398222939</v>
      </c>
      <c r="AT203" s="223">
        <v>94.433092709705079</v>
      </c>
      <c r="AU203" s="223">
        <v>94.578598539821883</v>
      </c>
      <c r="AV203" s="223">
        <v>98.609000000000009</v>
      </c>
      <c r="AW203" s="224">
        <v>97.316999999999993</v>
      </c>
      <c r="AX203" s="42"/>
      <c r="AY203" s="181"/>
      <c r="AZ203" s="197"/>
    </row>
    <row r="204" spans="12:52" ht="13" thickBot="1" x14ac:dyDescent="0.3">
      <c r="L204" s="55">
        <v>1875</v>
      </c>
      <c r="M204" s="274">
        <f t="shared" si="33"/>
        <v>0</v>
      </c>
      <c r="N204" s="275">
        <f t="shared" si="33"/>
        <v>0</v>
      </c>
      <c r="O204" s="276" t="e">
        <f ca="1"/>
        <v>#N/A</v>
      </c>
      <c r="Q204" s="34">
        <v>0</v>
      </c>
      <c r="R204" s="24">
        <v>0</v>
      </c>
      <c r="S204" s="24">
        <v>0</v>
      </c>
      <c r="T204" s="24">
        <v>0</v>
      </c>
      <c r="U204" s="24">
        <f t="array" ref="U204">IF(U$77&gt;" ",(U$628:U$1078),"")</f>
        <v>0</v>
      </c>
      <c r="V204" s="24">
        <f t="array" ref="V204">IF(V$77&gt;" ",(V$628:V$1078),"")</f>
        <v>0</v>
      </c>
      <c r="W204" s="24">
        <f t="array" ref="W204">IF(W$77&gt;" ",(W$628:W$1078),"")</f>
        <v>0</v>
      </c>
      <c r="X204" s="24">
        <f t="array" ref="X204">IF(X$77&gt;" ",(X$628:X$1078),"")</f>
        <v>0</v>
      </c>
      <c r="Y204" s="21">
        <v>0</v>
      </c>
      <c r="Z204" s="34">
        <f t="shared" si="22"/>
        <v>0</v>
      </c>
      <c r="AA204" s="24">
        <f t="shared" si="23"/>
        <v>0</v>
      </c>
      <c r="AB204" s="24">
        <f t="shared" si="24"/>
        <v>0</v>
      </c>
      <c r="AC204" s="24">
        <f t="shared" si="25"/>
        <v>0</v>
      </c>
      <c r="AD204" s="24">
        <f t="shared" si="30"/>
        <v>0</v>
      </c>
      <c r="AE204" s="24">
        <f t="shared" si="30"/>
        <v>0</v>
      </c>
      <c r="AF204" s="24">
        <f t="shared" si="30"/>
        <v>0</v>
      </c>
      <c r="AG204" s="24">
        <f t="shared" si="28"/>
        <v>0</v>
      </c>
      <c r="AH204" s="24">
        <f t="shared" si="32"/>
        <v>0</v>
      </c>
      <c r="AI204" s="24">
        <f t="shared" si="26"/>
        <v>0</v>
      </c>
      <c r="AJ204" s="261">
        <f t="shared" si="27"/>
        <v>0</v>
      </c>
      <c r="AK204" s="13"/>
      <c r="AL204" s="100">
        <v>1875</v>
      </c>
      <c r="AM204" s="202"/>
      <c r="AN204" s="200"/>
      <c r="AO204" s="200"/>
      <c r="AP204" s="284">
        <v>4.5E-10</v>
      </c>
      <c r="AR204" s="222">
        <v>97.121449459972212</v>
      </c>
      <c r="AS204" s="223">
        <v>97.100919946663893</v>
      </c>
      <c r="AT204" s="223">
        <v>94.443851356721268</v>
      </c>
      <c r="AU204" s="223">
        <v>94.595623049940102</v>
      </c>
      <c r="AV204" s="223">
        <v>98.605000000000004</v>
      </c>
      <c r="AW204" s="224">
        <v>97.314000000000007</v>
      </c>
      <c r="AX204" s="42"/>
      <c r="AY204" s="181"/>
      <c r="AZ204" s="197"/>
    </row>
    <row r="205" spans="12:52" ht="13" thickBot="1" x14ac:dyDescent="0.3">
      <c r="L205" s="55">
        <v>1870</v>
      </c>
      <c r="M205" s="274">
        <f t="shared" si="33"/>
        <v>0</v>
      </c>
      <c r="N205" s="275">
        <f t="shared" si="33"/>
        <v>0</v>
      </c>
      <c r="O205" s="276" t="e">
        <f ca="1"/>
        <v>#N/A</v>
      </c>
      <c r="Q205" s="34">
        <v>0</v>
      </c>
      <c r="R205" s="24">
        <v>0</v>
      </c>
      <c r="S205" s="24">
        <v>0</v>
      </c>
      <c r="T205" s="24">
        <v>0</v>
      </c>
      <c r="U205" s="24">
        <f t="array" ref="U205">IF(U$77&gt;" ",(U$628:U$1078),"")</f>
        <v>0</v>
      </c>
      <c r="V205" s="24">
        <f t="array" ref="V205">IF(V$77&gt;" ",(V$628:V$1078),"")</f>
        <v>0</v>
      </c>
      <c r="W205" s="24">
        <f t="array" ref="W205">IF(W$77&gt;" ",(W$628:W$1078),"")</f>
        <v>0</v>
      </c>
      <c r="X205" s="24">
        <f t="array" ref="X205">IF(X$77&gt;" ",(X$628:X$1078),"")</f>
        <v>0</v>
      </c>
      <c r="Y205" s="21">
        <v>0</v>
      </c>
      <c r="Z205" s="34">
        <f t="shared" si="22"/>
        <v>0</v>
      </c>
      <c r="AA205" s="24">
        <f t="shared" si="23"/>
        <v>0</v>
      </c>
      <c r="AB205" s="24">
        <f t="shared" si="24"/>
        <v>0</v>
      </c>
      <c r="AC205" s="24">
        <f t="shared" si="25"/>
        <v>0</v>
      </c>
      <c r="AD205" s="24">
        <f t="shared" si="30"/>
        <v>0</v>
      </c>
      <c r="AE205" s="24">
        <f t="shared" si="30"/>
        <v>0</v>
      </c>
      <c r="AF205" s="24">
        <f t="shared" si="30"/>
        <v>0</v>
      </c>
      <c r="AG205" s="24">
        <f t="shared" si="28"/>
        <v>0</v>
      </c>
      <c r="AH205" s="24">
        <f t="shared" si="32"/>
        <v>0</v>
      </c>
      <c r="AI205" s="24">
        <f t="shared" si="26"/>
        <v>0</v>
      </c>
      <c r="AJ205" s="261">
        <f t="shared" si="27"/>
        <v>0</v>
      </c>
      <c r="AK205" s="13"/>
      <c r="AL205" s="100">
        <v>1870</v>
      </c>
      <c r="AM205" s="202"/>
      <c r="AN205" s="200"/>
      <c r="AO205" s="200"/>
      <c r="AP205" s="283">
        <v>2.658E-10</v>
      </c>
      <c r="AR205" s="222">
        <v>97.122860058974311</v>
      </c>
      <c r="AS205" s="223">
        <v>97.115644255872098</v>
      </c>
      <c r="AT205" s="223">
        <v>94.474338632018089</v>
      </c>
      <c r="AU205" s="223">
        <v>94.622112247047525</v>
      </c>
      <c r="AV205" s="223">
        <v>98.600999999999999</v>
      </c>
      <c r="AW205" s="224">
        <v>97.311000000000007</v>
      </c>
      <c r="AX205" s="42"/>
      <c r="AY205" s="181"/>
      <c r="AZ205" s="197"/>
    </row>
    <row r="206" spans="12:52" ht="13" thickBot="1" x14ac:dyDescent="0.3">
      <c r="L206" s="55">
        <v>1865</v>
      </c>
      <c r="M206" s="274">
        <f t="shared" si="33"/>
        <v>0</v>
      </c>
      <c r="N206" s="275">
        <f t="shared" si="33"/>
        <v>0</v>
      </c>
      <c r="O206" s="276" t="e">
        <f ca="1"/>
        <v>#N/A</v>
      </c>
      <c r="Q206" s="34">
        <v>0</v>
      </c>
      <c r="R206" s="24">
        <v>0</v>
      </c>
      <c r="S206" s="24">
        <v>0</v>
      </c>
      <c r="T206" s="24">
        <v>0</v>
      </c>
      <c r="U206" s="24">
        <f t="array" ref="U206">IF(U$77&gt;" ",(U$628:U$1078),"")</f>
        <v>0</v>
      </c>
      <c r="V206" s="24">
        <f t="array" ref="V206">IF(V$77&gt;" ",(V$628:V$1078),"")</f>
        <v>0</v>
      </c>
      <c r="W206" s="24">
        <f t="array" ref="W206">IF(W$77&gt;" ",(W$628:W$1078),"")</f>
        <v>0</v>
      </c>
      <c r="X206" s="24">
        <f t="array" ref="X206">IF(X$77&gt;" ",(X$628:X$1078),"")</f>
        <v>0</v>
      </c>
      <c r="Y206" s="21">
        <v>0</v>
      </c>
      <c r="Z206" s="34">
        <f t="shared" si="22"/>
        <v>0</v>
      </c>
      <c r="AA206" s="24">
        <f t="shared" si="23"/>
        <v>0</v>
      </c>
      <c r="AB206" s="24">
        <f t="shared" si="24"/>
        <v>0</v>
      </c>
      <c r="AC206" s="24">
        <f t="shared" si="25"/>
        <v>0</v>
      </c>
      <c r="AD206" s="24">
        <f t="shared" si="30"/>
        <v>0</v>
      </c>
      <c r="AE206" s="24">
        <f t="shared" si="30"/>
        <v>0</v>
      </c>
      <c r="AF206" s="24">
        <f t="shared" si="30"/>
        <v>0</v>
      </c>
      <c r="AG206" s="24">
        <f t="shared" si="28"/>
        <v>0</v>
      </c>
      <c r="AH206" s="24">
        <f t="shared" si="32"/>
        <v>0</v>
      </c>
      <c r="AI206" s="181">
        <f>AI$205+(((AI$208-AI$205)/($L$208-$L$205))*($L206-$L$205))</f>
        <v>0</v>
      </c>
      <c r="AJ206" s="261">
        <f t="shared" si="27"/>
        <v>0</v>
      </c>
      <c r="AK206" s="181">
        <f>$AI$205+((($AI$208-$AI$205)/($L$208-$L$205))*(L206-$L$205))</f>
        <v>0</v>
      </c>
      <c r="AL206" s="100">
        <v>1865</v>
      </c>
      <c r="AM206" s="202"/>
      <c r="AN206" s="200"/>
      <c r="AO206" s="200"/>
      <c r="AP206" s="284">
        <v>1.6929999999999999E-5</v>
      </c>
      <c r="AR206" s="222">
        <v>97.128499921954969</v>
      </c>
      <c r="AS206" s="223">
        <v>97.114950449551515</v>
      </c>
      <c r="AT206" s="223">
        <v>94.509092991484167</v>
      </c>
      <c r="AU206" s="223">
        <v>94.657280760559871</v>
      </c>
      <c r="AV206" s="223">
        <v>98.598500000000001</v>
      </c>
      <c r="AW206" s="224">
        <v>97.307000000000002</v>
      </c>
      <c r="AX206" s="42"/>
      <c r="AY206" s="181"/>
      <c r="AZ206" s="197"/>
    </row>
    <row r="207" spans="12:52" ht="13" thickBot="1" x14ac:dyDescent="0.3">
      <c r="L207" s="55">
        <v>1860</v>
      </c>
      <c r="M207" s="274">
        <f t="shared" ref="M207:N222" si="34">M756</f>
        <v>0</v>
      </c>
      <c r="N207" s="275">
        <f t="shared" si="34"/>
        <v>0</v>
      </c>
      <c r="O207" s="276" t="e">
        <f ca="1"/>
        <v>#N/A</v>
      </c>
      <c r="Q207" s="34">
        <v>0</v>
      </c>
      <c r="R207" s="24">
        <v>0</v>
      </c>
      <c r="S207" s="24">
        <v>0</v>
      </c>
      <c r="T207" s="24">
        <v>0</v>
      </c>
      <c r="U207" s="24">
        <f t="array" ref="U207">IF(U$77&gt;" ",(U$628:U$1078),"")</f>
        <v>0</v>
      </c>
      <c r="V207" s="24">
        <f t="array" ref="V207">IF(V$77&gt;" ",(V$628:V$1078),"")</f>
        <v>0</v>
      </c>
      <c r="W207" s="24">
        <f t="array" ref="W207">IF(W$77&gt;" ",(W$628:W$1078),"")</f>
        <v>0</v>
      </c>
      <c r="X207" s="24">
        <f t="array" ref="X207">IF(X$77&gt;" ",(X$628:X$1078),"")</f>
        <v>0</v>
      </c>
      <c r="Y207" s="21">
        <v>0</v>
      </c>
      <c r="Z207" s="34">
        <f t="shared" ref="Z207:Z270" si="35">Q207</f>
        <v>0</v>
      </c>
      <c r="AA207" s="24">
        <f t="shared" ref="AA207:AA270" si="36">R207</f>
        <v>0</v>
      </c>
      <c r="AB207" s="24">
        <f t="shared" ref="AB207:AB270" si="37">S207</f>
        <v>0</v>
      </c>
      <c r="AC207" s="24">
        <f t="shared" ref="AC207:AC270" si="38">T207</f>
        <v>0</v>
      </c>
      <c r="AD207" s="24">
        <f t="shared" si="30"/>
        <v>0</v>
      </c>
      <c r="AE207" s="24">
        <f t="shared" si="30"/>
        <v>0</v>
      </c>
      <c r="AF207" s="24">
        <f t="shared" si="30"/>
        <v>0</v>
      </c>
      <c r="AG207" s="24">
        <f t="shared" si="28"/>
        <v>0</v>
      </c>
      <c r="AH207" s="24">
        <f t="shared" si="32"/>
        <v>0</v>
      </c>
      <c r="AI207" s="181">
        <f>AI$205+(((AI$208-AI$205)/($L$208-$L$205))*($L207-$L$205))</f>
        <v>0</v>
      </c>
      <c r="AJ207" s="261">
        <f t="shared" si="27"/>
        <v>0</v>
      </c>
      <c r="AK207" s="181">
        <f>$AI$205+((($AI$208-$AI$205)/($L$208-$L$205))*(L207-$L$205))</f>
        <v>0</v>
      </c>
      <c r="AL207" s="100">
        <v>1860</v>
      </c>
      <c r="AM207" s="202"/>
      <c r="AN207" s="200"/>
      <c r="AO207" s="200"/>
      <c r="AP207" s="283">
        <v>1.112E-5</v>
      </c>
      <c r="AR207" s="222">
        <v>97.134139784935613</v>
      </c>
      <c r="AS207" s="223">
        <v>97.114256643230945</v>
      </c>
      <c r="AT207" s="223">
        <v>94.54384735095023</v>
      </c>
      <c r="AU207" s="223">
        <v>94.692449274072217</v>
      </c>
      <c r="AV207" s="223">
        <v>98.595999999999989</v>
      </c>
      <c r="AW207" s="224">
        <v>97.302999999999997</v>
      </c>
      <c r="AX207" s="42"/>
      <c r="AY207" s="181"/>
      <c r="AZ207" s="197"/>
    </row>
    <row r="208" spans="12:52" ht="13" thickBot="1" x14ac:dyDescent="0.3">
      <c r="L208" s="55">
        <v>1855</v>
      </c>
      <c r="M208" s="274">
        <f t="shared" si="34"/>
        <v>0</v>
      </c>
      <c r="N208" s="275">
        <f t="shared" si="34"/>
        <v>0</v>
      </c>
      <c r="O208" s="276" t="e">
        <f ca="1"/>
        <v>#N/A</v>
      </c>
      <c r="Q208" s="34">
        <v>0</v>
      </c>
      <c r="R208" s="24">
        <v>0</v>
      </c>
      <c r="S208" s="24">
        <v>0</v>
      </c>
      <c r="T208" s="24">
        <v>0</v>
      </c>
      <c r="U208" s="24">
        <f t="array" ref="U208">IF(U$77&gt;" ",(U$628:U$1078),"")</f>
        <v>0</v>
      </c>
      <c r="V208" s="24">
        <f t="array" ref="V208">IF(V$77&gt;" ",(V$628:V$1078),"")</f>
        <v>0</v>
      </c>
      <c r="W208" s="24">
        <f t="array" ref="W208">IF(W$77&gt;" ",(W$628:W$1078),"")</f>
        <v>0</v>
      </c>
      <c r="X208" s="24">
        <f t="array" ref="X208">IF(X$77&gt;" ",(X$628:X$1078),"")</f>
        <v>0</v>
      </c>
      <c r="Y208" s="21">
        <v>0</v>
      </c>
      <c r="Z208" s="34">
        <f t="shared" si="35"/>
        <v>0</v>
      </c>
      <c r="AA208" s="24">
        <f t="shared" si="36"/>
        <v>0</v>
      </c>
      <c r="AB208" s="24">
        <f t="shared" si="37"/>
        <v>0</v>
      </c>
      <c r="AC208" s="24">
        <f t="shared" si="38"/>
        <v>0</v>
      </c>
      <c r="AD208" s="24">
        <f t="shared" si="30"/>
        <v>0</v>
      </c>
      <c r="AE208" s="24">
        <f t="shared" si="30"/>
        <v>0</v>
      </c>
      <c r="AF208" s="24">
        <f t="shared" si="30"/>
        <v>0</v>
      </c>
      <c r="AG208" s="24">
        <f t="shared" si="28"/>
        <v>0</v>
      </c>
      <c r="AH208" s="24">
        <f t="shared" si="32"/>
        <v>0</v>
      </c>
      <c r="AI208" s="24">
        <f t="shared" ref="AI208:AI271" si="39">AVERAGE(Z208:AH208)</f>
        <v>0</v>
      </c>
      <c r="AJ208" s="261">
        <f t="shared" ref="AJ208:AJ271" si="40">AI208/100</f>
        <v>0</v>
      </c>
      <c r="AK208" s="181"/>
      <c r="AL208" s="100">
        <v>1855</v>
      </c>
      <c r="AM208" s="202"/>
      <c r="AN208" s="200"/>
      <c r="AO208" s="200"/>
      <c r="AP208" s="284">
        <v>2.8309999999999999E-7</v>
      </c>
      <c r="AR208" s="222">
        <v>97.139779647916271</v>
      </c>
      <c r="AS208" s="223">
        <v>97.113562836910361</v>
      </c>
      <c r="AT208" s="223">
        <v>94.578601710416308</v>
      </c>
      <c r="AU208" s="223">
        <v>94.727617787584563</v>
      </c>
      <c r="AV208" s="223">
        <v>98.593500000000006</v>
      </c>
      <c r="AW208" s="224">
        <v>97.301000000000002</v>
      </c>
      <c r="AX208" s="42"/>
      <c r="AY208" s="181"/>
      <c r="AZ208" s="197"/>
    </row>
    <row r="209" spans="12:52" ht="13" thickBot="1" x14ac:dyDescent="0.3">
      <c r="L209" s="55">
        <v>1850</v>
      </c>
      <c r="M209" s="274">
        <f t="shared" si="34"/>
        <v>0</v>
      </c>
      <c r="N209" s="275">
        <f t="shared" si="34"/>
        <v>0</v>
      </c>
      <c r="O209" s="276" t="e">
        <f ca="1"/>
        <v>#N/A</v>
      </c>
      <c r="Q209" s="34">
        <v>0</v>
      </c>
      <c r="R209" s="24">
        <v>0</v>
      </c>
      <c r="S209" s="24">
        <v>0</v>
      </c>
      <c r="T209" s="24">
        <v>0</v>
      </c>
      <c r="U209" s="24">
        <f t="array" ref="U209">IF(U$77&gt;" ",(U$628:U$1078),"")</f>
        <v>0</v>
      </c>
      <c r="V209" s="24">
        <f t="array" ref="V209">IF(V$77&gt;" ",(V$628:V$1078),"")</f>
        <v>0</v>
      </c>
      <c r="W209" s="24">
        <f t="array" ref="W209">IF(W$77&gt;" ",(W$628:W$1078),"")</f>
        <v>0</v>
      </c>
      <c r="X209" s="24">
        <f t="array" ref="X209">IF(X$77&gt;" ",(X$628:X$1078),"")</f>
        <v>0</v>
      </c>
      <c r="Y209" s="21">
        <v>0</v>
      </c>
      <c r="Z209" s="34">
        <f t="shared" si="35"/>
        <v>0</v>
      </c>
      <c r="AA209" s="24">
        <f t="shared" si="36"/>
        <v>0</v>
      </c>
      <c r="AB209" s="24">
        <f t="shared" si="37"/>
        <v>0</v>
      </c>
      <c r="AC209" s="24">
        <f t="shared" si="38"/>
        <v>0</v>
      </c>
      <c r="AD209" s="24">
        <f t="shared" si="30"/>
        <v>0</v>
      </c>
      <c r="AE209" s="24">
        <f t="shared" si="30"/>
        <v>0</v>
      </c>
      <c r="AF209" s="24">
        <f t="shared" si="30"/>
        <v>0</v>
      </c>
      <c r="AG209" s="24">
        <f t="shared" si="28"/>
        <v>0</v>
      </c>
      <c r="AH209" s="24">
        <f t="shared" si="32"/>
        <v>0</v>
      </c>
      <c r="AI209" s="24">
        <f t="shared" si="39"/>
        <v>0</v>
      </c>
      <c r="AJ209" s="261">
        <f t="shared" si="40"/>
        <v>0</v>
      </c>
      <c r="AK209" s="13"/>
      <c r="AL209" s="100">
        <v>1850</v>
      </c>
      <c r="AM209" s="202"/>
      <c r="AN209" s="200"/>
      <c r="AO209" s="200"/>
      <c r="AP209" s="283">
        <v>2.9909999999999998E-6</v>
      </c>
      <c r="AR209" s="222">
        <v>97.153811627214267</v>
      </c>
      <c r="AS209" s="223">
        <v>97.127127850552995</v>
      </c>
      <c r="AT209" s="223">
        <v>94.594144354510647</v>
      </c>
      <c r="AU209" s="223">
        <v>94.737459990977527</v>
      </c>
      <c r="AV209" s="223">
        <v>98.590999999999994</v>
      </c>
      <c r="AW209" s="224">
        <v>97.299000000000007</v>
      </c>
      <c r="AX209" s="42"/>
      <c r="AY209" s="181"/>
      <c r="AZ209" s="197"/>
    </row>
    <row r="210" spans="12:52" ht="13" thickBot="1" x14ac:dyDescent="0.3">
      <c r="L210" s="55">
        <v>1845</v>
      </c>
      <c r="M210" s="274">
        <f t="shared" si="34"/>
        <v>0</v>
      </c>
      <c r="N210" s="275">
        <f t="shared" si="34"/>
        <v>0</v>
      </c>
      <c r="O210" s="276" t="e">
        <f ca="1"/>
        <v>#N/A</v>
      </c>
      <c r="Q210" s="34">
        <v>0</v>
      </c>
      <c r="R210" s="24">
        <v>0</v>
      </c>
      <c r="S210" s="24">
        <v>0</v>
      </c>
      <c r="T210" s="24">
        <v>0</v>
      </c>
      <c r="U210" s="24">
        <f t="array" ref="U210">IF(U$77&gt;" ",(U$628:U$1078),"")</f>
        <v>0</v>
      </c>
      <c r="V210" s="24">
        <f t="array" ref="V210">IF(V$77&gt;" ",(V$628:V$1078),"")</f>
        <v>0</v>
      </c>
      <c r="W210" s="24">
        <f t="array" ref="W210">IF(W$77&gt;" ",(W$628:W$1078),"")</f>
        <v>0</v>
      </c>
      <c r="X210" s="24">
        <f t="array" ref="X210">IF(X$77&gt;" ",(X$628:X$1078),"")</f>
        <v>0</v>
      </c>
      <c r="Y210" s="21">
        <v>0</v>
      </c>
      <c r="Z210" s="34">
        <f t="shared" si="35"/>
        <v>0</v>
      </c>
      <c r="AA210" s="24">
        <f t="shared" si="36"/>
        <v>0</v>
      </c>
      <c r="AB210" s="24">
        <f t="shared" si="37"/>
        <v>0</v>
      </c>
      <c r="AC210" s="24">
        <f t="shared" si="38"/>
        <v>0</v>
      </c>
      <c r="AD210" s="24">
        <f t="shared" si="30"/>
        <v>0</v>
      </c>
      <c r="AE210" s="24">
        <f t="shared" si="30"/>
        <v>0</v>
      </c>
      <c r="AF210" s="24">
        <f t="shared" si="30"/>
        <v>0</v>
      </c>
      <c r="AG210" s="24">
        <f t="shared" si="28"/>
        <v>0</v>
      </c>
      <c r="AH210" s="24">
        <f t="shared" si="32"/>
        <v>0</v>
      </c>
      <c r="AI210" s="24">
        <f t="shared" si="39"/>
        <v>0</v>
      </c>
      <c r="AJ210" s="261">
        <f t="shared" si="40"/>
        <v>0</v>
      </c>
      <c r="AK210" s="13"/>
      <c r="AL210" s="100">
        <v>1845</v>
      </c>
      <c r="AM210" s="202"/>
      <c r="AN210" s="200"/>
      <c r="AO210" s="200"/>
      <c r="AP210" s="284">
        <v>6.2480000000000001E-6</v>
      </c>
      <c r="AR210" s="222">
        <v>97.143235323695706</v>
      </c>
      <c r="AS210" s="223">
        <v>97.14630979509532</v>
      </c>
      <c r="AT210" s="223">
        <v>94.634809064052419</v>
      </c>
      <c r="AU210" s="223">
        <v>94.7709728365827</v>
      </c>
      <c r="AV210" s="223">
        <v>98.587000000000003</v>
      </c>
      <c r="AW210" s="224">
        <v>97.296000000000006</v>
      </c>
      <c r="AX210" s="42"/>
      <c r="AY210" s="181"/>
      <c r="AZ210" s="197"/>
    </row>
    <row r="211" spans="12:52" ht="13" thickBot="1" x14ac:dyDescent="0.3">
      <c r="L211" s="55">
        <v>1840</v>
      </c>
      <c r="M211" s="274">
        <f t="shared" si="34"/>
        <v>0</v>
      </c>
      <c r="N211" s="275">
        <f t="shared" si="34"/>
        <v>0</v>
      </c>
      <c r="O211" s="276" t="e">
        <f ca="1"/>
        <v>#N/A</v>
      </c>
      <c r="Q211" s="34">
        <v>0</v>
      </c>
      <c r="R211" s="24">
        <v>0</v>
      </c>
      <c r="S211" s="24">
        <v>0</v>
      </c>
      <c r="T211" s="24">
        <v>0</v>
      </c>
      <c r="U211" s="24">
        <f t="array" ref="U211">IF(U$77&gt;" ",(U$628:U$1078),"")</f>
        <v>0</v>
      </c>
      <c r="V211" s="24">
        <f t="array" ref="V211">IF(V$77&gt;" ",(V$628:V$1078),"")</f>
        <v>0</v>
      </c>
      <c r="W211" s="24">
        <f t="array" ref="W211">IF(W$77&gt;" ",(W$628:W$1078),"")</f>
        <v>0</v>
      </c>
      <c r="X211" s="24">
        <f t="array" ref="X211">IF(X$77&gt;" ",(X$628:X$1078),"")</f>
        <v>0</v>
      </c>
      <c r="Y211" s="21">
        <v>0</v>
      </c>
      <c r="Z211" s="34">
        <f t="shared" si="35"/>
        <v>0</v>
      </c>
      <c r="AA211" s="24">
        <f t="shared" si="36"/>
        <v>0</v>
      </c>
      <c r="AB211" s="24">
        <f t="shared" si="37"/>
        <v>0</v>
      </c>
      <c r="AC211" s="24">
        <f t="shared" si="38"/>
        <v>0</v>
      </c>
      <c r="AD211" s="24">
        <f t="shared" si="30"/>
        <v>0</v>
      </c>
      <c r="AE211" s="24">
        <f t="shared" si="30"/>
        <v>0</v>
      </c>
      <c r="AF211" s="24">
        <f t="shared" si="30"/>
        <v>0</v>
      </c>
      <c r="AG211" s="24">
        <f t="shared" si="28"/>
        <v>0</v>
      </c>
      <c r="AH211" s="24">
        <f t="shared" si="32"/>
        <v>0</v>
      </c>
      <c r="AI211" s="24">
        <f t="shared" si="39"/>
        <v>0</v>
      </c>
      <c r="AJ211" s="261">
        <f t="shared" si="40"/>
        <v>0</v>
      </c>
      <c r="AK211" s="13"/>
      <c r="AL211" s="100">
        <v>1840</v>
      </c>
      <c r="AM211" s="202"/>
      <c r="AN211" s="200"/>
      <c r="AO211" s="200"/>
      <c r="AP211" s="283">
        <v>6.2520000000000007E-8</v>
      </c>
      <c r="AR211" s="222">
        <v>97.137491876111937</v>
      </c>
      <c r="AS211" s="223">
        <v>97.140159392256237</v>
      </c>
      <c r="AT211" s="223">
        <v>94.659266273209866</v>
      </c>
      <c r="AU211" s="223">
        <v>94.804583412605169</v>
      </c>
      <c r="AV211" s="223">
        <v>98.582999999999998</v>
      </c>
      <c r="AW211" s="224">
        <v>97.292999999999992</v>
      </c>
      <c r="AX211" s="42"/>
      <c r="AY211" s="181"/>
      <c r="AZ211" s="197"/>
    </row>
    <row r="212" spans="12:52" ht="13" thickBot="1" x14ac:dyDescent="0.3">
      <c r="L212" s="55">
        <v>1835</v>
      </c>
      <c r="M212" s="274">
        <f t="shared" si="34"/>
        <v>0</v>
      </c>
      <c r="N212" s="275">
        <f t="shared" si="34"/>
        <v>0</v>
      </c>
      <c r="O212" s="276" t="e">
        <f ca="1"/>
        <v>#N/A</v>
      </c>
      <c r="Q212" s="34">
        <v>0</v>
      </c>
      <c r="R212" s="24">
        <v>0</v>
      </c>
      <c r="S212" s="24">
        <v>0</v>
      </c>
      <c r="T212" s="24">
        <v>0</v>
      </c>
      <c r="U212" s="24">
        <f t="array" ref="U212">IF(U$77&gt;" ",(U$628:U$1078),"")</f>
        <v>0</v>
      </c>
      <c r="V212" s="24">
        <f t="array" ref="V212">IF(V$77&gt;" ",(V$628:V$1078),"")</f>
        <v>0</v>
      </c>
      <c r="W212" s="24">
        <f t="array" ref="W212">IF(W$77&gt;" ",(W$628:W$1078),"")</f>
        <v>0</v>
      </c>
      <c r="X212" s="24">
        <f t="array" ref="X212">IF(X$77&gt;" ",(X$628:X$1078),"")</f>
        <v>0</v>
      </c>
      <c r="Y212" s="21">
        <v>0</v>
      </c>
      <c r="Z212" s="34">
        <f t="shared" si="35"/>
        <v>0</v>
      </c>
      <c r="AA212" s="24">
        <f t="shared" si="36"/>
        <v>0</v>
      </c>
      <c r="AB212" s="24">
        <f t="shared" si="37"/>
        <v>0</v>
      </c>
      <c r="AC212" s="24">
        <f t="shared" si="38"/>
        <v>0</v>
      </c>
      <c r="AD212" s="24">
        <f t="shared" si="30"/>
        <v>0</v>
      </c>
      <c r="AE212" s="24">
        <f t="shared" si="30"/>
        <v>0</v>
      </c>
      <c r="AF212" s="24">
        <f t="shared" si="30"/>
        <v>0</v>
      </c>
      <c r="AG212" s="24">
        <f t="shared" si="28"/>
        <v>0</v>
      </c>
      <c r="AH212" s="24">
        <f t="shared" si="32"/>
        <v>0</v>
      </c>
      <c r="AI212" s="24">
        <f t="shared" si="39"/>
        <v>0</v>
      </c>
      <c r="AJ212" s="261">
        <f t="shared" si="40"/>
        <v>0</v>
      </c>
      <c r="AK212" s="13"/>
      <c r="AL212" s="100">
        <v>1835</v>
      </c>
      <c r="AM212" s="202"/>
      <c r="AN212" s="200"/>
      <c r="AO212" s="200"/>
      <c r="AP212" s="284">
        <v>6.3999999999999997E-6</v>
      </c>
      <c r="AR212" s="222">
        <v>97.159312099479848</v>
      </c>
      <c r="AS212" s="223">
        <v>97.147885124396808</v>
      </c>
      <c r="AT212" s="223">
        <v>94.671301025705006</v>
      </c>
      <c r="AU212" s="223">
        <v>94.824370029079759</v>
      </c>
      <c r="AV212" s="223">
        <v>98.578500000000005</v>
      </c>
      <c r="AW212" s="224">
        <v>97.287499999999994</v>
      </c>
      <c r="AX212" s="42"/>
      <c r="AY212" s="181"/>
      <c r="AZ212" s="197"/>
    </row>
    <row r="213" spans="12:52" ht="13" thickBot="1" x14ac:dyDescent="0.3">
      <c r="L213" s="55">
        <v>1830</v>
      </c>
      <c r="M213" s="274">
        <f t="shared" si="34"/>
        <v>0</v>
      </c>
      <c r="N213" s="275">
        <f t="shared" si="34"/>
        <v>0</v>
      </c>
      <c r="O213" s="276" t="e">
        <f ca="1"/>
        <v>#N/A</v>
      </c>
      <c r="Q213" s="34">
        <v>0</v>
      </c>
      <c r="R213" s="24">
        <v>0</v>
      </c>
      <c r="S213" s="24">
        <v>0</v>
      </c>
      <c r="T213" s="24">
        <v>0</v>
      </c>
      <c r="U213" s="24">
        <f t="array" ref="U213">IF(U$77&gt;" ",(U$628:U$1078),"")</f>
        <v>0</v>
      </c>
      <c r="V213" s="24">
        <f t="array" ref="V213">IF(V$77&gt;" ",(V$628:V$1078),"")</f>
        <v>0</v>
      </c>
      <c r="W213" s="24">
        <f t="array" ref="W213">IF(W$77&gt;" ",(W$628:W$1078),"")</f>
        <v>0</v>
      </c>
      <c r="X213" s="24">
        <f t="array" ref="X213">IF(X$77&gt;" ",(X$628:X$1078),"")</f>
        <v>0</v>
      </c>
      <c r="Y213" s="21">
        <v>0</v>
      </c>
      <c r="Z213" s="34">
        <f t="shared" si="35"/>
        <v>0</v>
      </c>
      <c r="AA213" s="24">
        <f t="shared" si="36"/>
        <v>0</v>
      </c>
      <c r="AB213" s="24">
        <f t="shared" si="37"/>
        <v>0</v>
      </c>
      <c r="AC213" s="24">
        <f t="shared" si="38"/>
        <v>0</v>
      </c>
      <c r="AD213" s="24">
        <f t="shared" si="30"/>
        <v>0</v>
      </c>
      <c r="AE213" s="24">
        <f t="shared" si="30"/>
        <v>0</v>
      </c>
      <c r="AF213" s="24">
        <f t="shared" si="30"/>
        <v>0</v>
      </c>
      <c r="AG213" s="24">
        <f t="shared" si="28"/>
        <v>0</v>
      </c>
      <c r="AH213" s="24">
        <f t="shared" si="32"/>
        <v>0</v>
      </c>
      <c r="AI213" s="24">
        <f t="shared" si="39"/>
        <v>0</v>
      </c>
      <c r="AJ213" s="261">
        <f t="shared" si="40"/>
        <v>0</v>
      </c>
      <c r="AK213" s="13"/>
      <c r="AL213" s="100">
        <v>1830</v>
      </c>
      <c r="AM213" s="202"/>
      <c r="AN213" s="200"/>
      <c r="AO213" s="200"/>
      <c r="AP213" s="283">
        <v>5.1889999999999998E-6</v>
      </c>
      <c r="AR213" s="222">
        <v>97.170223259100496</v>
      </c>
      <c r="AS213" s="223">
        <v>97.169960994209575</v>
      </c>
      <c r="AT213" s="223">
        <v>94.701142858291618</v>
      </c>
      <c r="AU213" s="223">
        <v>94.849364721113488</v>
      </c>
      <c r="AV213" s="223">
        <v>98.573999999999998</v>
      </c>
      <c r="AW213" s="224">
        <v>97.281999999999996</v>
      </c>
      <c r="AX213" s="42"/>
      <c r="AY213" s="181"/>
      <c r="AZ213" s="197"/>
    </row>
    <row r="214" spans="12:52" ht="13" thickBot="1" x14ac:dyDescent="0.3">
      <c r="L214" s="55">
        <v>1825</v>
      </c>
      <c r="M214" s="274">
        <f t="shared" si="34"/>
        <v>0</v>
      </c>
      <c r="N214" s="275">
        <f t="shared" si="34"/>
        <v>0</v>
      </c>
      <c r="O214" s="276" t="e">
        <f ca="1"/>
        <v>#N/A</v>
      </c>
      <c r="Q214" s="34">
        <v>0</v>
      </c>
      <c r="R214" s="24">
        <v>0</v>
      </c>
      <c r="S214" s="24">
        <v>0</v>
      </c>
      <c r="T214" s="24">
        <v>0</v>
      </c>
      <c r="U214" s="24">
        <f t="array" ref="U214">IF(U$77&gt;" ",(U$628:U$1078),"")</f>
        <v>0</v>
      </c>
      <c r="V214" s="24">
        <f t="array" ref="V214">IF(V$77&gt;" ",(V$628:V$1078),"")</f>
        <v>0</v>
      </c>
      <c r="W214" s="24">
        <f t="array" ref="W214">IF(W$77&gt;" ",(W$628:W$1078),"")</f>
        <v>0</v>
      </c>
      <c r="X214" s="24">
        <f t="array" ref="X214">IF(X$77&gt;" ",(X$628:X$1078),"")</f>
        <v>0</v>
      </c>
      <c r="Y214" s="21">
        <v>0</v>
      </c>
      <c r="Z214" s="34">
        <f t="shared" si="35"/>
        <v>0</v>
      </c>
      <c r="AA214" s="24">
        <f t="shared" si="36"/>
        <v>0</v>
      </c>
      <c r="AB214" s="24">
        <f t="shared" si="37"/>
        <v>0</v>
      </c>
      <c r="AC214" s="24">
        <f t="shared" si="38"/>
        <v>0</v>
      </c>
      <c r="AD214" s="24">
        <f t="shared" si="30"/>
        <v>0</v>
      </c>
      <c r="AE214" s="24">
        <f t="shared" si="30"/>
        <v>0</v>
      </c>
      <c r="AF214" s="24">
        <f t="shared" si="30"/>
        <v>0</v>
      </c>
      <c r="AG214" s="24">
        <f t="shared" si="28"/>
        <v>0</v>
      </c>
      <c r="AH214" s="24">
        <f t="shared" si="32"/>
        <v>0</v>
      </c>
      <c r="AI214" s="24">
        <f t="shared" si="39"/>
        <v>0</v>
      </c>
      <c r="AJ214" s="261">
        <f t="shared" si="40"/>
        <v>0</v>
      </c>
      <c r="AK214" s="13"/>
      <c r="AL214" s="100">
        <v>1825</v>
      </c>
      <c r="AM214" s="202"/>
      <c r="AN214" s="200"/>
      <c r="AO214" s="200"/>
      <c r="AP214" s="284">
        <v>1.271E-3</v>
      </c>
      <c r="AR214" s="222">
        <v>97.194607917568916</v>
      </c>
      <c r="AS214" s="223">
        <v>97.179036541579876</v>
      </c>
      <c r="AT214" s="223">
        <v>94.748497209151353</v>
      </c>
      <c r="AU214" s="223">
        <v>94.891848940817269</v>
      </c>
      <c r="AV214" s="223">
        <v>98.5715</v>
      </c>
      <c r="AW214" s="224">
        <v>97.280500000000004</v>
      </c>
      <c r="AX214" s="42"/>
      <c r="AY214" s="181"/>
      <c r="AZ214" s="197"/>
    </row>
    <row r="215" spans="12:52" ht="13" thickBot="1" x14ac:dyDescent="0.3">
      <c r="L215" s="55">
        <v>1820</v>
      </c>
      <c r="M215" s="274">
        <f t="shared" si="34"/>
        <v>0</v>
      </c>
      <c r="N215" s="275">
        <f t="shared" si="34"/>
        <v>0</v>
      </c>
      <c r="O215" s="276" t="e">
        <f ca="1"/>
        <v>#N/A</v>
      </c>
      <c r="Q215" s="34">
        <v>0</v>
      </c>
      <c r="R215" s="24">
        <v>0</v>
      </c>
      <c r="S215" s="24">
        <v>0</v>
      </c>
      <c r="T215" s="24">
        <v>0</v>
      </c>
      <c r="U215" s="24">
        <f t="array" ref="U215">IF(U$77&gt;" ",(U$628:U$1078),"")</f>
        <v>0</v>
      </c>
      <c r="V215" s="24">
        <f t="array" ref="V215">IF(V$77&gt;" ",(V$628:V$1078),"")</f>
        <v>0</v>
      </c>
      <c r="W215" s="24">
        <f t="array" ref="W215">IF(W$77&gt;" ",(W$628:W$1078),"")</f>
        <v>0</v>
      </c>
      <c r="X215" s="24">
        <f t="array" ref="X215">IF(X$77&gt;" ",(X$628:X$1078),"")</f>
        <v>0</v>
      </c>
      <c r="Y215" s="21">
        <v>0</v>
      </c>
      <c r="Z215" s="34">
        <f t="shared" si="35"/>
        <v>0</v>
      </c>
      <c r="AA215" s="24">
        <f t="shared" si="36"/>
        <v>0</v>
      </c>
      <c r="AB215" s="24">
        <f t="shared" si="37"/>
        <v>0</v>
      </c>
      <c r="AC215" s="24">
        <f t="shared" si="38"/>
        <v>0</v>
      </c>
      <c r="AD215" s="24">
        <f t="shared" si="30"/>
        <v>0</v>
      </c>
      <c r="AE215" s="24">
        <f t="shared" si="30"/>
        <v>0</v>
      </c>
      <c r="AF215" s="24">
        <f t="shared" si="30"/>
        <v>0</v>
      </c>
      <c r="AG215" s="24">
        <f t="shared" si="28"/>
        <v>0</v>
      </c>
      <c r="AH215" s="24">
        <f t="shared" si="32"/>
        <v>0</v>
      </c>
      <c r="AI215" s="24">
        <f t="shared" si="39"/>
        <v>0</v>
      </c>
      <c r="AJ215" s="261">
        <f t="shared" si="40"/>
        <v>0</v>
      </c>
      <c r="AK215" s="13"/>
      <c r="AL215" s="100">
        <v>1820</v>
      </c>
      <c r="AM215" s="202"/>
      <c r="AN215" s="200"/>
      <c r="AO215" s="200"/>
      <c r="AP215" s="283">
        <v>9.8470000000000003E-4</v>
      </c>
      <c r="AR215" s="222">
        <v>97.198530555266515</v>
      </c>
      <c r="AS215" s="223">
        <v>97.178893383265532</v>
      </c>
      <c r="AT215" s="223">
        <v>94.793101396233297</v>
      </c>
      <c r="AU215" s="223">
        <v>94.939489915014065</v>
      </c>
      <c r="AV215" s="223">
        <v>98.568999999999988</v>
      </c>
      <c r="AW215" s="224">
        <v>97.279000000000011</v>
      </c>
      <c r="AX215" s="42"/>
      <c r="AY215" s="181"/>
      <c r="AZ215" s="197"/>
    </row>
    <row r="216" spans="12:52" ht="13" thickBot="1" x14ac:dyDescent="0.3">
      <c r="L216" s="55">
        <v>1815</v>
      </c>
      <c r="M216" s="274">
        <f t="shared" si="34"/>
        <v>0</v>
      </c>
      <c r="N216" s="275">
        <f t="shared" si="34"/>
        <v>0</v>
      </c>
      <c r="O216" s="276" t="e">
        <f ca="1"/>
        <v>#N/A</v>
      </c>
      <c r="Q216" s="34">
        <v>0</v>
      </c>
      <c r="R216" s="24">
        <v>0</v>
      </c>
      <c r="S216" s="24">
        <v>0</v>
      </c>
      <c r="T216" s="24">
        <v>0</v>
      </c>
      <c r="U216" s="24">
        <f t="array" ref="U216">IF(U$77&gt;" ",(U$628:U$1078),"")</f>
        <v>0</v>
      </c>
      <c r="V216" s="24">
        <f t="array" ref="V216">IF(V$77&gt;" ",(V$628:V$1078),"")</f>
        <v>0</v>
      </c>
      <c r="W216" s="24">
        <f t="array" ref="W216">IF(W$77&gt;" ",(W$628:W$1078),"")</f>
        <v>0</v>
      </c>
      <c r="X216" s="24">
        <f t="array" ref="X216">IF(X$77&gt;" ",(X$628:X$1078),"")</f>
        <v>0</v>
      </c>
      <c r="Y216" s="21">
        <v>0</v>
      </c>
      <c r="Z216" s="34">
        <f t="shared" si="35"/>
        <v>0</v>
      </c>
      <c r="AA216" s="24">
        <f t="shared" si="36"/>
        <v>0</v>
      </c>
      <c r="AB216" s="24">
        <f t="shared" si="37"/>
        <v>0</v>
      </c>
      <c r="AC216" s="24">
        <f t="shared" si="38"/>
        <v>0</v>
      </c>
      <c r="AD216" s="24">
        <f t="shared" si="30"/>
        <v>0</v>
      </c>
      <c r="AE216" s="24">
        <f t="shared" si="30"/>
        <v>0</v>
      </c>
      <c r="AF216" s="24">
        <f t="shared" si="30"/>
        <v>0</v>
      </c>
      <c r="AG216" s="24">
        <f t="shared" si="28"/>
        <v>0</v>
      </c>
      <c r="AH216" s="24">
        <f t="shared" si="32"/>
        <v>0</v>
      </c>
      <c r="AI216" s="24">
        <f t="shared" si="39"/>
        <v>0</v>
      </c>
      <c r="AJ216" s="261">
        <f t="shared" si="40"/>
        <v>0</v>
      </c>
      <c r="AK216" s="13"/>
      <c r="AL216" s="100">
        <v>1815</v>
      </c>
      <c r="AM216" s="202"/>
      <c r="AN216" s="200"/>
      <c r="AO216" s="200"/>
      <c r="AP216" s="284">
        <v>3.2720000000000002E-3</v>
      </c>
      <c r="AR216" s="222">
        <v>97.200954127715534</v>
      </c>
      <c r="AS216" s="223">
        <v>97.189280324322411</v>
      </c>
      <c r="AT216" s="223">
        <v>94.813562621881033</v>
      </c>
      <c r="AU216" s="223">
        <v>94.96329911799036</v>
      </c>
      <c r="AV216" s="223">
        <v>98.564499999999995</v>
      </c>
      <c r="AW216" s="224">
        <v>97.275999999999996</v>
      </c>
      <c r="AX216" s="42"/>
      <c r="AY216" s="181"/>
      <c r="AZ216" s="197"/>
    </row>
    <row r="217" spans="12:52" ht="13" thickBot="1" x14ac:dyDescent="0.3">
      <c r="L217" s="55">
        <v>1810</v>
      </c>
      <c r="M217" s="274">
        <f t="shared" si="34"/>
        <v>0</v>
      </c>
      <c r="N217" s="275">
        <f t="shared" si="34"/>
        <v>0</v>
      </c>
      <c r="O217" s="276" t="e">
        <f ca="1"/>
        <v>#N/A</v>
      </c>
      <c r="Q217" s="34">
        <v>0</v>
      </c>
      <c r="R217" s="24">
        <v>0</v>
      </c>
      <c r="S217" s="24">
        <v>0</v>
      </c>
      <c r="T217" s="24">
        <v>0</v>
      </c>
      <c r="U217" s="24">
        <f t="array" ref="U217">IF(U$77&gt;" ",(U$628:U$1078),"")</f>
        <v>0</v>
      </c>
      <c r="V217" s="24">
        <f t="array" ref="V217">IF(V$77&gt;" ",(V$628:V$1078),"")</f>
        <v>0</v>
      </c>
      <c r="W217" s="24">
        <f t="array" ref="W217">IF(W$77&gt;" ",(W$628:W$1078),"")</f>
        <v>0</v>
      </c>
      <c r="X217" s="24">
        <f t="array" ref="X217">IF(X$77&gt;" ",(X$628:X$1078),"")</f>
        <v>0</v>
      </c>
      <c r="Y217" s="21">
        <v>0</v>
      </c>
      <c r="Z217" s="34">
        <f t="shared" si="35"/>
        <v>0</v>
      </c>
      <c r="AA217" s="24">
        <f t="shared" si="36"/>
        <v>0</v>
      </c>
      <c r="AB217" s="24">
        <f t="shared" si="37"/>
        <v>0</v>
      </c>
      <c r="AC217" s="24">
        <f t="shared" si="38"/>
        <v>0</v>
      </c>
      <c r="AD217" s="24">
        <f t="shared" si="30"/>
        <v>0</v>
      </c>
      <c r="AE217" s="24">
        <f t="shared" si="30"/>
        <v>0</v>
      </c>
      <c r="AF217" s="24">
        <f t="shared" si="30"/>
        <v>0</v>
      </c>
      <c r="AG217" s="24">
        <f t="shared" si="28"/>
        <v>0</v>
      </c>
      <c r="AH217" s="24">
        <f t="shared" si="32"/>
        <v>0</v>
      </c>
      <c r="AI217" s="24">
        <f t="shared" si="39"/>
        <v>0</v>
      </c>
      <c r="AJ217" s="261">
        <f t="shared" si="40"/>
        <v>0</v>
      </c>
      <c r="AK217" s="13"/>
      <c r="AL217" s="100">
        <v>1810</v>
      </c>
      <c r="AM217" s="202"/>
      <c r="AN217" s="200"/>
      <c r="AO217" s="200"/>
      <c r="AP217" s="283">
        <v>9.6629999999999997E-3</v>
      </c>
      <c r="AR217" s="222">
        <v>97.215298053800225</v>
      </c>
      <c r="AS217" s="223">
        <v>97.194185534196492</v>
      </c>
      <c r="AT217" s="223">
        <v>94.840004262358136</v>
      </c>
      <c r="AU217" s="223">
        <v>94.988661888824765</v>
      </c>
      <c r="AV217" s="223">
        <v>98.56</v>
      </c>
      <c r="AW217" s="224">
        <v>97.272999999999996</v>
      </c>
      <c r="AX217" s="42"/>
      <c r="AY217" s="181"/>
      <c r="AZ217" s="197"/>
    </row>
    <row r="218" spans="12:52" ht="13" thickBot="1" x14ac:dyDescent="0.3">
      <c r="L218" s="55">
        <v>1805</v>
      </c>
      <c r="M218" s="274">
        <f t="shared" si="34"/>
        <v>0</v>
      </c>
      <c r="N218" s="275">
        <f t="shared" si="34"/>
        <v>0</v>
      </c>
      <c r="O218" s="276" t="e">
        <f ca="1"/>
        <v>#N/A</v>
      </c>
      <c r="Q218" s="34">
        <v>0</v>
      </c>
      <c r="R218" s="24">
        <v>0</v>
      </c>
      <c r="S218" s="24">
        <v>0</v>
      </c>
      <c r="T218" s="24">
        <v>0</v>
      </c>
      <c r="U218" s="24">
        <f t="array" ref="U218">IF(U$77&gt;" ",(U$628:U$1078),"")</f>
        <v>0</v>
      </c>
      <c r="V218" s="24">
        <f t="array" ref="V218">IF(V$77&gt;" ",(V$628:V$1078),"")</f>
        <v>0</v>
      </c>
      <c r="W218" s="24">
        <f t="array" ref="W218">IF(W$77&gt;" ",(W$628:W$1078),"")</f>
        <v>0</v>
      </c>
      <c r="X218" s="24">
        <f t="array" ref="X218">IF(X$77&gt;" ",(X$628:X$1078),"")</f>
        <v>0</v>
      </c>
      <c r="Y218" s="21">
        <v>0</v>
      </c>
      <c r="Z218" s="34">
        <f t="shared" si="35"/>
        <v>0</v>
      </c>
      <c r="AA218" s="24">
        <f t="shared" si="36"/>
        <v>0</v>
      </c>
      <c r="AB218" s="24">
        <f t="shared" si="37"/>
        <v>0</v>
      </c>
      <c r="AC218" s="24">
        <f t="shared" si="38"/>
        <v>0</v>
      </c>
      <c r="AD218" s="24">
        <f t="shared" si="30"/>
        <v>0</v>
      </c>
      <c r="AE218" s="24">
        <f t="shared" si="30"/>
        <v>0</v>
      </c>
      <c r="AF218" s="24">
        <f t="shared" si="30"/>
        <v>0</v>
      </c>
      <c r="AG218" s="24">
        <f t="shared" si="28"/>
        <v>0</v>
      </c>
      <c r="AH218" s="24">
        <f t="shared" si="32"/>
        <v>0</v>
      </c>
      <c r="AI218" s="24">
        <f t="shared" si="39"/>
        <v>0</v>
      </c>
      <c r="AJ218" s="261">
        <f t="shared" si="40"/>
        <v>0</v>
      </c>
      <c r="AK218" s="13"/>
      <c r="AL218" s="100">
        <v>1805</v>
      </c>
      <c r="AM218" s="202"/>
      <c r="AN218" s="200"/>
      <c r="AO218" s="200"/>
      <c r="AP218" s="284">
        <v>1.477E-2</v>
      </c>
      <c r="AR218" s="222">
        <v>97.214024458362061</v>
      </c>
      <c r="AS218" s="223">
        <v>97.212617543205752</v>
      </c>
      <c r="AT218" s="223">
        <v>94.871797609503915</v>
      </c>
      <c r="AU218" s="223">
        <v>95.018987786650669</v>
      </c>
      <c r="AV218" s="223">
        <v>98.558000000000007</v>
      </c>
      <c r="AW218" s="224">
        <v>97.269000000000005</v>
      </c>
      <c r="AX218" s="42"/>
      <c r="AY218" s="181"/>
      <c r="AZ218" s="197"/>
    </row>
    <row r="219" spans="12:52" ht="13" thickBot="1" x14ac:dyDescent="0.3">
      <c r="L219" s="55">
        <v>1800</v>
      </c>
      <c r="M219" s="274">
        <f t="shared" si="34"/>
        <v>0</v>
      </c>
      <c r="N219" s="275">
        <f t="shared" si="34"/>
        <v>0</v>
      </c>
      <c r="O219" s="276" t="e">
        <f ca="1"/>
        <v>#N/A</v>
      </c>
      <c r="Q219" s="34">
        <v>0</v>
      </c>
      <c r="R219" s="24">
        <v>0</v>
      </c>
      <c r="S219" s="24">
        <v>0</v>
      </c>
      <c r="T219" s="24">
        <v>0</v>
      </c>
      <c r="U219" s="24">
        <f t="array" ref="U219">IF(U$77&gt;" ",(U$628:U$1078),"")</f>
        <v>0</v>
      </c>
      <c r="V219" s="24">
        <f t="array" ref="V219">IF(V$77&gt;" ",(V$628:V$1078),"")</f>
        <v>0</v>
      </c>
      <c r="W219" s="24">
        <f t="array" ref="W219">IF(W$77&gt;" ",(W$628:W$1078),"")</f>
        <v>0</v>
      </c>
      <c r="X219" s="24">
        <f t="array" ref="X219">IF(X$77&gt;" ",(X$628:X$1078),"")</f>
        <v>0</v>
      </c>
      <c r="Y219" s="21">
        <v>0</v>
      </c>
      <c r="Z219" s="34">
        <f t="shared" si="35"/>
        <v>0</v>
      </c>
      <c r="AA219" s="24">
        <f t="shared" si="36"/>
        <v>0</v>
      </c>
      <c r="AB219" s="24">
        <f t="shared" si="37"/>
        <v>0</v>
      </c>
      <c r="AC219" s="24">
        <f t="shared" si="38"/>
        <v>0</v>
      </c>
      <c r="AD219" s="24">
        <f t="shared" si="30"/>
        <v>0</v>
      </c>
      <c r="AE219" s="24">
        <f t="shared" si="30"/>
        <v>0</v>
      </c>
      <c r="AF219" s="24">
        <f t="shared" si="30"/>
        <v>0</v>
      </c>
      <c r="AG219" s="24">
        <f t="shared" si="28"/>
        <v>0</v>
      </c>
      <c r="AH219" s="24">
        <f t="shared" si="32"/>
        <v>0</v>
      </c>
      <c r="AI219" s="24">
        <f t="shared" si="39"/>
        <v>0</v>
      </c>
      <c r="AJ219" s="261">
        <f t="shared" si="40"/>
        <v>0</v>
      </c>
      <c r="AK219" s="13"/>
      <c r="AL219" s="100">
        <v>1800</v>
      </c>
      <c r="AM219" s="202"/>
      <c r="AN219" s="200"/>
      <c r="AO219" s="200"/>
      <c r="AP219" s="283">
        <v>3.1739999999999997E-2</v>
      </c>
      <c r="AR219" s="222">
        <v>97.229230933814904</v>
      </c>
      <c r="AS219" s="223">
        <v>97.225054821324363</v>
      </c>
      <c r="AT219" s="223">
        <v>94.905834256692515</v>
      </c>
      <c r="AU219" s="223">
        <v>95.046976286183835</v>
      </c>
      <c r="AV219" s="223">
        <v>98.555999999999997</v>
      </c>
      <c r="AW219" s="224">
        <v>97.265000000000001</v>
      </c>
      <c r="AX219" s="42"/>
      <c r="AY219" s="181"/>
      <c r="AZ219" s="197"/>
    </row>
    <row r="220" spans="12:52" ht="13" thickBot="1" x14ac:dyDescent="0.3">
      <c r="L220" s="55">
        <v>1795</v>
      </c>
      <c r="M220" s="274">
        <f t="shared" si="34"/>
        <v>0</v>
      </c>
      <c r="N220" s="275">
        <f t="shared" si="34"/>
        <v>0</v>
      </c>
      <c r="O220" s="276" t="e">
        <f ca="1"/>
        <v>#N/A</v>
      </c>
      <c r="Q220" s="34">
        <v>0</v>
      </c>
      <c r="R220" s="24">
        <v>0</v>
      </c>
      <c r="S220" s="24">
        <v>0</v>
      </c>
      <c r="T220" s="24">
        <v>0</v>
      </c>
      <c r="U220" s="24">
        <f t="array" ref="U220">IF(U$77&gt;" ",(U$628:U$1078),"")</f>
        <v>0</v>
      </c>
      <c r="V220" s="24">
        <f t="array" ref="V220">IF(V$77&gt;" ",(V$628:V$1078),"")</f>
        <v>0</v>
      </c>
      <c r="W220" s="24">
        <f t="array" ref="W220">IF(W$77&gt;" ",(W$628:W$1078),"")</f>
        <v>0</v>
      </c>
      <c r="X220" s="24">
        <f t="array" ref="X220">IF(X$77&gt;" ",(X$628:X$1078),"")</f>
        <v>0</v>
      </c>
      <c r="Y220" s="21">
        <v>0</v>
      </c>
      <c r="Z220" s="34">
        <f t="shared" si="35"/>
        <v>0</v>
      </c>
      <c r="AA220" s="24">
        <f t="shared" si="36"/>
        <v>0</v>
      </c>
      <c r="AB220" s="24">
        <f t="shared" si="37"/>
        <v>0</v>
      </c>
      <c r="AC220" s="24">
        <f t="shared" si="38"/>
        <v>0</v>
      </c>
      <c r="AD220" s="24">
        <f t="shared" si="30"/>
        <v>0</v>
      </c>
      <c r="AE220" s="24">
        <f t="shared" si="30"/>
        <v>0</v>
      </c>
      <c r="AF220" s="24">
        <f t="shared" si="30"/>
        <v>0</v>
      </c>
      <c r="AG220" s="24">
        <f t="shared" si="28"/>
        <v>0</v>
      </c>
      <c r="AH220" s="24">
        <f t="shared" si="32"/>
        <v>0</v>
      </c>
      <c r="AI220" s="24">
        <f t="shared" si="39"/>
        <v>0</v>
      </c>
      <c r="AJ220" s="261">
        <f t="shared" si="40"/>
        <v>0</v>
      </c>
      <c r="AK220" s="13"/>
      <c r="AL220" s="100">
        <v>1795</v>
      </c>
      <c r="AM220" s="202"/>
      <c r="AN220" s="200"/>
      <c r="AO220" s="200"/>
      <c r="AP220" s="284">
        <v>4.6789999999999998E-2</v>
      </c>
      <c r="AR220" s="222">
        <v>97.239686544752132</v>
      </c>
      <c r="AS220" s="223">
        <v>97.218155366059975</v>
      </c>
      <c r="AT220" s="223">
        <v>94.938329670979627</v>
      </c>
      <c r="AU220" s="223">
        <v>95.085531824884697</v>
      </c>
      <c r="AV220" s="223">
        <v>98.551999999999992</v>
      </c>
      <c r="AW220" s="224">
        <v>97.26</v>
      </c>
      <c r="AX220" s="42"/>
      <c r="AY220" s="181"/>
      <c r="AZ220" s="197"/>
    </row>
    <row r="221" spans="12:52" ht="13" thickBot="1" x14ac:dyDescent="0.3">
      <c r="L221" s="55">
        <v>1790</v>
      </c>
      <c r="M221" s="274">
        <f t="shared" si="34"/>
        <v>0</v>
      </c>
      <c r="N221" s="275">
        <f t="shared" si="34"/>
        <v>0</v>
      </c>
      <c r="O221" s="276" t="e">
        <f ca="1"/>
        <v>#N/A</v>
      </c>
      <c r="Q221" s="34">
        <v>0</v>
      </c>
      <c r="R221" s="24">
        <v>0</v>
      </c>
      <c r="S221" s="24">
        <v>0</v>
      </c>
      <c r="T221" s="24">
        <v>0</v>
      </c>
      <c r="U221" s="24">
        <f t="array" ref="U221">IF(U$77&gt;" ",(U$628:U$1078),"")</f>
        <v>0</v>
      </c>
      <c r="V221" s="24">
        <f t="array" ref="V221">IF(V$77&gt;" ",(V$628:V$1078),"")</f>
        <v>0</v>
      </c>
      <c r="W221" s="24">
        <f t="array" ref="W221">IF(W$77&gt;" ",(W$628:W$1078),"")</f>
        <v>0</v>
      </c>
      <c r="X221" s="24">
        <f t="array" ref="X221">IF(X$77&gt;" ",(X$628:X$1078),"")</f>
        <v>0</v>
      </c>
      <c r="Y221" s="21">
        <v>0</v>
      </c>
      <c r="Z221" s="34">
        <f t="shared" si="35"/>
        <v>0</v>
      </c>
      <c r="AA221" s="24">
        <f t="shared" si="36"/>
        <v>0</v>
      </c>
      <c r="AB221" s="24">
        <f t="shared" si="37"/>
        <v>0</v>
      </c>
      <c r="AC221" s="24">
        <f t="shared" si="38"/>
        <v>0</v>
      </c>
      <c r="AD221" s="24">
        <f t="shared" si="30"/>
        <v>0</v>
      </c>
      <c r="AE221" s="24">
        <f t="shared" si="30"/>
        <v>0</v>
      </c>
      <c r="AF221" s="24">
        <f t="shared" si="30"/>
        <v>0</v>
      </c>
      <c r="AG221" s="24">
        <f t="shared" si="28"/>
        <v>0</v>
      </c>
      <c r="AH221" s="24">
        <f t="shared" si="32"/>
        <v>0</v>
      </c>
      <c r="AI221" s="24">
        <f t="shared" si="39"/>
        <v>0</v>
      </c>
      <c r="AJ221" s="261">
        <f t="shared" si="40"/>
        <v>0</v>
      </c>
      <c r="AK221" s="13"/>
      <c r="AL221" s="100">
        <v>1790</v>
      </c>
      <c r="AM221" s="202"/>
      <c r="AN221" s="200"/>
      <c r="AO221" s="200"/>
      <c r="AP221" s="283">
        <v>8.8650000000000007E-2</v>
      </c>
      <c r="AR221" s="222">
        <v>97.229032153626989</v>
      </c>
      <c r="AS221" s="223">
        <v>97.228355115162742</v>
      </c>
      <c r="AT221" s="223">
        <v>94.9678798274618</v>
      </c>
      <c r="AU221" s="223">
        <v>95.124281000761485</v>
      </c>
      <c r="AV221" s="223">
        <v>98.548000000000002</v>
      </c>
      <c r="AW221" s="224">
        <v>97.254999999999995</v>
      </c>
      <c r="AX221" s="42"/>
      <c r="AY221" s="181"/>
      <c r="AZ221" s="197"/>
    </row>
    <row r="222" spans="12:52" ht="13" thickBot="1" x14ac:dyDescent="0.3">
      <c r="L222" s="55">
        <v>1785</v>
      </c>
      <c r="M222" s="274">
        <f t="shared" si="34"/>
        <v>0</v>
      </c>
      <c r="N222" s="275">
        <f t="shared" si="34"/>
        <v>0</v>
      </c>
      <c r="O222" s="276" t="e">
        <f ca="1"/>
        <v>#N/A</v>
      </c>
      <c r="Q222" s="34">
        <v>0</v>
      </c>
      <c r="R222" s="24">
        <v>0</v>
      </c>
      <c r="S222" s="24">
        <v>0</v>
      </c>
      <c r="T222" s="24">
        <v>0</v>
      </c>
      <c r="U222" s="24">
        <f t="array" ref="U222">IF(U$77&gt;" ",(U$628:U$1078),"")</f>
        <v>0</v>
      </c>
      <c r="V222" s="24">
        <f t="array" ref="V222">IF(V$77&gt;" ",(V$628:V$1078),"")</f>
        <v>0</v>
      </c>
      <c r="W222" s="24">
        <f t="array" ref="W222">IF(W$77&gt;" ",(W$628:W$1078),"")</f>
        <v>0</v>
      </c>
      <c r="X222" s="24">
        <f t="array" ref="X222">IF(X$77&gt;" ",(X$628:X$1078),"")</f>
        <v>0</v>
      </c>
      <c r="Y222" s="21">
        <v>0</v>
      </c>
      <c r="Z222" s="34">
        <f t="shared" si="35"/>
        <v>0</v>
      </c>
      <c r="AA222" s="24">
        <f t="shared" si="36"/>
        <v>0</v>
      </c>
      <c r="AB222" s="24">
        <f t="shared" si="37"/>
        <v>0</v>
      </c>
      <c r="AC222" s="24">
        <f t="shared" si="38"/>
        <v>0</v>
      </c>
      <c r="AD222" s="24">
        <f t="shared" si="30"/>
        <v>0</v>
      </c>
      <c r="AE222" s="24">
        <f t="shared" si="30"/>
        <v>0</v>
      </c>
      <c r="AF222" s="24">
        <f t="shared" si="30"/>
        <v>0</v>
      </c>
      <c r="AG222" s="24">
        <f t="shared" si="30"/>
        <v>0</v>
      </c>
      <c r="AH222" s="24">
        <f t="shared" si="32"/>
        <v>0</v>
      </c>
      <c r="AI222" s="24">
        <f t="shared" si="39"/>
        <v>0</v>
      </c>
      <c r="AJ222" s="261">
        <f t="shared" si="40"/>
        <v>0</v>
      </c>
      <c r="AK222" s="13"/>
      <c r="AL222" s="100">
        <v>1785</v>
      </c>
      <c r="AM222" s="202"/>
      <c r="AN222" s="200"/>
      <c r="AO222" s="200"/>
      <c r="AP222" s="284">
        <v>7.6759999999999995E-2</v>
      </c>
      <c r="AR222" s="222">
        <v>97.250344943840403</v>
      </c>
      <c r="AS222" s="223">
        <v>97.236983235355908</v>
      </c>
      <c r="AT222" s="223">
        <v>94.996427240436219</v>
      </c>
      <c r="AU222" s="223">
        <v>95.148843802131196</v>
      </c>
      <c r="AV222" s="223">
        <v>98.543999999999997</v>
      </c>
      <c r="AW222" s="224">
        <v>97.25200000000001</v>
      </c>
      <c r="AX222" s="42"/>
      <c r="AY222" s="181"/>
      <c r="AZ222" s="197"/>
    </row>
    <row r="223" spans="12:52" ht="13" thickBot="1" x14ac:dyDescent="0.3">
      <c r="L223" s="55">
        <v>1780</v>
      </c>
      <c r="M223" s="274">
        <f t="shared" ref="M223:N238" si="41">M772</f>
        <v>0</v>
      </c>
      <c r="N223" s="275">
        <f t="shared" si="41"/>
        <v>0</v>
      </c>
      <c r="O223" s="276" t="e">
        <f ca="1"/>
        <v>#N/A</v>
      </c>
      <c r="Q223" s="34">
        <v>0</v>
      </c>
      <c r="R223" s="24">
        <v>0</v>
      </c>
      <c r="S223" s="24">
        <v>0</v>
      </c>
      <c r="T223" s="24">
        <v>0</v>
      </c>
      <c r="U223" s="24">
        <f t="array" ref="U223">IF(U$77&gt;" ",(U$628:U$1078),"")</f>
        <v>0</v>
      </c>
      <c r="V223" s="24">
        <f t="array" ref="V223">IF(V$77&gt;" ",(V$628:V$1078),"")</f>
        <v>0</v>
      </c>
      <c r="W223" s="24">
        <f t="array" ref="W223">IF(W$77&gt;" ",(W$628:W$1078),"")</f>
        <v>0</v>
      </c>
      <c r="X223" s="24">
        <f t="array" ref="X223">IF(X$77&gt;" ",(X$628:X$1078),"")</f>
        <v>0</v>
      </c>
      <c r="Y223" s="21">
        <v>0</v>
      </c>
      <c r="Z223" s="34">
        <f t="shared" si="35"/>
        <v>0</v>
      </c>
      <c r="AA223" s="24">
        <f t="shared" si="36"/>
        <v>0</v>
      </c>
      <c r="AB223" s="24">
        <f t="shared" si="37"/>
        <v>0</v>
      </c>
      <c r="AC223" s="24">
        <f t="shared" si="38"/>
        <v>0</v>
      </c>
      <c r="AD223" s="24">
        <f t="shared" ref="AD223:AG286" si="42">U223</f>
        <v>0</v>
      </c>
      <c r="AE223" s="24">
        <f t="shared" si="42"/>
        <v>0</v>
      </c>
      <c r="AF223" s="24">
        <f t="shared" si="42"/>
        <v>0</v>
      </c>
      <c r="AG223" s="24">
        <f t="shared" si="42"/>
        <v>0</v>
      </c>
      <c r="AH223" s="24">
        <f t="shared" si="32"/>
        <v>0</v>
      </c>
      <c r="AI223" s="24">
        <f t="shared" si="39"/>
        <v>0</v>
      </c>
      <c r="AJ223" s="261">
        <f t="shared" si="40"/>
        <v>0</v>
      </c>
      <c r="AK223" s="13"/>
      <c r="AL223" s="100">
        <v>1780</v>
      </c>
      <c r="AM223" s="202"/>
      <c r="AN223" s="200"/>
      <c r="AO223" s="200"/>
      <c r="AP223" s="283">
        <v>0.1002</v>
      </c>
      <c r="AR223" s="222">
        <v>97.269369357883633</v>
      </c>
      <c r="AS223" s="223">
        <v>97.259915404214894</v>
      </c>
      <c r="AT223" s="223">
        <v>95.040912870193083</v>
      </c>
      <c r="AU223" s="223">
        <v>95.186550443879739</v>
      </c>
      <c r="AV223" s="223">
        <v>98.54</v>
      </c>
      <c r="AW223" s="224">
        <v>97.248999999999995</v>
      </c>
      <c r="AX223" s="42"/>
      <c r="AY223" s="181"/>
      <c r="AZ223" s="197"/>
    </row>
    <row r="224" spans="12:52" ht="13" thickBot="1" x14ac:dyDescent="0.3">
      <c r="L224" s="55">
        <v>1775</v>
      </c>
      <c r="M224" s="274">
        <f t="shared" si="41"/>
        <v>0</v>
      </c>
      <c r="N224" s="275">
        <f t="shared" si="41"/>
        <v>0</v>
      </c>
      <c r="O224" s="276" t="e">
        <f ca="1"/>
        <v>#N/A</v>
      </c>
      <c r="Q224" s="34">
        <v>0</v>
      </c>
      <c r="R224" s="24">
        <v>0</v>
      </c>
      <c r="S224" s="24">
        <v>0</v>
      </c>
      <c r="T224" s="24">
        <v>0</v>
      </c>
      <c r="U224" s="24">
        <f t="array" ref="U224">IF(U$77&gt;" ",(U$628:U$1078),"")</f>
        <v>0</v>
      </c>
      <c r="V224" s="24">
        <f t="array" ref="V224">IF(V$77&gt;" ",(V$628:V$1078),"")</f>
        <v>0</v>
      </c>
      <c r="W224" s="24">
        <f t="array" ref="W224">IF(W$77&gt;" ",(W$628:W$1078),"")</f>
        <v>0</v>
      </c>
      <c r="X224" s="24">
        <f t="array" ref="X224">IF(X$77&gt;" ",(X$628:X$1078),"")</f>
        <v>0</v>
      </c>
      <c r="Y224" s="21">
        <v>0</v>
      </c>
      <c r="Z224" s="34">
        <f t="shared" si="35"/>
        <v>0</v>
      </c>
      <c r="AA224" s="24">
        <f t="shared" si="36"/>
        <v>0</v>
      </c>
      <c r="AB224" s="24">
        <f t="shared" si="37"/>
        <v>0</v>
      </c>
      <c r="AC224" s="24">
        <f t="shared" si="38"/>
        <v>0</v>
      </c>
      <c r="AD224" s="24">
        <f t="shared" si="42"/>
        <v>0</v>
      </c>
      <c r="AE224" s="24">
        <f t="shared" si="42"/>
        <v>0</v>
      </c>
      <c r="AF224" s="24">
        <f t="shared" si="42"/>
        <v>0</v>
      </c>
      <c r="AG224" s="24">
        <f t="shared" si="42"/>
        <v>0</v>
      </c>
      <c r="AH224" s="24">
        <f t="shared" si="32"/>
        <v>0</v>
      </c>
      <c r="AI224" s="24">
        <f t="shared" si="39"/>
        <v>0</v>
      </c>
      <c r="AJ224" s="261">
        <f t="shared" si="40"/>
        <v>0</v>
      </c>
      <c r="AK224" s="13"/>
      <c r="AL224" s="100">
        <v>1775</v>
      </c>
      <c r="AM224" s="202"/>
      <c r="AN224" s="200"/>
      <c r="AO224" s="200"/>
      <c r="AP224" s="284">
        <v>0.1145</v>
      </c>
      <c r="AR224" s="222">
        <v>97.284585646754422</v>
      </c>
      <c r="AS224" s="223">
        <v>97.278461605312657</v>
      </c>
      <c r="AT224" s="223">
        <v>95.088276260054201</v>
      </c>
      <c r="AU224" s="223">
        <v>95.234382521723248</v>
      </c>
      <c r="AV224" s="223">
        <v>98.534000000000006</v>
      </c>
      <c r="AW224" s="224">
        <v>97.245499999999993</v>
      </c>
      <c r="AX224" s="42"/>
      <c r="AY224" s="181"/>
      <c r="AZ224" s="197"/>
    </row>
    <row r="225" spans="12:52" ht="13" thickBot="1" x14ac:dyDescent="0.3">
      <c r="L225" s="55">
        <v>1770</v>
      </c>
      <c r="M225" s="274">
        <f t="shared" si="41"/>
        <v>0</v>
      </c>
      <c r="N225" s="275">
        <f t="shared" si="41"/>
        <v>0</v>
      </c>
      <c r="O225" s="276" t="e">
        <f ca="1"/>
        <v>#N/A</v>
      </c>
      <c r="Q225" s="34">
        <v>0</v>
      </c>
      <c r="R225" s="24">
        <v>0</v>
      </c>
      <c r="S225" s="24">
        <v>0</v>
      </c>
      <c r="T225" s="24">
        <v>0</v>
      </c>
      <c r="U225" s="24">
        <f t="array" ref="U225">IF(U$77&gt;" ",(U$628:U$1078),"")</f>
        <v>0</v>
      </c>
      <c r="V225" s="24">
        <f t="array" ref="V225">IF(V$77&gt;" ",(V$628:V$1078),"")</f>
        <v>0</v>
      </c>
      <c r="W225" s="24">
        <f t="array" ref="W225">IF(W$77&gt;" ",(W$628:W$1078),"")</f>
        <v>0</v>
      </c>
      <c r="X225" s="24">
        <f t="array" ref="X225">IF(X$77&gt;" ",(X$628:X$1078),"")</f>
        <v>0</v>
      </c>
      <c r="Y225" s="21">
        <v>0</v>
      </c>
      <c r="Z225" s="34">
        <f t="shared" si="35"/>
        <v>0</v>
      </c>
      <c r="AA225" s="24">
        <f t="shared" si="36"/>
        <v>0</v>
      </c>
      <c r="AB225" s="24">
        <f t="shared" si="37"/>
        <v>0</v>
      </c>
      <c r="AC225" s="24">
        <f t="shared" si="38"/>
        <v>0</v>
      </c>
      <c r="AD225" s="24">
        <f t="shared" si="42"/>
        <v>0</v>
      </c>
      <c r="AE225" s="24">
        <f t="shared" si="42"/>
        <v>0</v>
      </c>
      <c r="AF225" s="24">
        <f t="shared" si="42"/>
        <v>0</v>
      </c>
      <c r="AG225" s="24">
        <f t="shared" si="42"/>
        <v>0</v>
      </c>
      <c r="AH225" s="24">
        <f t="shared" si="32"/>
        <v>0</v>
      </c>
      <c r="AI225" s="24">
        <f t="shared" si="39"/>
        <v>0</v>
      </c>
      <c r="AJ225" s="261">
        <f t="shared" si="40"/>
        <v>0</v>
      </c>
      <c r="AK225" s="13"/>
      <c r="AL225" s="100">
        <v>1770</v>
      </c>
      <c r="AM225" s="202"/>
      <c r="AN225" s="200"/>
      <c r="AO225" s="200"/>
      <c r="AP225" s="283">
        <v>0.14130000000000001</v>
      </c>
      <c r="AR225" s="222">
        <v>97.283986733118738</v>
      </c>
      <c r="AS225" s="223">
        <v>97.273740396517596</v>
      </c>
      <c r="AT225" s="223">
        <v>95.118605006064683</v>
      </c>
      <c r="AU225" s="223">
        <v>95.26213443778596</v>
      </c>
      <c r="AV225" s="223">
        <v>98.528000000000006</v>
      </c>
      <c r="AW225" s="224">
        <v>97.24199999999999</v>
      </c>
      <c r="AX225" s="42"/>
      <c r="AY225" s="181"/>
      <c r="AZ225" s="197"/>
    </row>
    <row r="226" spans="12:52" ht="13" thickBot="1" x14ac:dyDescent="0.3">
      <c r="L226" s="55">
        <v>1765</v>
      </c>
      <c r="M226" s="274">
        <f t="shared" si="41"/>
        <v>0</v>
      </c>
      <c r="N226" s="275">
        <f t="shared" si="41"/>
        <v>0</v>
      </c>
      <c r="O226" s="276" t="e">
        <f ca="1"/>
        <v>#N/A</v>
      </c>
      <c r="Q226" s="34">
        <v>0</v>
      </c>
      <c r="R226" s="24">
        <v>0</v>
      </c>
      <c r="S226" s="24">
        <v>0</v>
      </c>
      <c r="T226" s="24">
        <v>0</v>
      </c>
      <c r="U226" s="24">
        <f t="array" ref="U226">IF(U$77&gt;" ",(U$628:U$1078),"")</f>
        <v>0</v>
      </c>
      <c r="V226" s="24">
        <f t="array" ref="V226">IF(V$77&gt;" ",(V$628:V$1078),"")</f>
        <v>0</v>
      </c>
      <c r="W226" s="24">
        <f t="array" ref="W226">IF(W$77&gt;" ",(W$628:W$1078),"")</f>
        <v>0</v>
      </c>
      <c r="X226" s="24">
        <f t="array" ref="X226">IF(X$77&gt;" ",(X$628:X$1078),"")</f>
        <v>0</v>
      </c>
      <c r="Y226" s="21">
        <v>0</v>
      </c>
      <c r="Z226" s="34">
        <f t="shared" si="35"/>
        <v>0</v>
      </c>
      <c r="AA226" s="24">
        <f t="shared" si="36"/>
        <v>0</v>
      </c>
      <c r="AB226" s="24">
        <f t="shared" si="37"/>
        <v>0</v>
      </c>
      <c r="AC226" s="24">
        <f t="shared" si="38"/>
        <v>0</v>
      </c>
      <c r="AD226" s="24">
        <f t="shared" si="42"/>
        <v>0</v>
      </c>
      <c r="AE226" s="24">
        <f t="shared" si="42"/>
        <v>0</v>
      </c>
      <c r="AF226" s="24">
        <f t="shared" si="42"/>
        <v>0</v>
      </c>
      <c r="AG226" s="24">
        <f t="shared" si="42"/>
        <v>0</v>
      </c>
      <c r="AH226" s="24">
        <f t="shared" si="32"/>
        <v>0</v>
      </c>
      <c r="AI226" s="24">
        <f t="shared" si="39"/>
        <v>0</v>
      </c>
      <c r="AJ226" s="261">
        <f t="shared" si="40"/>
        <v>0</v>
      </c>
      <c r="AK226" s="13"/>
      <c r="AL226" s="100">
        <v>1765</v>
      </c>
      <c r="AM226" s="202"/>
      <c r="AN226" s="200"/>
      <c r="AO226" s="200"/>
      <c r="AP226" s="284">
        <v>0.13250000000000001</v>
      </c>
      <c r="AR226" s="222">
        <v>97.280598745461546</v>
      </c>
      <c r="AS226" s="223">
        <v>97.28854443547101</v>
      </c>
      <c r="AT226" s="223">
        <v>95.15886088979947</v>
      </c>
      <c r="AU226" s="223">
        <v>95.298888831087766</v>
      </c>
      <c r="AV226" s="223">
        <v>98.525000000000006</v>
      </c>
      <c r="AW226" s="224">
        <v>97.238</v>
      </c>
      <c r="AX226" s="42"/>
      <c r="AY226" s="181"/>
      <c r="AZ226" s="197"/>
    </row>
    <row r="227" spans="12:52" ht="13" thickBot="1" x14ac:dyDescent="0.3">
      <c r="L227" s="55">
        <v>1760</v>
      </c>
      <c r="M227" s="274">
        <f t="shared" si="41"/>
        <v>0</v>
      </c>
      <c r="N227" s="275">
        <f t="shared" si="41"/>
        <v>0</v>
      </c>
      <c r="O227" s="276" t="e">
        <f ca="1"/>
        <v>#N/A</v>
      </c>
      <c r="Q227" s="34">
        <v>0</v>
      </c>
      <c r="R227" s="24">
        <v>0</v>
      </c>
      <c r="S227" s="24">
        <v>0</v>
      </c>
      <c r="T227" s="24">
        <v>0</v>
      </c>
      <c r="U227" s="24">
        <f t="array" ref="U227">IF(U$77&gt;" ",(U$628:U$1078),"")</f>
        <v>0</v>
      </c>
      <c r="V227" s="24">
        <f t="array" ref="V227">IF(V$77&gt;" ",(V$628:V$1078),"")</f>
        <v>0</v>
      </c>
      <c r="W227" s="24">
        <f t="array" ref="W227">IF(W$77&gt;" ",(W$628:W$1078),"")</f>
        <v>0</v>
      </c>
      <c r="X227" s="24">
        <f t="array" ref="X227">IF(X$77&gt;" ",(X$628:X$1078),"")</f>
        <v>0</v>
      </c>
      <c r="Y227" s="21">
        <v>0</v>
      </c>
      <c r="Z227" s="34">
        <f t="shared" si="35"/>
        <v>0</v>
      </c>
      <c r="AA227" s="24">
        <f t="shared" si="36"/>
        <v>0</v>
      </c>
      <c r="AB227" s="24">
        <f t="shared" si="37"/>
        <v>0</v>
      </c>
      <c r="AC227" s="24">
        <f t="shared" si="38"/>
        <v>0</v>
      </c>
      <c r="AD227" s="24">
        <f t="shared" si="42"/>
        <v>0</v>
      </c>
      <c r="AE227" s="24">
        <f t="shared" si="42"/>
        <v>0</v>
      </c>
      <c r="AF227" s="24">
        <f t="shared" si="42"/>
        <v>0</v>
      </c>
      <c r="AG227" s="24">
        <f t="shared" si="42"/>
        <v>0</v>
      </c>
      <c r="AH227" s="24">
        <f t="shared" si="32"/>
        <v>0</v>
      </c>
      <c r="AI227" s="24">
        <f t="shared" si="39"/>
        <v>0</v>
      </c>
      <c r="AJ227" s="261">
        <f t="shared" si="40"/>
        <v>0</v>
      </c>
      <c r="AK227" s="13"/>
      <c r="AL227" s="100">
        <v>1760</v>
      </c>
      <c r="AM227" s="202"/>
      <c r="AN227" s="200"/>
      <c r="AO227" s="200"/>
      <c r="AP227" s="283">
        <v>0.1595</v>
      </c>
      <c r="AR227" s="222">
        <v>97.297833533843786</v>
      </c>
      <c r="AS227" s="223">
        <v>97.299795597062086</v>
      </c>
      <c r="AT227" s="223">
        <v>95.189357036426657</v>
      </c>
      <c r="AU227" s="223">
        <v>95.336979935638851</v>
      </c>
      <c r="AV227" s="223">
        <v>98.521999999999991</v>
      </c>
      <c r="AW227" s="224">
        <v>97.233999999999995</v>
      </c>
      <c r="AX227" s="42"/>
      <c r="AY227" s="181"/>
      <c r="AZ227" s="197"/>
    </row>
    <row r="228" spans="12:52" ht="13" thickBot="1" x14ac:dyDescent="0.3">
      <c r="L228" s="55">
        <v>1755</v>
      </c>
      <c r="M228" s="274">
        <f t="shared" si="41"/>
        <v>0</v>
      </c>
      <c r="N228" s="275">
        <f t="shared" si="41"/>
        <v>0</v>
      </c>
      <c r="O228" s="276" t="e">
        <f ca="1"/>
        <v>#N/A</v>
      </c>
      <c r="Q228" s="34">
        <v>0</v>
      </c>
      <c r="R228" s="24">
        <v>0</v>
      </c>
      <c r="S228" s="24">
        <v>0</v>
      </c>
      <c r="T228" s="24">
        <v>0</v>
      </c>
      <c r="U228" s="24">
        <f t="array" ref="U228">IF(U$77&gt;" ",(U$628:U$1078),"")</f>
        <v>0</v>
      </c>
      <c r="V228" s="24">
        <f t="array" ref="V228">IF(V$77&gt;" ",(V$628:V$1078),"")</f>
        <v>0</v>
      </c>
      <c r="W228" s="24">
        <f t="array" ref="W228">IF(W$77&gt;" ",(W$628:W$1078),"")</f>
        <v>0</v>
      </c>
      <c r="X228" s="24">
        <f t="array" ref="X228">IF(X$77&gt;" ",(X$628:X$1078),"")</f>
        <v>0</v>
      </c>
      <c r="Y228" s="21">
        <v>0</v>
      </c>
      <c r="Z228" s="34">
        <f t="shared" si="35"/>
        <v>0</v>
      </c>
      <c r="AA228" s="24">
        <f t="shared" si="36"/>
        <v>0</v>
      </c>
      <c r="AB228" s="24">
        <f t="shared" si="37"/>
        <v>0</v>
      </c>
      <c r="AC228" s="24">
        <f t="shared" si="38"/>
        <v>0</v>
      </c>
      <c r="AD228" s="24">
        <f t="shared" si="42"/>
        <v>0</v>
      </c>
      <c r="AE228" s="24">
        <f t="shared" si="42"/>
        <v>0</v>
      </c>
      <c r="AF228" s="24">
        <f t="shared" si="42"/>
        <v>0</v>
      </c>
      <c r="AG228" s="24">
        <f t="shared" si="42"/>
        <v>0</v>
      </c>
      <c r="AH228" s="24">
        <f t="shared" si="32"/>
        <v>0</v>
      </c>
      <c r="AI228" s="24">
        <f t="shared" si="39"/>
        <v>0</v>
      </c>
      <c r="AJ228" s="261">
        <f t="shared" si="40"/>
        <v>0</v>
      </c>
      <c r="AK228" s="13"/>
      <c r="AL228" s="100">
        <v>1755</v>
      </c>
      <c r="AM228" s="202"/>
      <c r="AN228" s="200"/>
      <c r="AO228" s="200"/>
      <c r="AP228" s="284">
        <v>0.15260000000000001</v>
      </c>
      <c r="AR228" s="222">
        <v>97.30871963652568</v>
      </c>
      <c r="AS228" s="223">
        <v>97.3184965886486</v>
      </c>
      <c r="AT228" s="223">
        <v>95.214996967767476</v>
      </c>
      <c r="AU228" s="223">
        <v>95.362985829423295</v>
      </c>
      <c r="AV228" s="223">
        <v>98.516499999999994</v>
      </c>
      <c r="AW228" s="224">
        <v>97.228999999999999</v>
      </c>
      <c r="AX228" s="42"/>
      <c r="AY228" s="181"/>
      <c r="AZ228" s="197"/>
    </row>
    <row r="229" spans="12:52" ht="13" thickBot="1" x14ac:dyDescent="0.3">
      <c r="L229" s="55">
        <v>1750</v>
      </c>
      <c r="M229" s="274">
        <f t="shared" si="41"/>
        <v>0</v>
      </c>
      <c r="N229" s="275">
        <f t="shared" si="41"/>
        <v>0</v>
      </c>
      <c r="O229" s="276" t="e">
        <f ca="1"/>
        <v>#N/A</v>
      </c>
      <c r="Q229" s="34">
        <v>0</v>
      </c>
      <c r="R229" s="24">
        <v>0</v>
      </c>
      <c r="S229" s="24">
        <v>0</v>
      </c>
      <c r="T229" s="24">
        <v>0</v>
      </c>
      <c r="U229" s="24">
        <f t="array" ref="U229">IF(U$77&gt;" ",(U$628:U$1078),"")</f>
        <v>0</v>
      </c>
      <c r="V229" s="24">
        <f t="array" ref="V229">IF(V$77&gt;" ",(V$628:V$1078),"")</f>
        <v>0</v>
      </c>
      <c r="W229" s="24">
        <f t="array" ref="W229">IF(W$77&gt;" ",(W$628:W$1078),"")</f>
        <v>0</v>
      </c>
      <c r="X229" s="24">
        <f t="array" ref="X229">IF(X$77&gt;" ",(X$628:X$1078),"")</f>
        <v>0</v>
      </c>
      <c r="Y229" s="21">
        <v>0</v>
      </c>
      <c r="Z229" s="34">
        <f t="shared" si="35"/>
        <v>0</v>
      </c>
      <c r="AA229" s="24">
        <f t="shared" si="36"/>
        <v>0</v>
      </c>
      <c r="AB229" s="24">
        <f t="shared" si="37"/>
        <v>0</v>
      </c>
      <c r="AC229" s="24">
        <f t="shared" si="38"/>
        <v>0</v>
      </c>
      <c r="AD229" s="24">
        <f t="shared" si="42"/>
        <v>0</v>
      </c>
      <c r="AE229" s="24">
        <f t="shared" si="42"/>
        <v>0</v>
      </c>
      <c r="AF229" s="24">
        <f t="shared" si="42"/>
        <v>0</v>
      </c>
      <c r="AG229" s="24">
        <f t="shared" si="42"/>
        <v>0</v>
      </c>
      <c r="AH229" s="24">
        <f t="shared" si="32"/>
        <v>0</v>
      </c>
      <c r="AI229" s="24">
        <f t="shared" si="39"/>
        <v>0</v>
      </c>
      <c r="AJ229" s="261">
        <f t="shared" si="40"/>
        <v>0</v>
      </c>
      <c r="AK229" s="13"/>
      <c r="AL229" s="100">
        <v>1750</v>
      </c>
      <c r="AM229" s="202"/>
      <c r="AN229" s="200"/>
      <c r="AO229" s="200"/>
      <c r="AP229" s="283">
        <v>0.16520000000000001</v>
      </c>
      <c r="AR229" s="222">
        <v>97.323921237603784</v>
      </c>
      <c r="AS229" s="223">
        <v>97.325557236881863</v>
      </c>
      <c r="AT229" s="223">
        <v>95.234730058278771</v>
      </c>
      <c r="AU229" s="223">
        <v>95.383748784818138</v>
      </c>
      <c r="AV229" s="223">
        <v>98.51100000000001</v>
      </c>
      <c r="AW229" s="224">
        <v>97.224000000000004</v>
      </c>
      <c r="AX229" s="42"/>
      <c r="AY229" s="181"/>
      <c r="AZ229" s="197"/>
    </row>
    <row r="230" spans="12:52" ht="13" thickBot="1" x14ac:dyDescent="0.3">
      <c r="L230" s="55">
        <v>1745</v>
      </c>
      <c r="M230" s="274">
        <f t="shared" si="41"/>
        <v>0</v>
      </c>
      <c r="N230" s="275">
        <f t="shared" si="41"/>
        <v>0</v>
      </c>
      <c r="O230" s="276" t="e">
        <f ca="1"/>
        <v>#N/A</v>
      </c>
      <c r="Q230" s="34">
        <v>0</v>
      </c>
      <c r="R230" s="24">
        <v>0</v>
      </c>
      <c r="S230" s="24">
        <v>0</v>
      </c>
      <c r="T230" s="24">
        <v>0</v>
      </c>
      <c r="U230" s="24">
        <f t="array" ref="U230">IF(U$77&gt;" ",(U$628:U$1078),"")</f>
        <v>0</v>
      </c>
      <c r="V230" s="24">
        <f t="array" ref="V230">IF(V$77&gt;" ",(V$628:V$1078),"")</f>
        <v>0</v>
      </c>
      <c r="W230" s="24">
        <f t="array" ref="W230">IF(W$77&gt;" ",(W$628:W$1078),"")</f>
        <v>0</v>
      </c>
      <c r="X230" s="24">
        <f t="array" ref="X230">IF(X$77&gt;" ",(X$628:X$1078),"")</f>
        <v>0</v>
      </c>
      <c r="Y230" s="21">
        <v>0</v>
      </c>
      <c r="Z230" s="34">
        <f t="shared" si="35"/>
        <v>0</v>
      </c>
      <c r="AA230" s="24">
        <f t="shared" si="36"/>
        <v>0</v>
      </c>
      <c r="AB230" s="24">
        <f t="shared" si="37"/>
        <v>0</v>
      </c>
      <c r="AC230" s="24">
        <f t="shared" si="38"/>
        <v>0</v>
      </c>
      <c r="AD230" s="24">
        <f t="shared" si="42"/>
        <v>0</v>
      </c>
      <c r="AE230" s="24">
        <f t="shared" si="42"/>
        <v>0</v>
      </c>
      <c r="AF230" s="24">
        <f t="shared" si="42"/>
        <v>0</v>
      </c>
      <c r="AG230" s="24">
        <f t="shared" si="42"/>
        <v>0</v>
      </c>
      <c r="AH230" s="24">
        <f t="shared" si="32"/>
        <v>0</v>
      </c>
      <c r="AI230" s="24">
        <f t="shared" si="39"/>
        <v>0</v>
      </c>
      <c r="AJ230" s="261">
        <f t="shared" si="40"/>
        <v>0</v>
      </c>
      <c r="AK230" s="13"/>
      <c r="AL230" s="100">
        <v>1745</v>
      </c>
      <c r="AM230" s="202"/>
      <c r="AN230" s="200"/>
      <c r="AO230" s="200"/>
      <c r="AP230" s="284">
        <v>0.15440000000000001</v>
      </c>
      <c r="AR230" s="222">
        <v>97.317698196216256</v>
      </c>
      <c r="AS230" s="223">
        <v>97.326875007346317</v>
      </c>
      <c r="AT230" s="223">
        <v>95.258992964920481</v>
      </c>
      <c r="AU230" s="223">
        <v>95.415630612383509</v>
      </c>
      <c r="AV230" s="223">
        <v>98.505499999999998</v>
      </c>
      <c r="AW230" s="224">
        <v>97.22</v>
      </c>
      <c r="AX230" s="42"/>
      <c r="AY230" s="181"/>
      <c r="AZ230" s="197"/>
    </row>
    <row r="231" spans="12:52" ht="13" thickBot="1" x14ac:dyDescent="0.3">
      <c r="L231" s="55">
        <v>1740</v>
      </c>
      <c r="M231" s="274">
        <f t="shared" si="41"/>
        <v>0</v>
      </c>
      <c r="N231" s="275">
        <f t="shared" si="41"/>
        <v>0</v>
      </c>
      <c r="O231" s="276" t="e">
        <f ca="1"/>
        <v>#N/A</v>
      </c>
      <c r="Q231" s="34">
        <v>0</v>
      </c>
      <c r="R231" s="24">
        <v>0</v>
      </c>
      <c r="S231" s="24">
        <v>0</v>
      </c>
      <c r="T231" s="24">
        <v>0</v>
      </c>
      <c r="U231" s="24">
        <f t="array" ref="U231">IF(U$77&gt;" ",(U$628:U$1078),"")</f>
        <v>0</v>
      </c>
      <c r="V231" s="24">
        <f t="array" ref="V231">IF(V$77&gt;" ",(V$628:V$1078),"")</f>
        <v>0</v>
      </c>
      <c r="W231" s="24">
        <f t="array" ref="W231">IF(W$77&gt;" ",(W$628:W$1078),"")</f>
        <v>0</v>
      </c>
      <c r="X231" s="24">
        <f t="array" ref="X231">IF(X$77&gt;" ",(X$628:X$1078),"")</f>
        <v>0</v>
      </c>
      <c r="Y231" s="21">
        <v>0</v>
      </c>
      <c r="Z231" s="34">
        <f t="shared" si="35"/>
        <v>0</v>
      </c>
      <c r="AA231" s="24">
        <f t="shared" si="36"/>
        <v>0</v>
      </c>
      <c r="AB231" s="24">
        <f t="shared" si="37"/>
        <v>0</v>
      </c>
      <c r="AC231" s="24">
        <f t="shared" si="38"/>
        <v>0</v>
      </c>
      <c r="AD231" s="24">
        <f t="shared" si="42"/>
        <v>0</v>
      </c>
      <c r="AE231" s="24">
        <f t="shared" si="42"/>
        <v>0</v>
      </c>
      <c r="AF231" s="24">
        <f t="shared" si="42"/>
        <v>0</v>
      </c>
      <c r="AG231" s="24">
        <f t="shared" si="42"/>
        <v>0</v>
      </c>
      <c r="AH231" s="24">
        <f t="shared" si="32"/>
        <v>0</v>
      </c>
      <c r="AI231" s="24">
        <f t="shared" si="39"/>
        <v>0</v>
      </c>
      <c r="AJ231" s="261">
        <f t="shared" si="40"/>
        <v>0</v>
      </c>
      <c r="AK231" s="13"/>
      <c r="AL231" s="100">
        <v>1740</v>
      </c>
      <c r="AM231" s="202"/>
      <c r="AN231" s="200"/>
      <c r="AO231" s="200"/>
      <c r="AP231" s="283">
        <v>0.16769999999999999</v>
      </c>
      <c r="AR231" s="222">
        <v>97.331160412826932</v>
      </c>
      <c r="AS231" s="223">
        <v>97.331750887358396</v>
      </c>
      <c r="AT231" s="223">
        <v>95.293763471675661</v>
      </c>
      <c r="AU231" s="223">
        <v>95.45544511824319</v>
      </c>
      <c r="AV231" s="223">
        <v>98.5</v>
      </c>
      <c r="AW231" s="224">
        <v>97.216000000000008</v>
      </c>
      <c r="AX231" s="42"/>
      <c r="AY231" s="181"/>
      <c r="AZ231" s="197"/>
    </row>
    <row r="232" spans="12:52" ht="13" thickBot="1" x14ac:dyDescent="0.3">
      <c r="L232" s="55">
        <v>1735</v>
      </c>
      <c r="M232" s="274">
        <f t="shared" si="41"/>
        <v>0</v>
      </c>
      <c r="N232" s="275">
        <f t="shared" si="41"/>
        <v>0</v>
      </c>
      <c r="O232" s="276" t="e">
        <f ca="1"/>
        <v>#N/A</v>
      </c>
      <c r="Q232" s="34">
        <v>0</v>
      </c>
      <c r="R232" s="24">
        <v>0</v>
      </c>
      <c r="S232" s="24">
        <v>0</v>
      </c>
      <c r="T232" s="24">
        <v>0</v>
      </c>
      <c r="U232" s="24">
        <f t="array" ref="U232">IF(U$77&gt;" ",(U$628:U$1078),"")</f>
        <v>0</v>
      </c>
      <c r="V232" s="24">
        <f t="array" ref="V232">IF(V$77&gt;" ",(V$628:V$1078),"")</f>
        <v>0</v>
      </c>
      <c r="W232" s="24">
        <f t="array" ref="W232">IF(W$77&gt;" ",(W$628:W$1078),"")</f>
        <v>0</v>
      </c>
      <c r="X232" s="24">
        <f t="array" ref="X232">IF(X$77&gt;" ",(X$628:X$1078),"")</f>
        <v>0</v>
      </c>
      <c r="Y232" s="21">
        <v>0</v>
      </c>
      <c r="Z232" s="34">
        <f t="shared" si="35"/>
        <v>0</v>
      </c>
      <c r="AA232" s="24">
        <f t="shared" si="36"/>
        <v>0</v>
      </c>
      <c r="AB232" s="24">
        <f t="shared" si="37"/>
        <v>0</v>
      </c>
      <c r="AC232" s="24">
        <f t="shared" si="38"/>
        <v>0</v>
      </c>
      <c r="AD232" s="24">
        <f t="shared" si="42"/>
        <v>0</v>
      </c>
      <c r="AE232" s="24">
        <f t="shared" si="42"/>
        <v>0</v>
      </c>
      <c r="AF232" s="24">
        <f t="shared" si="42"/>
        <v>0</v>
      </c>
      <c r="AG232" s="24">
        <f t="shared" si="42"/>
        <v>0</v>
      </c>
      <c r="AH232" s="24">
        <f t="shared" si="32"/>
        <v>0</v>
      </c>
      <c r="AI232" s="24">
        <f t="shared" si="39"/>
        <v>0</v>
      </c>
      <c r="AJ232" s="261">
        <f t="shared" si="40"/>
        <v>0</v>
      </c>
      <c r="AK232" s="13"/>
      <c r="AL232" s="100">
        <v>1735</v>
      </c>
      <c r="AM232" s="202"/>
      <c r="AN232" s="200"/>
      <c r="AO232" s="200"/>
      <c r="AP232" s="284">
        <v>0.16109999999999999</v>
      </c>
      <c r="AR232" s="222">
        <v>97.34654505474515</v>
      </c>
      <c r="AS232" s="223">
        <v>97.345062708858123</v>
      </c>
      <c r="AT232" s="223">
        <v>95.319471600110049</v>
      </c>
      <c r="AU232" s="223">
        <v>95.47150580854283</v>
      </c>
      <c r="AV232" s="223">
        <v>98.495500000000007</v>
      </c>
      <c r="AW232" s="224">
        <v>97.212500000000006</v>
      </c>
      <c r="AX232" s="42"/>
      <c r="AY232" s="181"/>
      <c r="AZ232" s="197"/>
    </row>
    <row r="233" spans="12:52" ht="13" thickBot="1" x14ac:dyDescent="0.3">
      <c r="L233" s="55">
        <v>1730</v>
      </c>
      <c r="M233" s="274">
        <f t="shared" si="41"/>
        <v>0</v>
      </c>
      <c r="N233" s="275">
        <f t="shared" si="41"/>
        <v>0</v>
      </c>
      <c r="O233" s="276" t="e">
        <f ca="1"/>
        <v>#N/A</v>
      </c>
      <c r="Q233" s="34">
        <v>0</v>
      </c>
      <c r="R233" s="24">
        <v>0</v>
      </c>
      <c r="S233" s="24">
        <v>0</v>
      </c>
      <c r="T233" s="24">
        <v>0</v>
      </c>
      <c r="U233" s="24">
        <f t="array" ref="U233">IF(U$77&gt;" ",(U$628:U$1078),"")</f>
        <v>0</v>
      </c>
      <c r="V233" s="24">
        <f t="array" ref="V233">IF(V$77&gt;" ",(V$628:V$1078),"")</f>
        <v>0</v>
      </c>
      <c r="W233" s="24">
        <f t="array" ref="W233">IF(W$77&gt;" ",(W$628:W$1078),"")</f>
        <v>0</v>
      </c>
      <c r="X233" s="24">
        <f t="array" ref="X233">IF(X$77&gt;" ",(X$628:X$1078),"")</f>
        <v>0</v>
      </c>
      <c r="Y233" s="21">
        <v>0</v>
      </c>
      <c r="Z233" s="34">
        <f t="shared" si="35"/>
        <v>0</v>
      </c>
      <c r="AA233" s="24">
        <f t="shared" si="36"/>
        <v>0</v>
      </c>
      <c r="AB233" s="24">
        <f t="shared" si="37"/>
        <v>0</v>
      </c>
      <c r="AC233" s="24">
        <f t="shared" si="38"/>
        <v>0</v>
      </c>
      <c r="AD233" s="24">
        <f t="shared" si="42"/>
        <v>0</v>
      </c>
      <c r="AE233" s="24">
        <f t="shared" si="42"/>
        <v>0</v>
      </c>
      <c r="AF233" s="24">
        <f t="shared" si="42"/>
        <v>0</v>
      </c>
      <c r="AG233" s="24">
        <f t="shared" si="42"/>
        <v>0</v>
      </c>
      <c r="AH233" s="24">
        <f t="shared" ref="AH233:AH283" si="43">Y233</f>
        <v>0</v>
      </c>
      <c r="AI233" s="24">
        <f t="shared" si="39"/>
        <v>0</v>
      </c>
      <c r="AJ233" s="261">
        <f t="shared" si="40"/>
        <v>0</v>
      </c>
      <c r="AK233" s="13"/>
      <c r="AL233" s="100">
        <v>1730</v>
      </c>
      <c r="AM233" s="202"/>
      <c r="AN233" s="200"/>
      <c r="AO233" s="200"/>
      <c r="AP233" s="283">
        <v>0.1736</v>
      </c>
      <c r="AR233" s="222">
        <v>97.348248238922608</v>
      </c>
      <c r="AS233" s="223">
        <v>97.352272578324758</v>
      </c>
      <c r="AT233" s="223">
        <v>95.346158888708146</v>
      </c>
      <c r="AU233" s="223">
        <v>95.500366767095031</v>
      </c>
      <c r="AV233" s="223">
        <v>98.491</v>
      </c>
      <c r="AW233" s="224">
        <v>97.209000000000003</v>
      </c>
      <c r="AX233" s="42"/>
      <c r="AY233" s="181"/>
      <c r="AZ233" s="197"/>
    </row>
    <row r="234" spans="12:52" ht="13" thickBot="1" x14ac:dyDescent="0.3">
      <c r="L234" s="55">
        <v>1725</v>
      </c>
      <c r="M234" s="274">
        <f t="shared" si="41"/>
        <v>0</v>
      </c>
      <c r="N234" s="275">
        <f t="shared" si="41"/>
        <v>0</v>
      </c>
      <c r="O234" s="276" t="e">
        <f ca="1"/>
        <v>#N/A</v>
      </c>
      <c r="Q234" s="34">
        <v>0</v>
      </c>
      <c r="R234" s="24">
        <v>0</v>
      </c>
      <c r="S234" s="24">
        <v>0</v>
      </c>
      <c r="T234" s="24">
        <v>0</v>
      </c>
      <c r="U234" s="24">
        <f t="array" ref="U234">IF(U$77&gt;" ",(U$628:U$1078),"")</f>
        <v>0</v>
      </c>
      <c r="V234" s="24">
        <f t="array" ref="V234">IF(V$77&gt;" ",(V$628:V$1078),"")</f>
        <v>0</v>
      </c>
      <c r="W234" s="24">
        <f t="array" ref="W234">IF(W$77&gt;" ",(W$628:W$1078),"")</f>
        <v>0</v>
      </c>
      <c r="X234" s="24">
        <f t="array" ref="X234">IF(X$77&gt;" ",(X$628:X$1078),"")</f>
        <v>0</v>
      </c>
      <c r="Y234" s="21">
        <v>0</v>
      </c>
      <c r="Z234" s="34">
        <f t="shared" si="35"/>
        <v>0</v>
      </c>
      <c r="AA234" s="24">
        <f t="shared" si="36"/>
        <v>0</v>
      </c>
      <c r="AB234" s="24">
        <f t="shared" si="37"/>
        <v>0</v>
      </c>
      <c r="AC234" s="24">
        <f t="shared" si="38"/>
        <v>0</v>
      </c>
      <c r="AD234" s="24">
        <f t="shared" si="42"/>
        <v>0</v>
      </c>
      <c r="AE234" s="24">
        <f t="shared" si="42"/>
        <v>0</v>
      </c>
      <c r="AF234" s="24">
        <f t="shared" si="42"/>
        <v>0</v>
      </c>
      <c r="AG234" s="24">
        <f t="shared" si="42"/>
        <v>0</v>
      </c>
      <c r="AH234" s="24">
        <f t="shared" si="43"/>
        <v>0</v>
      </c>
      <c r="AI234" s="24">
        <f t="shared" si="39"/>
        <v>0</v>
      </c>
      <c r="AJ234" s="261">
        <f t="shared" si="40"/>
        <v>0</v>
      </c>
      <c r="AK234" s="13"/>
      <c r="AL234" s="100">
        <v>1725</v>
      </c>
      <c r="AM234" s="202"/>
      <c r="AN234" s="200"/>
      <c r="AO234" s="200"/>
      <c r="AP234" s="284">
        <v>0.17760000000000001</v>
      </c>
      <c r="AR234" s="222">
        <v>97.362578195027822</v>
      </c>
      <c r="AS234" s="223">
        <v>97.378366309333913</v>
      </c>
      <c r="AT234" s="223">
        <v>95.367731596168767</v>
      </c>
      <c r="AU234" s="223">
        <v>95.532749235193322</v>
      </c>
      <c r="AV234" s="223">
        <v>98.48599999999999</v>
      </c>
      <c r="AW234" s="224">
        <v>97.204999999999998</v>
      </c>
      <c r="AX234" s="42"/>
      <c r="AY234" s="181"/>
      <c r="AZ234" s="197"/>
    </row>
    <row r="235" spans="12:52" ht="13" thickBot="1" x14ac:dyDescent="0.3">
      <c r="L235" s="55">
        <v>1720</v>
      </c>
      <c r="M235" s="274">
        <f t="shared" si="41"/>
        <v>0</v>
      </c>
      <c r="N235" s="275">
        <f t="shared" si="41"/>
        <v>0</v>
      </c>
      <c r="O235" s="276" t="e">
        <f ca="1"/>
        <v>#N/A</v>
      </c>
      <c r="Q235" s="34">
        <v>0</v>
      </c>
      <c r="R235" s="24">
        <v>0</v>
      </c>
      <c r="S235" s="24">
        <v>0</v>
      </c>
      <c r="T235" s="24">
        <v>0</v>
      </c>
      <c r="U235" s="24">
        <f t="array" ref="U235">IF(U$77&gt;" ",(U$628:U$1078),"")</f>
        <v>0</v>
      </c>
      <c r="V235" s="24">
        <f t="array" ref="V235">IF(V$77&gt;" ",(V$628:V$1078),"")</f>
        <v>0</v>
      </c>
      <c r="W235" s="24">
        <f t="array" ref="W235">IF(W$77&gt;" ",(W$628:W$1078),"")</f>
        <v>0</v>
      </c>
      <c r="X235" s="24">
        <f t="array" ref="X235">IF(X$77&gt;" ",(X$628:X$1078),"")</f>
        <v>0</v>
      </c>
      <c r="Y235" s="21">
        <v>0</v>
      </c>
      <c r="Z235" s="34">
        <f t="shared" si="35"/>
        <v>0</v>
      </c>
      <c r="AA235" s="24">
        <f t="shared" si="36"/>
        <v>0</v>
      </c>
      <c r="AB235" s="24">
        <f t="shared" si="37"/>
        <v>0</v>
      </c>
      <c r="AC235" s="24">
        <f t="shared" si="38"/>
        <v>0</v>
      </c>
      <c r="AD235" s="24">
        <f t="shared" si="42"/>
        <v>0</v>
      </c>
      <c r="AE235" s="24">
        <f t="shared" si="42"/>
        <v>0</v>
      </c>
      <c r="AF235" s="24">
        <f t="shared" si="42"/>
        <v>0</v>
      </c>
      <c r="AG235" s="24">
        <f t="shared" si="42"/>
        <v>0</v>
      </c>
      <c r="AH235" s="24">
        <f t="shared" si="43"/>
        <v>0</v>
      </c>
      <c r="AI235" s="24">
        <f t="shared" si="39"/>
        <v>0</v>
      </c>
      <c r="AJ235" s="261">
        <f t="shared" si="40"/>
        <v>0</v>
      </c>
      <c r="AK235" s="13"/>
      <c r="AL235" s="100">
        <v>1720</v>
      </c>
      <c r="AM235" s="202"/>
      <c r="AN235" s="200"/>
      <c r="AO235" s="200"/>
      <c r="AP235" s="283">
        <v>0.18640000000000001</v>
      </c>
      <c r="AR235" s="222">
        <v>97.36899708352189</v>
      </c>
      <c r="AS235" s="223">
        <v>97.389487209863205</v>
      </c>
      <c r="AT235" s="223">
        <v>95.380383890481127</v>
      </c>
      <c r="AU235" s="223">
        <v>95.545688950583667</v>
      </c>
      <c r="AV235" s="223">
        <v>98.480999999999995</v>
      </c>
      <c r="AW235" s="224">
        <v>97.201000000000008</v>
      </c>
      <c r="AX235" s="42"/>
      <c r="AY235" s="181"/>
      <c r="AZ235" s="197"/>
    </row>
    <row r="236" spans="12:52" ht="13" thickBot="1" x14ac:dyDescent="0.3">
      <c r="L236" s="55">
        <v>1715</v>
      </c>
      <c r="M236" s="274">
        <f t="shared" si="41"/>
        <v>0</v>
      </c>
      <c r="N236" s="275">
        <f t="shared" si="41"/>
        <v>0</v>
      </c>
      <c r="O236" s="276" t="e">
        <f ca="1"/>
        <v>#N/A</v>
      </c>
      <c r="Q236" s="34">
        <v>0</v>
      </c>
      <c r="R236" s="24">
        <v>0</v>
      </c>
      <c r="S236" s="24">
        <v>0</v>
      </c>
      <c r="T236" s="24">
        <v>0</v>
      </c>
      <c r="U236" s="24">
        <f t="array" ref="U236">IF(U$77&gt;" ",(U$628:U$1078),"")</f>
        <v>0</v>
      </c>
      <c r="V236" s="24">
        <f t="array" ref="V236">IF(V$77&gt;" ",(V$628:V$1078),"")</f>
        <v>0</v>
      </c>
      <c r="W236" s="24">
        <f t="array" ref="W236">IF(W$77&gt;" ",(W$628:W$1078),"")</f>
        <v>0</v>
      </c>
      <c r="X236" s="24">
        <f t="array" ref="X236">IF(X$77&gt;" ",(X$628:X$1078),"")</f>
        <v>0</v>
      </c>
      <c r="Y236" s="21">
        <v>0</v>
      </c>
      <c r="Z236" s="34">
        <f t="shared" si="35"/>
        <v>0</v>
      </c>
      <c r="AA236" s="24">
        <f t="shared" si="36"/>
        <v>0</v>
      </c>
      <c r="AB236" s="24">
        <f t="shared" si="37"/>
        <v>0</v>
      </c>
      <c r="AC236" s="24">
        <f t="shared" si="38"/>
        <v>0</v>
      </c>
      <c r="AD236" s="24">
        <f t="shared" si="42"/>
        <v>0</v>
      </c>
      <c r="AE236" s="24">
        <f t="shared" si="42"/>
        <v>0</v>
      </c>
      <c r="AF236" s="24">
        <f t="shared" si="42"/>
        <v>0</v>
      </c>
      <c r="AG236" s="24">
        <f t="shared" si="42"/>
        <v>0</v>
      </c>
      <c r="AH236" s="24">
        <f t="shared" si="43"/>
        <v>0</v>
      </c>
      <c r="AI236" s="24">
        <f t="shared" si="39"/>
        <v>0</v>
      </c>
      <c r="AJ236" s="261">
        <f t="shared" si="40"/>
        <v>0</v>
      </c>
      <c r="AK236" s="13"/>
      <c r="AL236" s="100">
        <v>1715</v>
      </c>
      <c r="AM236" s="202"/>
      <c r="AN236" s="200"/>
      <c r="AO236" s="200"/>
      <c r="AP236" s="284">
        <v>0.18909999999999999</v>
      </c>
      <c r="AR236" s="222">
        <v>97.359486680123482</v>
      </c>
      <c r="AS236" s="223">
        <v>97.369886440371104</v>
      </c>
      <c r="AT236" s="223">
        <v>95.406064064878251</v>
      </c>
      <c r="AU236" s="223">
        <v>95.570064750661103</v>
      </c>
      <c r="AV236" s="223">
        <v>98.477000000000004</v>
      </c>
      <c r="AW236" s="224">
        <v>97.195999999999998</v>
      </c>
      <c r="AX236" s="42"/>
      <c r="AY236" s="181"/>
      <c r="AZ236" s="197"/>
    </row>
    <row r="237" spans="12:52" ht="13" thickBot="1" x14ac:dyDescent="0.3">
      <c r="L237" s="55">
        <v>1710</v>
      </c>
      <c r="M237" s="274">
        <f t="shared" si="41"/>
        <v>0</v>
      </c>
      <c r="N237" s="275">
        <f t="shared" si="41"/>
        <v>0</v>
      </c>
      <c r="O237" s="276" t="e">
        <f ca="1"/>
        <v>#N/A</v>
      </c>
      <c r="Q237" s="34">
        <v>0</v>
      </c>
      <c r="R237" s="24">
        <v>0</v>
      </c>
      <c r="S237" s="24">
        <v>0</v>
      </c>
      <c r="T237" s="24">
        <v>0</v>
      </c>
      <c r="U237" s="24">
        <f t="array" ref="U237">IF(U$77&gt;" ",(U$628:U$1078),"")</f>
        <v>0</v>
      </c>
      <c r="V237" s="24">
        <f t="array" ref="V237">IF(V$77&gt;" ",(V$628:V$1078),"")</f>
        <v>0</v>
      </c>
      <c r="W237" s="24">
        <f t="array" ref="W237">IF(W$77&gt;" ",(W$628:W$1078),"")</f>
        <v>0</v>
      </c>
      <c r="X237" s="24">
        <f t="array" ref="X237">IF(X$77&gt;" ",(X$628:X$1078),"")</f>
        <v>0</v>
      </c>
      <c r="Y237" s="21">
        <v>0</v>
      </c>
      <c r="Z237" s="34">
        <f t="shared" si="35"/>
        <v>0</v>
      </c>
      <c r="AA237" s="24">
        <f t="shared" si="36"/>
        <v>0</v>
      </c>
      <c r="AB237" s="24">
        <f t="shared" si="37"/>
        <v>0</v>
      </c>
      <c r="AC237" s="24">
        <f t="shared" si="38"/>
        <v>0</v>
      </c>
      <c r="AD237" s="24">
        <f t="shared" si="42"/>
        <v>0</v>
      </c>
      <c r="AE237" s="24">
        <f t="shared" si="42"/>
        <v>0</v>
      </c>
      <c r="AF237" s="24">
        <f t="shared" si="42"/>
        <v>0</v>
      </c>
      <c r="AG237" s="24">
        <f t="shared" si="42"/>
        <v>0</v>
      </c>
      <c r="AH237" s="24">
        <f t="shared" si="43"/>
        <v>0</v>
      </c>
      <c r="AI237" s="24">
        <f t="shared" si="39"/>
        <v>0</v>
      </c>
      <c r="AJ237" s="261">
        <f t="shared" si="40"/>
        <v>0</v>
      </c>
      <c r="AK237" s="13"/>
      <c r="AL237" s="100">
        <v>1710</v>
      </c>
      <c r="AM237" s="202"/>
      <c r="AN237" s="200"/>
      <c r="AO237" s="200"/>
      <c r="AP237" s="283">
        <v>0.18740000000000001</v>
      </c>
      <c r="AR237" s="222">
        <v>97.364915063559522</v>
      </c>
      <c r="AS237" s="223">
        <v>97.377001884868392</v>
      </c>
      <c r="AT237" s="223">
        <v>95.439452111002822</v>
      </c>
      <c r="AU237" s="223">
        <v>95.605029549321856</v>
      </c>
      <c r="AV237" s="223">
        <v>98.472999999999999</v>
      </c>
      <c r="AW237" s="224">
        <v>97.191000000000003</v>
      </c>
      <c r="AX237" s="42"/>
      <c r="AY237" s="181"/>
      <c r="AZ237" s="197"/>
    </row>
    <row r="238" spans="12:52" ht="13" thickBot="1" x14ac:dyDescent="0.3">
      <c r="L238" s="55">
        <v>1705</v>
      </c>
      <c r="M238" s="274">
        <f t="shared" si="41"/>
        <v>0</v>
      </c>
      <c r="N238" s="275">
        <f t="shared" si="41"/>
        <v>0</v>
      </c>
      <c r="O238" s="276" t="e">
        <f ca="1"/>
        <v>#N/A</v>
      </c>
      <c r="Q238" s="34">
        <v>0</v>
      </c>
      <c r="R238" s="24">
        <v>0</v>
      </c>
      <c r="S238" s="24">
        <v>0</v>
      </c>
      <c r="T238" s="24">
        <v>0</v>
      </c>
      <c r="U238" s="24">
        <f t="array" ref="U238">IF(U$77&gt;" ",(U$628:U$1078),"")</f>
        <v>0</v>
      </c>
      <c r="V238" s="24">
        <f t="array" ref="V238">IF(V$77&gt;" ",(V$628:V$1078),"")</f>
        <v>0</v>
      </c>
      <c r="W238" s="24">
        <f t="array" ref="W238">IF(W$77&gt;" ",(W$628:W$1078),"")</f>
        <v>0</v>
      </c>
      <c r="X238" s="24">
        <f t="array" ref="X238">IF(X$77&gt;" ",(X$628:X$1078),"")</f>
        <v>0</v>
      </c>
      <c r="Y238" s="21">
        <v>0</v>
      </c>
      <c r="Z238" s="34">
        <f t="shared" si="35"/>
        <v>0</v>
      </c>
      <c r="AA238" s="24">
        <f t="shared" si="36"/>
        <v>0</v>
      </c>
      <c r="AB238" s="24">
        <f t="shared" si="37"/>
        <v>0</v>
      </c>
      <c r="AC238" s="24">
        <f t="shared" si="38"/>
        <v>0</v>
      </c>
      <c r="AD238" s="24">
        <f t="shared" si="42"/>
        <v>0</v>
      </c>
      <c r="AE238" s="24">
        <f t="shared" si="42"/>
        <v>0</v>
      </c>
      <c r="AF238" s="24">
        <f t="shared" si="42"/>
        <v>0</v>
      </c>
      <c r="AG238" s="24">
        <f t="shared" si="42"/>
        <v>0</v>
      </c>
      <c r="AH238" s="24">
        <f t="shared" si="43"/>
        <v>0</v>
      </c>
      <c r="AI238" s="24">
        <f t="shared" si="39"/>
        <v>0</v>
      </c>
      <c r="AJ238" s="261">
        <f t="shared" si="40"/>
        <v>0</v>
      </c>
      <c r="AK238" s="13"/>
      <c r="AL238" s="100">
        <v>1705</v>
      </c>
      <c r="AM238" s="202"/>
      <c r="AN238" s="200"/>
      <c r="AO238" s="200"/>
      <c r="AP238" s="284">
        <v>0.19719999999999999</v>
      </c>
      <c r="AR238" s="222">
        <v>97.385414977685926</v>
      </c>
      <c r="AS238" s="223">
        <v>97.385292067213598</v>
      </c>
      <c r="AT238" s="223">
        <v>95.458745993772581</v>
      </c>
      <c r="AU238" s="223">
        <v>95.625810289699857</v>
      </c>
      <c r="AV238" s="223">
        <v>98.468500000000006</v>
      </c>
      <c r="AW238" s="224">
        <v>97.185000000000002</v>
      </c>
      <c r="AX238" s="42"/>
      <c r="AY238" s="181"/>
      <c r="AZ238" s="197"/>
    </row>
    <row r="239" spans="12:52" ht="13" thickBot="1" x14ac:dyDescent="0.3">
      <c r="L239" s="55">
        <v>1700</v>
      </c>
      <c r="M239" s="274">
        <f t="shared" ref="M239:N254" si="44">M788</f>
        <v>0</v>
      </c>
      <c r="N239" s="275">
        <f t="shared" si="44"/>
        <v>0</v>
      </c>
      <c r="O239" s="276" t="e">
        <f ca="1"/>
        <v>#N/A</v>
      </c>
      <c r="Q239" s="34">
        <v>0</v>
      </c>
      <c r="R239" s="24">
        <v>0</v>
      </c>
      <c r="S239" s="24">
        <v>0</v>
      </c>
      <c r="T239" s="24">
        <v>0</v>
      </c>
      <c r="U239" s="24">
        <f t="array" ref="U239">IF(U$77&gt;" ",(U$628:U$1078),"")</f>
        <v>0</v>
      </c>
      <c r="V239" s="24">
        <f t="array" ref="V239">IF(V$77&gt;" ",(V$628:V$1078),"")</f>
        <v>0</v>
      </c>
      <c r="W239" s="24">
        <f t="array" ref="W239">IF(W$77&gt;" ",(W$628:W$1078),"")</f>
        <v>0</v>
      </c>
      <c r="X239" s="24">
        <f t="array" ref="X239">IF(X$77&gt;" ",(X$628:X$1078),"")</f>
        <v>0</v>
      </c>
      <c r="Y239" s="21">
        <v>0</v>
      </c>
      <c r="Z239" s="34">
        <f t="shared" si="35"/>
        <v>0</v>
      </c>
      <c r="AA239" s="24">
        <f t="shared" si="36"/>
        <v>0</v>
      </c>
      <c r="AB239" s="24">
        <f t="shared" si="37"/>
        <v>0</v>
      </c>
      <c r="AC239" s="24">
        <f t="shared" si="38"/>
        <v>0</v>
      </c>
      <c r="AD239" s="24">
        <f t="shared" si="42"/>
        <v>0</v>
      </c>
      <c r="AE239" s="24">
        <f t="shared" si="42"/>
        <v>0</v>
      </c>
      <c r="AF239" s="24">
        <f t="shared" si="42"/>
        <v>0</v>
      </c>
      <c r="AG239" s="24">
        <f t="shared" si="42"/>
        <v>0</v>
      </c>
      <c r="AH239" s="24">
        <f t="shared" si="43"/>
        <v>0</v>
      </c>
      <c r="AI239" s="24">
        <f t="shared" si="39"/>
        <v>0</v>
      </c>
      <c r="AJ239" s="261">
        <f t="shared" si="40"/>
        <v>0</v>
      </c>
      <c r="AK239" s="13"/>
      <c r="AL239" s="100">
        <v>1700</v>
      </c>
      <c r="AM239" s="202"/>
      <c r="AN239" s="200"/>
      <c r="AO239" s="200"/>
      <c r="AP239" s="283">
        <v>0.19919999999999999</v>
      </c>
      <c r="AR239" s="222">
        <v>97.389729862071405</v>
      </c>
      <c r="AS239" s="223">
        <v>97.388651421611655</v>
      </c>
      <c r="AT239" s="223">
        <v>95.468667119955057</v>
      </c>
      <c r="AU239" s="223">
        <v>95.643213032256881</v>
      </c>
      <c r="AV239" s="223">
        <v>98.463999999999999</v>
      </c>
      <c r="AW239" s="224">
        <v>97.179000000000002</v>
      </c>
      <c r="AX239" s="42"/>
      <c r="AY239" s="181"/>
      <c r="AZ239" s="197"/>
    </row>
    <row r="240" spans="12:52" ht="13" thickBot="1" x14ac:dyDescent="0.3">
      <c r="L240" s="55">
        <v>1695</v>
      </c>
      <c r="M240" s="274">
        <f t="shared" si="44"/>
        <v>0</v>
      </c>
      <c r="N240" s="275">
        <f t="shared" si="44"/>
        <v>0</v>
      </c>
      <c r="O240" s="276" t="e">
        <f ca="1"/>
        <v>#N/A</v>
      </c>
      <c r="Q240" s="34">
        <v>0</v>
      </c>
      <c r="R240" s="24">
        <v>0</v>
      </c>
      <c r="S240" s="24">
        <v>0</v>
      </c>
      <c r="T240" s="24">
        <v>0</v>
      </c>
      <c r="U240" s="24">
        <f t="array" ref="U240">IF(U$77&gt;" ",(U$628:U$1078),"")</f>
        <v>0</v>
      </c>
      <c r="V240" s="24">
        <f t="array" ref="V240">IF(V$77&gt;" ",(V$628:V$1078),"")</f>
        <v>0</v>
      </c>
      <c r="W240" s="24">
        <f t="array" ref="W240">IF(W$77&gt;" ",(W$628:W$1078),"")</f>
        <v>0</v>
      </c>
      <c r="X240" s="24">
        <f t="array" ref="X240">IF(X$77&gt;" ",(X$628:X$1078),"")</f>
        <v>0</v>
      </c>
      <c r="Y240" s="21">
        <v>0</v>
      </c>
      <c r="Z240" s="34">
        <f t="shared" si="35"/>
        <v>0</v>
      </c>
      <c r="AA240" s="24">
        <f t="shared" si="36"/>
        <v>0</v>
      </c>
      <c r="AB240" s="24">
        <f t="shared" si="37"/>
        <v>0</v>
      </c>
      <c r="AC240" s="24">
        <f t="shared" si="38"/>
        <v>0</v>
      </c>
      <c r="AD240" s="24">
        <f t="shared" si="42"/>
        <v>0</v>
      </c>
      <c r="AE240" s="24">
        <f t="shared" si="42"/>
        <v>0</v>
      </c>
      <c r="AF240" s="24">
        <f t="shared" si="42"/>
        <v>0</v>
      </c>
      <c r="AG240" s="24">
        <f t="shared" si="42"/>
        <v>0</v>
      </c>
      <c r="AH240" s="24">
        <f t="shared" si="43"/>
        <v>0</v>
      </c>
      <c r="AI240" s="24">
        <f t="shared" si="39"/>
        <v>0</v>
      </c>
      <c r="AJ240" s="261">
        <f t="shared" si="40"/>
        <v>0</v>
      </c>
      <c r="AK240" s="13"/>
      <c r="AL240" s="100">
        <v>1695</v>
      </c>
      <c r="AM240" s="202"/>
      <c r="AN240" s="200"/>
      <c r="AO240" s="200"/>
      <c r="AP240" s="284">
        <v>0.20910000000000001</v>
      </c>
      <c r="AR240" s="222">
        <v>97.391472241180168</v>
      </c>
      <c r="AS240" s="223">
        <v>97.399605760778059</v>
      </c>
      <c r="AT240" s="223">
        <v>95.491794215781468</v>
      </c>
      <c r="AU240" s="223">
        <v>95.655464918038248</v>
      </c>
      <c r="AV240" s="223">
        <v>98.459000000000003</v>
      </c>
      <c r="AW240" s="224">
        <v>97.174499999999995</v>
      </c>
      <c r="AX240" s="42"/>
      <c r="AY240" s="181"/>
      <c r="AZ240" s="197"/>
    </row>
    <row r="241" spans="12:52" ht="13" thickBot="1" x14ac:dyDescent="0.3">
      <c r="L241" s="55">
        <v>1690</v>
      </c>
      <c r="M241" s="274">
        <f t="shared" si="44"/>
        <v>0</v>
      </c>
      <c r="N241" s="275">
        <f t="shared" si="44"/>
        <v>0</v>
      </c>
      <c r="O241" s="276" t="e">
        <f ca="1"/>
        <v>#N/A</v>
      </c>
      <c r="Q241" s="34">
        <v>0</v>
      </c>
      <c r="R241" s="24">
        <v>0</v>
      </c>
      <c r="S241" s="24">
        <v>0</v>
      </c>
      <c r="T241" s="24">
        <v>0</v>
      </c>
      <c r="U241" s="24">
        <f t="array" ref="U241">IF(U$77&gt;" ",(U$628:U$1078),"")</f>
        <v>0</v>
      </c>
      <c r="V241" s="24">
        <f t="array" ref="V241">IF(V$77&gt;" ",(V$628:V$1078),"")</f>
        <v>0</v>
      </c>
      <c r="W241" s="24">
        <f t="array" ref="W241">IF(W$77&gt;" ",(W$628:W$1078),"")</f>
        <v>0</v>
      </c>
      <c r="X241" s="24">
        <f t="array" ref="X241">IF(X$77&gt;" ",(X$628:X$1078),"")</f>
        <v>0</v>
      </c>
      <c r="Y241" s="21">
        <v>0</v>
      </c>
      <c r="Z241" s="34">
        <f t="shared" si="35"/>
        <v>0</v>
      </c>
      <c r="AA241" s="24">
        <f t="shared" si="36"/>
        <v>0</v>
      </c>
      <c r="AB241" s="24">
        <f t="shared" si="37"/>
        <v>0</v>
      </c>
      <c r="AC241" s="24">
        <f t="shared" si="38"/>
        <v>0</v>
      </c>
      <c r="AD241" s="24">
        <f t="shared" si="42"/>
        <v>0</v>
      </c>
      <c r="AE241" s="24">
        <f t="shared" si="42"/>
        <v>0</v>
      </c>
      <c r="AF241" s="24">
        <f t="shared" si="42"/>
        <v>0</v>
      </c>
      <c r="AG241" s="24">
        <f t="shared" si="42"/>
        <v>0</v>
      </c>
      <c r="AH241" s="24">
        <f t="shared" si="43"/>
        <v>0</v>
      </c>
      <c r="AI241" s="24">
        <f t="shared" si="39"/>
        <v>0</v>
      </c>
      <c r="AJ241" s="261">
        <f t="shared" si="40"/>
        <v>0</v>
      </c>
      <c r="AK241" s="13"/>
      <c r="AL241" s="100">
        <v>1690</v>
      </c>
      <c r="AM241" s="202"/>
      <c r="AN241" s="200"/>
      <c r="AO241" s="200"/>
      <c r="AP241" s="283">
        <v>0.2046</v>
      </c>
      <c r="AR241" s="222">
        <v>97.400278784888584</v>
      </c>
      <c r="AS241" s="223">
        <v>97.39064986811529</v>
      </c>
      <c r="AT241" s="223">
        <v>95.517162616245471</v>
      </c>
      <c r="AU241" s="223">
        <v>95.675765061632504</v>
      </c>
      <c r="AV241" s="223">
        <v>98.453999999999994</v>
      </c>
      <c r="AW241" s="224">
        <v>97.17</v>
      </c>
      <c r="AX241" s="42"/>
      <c r="AY241" s="181"/>
      <c r="AZ241" s="197"/>
    </row>
    <row r="242" spans="12:52" ht="13" thickBot="1" x14ac:dyDescent="0.3">
      <c r="L242" s="55">
        <v>1685</v>
      </c>
      <c r="M242" s="274">
        <f t="shared" si="44"/>
        <v>0</v>
      </c>
      <c r="N242" s="275">
        <f t="shared" si="44"/>
        <v>0</v>
      </c>
      <c r="O242" s="276" t="e">
        <f ca="1"/>
        <v>#N/A</v>
      </c>
      <c r="Q242" s="34">
        <v>0</v>
      </c>
      <c r="R242" s="24">
        <v>0</v>
      </c>
      <c r="S242" s="24">
        <v>0</v>
      </c>
      <c r="T242" s="24">
        <v>0</v>
      </c>
      <c r="U242" s="24">
        <f t="array" ref="U242">IF(U$77&gt;" ",(U$628:U$1078),"")</f>
        <v>0</v>
      </c>
      <c r="V242" s="24">
        <f t="array" ref="V242">IF(V$77&gt;" ",(V$628:V$1078),"")</f>
        <v>0</v>
      </c>
      <c r="W242" s="24">
        <f t="array" ref="W242">IF(W$77&gt;" ",(W$628:W$1078),"")</f>
        <v>0</v>
      </c>
      <c r="X242" s="24">
        <f t="array" ref="X242">IF(X$77&gt;" ",(X$628:X$1078),"")</f>
        <v>0</v>
      </c>
      <c r="Y242" s="21">
        <v>0</v>
      </c>
      <c r="Z242" s="34">
        <f t="shared" si="35"/>
        <v>0</v>
      </c>
      <c r="AA242" s="24">
        <f t="shared" si="36"/>
        <v>0</v>
      </c>
      <c r="AB242" s="24">
        <f t="shared" si="37"/>
        <v>0</v>
      </c>
      <c r="AC242" s="24">
        <f t="shared" si="38"/>
        <v>0</v>
      </c>
      <c r="AD242" s="24">
        <f t="shared" si="42"/>
        <v>0</v>
      </c>
      <c r="AE242" s="24">
        <f t="shared" si="42"/>
        <v>0</v>
      </c>
      <c r="AF242" s="24">
        <f t="shared" si="42"/>
        <v>0</v>
      </c>
      <c r="AG242" s="24">
        <f t="shared" si="42"/>
        <v>0</v>
      </c>
      <c r="AH242" s="24">
        <f t="shared" si="43"/>
        <v>0</v>
      </c>
      <c r="AI242" s="24">
        <f t="shared" si="39"/>
        <v>0</v>
      </c>
      <c r="AJ242" s="261">
        <f t="shared" si="40"/>
        <v>0</v>
      </c>
      <c r="AK242" s="13"/>
      <c r="AL242" s="100">
        <v>1685</v>
      </c>
      <c r="AM242" s="202"/>
      <c r="AN242" s="200"/>
      <c r="AO242" s="200"/>
      <c r="AP242" s="284">
        <v>0.21260000000000001</v>
      </c>
      <c r="AR242" s="222">
        <v>97.390273599032994</v>
      </c>
      <c r="AS242" s="223">
        <v>97.409874721914051</v>
      </c>
      <c r="AT242" s="223">
        <v>95.545221728459936</v>
      </c>
      <c r="AU242" s="223">
        <v>95.701560474595794</v>
      </c>
      <c r="AV242" s="223">
        <v>98.44850000000001</v>
      </c>
      <c r="AW242" s="224">
        <v>97.167000000000002</v>
      </c>
      <c r="AX242" s="42"/>
      <c r="AY242" s="181"/>
      <c r="AZ242" s="197"/>
    </row>
    <row r="243" spans="12:52" ht="13" thickBot="1" x14ac:dyDescent="0.3">
      <c r="L243" s="55">
        <v>1680</v>
      </c>
      <c r="M243" s="274">
        <f t="shared" si="44"/>
        <v>0</v>
      </c>
      <c r="N243" s="275">
        <f t="shared" si="44"/>
        <v>0</v>
      </c>
      <c r="O243" s="276" t="e">
        <f ca="1"/>
        <v>#N/A</v>
      </c>
      <c r="Q243" s="34">
        <v>0</v>
      </c>
      <c r="R243" s="24">
        <v>0</v>
      </c>
      <c r="S243" s="24">
        <v>0</v>
      </c>
      <c r="T243" s="24">
        <v>0</v>
      </c>
      <c r="U243" s="24">
        <f t="array" ref="U243">IF(U$77&gt;" ",(U$628:U$1078),"")</f>
        <v>0</v>
      </c>
      <c r="V243" s="24">
        <f t="array" ref="V243">IF(V$77&gt;" ",(V$628:V$1078),"")</f>
        <v>0</v>
      </c>
      <c r="W243" s="24">
        <f t="array" ref="W243">IF(W$77&gt;" ",(W$628:W$1078),"")</f>
        <v>0</v>
      </c>
      <c r="X243" s="24">
        <f t="array" ref="X243">IF(X$77&gt;" ",(X$628:X$1078),"")</f>
        <v>0</v>
      </c>
      <c r="Y243" s="21">
        <v>0</v>
      </c>
      <c r="Z243" s="34">
        <f t="shared" si="35"/>
        <v>0</v>
      </c>
      <c r="AA243" s="24">
        <f t="shared" si="36"/>
        <v>0</v>
      </c>
      <c r="AB243" s="24">
        <f t="shared" si="37"/>
        <v>0</v>
      </c>
      <c r="AC243" s="24">
        <f t="shared" si="38"/>
        <v>0</v>
      </c>
      <c r="AD243" s="24">
        <f t="shared" si="42"/>
        <v>0</v>
      </c>
      <c r="AE243" s="24">
        <f t="shared" si="42"/>
        <v>0</v>
      </c>
      <c r="AF243" s="24">
        <f t="shared" si="42"/>
        <v>0</v>
      </c>
      <c r="AG243" s="24">
        <f t="shared" si="42"/>
        <v>0</v>
      </c>
      <c r="AH243" s="24">
        <f t="shared" si="43"/>
        <v>0</v>
      </c>
      <c r="AI243" s="24">
        <f t="shared" si="39"/>
        <v>0</v>
      </c>
      <c r="AJ243" s="261">
        <f t="shared" si="40"/>
        <v>0</v>
      </c>
      <c r="AK243" s="13"/>
      <c r="AL243" s="100">
        <v>1680</v>
      </c>
      <c r="AM243" s="202"/>
      <c r="AN243" s="200"/>
      <c r="AO243" s="200"/>
      <c r="AP243" s="283">
        <v>0.20499999999999999</v>
      </c>
      <c r="AR243" s="222">
        <v>97.409124239318658</v>
      </c>
      <c r="AS243" s="223">
        <v>97.417567217311486</v>
      </c>
      <c r="AT243" s="223">
        <v>95.542212847524596</v>
      </c>
      <c r="AU243" s="223">
        <v>95.703270185495725</v>
      </c>
      <c r="AV243" s="223">
        <v>98.442999999999998</v>
      </c>
      <c r="AW243" s="224">
        <v>97.164000000000001</v>
      </c>
      <c r="AX243" s="42"/>
      <c r="AY243" s="181"/>
      <c r="AZ243" s="197"/>
    </row>
    <row r="244" spans="12:52" ht="13" thickBot="1" x14ac:dyDescent="0.3">
      <c r="L244" s="55">
        <v>1675</v>
      </c>
      <c r="M244" s="274">
        <f t="shared" si="44"/>
        <v>0</v>
      </c>
      <c r="N244" s="275">
        <f t="shared" si="44"/>
        <v>0</v>
      </c>
      <c r="O244" s="276" t="e">
        <f ca="1"/>
        <v>#N/A</v>
      </c>
      <c r="Q244" s="34">
        <v>0</v>
      </c>
      <c r="R244" s="24">
        <v>0</v>
      </c>
      <c r="S244" s="24">
        <v>0</v>
      </c>
      <c r="T244" s="24">
        <v>0</v>
      </c>
      <c r="U244" s="24">
        <f t="array" ref="U244">IF(U$77&gt;" ",(U$628:U$1078),"")</f>
        <v>0</v>
      </c>
      <c r="V244" s="24">
        <f t="array" ref="V244">IF(V$77&gt;" ",(V$628:V$1078),"")</f>
        <v>0</v>
      </c>
      <c r="W244" s="24">
        <f t="array" ref="W244">IF(W$77&gt;" ",(W$628:W$1078),"")</f>
        <v>0</v>
      </c>
      <c r="X244" s="24">
        <f t="array" ref="X244">IF(X$77&gt;" ",(X$628:X$1078),"")</f>
        <v>0</v>
      </c>
      <c r="Y244" s="21">
        <v>0</v>
      </c>
      <c r="Z244" s="34">
        <f t="shared" si="35"/>
        <v>0</v>
      </c>
      <c r="AA244" s="24">
        <f t="shared" si="36"/>
        <v>0</v>
      </c>
      <c r="AB244" s="24">
        <f t="shared" si="37"/>
        <v>0</v>
      </c>
      <c r="AC244" s="24">
        <f t="shared" si="38"/>
        <v>0</v>
      </c>
      <c r="AD244" s="24">
        <f t="shared" si="42"/>
        <v>0</v>
      </c>
      <c r="AE244" s="24">
        <f t="shared" si="42"/>
        <v>0</v>
      </c>
      <c r="AF244" s="24">
        <f t="shared" si="42"/>
        <v>0</v>
      </c>
      <c r="AG244" s="24">
        <f t="shared" si="42"/>
        <v>0</v>
      </c>
      <c r="AH244" s="24">
        <f t="shared" si="43"/>
        <v>0</v>
      </c>
      <c r="AI244" s="24">
        <f t="shared" si="39"/>
        <v>0</v>
      </c>
      <c r="AJ244" s="261">
        <f t="shared" si="40"/>
        <v>0</v>
      </c>
      <c r="AK244" s="13"/>
      <c r="AL244" s="100">
        <v>1675</v>
      </c>
      <c r="AM244" s="202"/>
      <c r="AN244" s="200"/>
      <c r="AO244" s="200"/>
      <c r="AP244" s="284">
        <v>0.21299999999999999</v>
      </c>
      <c r="AR244" s="222">
        <v>97.411855091839939</v>
      </c>
      <c r="AS244" s="223">
        <v>97.410317548907287</v>
      </c>
      <c r="AT244" s="223">
        <v>95.548153842122886</v>
      </c>
      <c r="AU244" s="223">
        <v>95.715238401693867</v>
      </c>
      <c r="AV244" s="223">
        <v>98.438999999999993</v>
      </c>
      <c r="AW244" s="224">
        <v>97.156499999999994</v>
      </c>
      <c r="AX244" s="42"/>
      <c r="AY244" s="181"/>
      <c r="AZ244" s="197"/>
    </row>
    <row r="245" spans="12:52" ht="13" thickBot="1" x14ac:dyDescent="0.3">
      <c r="L245" s="55">
        <v>1670</v>
      </c>
      <c r="M245" s="274">
        <f t="shared" si="44"/>
        <v>0</v>
      </c>
      <c r="N245" s="275">
        <f t="shared" si="44"/>
        <v>0</v>
      </c>
      <c r="O245" s="276" t="e">
        <f ca="1"/>
        <v>#N/A</v>
      </c>
      <c r="Q245" s="34">
        <v>0</v>
      </c>
      <c r="R245" s="24">
        <v>0</v>
      </c>
      <c r="S245" s="24">
        <v>0</v>
      </c>
      <c r="T245" s="24">
        <v>0</v>
      </c>
      <c r="U245" s="24">
        <f t="array" ref="U245">IF(U$77&gt;" ",(U$628:U$1078),"")</f>
        <v>0</v>
      </c>
      <c r="V245" s="24">
        <f t="array" ref="V245">IF(V$77&gt;" ",(V$628:V$1078),"")</f>
        <v>0</v>
      </c>
      <c r="W245" s="24">
        <f t="array" ref="W245">IF(W$77&gt;" ",(W$628:W$1078),"")</f>
        <v>0</v>
      </c>
      <c r="X245" s="24">
        <f t="array" ref="X245">IF(X$77&gt;" ",(X$628:X$1078),"")</f>
        <v>0</v>
      </c>
      <c r="Y245" s="21">
        <v>0</v>
      </c>
      <c r="Z245" s="34">
        <f t="shared" si="35"/>
        <v>0</v>
      </c>
      <c r="AA245" s="24">
        <f t="shared" si="36"/>
        <v>0</v>
      </c>
      <c r="AB245" s="24">
        <f t="shared" si="37"/>
        <v>0</v>
      </c>
      <c r="AC245" s="24">
        <f t="shared" si="38"/>
        <v>0</v>
      </c>
      <c r="AD245" s="24">
        <f t="shared" si="42"/>
        <v>0</v>
      </c>
      <c r="AE245" s="24">
        <f t="shared" si="42"/>
        <v>0</v>
      </c>
      <c r="AF245" s="24">
        <f t="shared" si="42"/>
        <v>0</v>
      </c>
      <c r="AG245" s="24">
        <f t="shared" si="42"/>
        <v>0</v>
      </c>
      <c r="AH245" s="24">
        <f t="shared" si="43"/>
        <v>0</v>
      </c>
      <c r="AI245" s="24">
        <f t="shared" si="39"/>
        <v>0</v>
      </c>
      <c r="AJ245" s="261">
        <f t="shared" si="40"/>
        <v>0</v>
      </c>
      <c r="AK245" s="13"/>
      <c r="AL245" s="100">
        <v>1670</v>
      </c>
      <c r="AM245" s="202"/>
      <c r="AN245" s="200"/>
      <c r="AO245" s="200"/>
      <c r="AP245" s="283">
        <v>0.221</v>
      </c>
      <c r="AR245" s="222">
        <v>97.408447213606976</v>
      </c>
      <c r="AS245" s="223">
        <v>97.411909930291245</v>
      </c>
      <c r="AT245" s="223">
        <v>95.568439052591472</v>
      </c>
      <c r="AU245" s="223">
        <v>95.731433892585486</v>
      </c>
      <c r="AV245" s="223">
        <v>98.435000000000002</v>
      </c>
      <c r="AW245" s="224">
        <v>97.149000000000001</v>
      </c>
      <c r="AX245" s="42"/>
      <c r="AY245" s="181"/>
      <c r="AZ245" s="197"/>
    </row>
    <row r="246" spans="12:52" ht="13" thickBot="1" x14ac:dyDescent="0.3">
      <c r="L246" s="55">
        <v>1665</v>
      </c>
      <c r="M246" s="274">
        <f t="shared" si="44"/>
        <v>0</v>
      </c>
      <c r="N246" s="275">
        <f t="shared" si="44"/>
        <v>0</v>
      </c>
      <c r="O246" s="276" t="e">
        <f ca="1"/>
        <v>#N/A</v>
      </c>
      <c r="Q246" s="34">
        <v>0</v>
      </c>
      <c r="R246" s="24">
        <v>0</v>
      </c>
      <c r="S246" s="24">
        <v>0</v>
      </c>
      <c r="T246" s="24">
        <v>0</v>
      </c>
      <c r="U246" s="24">
        <f t="array" ref="U246">IF(U$77&gt;" ",(U$628:U$1078),"")</f>
        <v>0</v>
      </c>
      <c r="V246" s="24">
        <f t="array" ref="V246">IF(V$77&gt;" ",(V$628:V$1078),"")</f>
        <v>0</v>
      </c>
      <c r="W246" s="24">
        <f t="array" ref="W246">IF(W$77&gt;" ",(W$628:W$1078),"")</f>
        <v>0</v>
      </c>
      <c r="X246" s="24">
        <f t="array" ref="X246">IF(X$77&gt;" ",(X$628:X$1078),"")</f>
        <v>0</v>
      </c>
      <c r="Y246" s="21">
        <v>0</v>
      </c>
      <c r="Z246" s="34">
        <f t="shared" si="35"/>
        <v>0</v>
      </c>
      <c r="AA246" s="24">
        <f t="shared" si="36"/>
        <v>0</v>
      </c>
      <c r="AB246" s="24">
        <f t="shared" si="37"/>
        <v>0</v>
      </c>
      <c r="AC246" s="24">
        <f t="shared" si="38"/>
        <v>0</v>
      </c>
      <c r="AD246" s="24">
        <f t="shared" si="42"/>
        <v>0</v>
      </c>
      <c r="AE246" s="24">
        <f t="shared" si="42"/>
        <v>0</v>
      </c>
      <c r="AF246" s="24">
        <f t="shared" si="42"/>
        <v>0</v>
      </c>
      <c r="AG246" s="24">
        <f t="shared" si="42"/>
        <v>0</v>
      </c>
      <c r="AH246" s="24">
        <f t="shared" si="43"/>
        <v>0</v>
      </c>
      <c r="AI246" s="24">
        <f t="shared" si="39"/>
        <v>0</v>
      </c>
      <c r="AJ246" s="261">
        <f t="shared" si="40"/>
        <v>0</v>
      </c>
      <c r="AK246" s="13"/>
      <c r="AL246" s="100">
        <v>1665</v>
      </c>
      <c r="AM246" s="202"/>
      <c r="AN246" s="200"/>
      <c r="AO246" s="200"/>
      <c r="AP246" s="284">
        <v>0.2112</v>
      </c>
      <c r="AR246" s="222">
        <v>97.421216201296104</v>
      </c>
      <c r="AS246" s="223">
        <v>97.419974649698418</v>
      </c>
      <c r="AT246" s="223">
        <v>95.587844864709822</v>
      </c>
      <c r="AU246" s="223">
        <v>95.752509349854336</v>
      </c>
      <c r="AV246" s="223">
        <v>98.43</v>
      </c>
      <c r="AW246" s="224">
        <v>97.146000000000001</v>
      </c>
      <c r="AX246" s="42"/>
      <c r="AY246" s="181"/>
      <c r="AZ246" s="197"/>
    </row>
    <row r="247" spans="12:52" ht="13" thickBot="1" x14ac:dyDescent="0.3">
      <c r="L247" s="55">
        <v>1660</v>
      </c>
      <c r="M247" s="274">
        <f t="shared" si="44"/>
        <v>0</v>
      </c>
      <c r="N247" s="275">
        <f t="shared" si="44"/>
        <v>0</v>
      </c>
      <c r="O247" s="276" t="e">
        <f ca="1"/>
        <v>#N/A</v>
      </c>
      <c r="Q247" s="34">
        <v>0</v>
      </c>
      <c r="R247" s="24">
        <v>0</v>
      </c>
      <c r="S247" s="24">
        <v>0</v>
      </c>
      <c r="T247" s="24">
        <v>0</v>
      </c>
      <c r="U247" s="24">
        <f t="array" ref="U247">IF(U$77&gt;" ",(U$628:U$1078),"")</f>
        <v>0</v>
      </c>
      <c r="V247" s="24">
        <f t="array" ref="V247">IF(V$77&gt;" ",(V$628:V$1078),"")</f>
        <v>0</v>
      </c>
      <c r="W247" s="24">
        <f t="array" ref="W247">IF(W$77&gt;" ",(W$628:W$1078),"")</f>
        <v>0</v>
      </c>
      <c r="X247" s="24">
        <f t="array" ref="X247">IF(X$77&gt;" ",(X$628:X$1078),"")</f>
        <v>0</v>
      </c>
      <c r="Y247" s="21">
        <v>0</v>
      </c>
      <c r="Z247" s="34">
        <f t="shared" si="35"/>
        <v>0</v>
      </c>
      <c r="AA247" s="24">
        <f t="shared" si="36"/>
        <v>0</v>
      </c>
      <c r="AB247" s="24">
        <f t="shared" si="37"/>
        <v>0</v>
      </c>
      <c r="AC247" s="24">
        <f t="shared" si="38"/>
        <v>0</v>
      </c>
      <c r="AD247" s="24">
        <f t="shared" si="42"/>
        <v>0</v>
      </c>
      <c r="AE247" s="24">
        <f t="shared" si="42"/>
        <v>0</v>
      </c>
      <c r="AF247" s="24">
        <f t="shared" si="42"/>
        <v>0</v>
      </c>
      <c r="AG247" s="24">
        <f t="shared" si="42"/>
        <v>0</v>
      </c>
      <c r="AH247" s="24">
        <f t="shared" si="43"/>
        <v>0</v>
      </c>
      <c r="AI247" s="24">
        <f t="shared" si="39"/>
        <v>0</v>
      </c>
      <c r="AJ247" s="261">
        <f t="shared" si="40"/>
        <v>0</v>
      </c>
      <c r="AK247" s="13"/>
      <c r="AL247" s="100">
        <v>1660</v>
      </c>
      <c r="AM247" s="202"/>
      <c r="AN247" s="200"/>
      <c r="AO247" s="200"/>
      <c r="AP247" s="283">
        <v>0.22270000000000001</v>
      </c>
      <c r="AR247" s="222">
        <v>97.429990354465573</v>
      </c>
      <c r="AS247" s="223">
        <v>97.420958588064536</v>
      </c>
      <c r="AT247" s="223">
        <v>95.609835803035253</v>
      </c>
      <c r="AU247" s="223">
        <v>95.769603992571504</v>
      </c>
      <c r="AV247" s="223">
        <v>98.424999999999997</v>
      </c>
      <c r="AW247" s="224">
        <v>97.143000000000001</v>
      </c>
      <c r="AX247" s="42"/>
      <c r="AY247" s="181"/>
      <c r="AZ247" s="197"/>
    </row>
    <row r="248" spans="12:52" ht="13" thickBot="1" x14ac:dyDescent="0.3">
      <c r="L248" s="55">
        <v>1655</v>
      </c>
      <c r="M248" s="274">
        <f t="shared" si="44"/>
        <v>0</v>
      </c>
      <c r="N248" s="275">
        <f t="shared" si="44"/>
        <v>0</v>
      </c>
      <c r="O248" s="276" t="e">
        <f ca="1"/>
        <v>#N/A</v>
      </c>
      <c r="Q248" s="34">
        <v>0</v>
      </c>
      <c r="R248" s="24">
        <v>0</v>
      </c>
      <c r="S248" s="24">
        <v>0</v>
      </c>
      <c r="T248" s="24">
        <v>0</v>
      </c>
      <c r="U248" s="24">
        <f t="array" ref="U248">IF(U$77&gt;" ",(U$628:U$1078),"")</f>
        <v>0</v>
      </c>
      <c r="V248" s="24">
        <f t="array" ref="V248">IF(V$77&gt;" ",(V$628:V$1078),"")</f>
        <v>0</v>
      </c>
      <c r="W248" s="24">
        <f t="array" ref="W248">IF(W$77&gt;" ",(W$628:W$1078),"")</f>
        <v>0</v>
      </c>
      <c r="X248" s="24">
        <f t="array" ref="X248">IF(X$77&gt;" ",(X$628:X$1078),"")</f>
        <v>0</v>
      </c>
      <c r="Y248" s="21">
        <v>0</v>
      </c>
      <c r="Z248" s="34">
        <f t="shared" si="35"/>
        <v>0</v>
      </c>
      <c r="AA248" s="24">
        <f t="shared" si="36"/>
        <v>0</v>
      </c>
      <c r="AB248" s="24">
        <f t="shared" si="37"/>
        <v>0</v>
      </c>
      <c r="AC248" s="24">
        <f t="shared" si="38"/>
        <v>0</v>
      </c>
      <c r="AD248" s="24">
        <f t="shared" si="42"/>
        <v>0</v>
      </c>
      <c r="AE248" s="24">
        <f t="shared" si="42"/>
        <v>0</v>
      </c>
      <c r="AF248" s="24">
        <f t="shared" si="42"/>
        <v>0</v>
      </c>
      <c r="AG248" s="24">
        <f t="shared" si="42"/>
        <v>0</v>
      </c>
      <c r="AH248" s="24">
        <f t="shared" si="43"/>
        <v>0</v>
      </c>
      <c r="AI248" s="24">
        <f t="shared" si="39"/>
        <v>0</v>
      </c>
      <c r="AJ248" s="261">
        <f t="shared" si="40"/>
        <v>0</v>
      </c>
      <c r="AK248" s="13"/>
      <c r="AL248" s="100">
        <v>1655</v>
      </c>
      <c r="AM248" s="202"/>
      <c r="AN248" s="200"/>
      <c r="AO248" s="200"/>
      <c r="AP248" s="284">
        <v>0.22170000000000001</v>
      </c>
      <c r="AR248" s="222">
        <v>97.425702485274257</v>
      </c>
      <c r="AS248" s="223">
        <v>97.419470792911667</v>
      </c>
      <c r="AT248" s="223">
        <v>95.609067235813669</v>
      </c>
      <c r="AU248" s="223">
        <v>95.772165327409525</v>
      </c>
      <c r="AV248" s="223">
        <v>98.419499999999999</v>
      </c>
      <c r="AW248" s="224">
        <v>97.136499999999998</v>
      </c>
      <c r="AX248" s="42"/>
      <c r="AY248" s="181"/>
      <c r="AZ248" s="197"/>
    </row>
    <row r="249" spans="12:52" ht="13" thickBot="1" x14ac:dyDescent="0.3">
      <c r="L249" s="55">
        <v>1650</v>
      </c>
      <c r="M249" s="274">
        <f t="shared" si="44"/>
        <v>0</v>
      </c>
      <c r="N249" s="275">
        <f t="shared" si="44"/>
        <v>0</v>
      </c>
      <c r="O249" s="276" t="e">
        <f ca="1"/>
        <v>#N/A</v>
      </c>
      <c r="Q249" s="34">
        <v>0</v>
      </c>
      <c r="R249" s="24">
        <v>0</v>
      </c>
      <c r="S249" s="24">
        <v>0</v>
      </c>
      <c r="T249" s="24">
        <v>0</v>
      </c>
      <c r="U249" s="24">
        <f t="array" ref="U249">IF(U$77&gt;" ",(U$628:U$1078),"")</f>
        <v>0</v>
      </c>
      <c r="V249" s="24">
        <f t="array" ref="V249">IF(V$77&gt;" ",(V$628:V$1078),"")</f>
        <v>0</v>
      </c>
      <c r="W249" s="24">
        <f t="array" ref="W249">IF(W$77&gt;" ",(W$628:W$1078),"")</f>
        <v>0</v>
      </c>
      <c r="X249" s="24">
        <f t="array" ref="X249">IF(X$77&gt;" ",(X$628:X$1078),"")</f>
        <v>0</v>
      </c>
      <c r="Y249" s="21">
        <v>0</v>
      </c>
      <c r="Z249" s="34">
        <f t="shared" si="35"/>
        <v>0</v>
      </c>
      <c r="AA249" s="24">
        <f t="shared" si="36"/>
        <v>0</v>
      </c>
      <c r="AB249" s="24">
        <f t="shared" si="37"/>
        <v>0</v>
      </c>
      <c r="AC249" s="24">
        <f t="shared" si="38"/>
        <v>0</v>
      </c>
      <c r="AD249" s="24">
        <f t="shared" si="42"/>
        <v>0</v>
      </c>
      <c r="AE249" s="24">
        <f t="shared" si="42"/>
        <v>0</v>
      </c>
      <c r="AF249" s="24">
        <f t="shared" si="42"/>
        <v>0</v>
      </c>
      <c r="AG249" s="24">
        <f t="shared" si="42"/>
        <v>0</v>
      </c>
      <c r="AH249" s="24">
        <f t="shared" si="43"/>
        <v>0</v>
      </c>
      <c r="AI249" s="24">
        <f t="shared" si="39"/>
        <v>0</v>
      </c>
      <c r="AJ249" s="261">
        <f t="shared" si="40"/>
        <v>0</v>
      </c>
      <c r="AK249" s="13"/>
      <c r="AL249" s="100">
        <v>1650</v>
      </c>
      <c r="AM249" s="202"/>
      <c r="AN249" s="200"/>
      <c r="AO249" s="200"/>
      <c r="AP249" s="283">
        <v>0.22459999999999999</v>
      </c>
      <c r="AR249" s="222">
        <v>97.423193827829621</v>
      </c>
      <c r="AS249" s="223">
        <v>97.423125307306293</v>
      </c>
      <c r="AT249" s="223">
        <v>95.611268651988169</v>
      </c>
      <c r="AU249" s="223">
        <v>95.779900551006904</v>
      </c>
      <c r="AV249" s="223">
        <v>98.414000000000001</v>
      </c>
      <c r="AW249" s="224">
        <v>97.13</v>
      </c>
      <c r="AX249" s="42"/>
      <c r="AY249" s="181"/>
      <c r="AZ249" s="197"/>
    </row>
    <row r="250" spans="12:52" ht="13" thickBot="1" x14ac:dyDescent="0.3">
      <c r="L250" s="55">
        <v>1645</v>
      </c>
      <c r="M250" s="274">
        <f t="shared" si="44"/>
        <v>0</v>
      </c>
      <c r="N250" s="275">
        <f t="shared" si="44"/>
        <v>0</v>
      </c>
      <c r="O250" s="276" t="e">
        <f ca="1"/>
        <v>#N/A</v>
      </c>
      <c r="Q250" s="34">
        <v>0</v>
      </c>
      <c r="R250" s="24">
        <v>0</v>
      </c>
      <c r="S250" s="24">
        <v>0</v>
      </c>
      <c r="T250" s="24">
        <v>0</v>
      </c>
      <c r="U250" s="24">
        <f t="array" ref="U250">IF(U$77&gt;" ",(U$628:U$1078),"")</f>
        <v>0</v>
      </c>
      <c r="V250" s="24">
        <f t="array" ref="V250">IF(V$77&gt;" ",(V$628:V$1078),"")</f>
        <v>0</v>
      </c>
      <c r="W250" s="24">
        <f t="array" ref="W250">IF(W$77&gt;" ",(W$628:W$1078),"")</f>
        <v>0</v>
      </c>
      <c r="X250" s="24">
        <f t="array" ref="X250">IF(X$77&gt;" ",(X$628:X$1078),"")</f>
        <v>0</v>
      </c>
      <c r="Y250" s="21">
        <v>0</v>
      </c>
      <c r="Z250" s="34">
        <f t="shared" si="35"/>
        <v>0</v>
      </c>
      <c r="AA250" s="24">
        <f t="shared" si="36"/>
        <v>0</v>
      </c>
      <c r="AB250" s="24">
        <f t="shared" si="37"/>
        <v>0</v>
      </c>
      <c r="AC250" s="24">
        <f t="shared" si="38"/>
        <v>0</v>
      </c>
      <c r="AD250" s="24">
        <f t="shared" si="42"/>
        <v>0</v>
      </c>
      <c r="AE250" s="24">
        <f t="shared" si="42"/>
        <v>0</v>
      </c>
      <c r="AF250" s="24">
        <f t="shared" si="42"/>
        <v>0</v>
      </c>
      <c r="AG250" s="24">
        <f t="shared" si="42"/>
        <v>0</v>
      </c>
      <c r="AH250" s="24">
        <f t="shared" si="43"/>
        <v>0</v>
      </c>
      <c r="AI250" s="24">
        <f t="shared" si="39"/>
        <v>0</v>
      </c>
      <c r="AJ250" s="261">
        <f t="shared" si="40"/>
        <v>0</v>
      </c>
      <c r="AK250" s="13"/>
      <c r="AL250" s="100">
        <v>1645</v>
      </c>
      <c r="AM250" s="202"/>
      <c r="AN250" s="200"/>
      <c r="AO250" s="200"/>
      <c r="AP250" s="284">
        <v>0.21759999999999999</v>
      </c>
      <c r="AR250" s="222">
        <v>97.421368414462378</v>
      </c>
      <c r="AS250" s="223">
        <v>97.433594055475723</v>
      </c>
      <c r="AT250" s="223">
        <v>95.609889440126551</v>
      </c>
      <c r="AU250" s="223">
        <v>95.777118573307277</v>
      </c>
      <c r="AV250" s="223">
        <v>98.409000000000006</v>
      </c>
      <c r="AW250" s="224">
        <v>97.125500000000002</v>
      </c>
      <c r="AX250" s="42"/>
      <c r="AY250" s="181"/>
      <c r="AZ250" s="197"/>
    </row>
    <row r="251" spans="12:52" ht="13" thickBot="1" x14ac:dyDescent="0.3">
      <c r="L251" s="55">
        <v>1640</v>
      </c>
      <c r="M251" s="274">
        <f t="shared" si="44"/>
        <v>0</v>
      </c>
      <c r="N251" s="275">
        <f t="shared" si="44"/>
        <v>0</v>
      </c>
      <c r="O251" s="276" t="e">
        <f ca="1"/>
        <v>#N/A</v>
      </c>
      <c r="Q251" s="34">
        <v>0</v>
      </c>
      <c r="R251" s="24">
        <v>0</v>
      </c>
      <c r="S251" s="24">
        <v>0</v>
      </c>
      <c r="T251" s="24">
        <v>0</v>
      </c>
      <c r="U251" s="24">
        <f t="array" ref="U251">IF(U$77&gt;" ",(U$628:U$1078),"")</f>
        <v>0</v>
      </c>
      <c r="V251" s="24">
        <f t="array" ref="V251">IF(V$77&gt;" ",(V$628:V$1078),"")</f>
        <v>0</v>
      </c>
      <c r="W251" s="24">
        <f t="array" ref="W251">IF(W$77&gt;" ",(W$628:W$1078),"")</f>
        <v>0</v>
      </c>
      <c r="X251" s="24">
        <f t="array" ref="X251">IF(X$77&gt;" ",(X$628:X$1078),"")</f>
        <v>0</v>
      </c>
      <c r="Y251" s="21">
        <v>0</v>
      </c>
      <c r="Z251" s="34">
        <f t="shared" si="35"/>
        <v>0</v>
      </c>
      <c r="AA251" s="24">
        <f t="shared" si="36"/>
        <v>0</v>
      </c>
      <c r="AB251" s="24">
        <f t="shared" si="37"/>
        <v>0</v>
      </c>
      <c r="AC251" s="24">
        <f t="shared" si="38"/>
        <v>0</v>
      </c>
      <c r="AD251" s="24">
        <f t="shared" si="42"/>
        <v>0</v>
      </c>
      <c r="AE251" s="24">
        <f t="shared" si="42"/>
        <v>0</v>
      </c>
      <c r="AF251" s="24">
        <f t="shared" si="42"/>
        <v>0</v>
      </c>
      <c r="AG251" s="24">
        <f t="shared" si="42"/>
        <v>0</v>
      </c>
      <c r="AH251" s="24">
        <f t="shared" si="43"/>
        <v>0</v>
      </c>
      <c r="AI251" s="24">
        <f t="shared" si="39"/>
        <v>0</v>
      </c>
      <c r="AJ251" s="261">
        <f t="shared" si="40"/>
        <v>0</v>
      </c>
      <c r="AK251" s="13"/>
      <c r="AL251" s="100">
        <v>1640</v>
      </c>
      <c r="AM251" s="202"/>
      <c r="AN251" s="200"/>
      <c r="AO251" s="200"/>
      <c r="AP251" s="283">
        <v>0.2145</v>
      </c>
      <c r="AR251" s="222">
        <v>97.427137038602169</v>
      </c>
      <c r="AS251" s="223">
        <v>97.433451131090763</v>
      </c>
      <c r="AT251" s="223">
        <v>95.612537345087006</v>
      </c>
      <c r="AU251" s="223">
        <v>95.770535166615332</v>
      </c>
      <c r="AV251" s="223">
        <v>98.403999999999996</v>
      </c>
      <c r="AW251" s="224">
        <v>97.120999999999995</v>
      </c>
      <c r="AX251" s="42"/>
      <c r="AY251" s="181"/>
      <c r="AZ251" s="197"/>
    </row>
    <row r="252" spans="12:52" ht="13" thickBot="1" x14ac:dyDescent="0.3">
      <c r="L252" s="55">
        <v>1635</v>
      </c>
      <c r="M252" s="274">
        <f t="shared" si="44"/>
        <v>0</v>
      </c>
      <c r="N252" s="275">
        <f t="shared" si="44"/>
        <v>0</v>
      </c>
      <c r="O252" s="276" t="e">
        <f ca="1"/>
        <v>#N/A</v>
      </c>
      <c r="Q252" s="34">
        <v>0</v>
      </c>
      <c r="R252" s="24">
        <v>0</v>
      </c>
      <c r="S252" s="24">
        <v>0</v>
      </c>
      <c r="T252" s="24">
        <v>0</v>
      </c>
      <c r="U252" s="24">
        <f t="array" ref="U252">IF(U$77&gt;" ",(U$628:U$1078),"")</f>
        <v>0</v>
      </c>
      <c r="V252" s="24">
        <f t="array" ref="V252">IF(V$77&gt;" ",(V$628:V$1078),"")</f>
        <v>0</v>
      </c>
      <c r="W252" s="24">
        <f t="array" ref="W252">IF(W$77&gt;" ",(W$628:W$1078),"")</f>
        <v>0</v>
      </c>
      <c r="X252" s="24">
        <f t="array" ref="X252">IF(X$77&gt;" ",(X$628:X$1078),"")</f>
        <v>0</v>
      </c>
      <c r="Y252" s="21">
        <v>0</v>
      </c>
      <c r="Z252" s="34">
        <f t="shared" si="35"/>
        <v>0</v>
      </c>
      <c r="AA252" s="24">
        <f t="shared" si="36"/>
        <v>0</v>
      </c>
      <c r="AB252" s="24">
        <f t="shared" si="37"/>
        <v>0</v>
      </c>
      <c r="AC252" s="24">
        <f t="shared" si="38"/>
        <v>0</v>
      </c>
      <c r="AD252" s="24">
        <f t="shared" si="42"/>
        <v>0</v>
      </c>
      <c r="AE252" s="24">
        <f t="shared" si="42"/>
        <v>0</v>
      </c>
      <c r="AF252" s="24">
        <f t="shared" si="42"/>
        <v>0</v>
      </c>
      <c r="AG252" s="24">
        <f t="shared" si="42"/>
        <v>0</v>
      </c>
      <c r="AH252" s="24">
        <f t="shared" si="43"/>
        <v>0</v>
      </c>
      <c r="AI252" s="24">
        <f t="shared" si="39"/>
        <v>0</v>
      </c>
      <c r="AJ252" s="261">
        <f t="shared" si="40"/>
        <v>0</v>
      </c>
      <c r="AK252" s="13"/>
      <c r="AL252" s="100">
        <v>1635</v>
      </c>
      <c r="AM252" s="202"/>
      <c r="AN252" s="200"/>
      <c r="AO252" s="200"/>
      <c r="AP252" s="284">
        <v>0.23300000000000001</v>
      </c>
      <c r="AR252" s="222">
        <v>97.421853311497856</v>
      </c>
      <c r="AS252" s="223">
        <v>97.434528171986244</v>
      </c>
      <c r="AT252" s="223">
        <v>95.608340192585729</v>
      </c>
      <c r="AU252" s="223">
        <v>95.765825585516652</v>
      </c>
      <c r="AV252" s="223">
        <v>98.399000000000001</v>
      </c>
      <c r="AW252" s="224">
        <v>97.115499999999997</v>
      </c>
      <c r="AX252" s="42"/>
      <c r="AY252" s="181"/>
      <c r="AZ252" s="197"/>
    </row>
    <row r="253" spans="12:52" ht="13" thickBot="1" x14ac:dyDescent="0.3">
      <c r="L253" s="55">
        <v>1630</v>
      </c>
      <c r="M253" s="274">
        <f t="shared" si="44"/>
        <v>0</v>
      </c>
      <c r="N253" s="275">
        <f t="shared" si="44"/>
        <v>0</v>
      </c>
      <c r="O253" s="276" t="e">
        <f ca="1"/>
        <v>#N/A</v>
      </c>
      <c r="Q253" s="34">
        <v>0</v>
      </c>
      <c r="R253" s="24">
        <v>0</v>
      </c>
      <c r="S253" s="24">
        <v>0</v>
      </c>
      <c r="T253" s="24">
        <v>0</v>
      </c>
      <c r="U253" s="24">
        <f t="array" ref="U253">IF(U$77&gt;" ",(U$628:U$1078),"")</f>
        <v>0</v>
      </c>
      <c r="V253" s="24">
        <f t="array" ref="V253">IF(V$77&gt;" ",(V$628:V$1078),"")</f>
        <v>0</v>
      </c>
      <c r="W253" s="24">
        <f t="array" ref="W253">IF(W$77&gt;" ",(W$628:W$1078),"")</f>
        <v>0</v>
      </c>
      <c r="X253" s="24">
        <f t="array" ref="X253">IF(X$77&gt;" ",(X$628:X$1078),"")</f>
        <v>0</v>
      </c>
      <c r="Y253" s="21">
        <v>0</v>
      </c>
      <c r="Z253" s="34">
        <f t="shared" si="35"/>
        <v>0</v>
      </c>
      <c r="AA253" s="24">
        <f t="shared" si="36"/>
        <v>0</v>
      </c>
      <c r="AB253" s="24">
        <f t="shared" si="37"/>
        <v>0</v>
      </c>
      <c r="AC253" s="24">
        <f t="shared" si="38"/>
        <v>0</v>
      </c>
      <c r="AD253" s="24">
        <f t="shared" si="42"/>
        <v>0</v>
      </c>
      <c r="AE253" s="24">
        <f t="shared" si="42"/>
        <v>0</v>
      </c>
      <c r="AF253" s="24">
        <f t="shared" si="42"/>
        <v>0</v>
      </c>
      <c r="AG253" s="24">
        <f t="shared" si="42"/>
        <v>0</v>
      </c>
      <c r="AH253" s="24">
        <f t="shared" si="43"/>
        <v>0</v>
      </c>
      <c r="AI253" s="24">
        <f t="shared" si="39"/>
        <v>0</v>
      </c>
      <c r="AJ253" s="261">
        <f t="shared" si="40"/>
        <v>0</v>
      </c>
      <c r="AK253" s="13"/>
      <c r="AL253" s="100">
        <v>1630</v>
      </c>
      <c r="AM253" s="202"/>
      <c r="AN253" s="200"/>
      <c r="AO253" s="200"/>
      <c r="AP253" s="283">
        <v>0.23580000000000001</v>
      </c>
      <c r="AR253" s="222">
        <v>97.419855339243313</v>
      </c>
      <c r="AS253" s="223">
        <v>97.436882478933285</v>
      </c>
      <c r="AT253" s="223">
        <v>95.614238599402483</v>
      </c>
      <c r="AU253" s="223">
        <v>95.779473268215455</v>
      </c>
      <c r="AV253" s="223">
        <v>98.394000000000005</v>
      </c>
      <c r="AW253" s="224">
        <v>97.11</v>
      </c>
      <c r="AX253" s="42"/>
      <c r="AY253" s="181"/>
      <c r="AZ253" s="197"/>
    </row>
    <row r="254" spans="12:52" ht="13" thickBot="1" x14ac:dyDescent="0.3">
      <c r="L254" s="55">
        <v>1625</v>
      </c>
      <c r="M254" s="274">
        <f t="shared" si="44"/>
        <v>0</v>
      </c>
      <c r="N254" s="275">
        <f t="shared" si="44"/>
        <v>0</v>
      </c>
      <c r="O254" s="276" t="e">
        <f ca="1"/>
        <v>#N/A</v>
      </c>
      <c r="Q254" s="34">
        <v>0</v>
      </c>
      <c r="R254" s="24">
        <v>0</v>
      </c>
      <c r="S254" s="24">
        <v>0</v>
      </c>
      <c r="T254" s="24">
        <v>0</v>
      </c>
      <c r="U254" s="24">
        <f t="array" ref="U254">IF(U$77&gt;" ",(U$628:U$1078),"")</f>
        <v>0</v>
      </c>
      <c r="V254" s="24">
        <f t="array" ref="V254">IF(V$77&gt;" ",(V$628:V$1078),"")</f>
        <v>0</v>
      </c>
      <c r="W254" s="24">
        <f t="array" ref="W254">IF(W$77&gt;" ",(W$628:W$1078),"")</f>
        <v>0</v>
      </c>
      <c r="X254" s="24">
        <f t="array" ref="X254">IF(X$77&gt;" ",(X$628:X$1078),"")</f>
        <v>0</v>
      </c>
      <c r="Y254" s="21">
        <v>0</v>
      </c>
      <c r="Z254" s="34">
        <f t="shared" si="35"/>
        <v>0</v>
      </c>
      <c r="AA254" s="24">
        <f t="shared" si="36"/>
        <v>0</v>
      </c>
      <c r="AB254" s="24">
        <f t="shared" si="37"/>
        <v>0</v>
      </c>
      <c r="AC254" s="24">
        <f t="shared" si="38"/>
        <v>0</v>
      </c>
      <c r="AD254" s="24">
        <f t="shared" si="42"/>
        <v>0</v>
      </c>
      <c r="AE254" s="24">
        <f t="shared" si="42"/>
        <v>0</v>
      </c>
      <c r="AF254" s="24">
        <f t="shared" si="42"/>
        <v>0</v>
      </c>
      <c r="AG254" s="24">
        <f t="shared" si="42"/>
        <v>0</v>
      </c>
      <c r="AH254" s="24">
        <f t="shared" si="43"/>
        <v>0</v>
      </c>
      <c r="AI254" s="24">
        <f t="shared" si="39"/>
        <v>0</v>
      </c>
      <c r="AJ254" s="261">
        <f t="shared" si="40"/>
        <v>0</v>
      </c>
      <c r="AK254" s="13"/>
      <c r="AL254" s="100">
        <v>1625</v>
      </c>
      <c r="AM254" s="202"/>
      <c r="AN254" s="200"/>
      <c r="AO254" s="200"/>
      <c r="AP254" s="284">
        <v>0.23710000000000001</v>
      </c>
      <c r="AR254" s="222">
        <v>97.425592310220068</v>
      </c>
      <c r="AS254" s="223">
        <v>97.428830797758735</v>
      </c>
      <c r="AT254" s="223">
        <v>95.620823430110093</v>
      </c>
      <c r="AU254" s="223">
        <v>95.786146981439515</v>
      </c>
      <c r="AV254" s="223">
        <v>98.387</v>
      </c>
      <c r="AW254" s="224">
        <v>97.102999999999994</v>
      </c>
      <c r="AX254" s="42"/>
      <c r="AY254" s="181"/>
      <c r="AZ254" s="197"/>
    </row>
    <row r="255" spans="12:52" ht="13" thickBot="1" x14ac:dyDescent="0.3">
      <c r="L255" s="55">
        <v>1620</v>
      </c>
      <c r="M255" s="274">
        <f t="shared" ref="M255:N270" si="45">M804</f>
        <v>0</v>
      </c>
      <c r="N255" s="275">
        <f t="shared" si="45"/>
        <v>0</v>
      </c>
      <c r="O255" s="276" t="e">
        <f ca="1"/>
        <v>#N/A</v>
      </c>
      <c r="Q255" s="34">
        <v>0</v>
      </c>
      <c r="R255" s="24">
        <v>0</v>
      </c>
      <c r="S255" s="24">
        <v>0</v>
      </c>
      <c r="T255" s="24">
        <v>0</v>
      </c>
      <c r="U255" s="24">
        <f t="array" ref="U255">IF(U$77&gt;" ",(U$628:U$1078),"")</f>
        <v>0</v>
      </c>
      <c r="V255" s="24">
        <f t="array" ref="V255">IF(V$77&gt;" ",(V$628:V$1078),"")</f>
        <v>0</v>
      </c>
      <c r="W255" s="24">
        <f t="array" ref="W255">IF(W$77&gt;" ",(W$628:W$1078),"")</f>
        <v>0</v>
      </c>
      <c r="X255" s="24">
        <f t="array" ref="X255">IF(X$77&gt;" ",(X$628:X$1078),"")</f>
        <v>0</v>
      </c>
      <c r="Y255" s="21">
        <v>0</v>
      </c>
      <c r="Z255" s="34">
        <f t="shared" si="35"/>
        <v>0</v>
      </c>
      <c r="AA255" s="24">
        <f t="shared" si="36"/>
        <v>0</v>
      </c>
      <c r="AB255" s="24">
        <f t="shared" si="37"/>
        <v>0</v>
      </c>
      <c r="AC255" s="24">
        <f t="shared" si="38"/>
        <v>0</v>
      </c>
      <c r="AD255" s="24">
        <f t="shared" si="42"/>
        <v>0</v>
      </c>
      <c r="AE255" s="24">
        <f t="shared" si="42"/>
        <v>0</v>
      </c>
      <c r="AF255" s="24">
        <f t="shared" si="42"/>
        <v>0</v>
      </c>
      <c r="AG255" s="24">
        <f t="shared" si="42"/>
        <v>0</v>
      </c>
      <c r="AH255" s="24">
        <f t="shared" si="43"/>
        <v>0</v>
      </c>
      <c r="AI255" s="24">
        <f t="shared" si="39"/>
        <v>0</v>
      </c>
      <c r="AJ255" s="261">
        <f t="shared" si="40"/>
        <v>0</v>
      </c>
      <c r="AK255" s="13"/>
      <c r="AL255" s="100">
        <v>1620</v>
      </c>
      <c r="AM255" s="202"/>
      <c r="AN255" s="200"/>
      <c r="AO255" s="200"/>
      <c r="AP255" s="283">
        <v>0.23380000000000001</v>
      </c>
      <c r="AR255" s="222">
        <v>97.426302640779468</v>
      </c>
      <c r="AS255" s="223">
        <v>97.430266947388176</v>
      </c>
      <c r="AT255" s="223">
        <v>95.616821751885652</v>
      </c>
      <c r="AU255" s="223">
        <v>95.788560463045954</v>
      </c>
      <c r="AV255" s="223">
        <v>98.38</v>
      </c>
      <c r="AW255" s="224">
        <v>97.096000000000004</v>
      </c>
      <c r="AX255" s="42"/>
      <c r="AY255" s="181"/>
      <c r="AZ255" s="197"/>
    </row>
    <row r="256" spans="12:52" ht="13" thickBot="1" x14ac:dyDescent="0.3">
      <c r="L256" s="55">
        <v>1615</v>
      </c>
      <c r="M256" s="274">
        <f t="shared" si="45"/>
        <v>0</v>
      </c>
      <c r="N256" s="275">
        <f t="shared" si="45"/>
        <v>0</v>
      </c>
      <c r="O256" s="276" t="e">
        <f ca="1"/>
        <v>#N/A</v>
      </c>
      <c r="Q256" s="34">
        <v>0</v>
      </c>
      <c r="R256" s="24">
        <v>0</v>
      </c>
      <c r="S256" s="24">
        <v>0</v>
      </c>
      <c r="T256" s="24">
        <v>0</v>
      </c>
      <c r="U256" s="24">
        <f t="array" ref="U256">IF(U$77&gt;" ",(U$628:U$1078),"")</f>
        <v>0</v>
      </c>
      <c r="V256" s="24">
        <f t="array" ref="V256">IF(V$77&gt;" ",(V$628:V$1078),"")</f>
        <v>0</v>
      </c>
      <c r="W256" s="24">
        <f t="array" ref="W256">IF(W$77&gt;" ",(W$628:W$1078),"")</f>
        <v>0</v>
      </c>
      <c r="X256" s="24">
        <f t="array" ref="X256">IF(X$77&gt;" ",(X$628:X$1078),"")</f>
        <v>0</v>
      </c>
      <c r="Y256" s="21">
        <v>0</v>
      </c>
      <c r="Z256" s="34">
        <f t="shared" si="35"/>
        <v>0</v>
      </c>
      <c r="AA256" s="24">
        <f t="shared" si="36"/>
        <v>0</v>
      </c>
      <c r="AB256" s="24">
        <f t="shared" si="37"/>
        <v>0</v>
      </c>
      <c r="AC256" s="24">
        <f t="shared" si="38"/>
        <v>0</v>
      </c>
      <c r="AD256" s="24">
        <f t="shared" si="42"/>
        <v>0</v>
      </c>
      <c r="AE256" s="24">
        <f t="shared" si="42"/>
        <v>0</v>
      </c>
      <c r="AF256" s="24">
        <f t="shared" si="42"/>
        <v>0</v>
      </c>
      <c r="AG256" s="24">
        <f t="shared" si="42"/>
        <v>0</v>
      </c>
      <c r="AH256" s="24">
        <f t="shared" si="43"/>
        <v>0</v>
      </c>
      <c r="AI256" s="24">
        <f t="shared" si="39"/>
        <v>0</v>
      </c>
      <c r="AJ256" s="261">
        <f t="shared" si="40"/>
        <v>0</v>
      </c>
      <c r="AK256" s="13"/>
      <c r="AL256" s="100">
        <v>1615</v>
      </c>
      <c r="AM256" s="202"/>
      <c r="AN256" s="200"/>
      <c r="AO256" s="200"/>
      <c r="AP256" s="284">
        <v>0.24030000000000001</v>
      </c>
      <c r="AR256" s="222">
        <v>97.435690080173913</v>
      </c>
      <c r="AS256" s="223">
        <v>97.436790390772003</v>
      </c>
      <c r="AT256" s="223">
        <v>95.62273863744754</v>
      </c>
      <c r="AU256" s="223">
        <v>95.794921465149287</v>
      </c>
      <c r="AV256" s="223">
        <v>98.375</v>
      </c>
      <c r="AW256" s="224">
        <v>97.089500000000001</v>
      </c>
      <c r="AX256" s="42"/>
      <c r="AY256" s="181"/>
      <c r="AZ256" s="197"/>
    </row>
    <row r="257" spans="12:52" ht="13" thickBot="1" x14ac:dyDescent="0.3">
      <c r="L257" s="55">
        <v>1610</v>
      </c>
      <c r="M257" s="274">
        <f t="shared" si="45"/>
        <v>0</v>
      </c>
      <c r="N257" s="275">
        <f t="shared" si="45"/>
        <v>0</v>
      </c>
      <c r="O257" s="276" t="e">
        <f ca="1"/>
        <v>#N/A</v>
      </c>
      <c r="Q257" s="34">
        <v>0</v>
      </c>
      <c r="R257" s="24">
        <v>0</v>
      </c>
      <c r="S257" s="24">
        <v>0</v>
      </c>
      <c r="T257" s="24">
        <v>0</v>
      </c>
      <c r="U257" s="24">
        <f t="array" ref="U257">IF(U$77&gt;" ",(U$628:U$1078),"")</f>
        <v>0</v>
      </c>
      <c r="V257" s="24">
        <f t="array" ref="V257">IF(V$77&gt;" ",(V$628:V$1078),"")</f>
        <v>0</v>
      </c>
      <c r="W257" s="24">
        <f t="array" ref="W257">IF(W$77&gt;" ",(W$628:W$1078),"")</f>
        <v>0</v>
      </c>
      <c r="X257" s="24">
        <f t="array" ref="X257">IF(X$77&gt;" ",(X$628:X$1078),"")</f>
        <v>0</v>
      </c>
      <c r="Y257" s="21">
        <v>0</v>
      </c>
      <c r="Z257" s="34">
        <f t="shared" si="35"/>
        <v>0</v>
      </c>
      <c r="AA257" s="24">
        <f t="shared" si="36"/>
        <v>0</v>
      </c>
      <c r="AB257" s="24">
        <f t="shared" si="37"/>
        <v>0</v>
      </c>
      <c r="AC257" s="24">
        <f t="shared" si="38"/>
        <v>0</v>
      </c>
      <c r="AD257" s="24">
        <f t="shared" si="42"/>
        <v>0</v>
      </c>
      <c r="AE257" s="24">
        <f t="shared" si="42"/>
        <v>0</v>
      </c>
      <c r="AF257" s="24">
        <f t="shared" si="42"/>
        <v>0</v>
      </c>
      <c r="AG257" s="24">
        <f t="shared" si="42"/>
        <v>0</v>
      </c>
      <c r="AH257" s="24">
        <f t="shared" si="43"/>
        <v>0</v>
      </c>
      <c r="AI257" s="24">
        <f t="shared" si="39"/>
        <v>0</v>
      </c>
      <c r="AJ257" s="261">
        <f t="shared" si="40"/>
        <v>0</v>
      </c>
      <c r="AK257" s="13"/>
      <c r="AL257" s="100">
        <v>1610</v>
      </c>
      <c r="AM257" s="202"/>
      <c r="AN257" s="200"/>
      <c r="AO257" s="200"/>
      <c r="AP257" s="283">
        <v>0.217</v>
      </c>
      <c r="AR257" s="222">
        <v>97.422147158969779</v>
      </c>
      <c r="AS257" s="223">
        <v>97.432009960773414</v>
      </c>
      <c r="AT257" s="223">
        <v>95.632677760124423</v>
      </c>
      <c r="AU257" s="223">
        <v>95.801468700412045</v>
      </c>
      <c r="AV257" s="223">
        <v>98.37</v>
      </c>
      <c r="AW257" s="224">
        <v>97.082999999999998</v>
      </c>
      <c r="AX257" s="42"/>
      <c r="AY257" s="181"/>
      <c r="AZ257" s="197"/>
    </row>
    <row r="258" spans="12:52" ht="13" thickBot="1" x14ac:dyDescent="0.3">
      <c r="L258" s="55">
        <v>1605</v>
      </c>
      <c r="M258" s="274">
        <f t="shared" si="45"/>
        <v>0</v>
      </c>
      <c r="N258" s="275">
        <f t="shared" si="45"/>
        <v>0</v>
      </c>
      <c r="O258" s="276" t="e">
        <f ca="1"/>
        <v>#N/A</v>
      </c>
      <c r="Q258" s="34">
        <v>0</v>
      </c>
      <c r="R258" s="24">
        <v>0</v>
      </c>
      <c r="S258" s="24">
        <v>0</v>
      </c>
      <c r="T258" s="24">
        <v>0</v>
      </c>
      <c r="U258" s="24">
        <f t="array" ref="U258">IF(U$77&gt;" ",(U$628:U$1078),"")</f>
        <v>0</v>
      </c>
      <c r="V258" s="24">
        <f t="array" ref="V258">IF(V$77&gt;" ",(V$628:V$1078),"")</f>
        <v>0</v>
      </c>
      <c r="W258" s="24">
        <f t="array" ref="W258">IF(W$77&gt;" ",(W$628:W$1078),"")</f>
        <v>0</v>
      </c>
      <c r="X258" s="24">
        <f t="array" ref="X258">IF(X$77&gt;" ",(X$628:X$1078),"")</f>
        <v>0</v>
      </c>
      <c r="Y258" s="21">
        <v>0</v>
      </c>
      <c r="Z258" s="34">
        <f t="shared" si="35"/>
        <v>0</v>
      </c>
      <c r="AA258" s="24">
        <f t="shared" si="36"/>
        <v>0</v>
      </c>
      <c r="AB258" s="24">
        <f t="shared" si="37"/>
        <v>0</v>
      </c>
      <c r="AC258" s="24">
        <f t="shared" si="38"/>
        <v>0</v>
      </c>
      <c r="AD258" s="24">
        <f t="shared" si="42"/>
        <v>0</v>
      </c>
      <c r="AE258" s="24">
        <f t="shared" si="42"/>
        <v>0</v>
      </c>
      <c r="AF258" s="24">
        <f t="shared" si="42"/>
        <v>0</v>
      </c>
      <c r="AG258" s="24">
        <f t="shared" si="42"/>
        <v>0</v>
      </c>
      <c r="AH258" s="24">
        <f t="shared" si="43"/>
        <v>0</v>
      </c>
      <c r="AI258" s="24">
        <f t="shared" si="39"/>
        <v>0</v>
      </c>
      <c r="AJ258" s="261">
        <f t="shared" si="40"/>
        <v>0</v>
      </c>
      <c r="AK258" s="13"/>
      <c r="AL258" s="100">
        <v>1605</v>
      </c>
      <c r="AM258" s="202"/>
      <c r="AN258" s="200"/>
      <c r="AO258" s="200"/>
      <c r="AP258" s="284">
        <v>0.2361</v>
      </c>
      <c r="AR258" s="222">
        <v>97.419215607800709</v>
      </c>
      <c r="AS258" s="223">
        <v>97.430483075590715</v>
      </c>
      <c r="AT258" s="223">
        <v>95.620516403865722</v>
      </c>
      <c r="AU258" s="223">
        <v>95.784957533936293</v>
      </c>
      <c r="AV258" s="223">
        <v>98.364999999999995</v>
      </c>
      <c r="AW258" s="224">
        <v>97.076999999999998</v>
      </c>
      <c r="AX258" s="42"/>
      <c r="AY258" s="181"/>
      <c r="AZ258" s="197"/>
    </row>
    <row r="259" spans="12:52" ht="13" thickBot="1" x14ac:dyDescent="0.3">
      <c r="L259" s="55">
        <v>1600</v>
      </c>
      <c r="M259" s="274">
        <f t="shared" si="45"/>
        <v>0</v>
      </c>
      <c r="N259" s="275">
        <f t="shared" si="45"/>
        <v>0</v>
      </c>
      <c r="O259" s="276" t="e">
        <f ca="1"/>
        <v>#N/A</v>
      </c>
      <c r="Q259" s="34">
        <v>0</v>
      </c>
      <c r="R259" s="24">
        <v>0</v>
      </c>
      <c r="S259" s="24">
        <v>0</v>
      </c>
      <c r="T259" s="24">
        <v>0</v>
      </c>
      <c r="U259" s="24">
        <f t="array" ref="U259">IF(U$77&gt;" ",(U$628:U$1078),"")</f>
        <v>0</v>
      </c>
      <c r="V259" s="24">
        <f t="array" ref="V259">IF(V$77&gt;" ",(V$628:V$1078),"")</f>
        <v>0</v>
      </c>
      <c r="W259" s="24">
        <f t="array" ref="W259">IF(W$77&gt;" ",(W$628:W$1078),"")</f>
        <v>0</v>
      </c>
      <c r="X259" s="24">
        <f t="array" ref="X259">IF(X$77&gt;" ",(X$628:X$1078),"")</f>
        <v>0</v>
      </c>
      <c r="Y259" s="21">
        <v>0</v>
      </c>
      <c r="Z259" s="34">
        <f t="shared" si="35"/>
        <v>0</v>
      </c>
      <c r="AA259" s="24">
        <f t="shared" si="36"/>
        <v>0</v>
      </c>
      <c r="AB259" s="24">
        <f t="shared" si="37"/>
        <v>0</v>
      </c>
      <c r="AC259" s="24">
        <f t="shared" si="38"/>
        <v>0</v>
      </c>
      <c r="AD259" s="24">
        <f t="shared" si="42"/>
        <v>0</v>
      </c>
      <c r="AE259" s="24">
        <f t="shared" si="42"/>
        <v>0</v>
      </c>
      <c r="AF259" s="24">
        <f t="shared" si="42"/>
        <v>0</v>
      </c>
      <c r="AG259" s="24">
        <f t="shared" si="42"/>
        <v>0</v>
      </c>
      <c r="AH259" s="24">
        <f t="shared" si="43"/>
        <v>0</v>
      </c>
      <c r="AI259" s="24">
        <f t="shared" si="39"/>
        <v>0</v>
      </c>
      <c r="AJ259" s="261">
        <f t="shared" si="40"/>
        <v>0</v>
      </c>
      <c r="AK259" s="13"/>
      <c r="AL259" s="100">
        <v>1600</v>
      </c>
      <c r="AM259" s="202"/>
      <c r="AN259" s="200"/>
      <c r="AO259" s="200"/>
      <c r="AP259" s="283">
        <v>0.2374</v>
      </c>
      <c r="AR259" s="222">
        <v>97.41978408662716</v>
      </c>
      <c r="AS259" s="223">
        <v>97.428099478938634</v>
      </c>
      <c r="AT259" s="223">
        <v>95.613430022422406</v>
      </c>
      <c r="AU259" s="223">
        <v>95.783911375288241</v>
      </c>
      <c r="AV259" s="223">
        <v>98.36</v>
      </c>
      <c r="AW259" s="224">
        <v>97.070999999999998</v>
      </c>
      <c r="AX259" s="42"/>
      <c r="AY259" s="181"/>
      <c r="AZ259" s="197"/>
    </row>
    <row r="260" spans="12:52" ht="13" thickBot="1" x14ac:dyDescent="0.3">
      <c r="L260" s="55">
        <v>1595</v>
      </c>
      <c r="M260" s="274">
        <f t="shared" si="45"/>
        <v>0</v>
      </c>
      <c r="N260" s="275">
        <f t="shared" si="45"/>
        <v>0</v>
      </c>
      <c r="O260" s="276" t="e">
        <f ca="1"/>
        <v>#N/A</v>
      </c>
      <c r="Q260" s="34">
        <v>0</v>
      </c>
      <c r="R260" s="24">
        <v>0</v>
      </c>
      <c r="S260" s="24">
        <v>0</v>
      </c>
      <c r="T260" s="24">
        <v>0</v>
      </c>
      <c r="U260" s="24">
        <f t="array" ref="U260">IF(U$77&gt;" ",(U$628:U$1078),"")</f>
        <v>0</v>
      </c>
      <c r="V260" s="24">
        <f t="array" ref="V260">IF(V$77&gt;" ",(V$628:V$1078),"")</f>
        <v>0</v>
      </c>
      <c r="W260" s="24">
        <f t="array" ref="W260">IF(W$77&gt;" ",(W$628:W$1078),"")</f>
        <v>0</v>
      </c>
      <c r="X260" s="24">
        <f t="array" ref="X260">IF(X$77&gt;" ",(X$628:X$1078),"")</f>
        <v>0</v>
      </c>
      <c r="Y260" s="21">
        <v>0</v>
      </c>
      <c r="Z260" s="34">
        <f t="shared" si="35"/>
        <v>0</v>
      </c>
      <c r="AA260" s="24">
        <f t="shared" si="36"/>
        <v>0</v>
      </c>
      <c r="AB260" s="24">
        <f t="shared" si="37"/>
        <v>0</v>
      </c>
      <c r="AC260" s="24">
        <f t="shared" si="38"/>
        <v>0</v>
      </c>
      <c r="AD260" s="24">
        <f t="shared" si="42"/>
        <v>0</v>
      </c>
      <c r="AE260" s="24">
        <f t="shared" si="42"/>
        <v>0</v>
      </c>
      <c r="AF260" s="24">
        <f t="shared" si="42"/>
        <v>0</v>
      </c>
      <c r="AG260" s="24">
        <f t="shared" si="42"/>
        <v>0</v>
      </c>
      <c r="AH260" s="24">
        <f t="shared" si="43"/>
        <v>0</v>
      </c>
      <c r="AI260" s="24">
        <f t="shared" si="39"/>
        <v>0</v>
      </c>
      <c r="AJ260" s="261">
        <f t="shared" si="40"/>
        <v>0</v>
      </c>
      <c r="AK260" s="13"/>
      <c r="AL260" s="100">
        <v>1595</v>
      </c>
      <c r="AM260" s="202"/>
      <c r="AN260" s="200"/>
      <c r="AO260" s="200"/>
      <c r="AP260" s="284">
        <v>0.25750000000000001</v>
      </c>
      <c r="AR260" s="222">
        <v>97.428051760845747</v>
      </c>
      <c r="AS260" s="223">
        <v>97.421703045496812</v>
      </c>
      <c r="AT260" s="223">
        <v>95.599397557164878</v>
      </c>
      <c r="AU260" s="223">
        <v>95.773384127564327</v>
      </c>
      <c r="AV260" s="223">
        <v>98.355000000000004</v>
      </c>
      <c r="AW260" s="224">
        <v>97.064499999999995</v>
      </c>
      <c r="AX260" s="42"/>
      <c r="AY260" s="181"/>
      <c r="AZ260" s="197"/>
    </row>
    <row r="261" spans="12:52" ht="13" thickBot="1" x14ac:dyDescent="0.3">
      <c r="L261" s="55">
        <v>1590</v>
      </c>
      <c r="M261" s="274">
        <f t="shared" si="45"/>
        <v>0</v>
      </c>
      <c r="N261" s="275">
        <f t="shared" si="45"/>
        <v>0</v>
      </c>
      <c r="O261" s="276" t="e">
        <f ca="1"/>
        <v>#N/A</v>
      </c>
      <c r="Q261" s="34">
        <v>0</v>
      </c>
      <c r="R261" s="24">
        <v>0</v>
      </c>
      <c r="S261" s="24">
        <v>0</v>
      </c>
      <c r="T261" s="24">
        <v>0</v>
      </c>
      <c r="U261" s="24">
        <f t="array" ref="U261">IF(U$77&gt;" ",(U$628:U$1078),"")</f>
        <v>0</v>
      </c>
      <c r="V261" s="24">
        <f t="array" ref="V261">IF(V$77&gt;" ",(V$628:V$1078),"")</f>
        <v>0</v>
      </c>
      <c r="W261" s="24">
        <f t="array" ref="W261">IF(W$77&gt;" ",(W$628:W$1078),"")</f>
        <v>0</v>
      </c>
      <c r="X261" s="24">
        <f t="array" ref="X261">IF(X$77&gt;" ",(X$628:X$1078),"")</f>
        <v>0</v>
      </c>
      <c r="Y261" s="21">
        <v>0</v>
      </c>
      <c r="Z261" s="34">
        <f t="shared" si="35"/>
        <v>0</v>
      </c>
      <c r="AA261" s="24">
        <f t="shared" si="36"/>
        <v>0</v>
      </c>
      <c r="AB261" s="24">
        <f t="shared" si="37"/>
        <v>0</v>
      </c>
      <c r="AC261" s="24">
        <f t="shared" si="38"/>
        <v>0</v>
      </c>
      <c r="AD261" s="24">
        <f t="shared" si="42"/>
        <v>0</v>
      </c>
      <c r="AE261" s="24">
        <f t="shared" si="42"/>
        <v>0</v>
      </c>
      <c r="AF261" s="24">
        <f t="shared" si="42"/>
        <v>0</v>
      </c>
      <c r="AG261" s="24">
        <f t="shared" si="42"/>
        <v>0</v>
      </c>
      <c r="AH261" s="24">
        <f t="shared" si="43"/>
        <v>0</v>
      </c>
      <c r="AI261" s="24">
        <f t="shared" si="39"/>
        <v>0</v>
      </c>
      <c r="AJ261" s="261">
        <f t="shared" si="40"/>
        <v>0</v>
      </c>
      <c r="AK261" s="13"/>
      <c r="AL261" s="100">
        <v>1590</v>
      </c>
      <c r="AM261" s="202"/>
      <c r="AN261" s="200"/>
      <c r="AO261" s="200"/>
      <c r="AP261" s="283">
        <v>0.24110000000000001</v>
      </c>
      <c r="AR261" s="222">
        <v>97.420315056240725</v>
      </c>
      <c r="AS261" s="223">
        <v>97.424153169080043</v>
      </c>
      <c r="AT261" s="223">
        <v>95.593910418897721</v>
      </c>
      <c r="AU261" s="223">
        <v>95.770135551171265</v>
      </c>
      <c r="AV261" s="223">
        <v>98.35</v>
      </c>
      <c r="AW261" s="224">
        <v>97.057999999999993</v>
      </c>
      <c r="AX261" s="42"/>
      <c r="AY261" s="181"/>
      <c r="AZ261" s="197"/>
    </row>
    <row r="262" spans="12:52" ht="13" thickBot="1" x14ac:dyDescent="0.3">
      <c r="L262" s="55">
        <v>1585</v>
      </c>
      <c r="M262" s="274">
        <f t="shared" si="45"/>
        <v>0</v>
      </c>
      <c r="N262" s="275">
        <f t="shared" si="45"/>
        <v>0</v>
      </c>
      <c r="O262" s="276" t="e">
        <f ca="1"/>
        <v>#N/A</v>
      </c>
      <c r="Q262" s="34">
        <v>0</v>
      </c>
      <c r="R262" s="24">
        <v>0</v>
      </c>
      <c r="S262" s="24">
        <v>0</v>
      </c>
      <c r="T262" s="24">
        <v>0</v>
      </c>
      <c r="U262" s="24">
        <f t="array" ref="U262">IF(U$77&gt;" ",(U$628:U$1078),"")</f>
        <v>0</v>
      </c>
      <c r="V262" s="24">
        <f t="array" ref="V262">IF(V$77&gt;" ",(V$628:V$1078),"")</f>
        <v>0</v>
      </c>
      <c r="W262" s="24">
        <f t="array" ref="W262">IF(W$77&gt;" ",(W$628:W$1078),"")</f>
        <v>0</v>
      </c>
      <c r="X262" s="24">
        <f t="array" ref="X262">IF(X$77&gt;" ",(X$628:X$1078),"")</f>
        <v>0</v>
      </c>
      <c r="Y262" s="21">
        <v>0</v>
      </c>
      <c r="Z262" s="34">
        <f t="shared" si="35"/>
        <v>0</v>
      </c>
      <c r="AA262" s="24">
        <f t="shared" si="36"/>
        <v>0</v>
      </c>
      <c r="AB262" s="24">
        <f t="shared" si="37"/>
        <v>0</v>
      </c>
      <c r="AC262" s="24">
        <f t="shared" si="38"/>
        <v>0</v>
      </c>
      <c r="AD262" s="24">
        <f t="shared" si="42"/>
        <v>0</v>
      </c>
      <c r="AE262" s="24">
        <f t="shared" si="42"/>
        <v>0</v>
      </c>
      <c r="AF262" s="24">
        <f t="shared" si="42"/>
        <v>0</v>
      </c>
      <c r="AG262" s="24">
        <f t="shared" si="42"/>
        <v>0</v>
      </c>
      <c r="AH262" s="24">
        <f t="shared" si="43"/>
        <v>0</v>
      </c>
      <c r="AI262" s="24">
        <f t="shared" si="39"/>
        <v>0</v>
      </c>
      <c r="AJ262" s="261">
        <f t="shared" si="40"/>
        <v>0</v>
      </c>
      <c r="AK262" s="13"/>
      <c r="AL262" s="100">
        <v>1585</v>
      </c>
      <c r="AM262" s="202"/>
      <c r="AN262" s="200"/>
      <c r="AO262" s="200"/>
      <c r="AP262" s="284">
        <v>0.25800000000000001</v>
      </c>
      <c r="AR262" s="222">
        <v>97.407971334329446</v>
      </c>
      <c r="AS262" s="223">
        <v>97.425683380035821</v>
      </c>
      <c r="AT262" s="223">
        <v>95.585280553174073</v>
      </c>
      <c r="AU262" s="223">
        <v>95.754158916342064</v>
      </c>
      <c r="AV262" s="223">
        <v>98.344499999999996</v>
      </c>
      <c r="AW262" s="224">
        <v>97.051000000000002</v>
      </c>
      <c r="AX262" s="42"/>
      <c r="AY262" s="181"/>
      <c r="AZ262" s="197"/>
    </row>
    <row r="263" spans="12:52" ht="13" thickBot="1" x14ac:dyDescent="0.3">
      <c r="L263" s="104">
        <v>1580</v>
      </c>
      <c r="M263" s="274">
        <f t="shared" si="45"/>
        <v>0</v>
      </c>
      <c r="N263" s="275">
        <f t="shared" si="45"/>
        <v>0</v>
      </c>
      <c r="O263" s="276" t="e">
        <f ca="1"/>
        <v>#N/A</v>
      </c>
      <c r="P263" s="105"/>
      <c r="Q263" s="101">
        <v>0</v>
      </c>
      <c r="R263" s="102">
        <v>0</v>
      </c>
      <c r="S263" s="102">
        <v>0</v>
      </c>
      <c r="T263" s="102">
        <v>0</v>
      </c>
      <c r="U263" s="24">
        <f t="array" ref="U263">IF(U$77&gt;" ",(U$628:U$1078),"")</f>
        <v>0</v>
      </c>
      <c r="V263" s="24">
        <f t="array" ref="V263">IF(V$77&gt;" ",(V$628:V$1078),"")</f>
        <v>0</v>
      </c>
      <c r="W263" s="24">
        <f t="array" ref="W263">IF(W$77&gt;" ",(W$628:W$1078),"")</f>
        <v>0</v>
      </c>
      <c r="X263" s="24">
        <f t="array" ref="X263">IF(X$77&gt;" ",(X$628:X$1078),"")</f>
        <v>0</v>
      </c>
      <c r="Y263" s="103">
        <v>0</v>
      </c>
      <c r="Z263" s="34">
        <f t="shared" si="35"/>
        <v>0</v>
      </c>
      <c r="AA263" s="24">
        <f t="shared" si="36"/>
        <v>0</v>
      </c>
      <c r="AB263" s="24">
        <f t="shared" si="37"/>
        <v>0</v>
      </c>
      <c r="AC263" s="24">
        <f t="shared" si="38"/>
        <v>0</v>
      </c>
      <c r="AD263" s="24">
        <f t="shared" si="42"/>
        <v>0</v>
      </c>
      <c r="AE263" s="24">
        <f t="shared" si="42"/>
        <v>0</v>
      </c>
      <c r="AF263" s="24">
        <f t="shared" si="42"/>
        <v>0</v>
      </c>
      <c r="AG263" s="24">
        <f t="shared" si="42"/>
        <v>0</v>
      </c>
      <c r="AH263" s="24">
        <f t="shared" si="43"/>
        <v>0</v>
      </c>
      <c r="AI263" s="102">
        <f t="shared" si="39"/>
        <v>0</v>
      </c>
      <c r="AJ263" s="261">
        <f t="shared" si="40"/>
        <v>0</v>
      </c>
      <c r="AK263" s="106"/>
      <c r="AL263" s="100">
        <v>1580</v>
      </c>
      <c r="AM263" s="202"/>
      <c r="AN263" s="200"/>
      <c r="AO263" s="200"/>
      <c r="AP263" s="283">
        <v>0.24390000000000001</v>
      </c>
      <c r="AQ263" s="105"/>
      <c r="AR263" s="222">
        <v>97.408172256101537</v>
      </c>
      <c r="AS263" s="223">
        <v>97.429345139054519</v>
      </c>
      <c r="AT263" s="223">
        <v>95.579748107652662</v>
      </c>
      <c r="AU263" s="223">
        <v>95.748132943569729</v>
      </c>
      <c r="AV263" s="223">
        <v>98.338999999999999</v>
      </c>
      <c r="AW263" s="224">
        <v>97.043999999999997</v>
      </c>
      <c r="AX263" s="80"/>
      <c r="AY263" s="181"/>
      <c r="AZ263" s="197"/>
    </row>
    <row r="264" spans="12:52" ht="13" thickBot="1" x14ac:dyDescent="0.3">
      <c r="L264" s="55">
        <v>1575</v>
      </c>
      <c r="M264" s="274">
        <f t="shared" si="45"/>
        <v>0</v>
      </c>
      <c r="N264" s="275">
        <f t="shared" si="45"/>
        <v>0</v>
      </c>
      <c r="O264" s="276" t="e">
        <f ca="1"/>
        <v>#N/A</v>
      </c>
      <c r="Q264" s="34">
        <v>0</v>
      </c>
      <c r="R264" s="24">
        <v>0</v>
      </c>
      <c r="S264" s="24">
        <v>0</v>
      </c>
      <c r="T264" s="24">
        <v>0</v>
      </c>
      <c r="U264" s="24">
        <f t="array" ref="U264">IF(U$77&gt;" ",(U$628:U$1078),"")</f>
        <v>0</v>
      </c>
      <c r="V264" s="24">
        <f t="array" ref="V264">IF(V$77&gt;" ",(V$628:V$1078),"")</f>
        <v>0</v>
      </c>
      <c r="W264" s="24">
        <f t="array" ref="W264">IF(W$77&gt;" ",(W$628:W$1078),"")</f>
        <v>0</v>
      </c>
      <c r="X264" s="24">
        <f t="array" ref="X264">IF(X$77&gt;" ",(X$628:X$1078),"")</f>
        <v>0</v>
      </c>
      <c r="Y264" s="21">
        <v>0</v>
      </c>
      <c r="Z264" s="34">
        <f t="shared" si="35"/>
        <v>0</v>
      </c>
      <c r="AA264" s="24">
        <f t="shared" si="36"/>
        <v>0</v>
      </c>
      <c r="AB264" s="24">
        <f t="shared" si="37"/>
        <v>0</v>
      </c>
      <c r="AC264" s="24">
        <f t="shared" si="38"/>
        <v>0</v>
      </c>
      <c r="AD264" s="24">
        <f t="shared" si="42"/>
        <v>0</v>
      </c>
      <c r="AE264" s="24">
        <f t="shared" si="42"/>
        <v>0</v>
      </c>
      <c r="AF264" s="24">
        <f t="shared" si="42"/>
        <v>0</v>
      </c>
      <c r="AG264" s="24">
        <f t="shared" si="42"/>
        <v>0</v>
      </c>
      <c r="AH264" s="24">
        <f t="shared" si="43"/>
        <v>0</v>
      </c>
      <c r="AI264" s="24">
        <f t="shared" si="39"/>
        <v>0</v>
      </c>
      <c r="AJ264" s="261">
        <f t="shared" si="40"/>
        <v>0</v>
      </c>
      <c r="AK264" s="13"/>
      <c r="AL264" s="100">
        <v>1575</v>
      </c>
      <c r="AM264" s="202"/>
      <c r="AN264" s="200"/>
      <c r="AO264" s="200"/>
      <c r="AP264" s="284">
        <v>0.23899999999999999</v>
      </c>
      <c r="AR264" s="222">
        <v>97.40273658147612</v>
      </c>
      <c r="AS264" s="223">
        <v>97.408900485710447</v>
      </c>
      <c r="AT264" s="223">
        <v>95.547280706025447</v>
      </c>
      <c r="AU264" s="223">
        <v>95.729034548563845</v>
      </c>
      <c r="AV264" s="223">
        <v>98.332499999999996</v>
      </c>
      <c r="AW264" s="224">
        <v>97.036000000000001</v>
      </c>
      <c r="AX264" s="42"/>
      <c r="AY264" s="181"/>
      <c r="AZ264" s="197"/>
    </row>
    <row r="265" spans="12:52" ht="13" thickBot="1" x14ac:dyDescent="0.3">
      <c r="L265" s="55">
        <v>1570</v>
      </c>
      <c r="M265" s="274">
        <f t="shared" si="45"/>
        <v>0</v>
      </c>
      <c r="N265" s="275">
        <f t="shared" si="45"/>
        <v>0</v>
      </c>
      <c r="O265" s="276" t="e">
        <f ca="1"/>
        <v>#N/A</v>
      </c>
      <c r="Q265" s="34">
        <v>0</v>
      </c>
      <c r="R265" s="24">
        <v>0</v>
      </c>
      <c r="S265" s="24">
        <v>0</v>
      </c>
      <c r="T265" s="24">
        <v>0</v>
      </c>
      <c r="U265" s="24">
        <f t="array" ref="U265">IF(U$77&gt;" ",(U$628:U$1078),"")</f>
        <v>0</v>
      </c>
      <c r="V265" s="24">
        <f t="array" ref="V265">IF(V$77&gt;" ",(V$628:V$1078),"")</f>
        <v>0</v>
      </c>
      <c r="W265" s="24">
        <f t="array" ref="W265">IF(W$77&gt;" ",(W$628:W$1078),"")</f>
        <v>0</v>
      </c>
      <c r="X265" s="24">
        <f t="array" ref="X265">IF(X$77&gt;" ",(X$628:X$1078),"")</f>
        <v>0</v>
      </c>
      <c r="Y265" s="21">
        <v>0</v>
      </c>
      <c r="Z265" s="34">
        <f t="shared" si="35"/>
        <v>0</v>
      </c>
      <c r="AA265" s="24">
        <f t="shared" si="36"/>
        <v>0</v>
      </c>
      <c r="AB265" s="24">
        <f t="shared" si="37"/>
        <v>0</v>
      </c>
      <c r="AC265" s="24">
        <f t="shared" si="38"/>
        <v>0</v>
      </c>
      <c r="AD265" s="24">
        <f t="shared" si="42"/>
        <v>0</v>
      </c>
      <c r="AE265" s="24">
        <f t="shared" si="42"/>
        <v>0</v>
      </c>
      <c r="AF265" s="24">
        <f t="shared" si="42"/>
        <v>0</v>
      </c>
      <c r="AG265" s="24">
        <f t="shared" si="42"/>
        <v>0</v>
      </c>
      <c r="AH265" s="24">
        <f t="shared" si="43"/>
        <v>0</v>
      </c>
      <c r="AI265" s="24">
        <f t="shared" si="39"/>
        <v>0</v>
      </c>
      <c r="AJ265" s="261">
        <f t="shared" si="40"/>
        <v>0</v>
      </c>
      <c r="AK265" s="13"/>
      <c r="AL265" s="100">
        <v>1570</v>
      </c>
      <c r="AM265" s="202"/>
      <c r="AN265" s="200"/>
      <c r="AO265" s="200"/>
      <c r="AP265" s="283">
        <v>0.24099999999999999</v>
      </c>
      <c r="AR265" s="222">
        <v>97.39510752076059</v>
      </c>
      <c r="AS265" s="223">
        <v>97.412126721348429</v>
      </c>
      <c r="AT265" s="223">
        <v>95.528516833670054</v>
      </c>
      <c r="AU265" s="223">
        <v>95.700248613936466</v>
      </c>
      <c r="AV265" s="223">
        <v>98.326000000000008</v>
      </c>
      <c r="AW265" s="224">
        <v>97.028000000000006</v>
      </c>
      <c r="AX265" s="42"/>
      <c r="AY265" s="181"/>
      <c r="AZ265" s="197"/>
    </row>
    <row r="266" spans="12:52" ht="13" thickBot="1" x14ac:dyDescent="0.3">
      <c r="L266" s="55">
        <v>1565</v>
      </c>
      <c r="M266" s="274">
        <f t="shared" si="45"/>
        <v>0</v>
      </c>
      <c r="N266" s="275">
        <f t="shared" si="45"/>
        <v>0</v>
      </c>
      <c r="O266" s="276" t="e">
        <f ca="1"/>
        <v>#N/A</v>
      </c>
      <c r="Q266" s="34">
        <v>0</v>
      </c>
      <c r="R266" s="24">
        <v>0</v>
      </c>
      <c r="S266" s="24">
        <v>0</v>
      </c>
      <c r="T266" s="24">
        <v>0</v>
      </c>
      <c r="U266" s="24">
        <f t="array" ref="U266">IF(U$77&gt;" ",(U$628:U$1078),"")</f>
        <v>0</v>
      </c>
      <c r="V266" s="24">
        <f t="array" ref="V266">IF(V$77&gt;" ",(V$628:V$1078),"")</f>
        <v>0</v>
      </c>
      <c r="W266" s="24">
        <f t="array" ref="W266">IF(W$77&gt;" ",(W$628:W$1078),"")</f>
        <v>0</v>
      </c>
      <c r="X266" s="24">
        <f t="array" ref="X266">IF(X$77&gt;" ",(X$628:X$1078),"")</f>
        <v>0</v>
      </c>
      <c r="Y266" s="21">
        <v>0</v>
      </c>
      <c r="Z266" s="34">
        <f t="shared" si="35"/>
        <v>0</v>
      </c>
      <c r="AA266" s="24">
        <f t="shared" si="36"/>
        <v>0</v>
      </c>
      <c r="AB266" s="24">
        <f t="shared" si="37"/>
        <v>0</v>
      </c>
      <c r="AC266" s="24">
        <f t="shared" si="38"/>
        <v>0</v>
      </c>
      <c r="AD266" s="24">
        <f t="shared" si="42"/>
        <v>0</v>
      </c>
      <c r="AE266" s="24">
        <f t="shared" si="42"/>
        <v>0</v>
      </c>
      <c r="AF266" s="24">
        <f t="shared" si="42"/>
        <v>0</v>
      </c>
      <c r="AG266" s="24">
        <f t="shared" si="42"/>
        <v>0</v>
      </c>
      <c r="AH266" s="24">
        <f t="shared" si="43"/>
        <v>0</v>
      </c>
      <c r="AI266" s="24">
        <f t="shared" si="39"/>
        <v>0</v>
      </c>
      <c r="AJ266" s="261">
        <f t="shared" si="40"/>
        <v>0</v>
      </c>
      <c r="AK266" s="13"/>
      <c r="AL266" s="100">
        <v>1565</v>
      </c>
      <c r="AM266" s="202"/>
      <c r="AN266" s="200"/>
      <c r="AO266" s="200"/>
      <c r="AP266" s="284">
        <v>0.26650000000000001</v>
      </c>
      <c r="AR266" s="222">
        <v>97.385345818518928</v>
      </c>
      <c r="AS266" s="223">
        <v>97.396286525282974</v>
      </c>
      <c r="AT266" s="223">
        <v>95.507670241294875</v>
      </c>
      <c r="AU266" s="223">
        <v>95.682951006488608</v>
      </c>
      <c r="AV266" s="223">
        <v>98.320999999999998</v>
      </c>
      <c r="AW266" s="224">
        <v>97.024000000000001</v>
      </c>
      <c r="AX266" s="42"/>
      <c r="AY266" s="181"/>
      <c r="AZ266" s="197"/>
    </row>
    <row r="267" spans="12:52" ht="13" thickBot="1" x14ac:dyDescent="0.3">
      <c r="L267" s="55">
        <v>1560</v>
      </c>
      <c r="M267" s="274">
        <f t="shared" si="45"/>
        <v>0</v>
      </c>
      <c r="N267" s="275">
        <f t="shared" si="45"/>
        <v>0</v>
      </c>
      <c r="O267" s="276" t="e">
        <f ca="1"/>
        <v>#N/A</v>
      </c>
      <c r="Q267" s="34">
        <v>0</v>
      </c>
      <c r="R267" s="24">
        <v>0</v>
      </c>
      <c r="S267" s="24">
        <v>0</v>
      </c>
      <c r="T267" s="24">
        <v>0</v>
      </c>
      <c r="U267" s="24">
        <f t="array" ref="U267">IF(U$77&gt;" ",(U$628:U$1078),"")</f>
        <v>0</v>
      </c>
      <c r="V267" s="24">
        <f t="array" ref="V267">IF(V$77&gt;" ",(V$628:V$1078),"")</f>
        <v>0</v>
      </c>
      <c r="W267" s="24">
        <f t="array" ref="W267">IF(W$77&gt;" ",(W$628:W$1078),"")</f>
        <v>0</v>
      </c>
      <c r="X267" s="24">
        <f t="array" ref="X267">IF(X$77&gt;" ",(X$628:X$1078),"")</f>
        <v>0</v>
      </c>
      <c r="Y267" s="21">
        <v>0</v>
      </c>
      <c r="Z267" s="34">
        <f t="shared" si="35"/>
        <v>0</v>
      </c>
      <c r="AA267" s="24">
        <f t="shared" si="36"/>
        <v>0</v>
      </c>
      <c r="AB267" s="24">
        <f t="shared" si="37"/>
        <v>0</v>
      </c>
      <c r="AC267" s="24">
        <f t="shared" si="38"/>
        <v>0</v>
      </c>
      <c r="AD267" s="24">
        <f t="shared" si="42"/>
        <v>0</v>
      </c>
      <c r="AE267" s="24">
        <f t="shared" si="42"/>
        <v>0</v>
      </c>
      <c r="AF267" s="24">
        <f t="shared" si="42"/>
        <v>0</v>
      </c>
      <c r="AG267" s="24">
        <f t="shared" si="42"/>
        <v>0</v>
      </c>
      <c r="AH267" s="24">
        <f t="shared" si="43"/>
        <v>0</v>
      </c>
      <c r="AI267" s="24">
        <f t="shared" si="39"/>
        <v>0</v>
      </c>
      <c r="AJ267" s="261">
        <f t="shared" si="40"/>
        <v>0</v>
      </c>
      <c r="AK267" s="13"/>
      <c r="AL267" s="100">
        <v>1560</v>
      </c>
      <c r="AM267" s="202"/>
      <c r="AN267" s="200"/>
      <c r="AO267" s="200"/>
      <c r="AP267" s="283">
        <v>0.26490000000000002</v>
      </c>
      <c r="AR267" s="222">
        <v>97.387287547517658</v>
      </c>
      <c r="AS267" s="223">
        <v>97.387342667266068</v>
      </c>
      <c r="AT267" s="223">
        <v>95.491689520268551</v>
      </c>
      <c r="AU267" s="223">
        <v>95.660737201141259</v>
      </c>
      <c r="AV267" s="223">
        <v>98.316000000000003</v>
      </c>
      <c r="AW267" s="224">
        <v>97.02</v>
      </c>
      <c r="AX267" s="42"/>
      <c r="AY267" s="181"/>
      <c r="AZ267" s="197"/>
    </row>
    <row r="268" spans="12:52" ht="13" thickBot="1" x14ac:dyDescent="0.3">
      <c r="L268" s="55">
        <v>1555</v>
      </c>
      <c r="M268" s="274">
        <f t="shared" si="45"/>
        <v>0</v>
      </c>
      <c r="N268" s="275">
        <f t="shared" si="45"/>
        <v>0</v>
      </c>
      <c r="O268" s="276" t="e">
        <f ca="1"/>
        <v>#N/A</v>
      </c>
      <c r="Q268" s="34">
        <v>0</v>
      </c>
      <c r="R268" s="24">
        <v>0</v>
      </c>
      <c r="S268" s="24">
        <v>0</v>
      </c>
      <c r="T268" s="24">
        <v>0</v>
      </c>
      <c r="U268" s="24">
        <f t="array" ref="U268">IF(U$77&gt;" ",(U$628:U$1078),"")</f>
        <v>0</v>
      </c>
      <c r="V268" s="24">
        <f t="array" ref="V268">IF(V$77&gt;" ",(V$628:V$1078),"")</f>
        <v>0</v>
      </c>
      <c r="W268" s="24">
        <f t="array" ref="W268">IF(W$77&gt;" ",(W$628:W$1078),"")</f>
        <v>0</v>
      </c>
      <c r="X268" s="24">
        <f t="array" ref="X268">IF(X$77&gt;" ",(X$628:X$1078),"")</f>
        <v>0</v>
      </c>
      <c r="Y268" s="21">
        <v>0</v>
      </c>
      <c r="Z268" s="34">
        <f t="shared" si="35"/>
        <v>0</v>
      </c>
      <c r="AA268" s="24">
        <f t="shared" si="36"/>
        <v>0</v>
      </c>
      <c r="AB268" s="24">
        <f t="shared" si="37"/>
        <v>0</v>
      </c>
      <c r="AC268" s="24">
        <f t="shared" si="38"/>
        <v>0</v>
      </c>
      <c r="AD268" s="24">
        <f t="shared" si="42"/>
        <v>0</v>
      </c>
      <c r="AE268" s="24">
        <f t="shared" si="42"/>
        <v>0</v>
      </c>
      <c r="AF268" s="24">
        <f t="shared" si="42"/>
        <v>0</v>
      </c>
      <c r="AG268" s="24">
        <f t="shared" si="42"/>
        <v>0</v>
      </c>
      <c r="AH268" s="24">
        <f t="shared" si="43"/>
        <v>0</v>
      </c>
      <c r="AI268" s="24">
        <f t="shared" si="39"/>
        <v>0</v>
      </c>
      <c r="AJ268" s="261">
        <f t="shared" si="40"/>
        <v>0</v>
      </c>
      <c r="AK268" s="13"/>
      <c r="AL268" s="100">
        <v>1555</v>
      </c>
      <c r="AM268" s="202"/>
      <c r="AN268" s="200"/>
      <c r="AO268" s="200"/>
      <c r="AP268" s="284">
        <v>0.26679999999999998</v>
      </c>
      <c r="AR268" s="222">
        <v>97.369017071931879</v>
      </c>
      <c r="AS268" s="223">
        <v>97.366310216650888</v>
      </c>
      <c r="AT268" s="223">
        <v>95.43201911456805</v>
      </c>
      <c r="AU268" s="223">
        <v>95.608375286581747</v>
      </c>
      <c r="AV268" s="223">
        <v>98.31</v>
      </c>
      <c r="AW268" s="224">
        <v>97.010999999999996</v>
      </c>
      <c r="AX268" s="42"/>
      <c r="AY268" s="181"/>
      <c r="AZ268" s="197"/>
    </row>
    <row r="269" spans="12:52" ht="13" thickBot="1" x14ac:dyDescent="0.3">
      <c r="L269" s="55">
        <v>1550</v>
      </c>
      <c r="M269" s="274">
        <f t="shared" si="45"/>
        <v>0</v>
      </c>
      <c r="N269" s="275">
        <f t="shared" si="45"/>
        <v>0</v>
      </c>
      <c r="O269" s="276" t="e">
        <f ca="1"/>
        <v>#N/A</v>
      </c>
      <c r="Q269" s="34">
        <v>0</v>
      </c>
      <c r="R269" s="24">
        <v>0</v>
      </c>
      <c r="S269" s="24">
        <v>0</v>
      </c>
      <c r="T269" s="24">
        <v>0</v>
      </c>
      <c r="U269" s="24">
        <f t="array" ref="U269">IF(U$77&gt;" ",(U$628:U$1078),"")</f>
        <v>0</v>
      </c>
      <c r="V269" s="24">
        <f t="array" ref="V269">IF(V$77&gt;" ",(V$628:V$1078),"")</f>
        <v>0</v>
      </c>
      <c r="W269" s="24">
        <f t="array" ref="W269">IF(W$77&gt;" ",(W$628:W$1078),"")</f>
        <v>0</v>
      </c>
      <c r="X269" s="24">
        <f t="array" ref="X269">IF(X$77&gt;" ",(X$628:X$1078),"")</f>
        <v>0</v>
      </c>
      <c r="Y269" s="21">
        <v>0</v>
      </c>
      <c r="Z269" s="34">
        <f t="shared" si="35"/>
        <v>0</v>
      </c>
      <c r="AA269" s="24">
        <f t="shared" si="36"/>
        <v>0</v>
      </c>
      <c r="AB269" s="24">
        <f t="shared" si="37"/>
        <v>0</v>
      </c>
      <c r="AC269" s="24">
        <f t="shared" si="38"/>
        <v>0</v>
      </c>
      <c r="AD269" s="24">
        <f t="shared" si="42"/>
        <v>0</v>
      </c>
      <c r="AE269" s="24">
        <f t="shared" si="42"/>
        <v>0</v>
      </c>
      <c r="AF269" s="24">
        <f t="shared" si="42"/>
        <v>0</v>
      </c>
      <c r="AG269" s="24">
        <f t="shared" si="42"/>
        <v>0</v>
      </c>
      <c r="AH269" s="24">
        <f t="shared" si="43"/>
        <v>0</v>
      </c>
      <c r="AI269" s="24">
        <f t="shared" si="39"/>
        <v>0</v>
      </c>
      <c r="AJ269" s="261">
        <f t="shared" si="40"/>
        <v>0</v>
      </c>
      <c r="AK269" s="13"/>
      <c r="AL269" s="100">
        <v>1550</v>
      </c>
      <c r="AM269" s="202"/>
      <c r="AN269" s="200"/>
      <c r="AO269" s="200"/>
      <c r="AP269" s="283">
        <v>0.26910000000000001</v>
      </c>
      <c r="AR269" s="222">
        <v>97.347399582015726</v>
      </c>
      <c r="AS269" s="223">
        <v>97.368510436394899</v>
      </c>
      <c r="AT269" s="223">
        <v>95.374228624516206</v>
      </c>
      <c r="AU269" s="223">
        <v>95.54790470987848</v>
      </c>
      <c r="AV269" s="223">
        <v>98.304000000000002</v>
      </c>
      <c r="AW269" s="224">
        <v>97.001999999999995</v>
      </c>
      <c r="AX269" s="42"/>
      <c r="AY269" s="181"/>
      <c r="AZ269" s="197"/>
    </row>
    <row r="270" spans="12:52" ht="13" thickBot="1" x14ac:dyDescent="0.3">
      <c r="L270" s="55">
        <v>1545</v>
      </c>
      <c r="M270" s="274">
        <f t="shared" si="45"/>
        <v>0</v>
      </c>
      <c r="N270" s="275">
        <f t="shared" si="45"/>
        <v>0</v>
      </c>
      <c r="O270" s="276" t="e">
        <f ca="1"/>
        <v>#N/A</v>
      </c>
      <c r="Q270" s="34">
        <v>0</v>
      </c>
      <c r="R270" s="24">
        <v>0</v>
      </c>
      <c r="S270" s="24">
        <v>0</v>
      </c>
      <c r="T270" s="24">
        <v>0</v>
      </c>
      <c r="U270" s="24">
        <f t="array" ref="U270">IF(U$77&gt;" ",(U$628:U$1078),"")</f>
        <v>0</v>
      </c>
      <c r="V270" s="24">
        <f t="array" ref="V270">IF(V$77&gt;" ",(V$628:V$1078),"")</f>
        <v>0</v>
      </c>
      <c r="W270" s="24">
        <f t="array" ref="W270">IF(W$77&gt;" ",(W$628:W$1078),"")</f>
        <v>0</v>
      </c>
      <c r="X270" s="24">
        <f t="array" ref="X270">IF(X$77&gt;" ",(X$628:X$1078),"")</f>
        <v>0</v>
      </c>
      <c r="Y270" s="21">
        <v>0</v>
      </c>
      <c r="Z270" s="34">
        <f t="shared" si="35"/>
        <v>0</v>
      </c>
      <c r="AA270" s="24">
        <f t="shared" si="36"/>
        <v>0</v>
      </c>
      <c r="AB270" s="24">
        <f t="shared" si="37"/>
        <v>0</v>
      </c>
      <c r="AC270" s="24">
        <f t="shared" si="38"/>
        <v>0</v>
      </c>
      <c r="AD270" s="24">
        <f t="shared" si="42"/>
        <v>0</v>
      </c>
      <c r="AE270" s="24">
        <f t="shared" si="42"/>
        <v>0</v>
      </c>
      <c r="AF270" s="24">
        <f t="shared" si="42"/>
        <v>0</v>
      </c>
      <c r="AG270" s="24">
        <f t="shared" si="42"/>
        <v>0</v>
      </c>
      <c r="AH270" s="24">
        <f t="shared" si="43"/>
        <v>0</v>
      </c>
      <c r="AI270" s="24">
        <f t="shared" si="39"/>
        <v>0</v>
      </c>
      <c r="AJ270" s="261">
        <f t="shared" si="40"/>
        <v>0</v>
      </c>
      <c r="AK270" s="13"/>
      <c r="AL270" s="100">
        <v>1545</v>
      </c>
      <c r="AM270" s="202"/>
      <c r="AN270" s="200"/>
      <c r="AO270" s="200"/>
      <c r="AP270" s="284">
        <v>0.2762</v>
      </c>
      <c r="AR270" s="222">
        <v>97.338706615130789</v>
      </c>
      <c r="AS270" s="223">
        <v>97.33914648823152</v>
      </c>
      <c r="AT270" s="223">
        <v>95.29211558628451</v>
      </c>
      <c r="AU270" s="223">
        <v>95.469996208122538</v>
      </c>
      <c r="AV270" s="223">
        <v>98.296999999999997</v>
      </c>
      <c r="AW270" s="224">
        <v>96.994</v>
      </c>
      <c r="AX270" s="42"/>
      <c r="AY270" s="181"/>
      <c r="AZ270" s="197"/>
    </row>
    <row r="271" spans="12:52" ht="13" thickBot="1" x14ac:dyDescent="0.3">
      <c r="L271" s="55">
        <v>1540</v>
      </c>
      <c r="M271" s="274">
        <f t="shared" ref="M271:N286" si="46">M820</f>
        <v>0</v>
      </c>
      <c r="N271" s="275">
        <f t="shared" si="46"/>
        <v>0</v>
      </c>
      <c r="O271" s="276" t="e">
        <f ca="1"/>
        <v>#N/A</v>
      </c>
      <c r="Q271" s="34">
        <v>0</v>
      </c>
      <c r="R271" s="24">
        <v>0</v>
      </c>
      <c r="S271" s="24">
        <v>0</v>
      </c>
      <c r="T271" s="24">
        <v>0</v>
      </c>
      <c r="U271" s="24">
        <f t="array" ref="U271">IF(U$77&gt;" ",(U$628:U$1078),"")</f>
        <v>0</v>
      </c>
      <c r="V271" s="24">
        <f t="array" ref="V271">IF(V$77&gt;" ",(V$628:V$1078),"")</f>
        <v>0</v>
      </c>
      <c r="W271" s="24">
        <f t="array" ref="W271">IF(W$77&gt;" ",(W$628:W$1078),"")</f>
        <v>0</v>
      </c>
      <c r="X271" s="24">
        <f t="array" ref="X271">IF(X$77&gt;" ",(X$628:X$1078),"")</f>
        <v>0</v>
      </c>
      <c r="Y271" s="21">
        <v>0</v>
      </c>
      <c r="Z271" s="34">
        <f t="shared" ref="Z271:Z334" si="47">Q271</f>
        <v>0</v>
      </c>
      <c r="AA271" s="24">
        <f t="shared" ref="AA271:AA334" si="48">R271</f>
        <v>0</v>
      </c>
      <c r="AB271" s="24">
        <f t="shared" ref="AB271:AB334" si="49">S271</f>
        <v>0</v>
      </c>
      <c r="AC271" s="24">
        <f t="shared" ref="AC271:AC334" si="50">T271</f>
        <v>0</v>
      </c>
      <c r="AD271" s="24">
        <f t="shared" si="42"/>
        <v>0</v>
      </c>
      <c r="AE271" s="24">
        <f t="shared" si="42"/>
        <v>0</v>
      </c>
      <c r="AF271" s="24">
        <f t="shared" si="42"/>
        <v>0</v>
      </c>
      <c r="AG271" s="24">
        <f t="shared" si="42"/>
        <v>0</v>
      </c>
      <c r="AH271" s="24">
        <f t="shared" si="43"/>
        <v>0</v>
      </c>
      <c r="AI271" s="24">
        <f t="shared" si="39"/>
        <v>0</v>
      </c>
      <c r="AJ271" s="261">
        <f t="shared" si="40"/>
        <v>0</v>
      </c>
      <c r="AK271" s="13"/>
      <c r="AL271" s="100">
        <v>1540</v>
      </c>
      <c r="AM271" s="202"/>
      <c r="AN271" s="200"/>
      <c r="AO271" s="200"/>
      <c r="AP271" s="283">
        <v>0.2641</v>
      </c>
      <c r="AR271" s="222">
        <v>97.308277864322392</v>
      </c>
      <c r="AS271" s="223">
        <v>97.307064799629941</v>
      </c>
      <c r="AT271" s="223">
        <v>95.219588217416401</v>
      </c>
      <c r="AU271" s="223">
        <v>95.396860145344178</v>
      </c>
      <c r="AV271" s="223">
        <v>98.29</v>
      </c>
      <c r="AW271" s="224">
        <v>96.986000000000004</v>
      </c>
      <c r="AX271" s="42"/>
      <c r="AY271" s="181"/>
      <c r="AZ271" s="197"/>
    </row>
    <row r="272" spans="12:52" ht="13" thickBot="1" x14ac:dyDescent="0.3">
      <c r="L272" s="55">
        <v>1535</v>
      </c>
      <c r="M272" s="274">
        <f t="shared" si="46"/>
        <v>0</v>
      </c>
      <c r="N272" s="275">
        <f t="shared" si="46"/>
        <v>0</v>
      </c>
      <c r="O272" s="276" t="e">
        <f ca="1"/>
        <v>#N/A</v>
      </c>
      <c r="Q272" s="34">
        <v>0</v>
      </c>
      <c r="R272" s="24">
        <v>0</v>
      </c>
      <c r="S272" s="24">
        <v>0</v>
      </c>
      <c r="T272" s="24">
        <v>0</v>
      </c>
      <c r="U272" s="24">
        <f t="array" ref="U272">IF(U$77&gt;" ",(U$628:U$1078),"")</f>
        <v>0</v>
      </c>
      <c r="V272" s="24">
        <f t="array" ref="V272">IF(V$77&gt;" ",(V$628:V$1078),"")</f>
        <v>0</v>
      </c>
      <c r="W272" s="24">
        <f t="array" ref="W272">IF(W$77&gt;" ",(W$628:W$1078),"")</f>
        <v>0</v>
      </c>
      <c r="X272" s="24">
        <f t="array" ref="X272">IF(X$77&gt;" ",(X$628:X$1078),"")</f>
        <v>0</v>
      </c>
      <c r="Y272" s="21">
        <v>0</v>
      </c>
      <c r="Z272" s="34">
        <f t="shared" si="47"/>
        <v>0</v>
      </c>
      <c r="AA272" s="24">
        <f t="shared" si="48"/>
        <v>0</v>
      </c>
      <c r="AB272" s="24">
        <f t="shared" si="49"/>
        <v>0</v>
      </c>
      <c r="AC272" s="24">
        <f t="shared" si="50"/>
        <v>0</v>
      </c>
      <c r="AD272" s="24">
        <f t="shared" si="42"/>
        <v>0</v>
      </c>
      <c r="AE272" s="24">
        <f t="shared" si="42"/>
        <v>0</v>
      </c>
      <c r="AF272" s="24">
        <f t="shared" si="42"/>
        <v>0</v>
      </c>
      <c r="AG272" s="24">
        <f t="shared" si="42"/>
        <v>0</v>
      </c>
      <c r="AH272" s="24">
        <f t="shared" si="43"/>
        <v>0</v>
      </c>
      <c r="AI272" s="24">
        <f t="shared" ref="AI272:AI335" si="51">AVERAGE(Z272:AH272)</f>
        <v>0</v>
      </c>
      <c r="AJ272" s="261">
        <f t="shared" ref="AJ272:AJ335" si="52">AI272/100</f>
        <v>0</v>
      </c>
      <c r="AK272" s="13"/>
      <c r="AL272" s="100">
        <v>1535</v>
      </c>
      <c r="AM272" s="202"/>
      <c r="AN272" s="200"/>
      <c r="AO272" s="200"/>
      <c r="AP272" s="284">
        <v>0.2661</v>
      </c>
      <c r="AR272" s="222">
        <v>97.327425571443925</v>
      </c>
      <c r="AS272" s="223">
        <v>97.307580483706417</v>
      </c>
      <c r="AT272" s="223">
        <v>95.253134315415124</v>
      </c>
      <c r="AU272" s="223">
        <v>95.421454458690462</v>
      </c>
      <c r="AV272" s="223">
        <v>98.284999999999997</v>
      </c>
      <c r="AW272" s="224">
        <v>96.977999999999994</v>
      </c>
      <c r="AX272" s="42"/>
      <c r="AY272" s="181"/>
      <c r="AZ272" s="197"/>
    </row>
    <row r="273" spans="12:52" ht="13" thickBot="1" x14ac:dyDescent="0.3">
      <c r="L273" s="55">
        <v>1530</v>
      </c>
      <c r="M273" s="274">
        <f t="shared" si="46"/>
        <v>0</v>
      </c>
      <c r="N273" s="275">
        <f t="shared" si="46"/>
        <v>0</v>
      </c>
      <c r="O273" s="276" t="e">
        <f ca="1"/>
        <v>#N/A</v>
      </c>
      <c r="Q273" s="34">
        <v>0</v>
      </c>
      <c r="R273" s="24">
        <v>0</v>
      </c>
      <c r="S273" s="24">
        <v>0</v>
      </c>
      <c r="T273" s="24">
        <v>0</v>
      </c>
      <c r="U273" s="24">
        <f t="array" ref="U273">IF(U$77&gt;" ",(U$628:U$1078),"")</f>
        <v>0</v>
      </c>
      <c r="V273" s="24">
        <f t="array" ref="V273">IF(V$77&gt;" ",(V$628:V$1078),"")</f>
        <v>0</v>
      </c>
      <c r="W273" s="24">
        <f t="array" ref="W273">IF(W$77&gt;" ",(W$628:W$1078),"")</f>
        <v>0</v>
      </c>
      <c r="X273" s="24">
        <f t="array" ref="X273">IF(X$77&gt;" ",(X$628:X$1078),"")</f>
        <v>0</v>
      </c>
      <c r="Y273" s="21">
        <v>0</v>
      </c>
      <c r="Z273" s="34">
        <f t="shared" si="47"/>
        <v>0</v>
      </c>
      <c r="AA273" s="24">
        <f t="shared" si="48"/>
        <v>0</v>
      </c>
      <c r="AB273" s="24">
        <f t="shared" si="49"/>
        <v>0</v>
      </c>
      <c r="AC273" s="24">
        <f t="shared" si="50"/>
        <v>0</v>
      </c>
      <c r="AD273" s="24">
        <f t="shared" si="42"/>
        <v>0</v>
      </c>
      <c r="AE273" s="24">
        <f t="shared" si="42"/>
        <v>0</v>
      </c>
      <c r="AF273" s="24">
        <f t="shared" si="42"/>
        <v>0</v>
      </c>
      <c r="AG273" s="24">
        <f t="shared" si="42"/>
        <v>0</v>
      </c>
      <c r="AH273" s="24">
        <f t="shared" si="43"/>
        <v>0</v>
      </c>
      <c r="AI273" s="24">
        <f t="shared" si="51"/>
        <v>0</v>
      </c>
      <c r="AJ273" s="261">
        <f t="shared" si="52"/>
        <v>0</v>
      </c>
      <c r="AK273" s="13"/>
      <c r="AL273" s="100">
        <v>1530</v>
      </c>
      <c r="AM273" s="202"/>
      <c r="AN273" s="200"/>
      <c r="AO273" s="200"/>
      <c r="AP273" s="283">
        <v>0.2545</v>
      </c>
      <c r="AR273" s="222">
        <v>97.306040962059043</v>
      </c>
      <c r="AS273" s="223">
        <v>97.314670199087345</v>
      </c>
      <c r="AT273" s="223">
        <v>95.267030040453434</v>
      </c>
      <c r="AU273" s="223">
        <v>95.439479559975496</v>
      </c>
      <c r="AV273" s="223">
        <v>98.28</v>
      </c>
      <c r="AW273" s="224">
        <v>96.97</v>
      </c>
      <c r="AX273" s="42"/>
      <c r="AY273" s="181"/>
      <c r="AZ273" s="197"/>
    </row>
    <row r="274" spans="12:52" ht="13" thickBot="1" x14ac:dyDescent="0.3">
      <c r="L274" s="55">
        <v>1525</v>
      </c>
      <c r="M274" s="274">
        <f t="shared" si="46"/>
        <v>0</v>
      </c>
      <c r="N274" s="275">
        <f t="shared" si="46"/>
        <v>0</v>
      </c>
      <c r="O274" s="276" t="e">
        <f ca="1"/>
        <v>#N/A</v>
      </c>
      <c r="Q274" s="34">
        <v>0</v>
      </c>
      <c r="R274" s="24">
        <v>0</v>
      </c>
      <c r="S274" s="24">
        <v>0</v>
      </c>
      <c r="T274" s="24">
        <v>0</v>
      </c>
      <c r="U274" s="24">
        <f t="array" ref="U274">IF(U$77&gt;" ",(U$628:U$1078),"")</f>
        <v>0</v>
      </c>
      <c r="V274" s="24">
        <f t="array" ref="V274">IF(V$77&gt;" ",(V$628:V$1078),"")</f>
        <v>0</v>
      </c>
      <c r="W274" s="24">
        <f t="array" ref="W274">IF(W$77&gt;" ",(W$628:W$1078),"")</f>
        <v>0</v>
      </c>
      <c r="X274" s="24">
        <f t="array" ref="X274">IF(X$77&gt;" ",(X$628:X$1078),"")</f>
        <v>0</v>
      </c>
      <c r="Y274" s="21">
        <v>0</v>
      </c>
      <c r="Z274" s="34">
        <f t="shared" si="47"/>
        <v>0</v>
      </c>
      <c r="AA274" s="24">
        <f t="shared" si="48"/>
        <v>0</v>
      </c>
      <c r="AB274" s="24">
        <f t="shared" si="49"/>
        <v>0</v>
      </c>
      <c r="AC274" s="24">
        <f t="shared" si="50"/>
        <v>0</v>
      </c>
      <c r="AD274" s="24">
        <f t="shared" si="42"/>
        <v>0</v>
      </c>
      <c r="AE274" s="24">
        <f t="shared" si="42"/>
        <v>0</v>
      </c>
      <c r="AF274" s="24">
        <f t="shared" si="42"/>
        <v>0</v>
      </c>
      <c r="AG274" s="24">
        <f t="shared" si="42"/>
        <v>0</v>
      </c>
      <c r="AH274" s="24">
        <f t="shared" si="43"/>
        <v>0</v>
      </c>
      <c r="AI274" s="24">
        <f t="shared" si="51"/>
        <v>0</v>
      </c>
      <c r="AJ274" s="261">
        <f t="shared" si="52"/>
        <v>0</v>
      </c>
      <c r="AK274" s="13"/>
      <c r="AL274" s="100">
        <v>1525</v>
      </c>
      <c r="AM274" s="202"/>
      <c r="AN274" s="200"/>
      <c r="AO274" s="200"/>
      <c r="AP274" s="284">
        <v>0.2581</v>
      </c>
      <c r="AR274" s="222">
        <v>97.32571020554866</v>
      </c>
      <c r="AS274" s="223">
        <v>97.336305109286613</v>
      </c>
      <c r="AT274" s="223">
        <v>95.288323873571656</v>
      </c>
      <c r="AU274" s="223">
        <v>95.463045552186642</v>
      </c>
      <c r="AV274" s="223">
        <v>98.272499999999994</v>
      </c>
      <c r="AW274" s="224">
        <v>96.96050000000001</v>
      </c>
      <c r="AX274" s="42"/>
      <c r="AY274" s="181"/>
      <c r="AZ274" s="197"/>
    </row>
    <row r="275" spans="12:52" ht="13" thickBot="1" x14ac:dyDescent="0.3">
      <c r="L275" s="55">
        <v>1520</v>
      </c>
      <c r="M275" s="274">
        <f t="shared" si="46"/>
        <v>0</v>
      </c>
      <c r="N275" s="275">
        <f t="shared" si="46"/>
        <v>0</v>
      </c>
      <c r="O275" s="276" t="e">
        <f ca="1"/>
        <v>#N/A</v>
      </c>
      <c r="Q275" s="34">
        <v>0</v>
      </c>
      <c r="R275" s="24">
        <v>0</v>
      </c>
      <c r="S275" s="24">
        <v>0</v>
      </c>
      <c r="T275" s="24">
        <v>0</v>
      </c>
      <c r="U275" s="24">
        <f t="array" ref="U275">IF(U$77&gt;" ",(U$628:U$1078),"")</f>
        <v>0</v>
      </c>
      <c r="V275" s="24">
        <f t="array" ref="V275">IF(V$77&gt;" ",(V$628:V$1078),"")</f>
        <v>0</v>
      </c>
      <c r="W275" s="24">
        <f t="array" ref="W275">IF(W$77&gt;" ",(W$628:W$1078),"")</f>
        <v>0</v>
      </c>
      <c r="X275" s="24">
        <f t="array" ref="X275">IF(X$77&gt;" ",(X$628:X$1078),"")</f>
        <v>0</v>
      </c>
      <c r="Y275" s="21">
        <v>0</v>
      </c>
      <c r="Z275" s="34">
        <f t="shared" si="47"/>
        <v>0</v>
      </c>
      <c r="AA275" s="24">
        <f t="shared" si="48"/>
        <v>0</v>
      </c>
      <c r="AB275" s="24">
        <f t="shared" si="49"/>
        <v>0</v>
      </c>
      <c r="AC275" s="24">
        <f t="shared" si="50"/>
        <v>0</v>
      </c>
      <c r="AD275" s="24">
        <f t="shared" si="42"/>
        <v>0</v>
      </c>
      <c r="AE275" s="24">
        <f t="shared" si="42"/>
        <v>0</v>
      </c>
      <c r="AF275" s="24">
        <f t="shared" si="42"/>
        <v>0</v>
      </c>
      <c r="AG275" s="24">
        <f t="shared" si="42"/>
        <v>0</v>
      </c>
      <c r="AH275" s="24">
        <f t="shared" si="43"/>
        <v>0</v>
      </c>
      <c r="AI275" s="24">
        <f t="shared" si="51"/>
        <v>0</v>
      </c>
      <c r="AJ275" s="261">
        <f t="shared" si="52"/>
        <v>0</v>
      </c>
      <c r="AK275" s="13"/>
      <c r="AL275" s="100">
        <v>1520</v>
      </c>
      <c r="AM275" s="202"/>
      <c r="AN275" s="200"/>
      <c r="AO275" s="200"/>
      <c r="AP275" s="283">
        <v>0.26369999999999999</v>
      </c>
      <c r="AR275" s="222">
        <v>97.33257381942515</v>
      </c>
      <c r="AS275" s="223">
        <v>97.336498621770943</v>
      </c>
      <c r="AT275" s="223">
        <v>95.326421676302587</v>
      </c>
      <c r="AU275" s="223">
        <v>95.496159879054133</v>
      </c>
      <c r="AV275" s="223">
        <v>98.265000000000001</v>
      </c>
      <c r="AW275" s="224">
        <v>96.950999999999993</v>
      </c>
      <c r="AX275" s="42"/>
      <c r="AY275" s="181"/>
      <c r="AZ275" s="197"/>
    </row>
    <row r="276" spans="12:52" ht="13" thickBot="1" x14ac:dyDescent="0.3">
      <c r="L276" s="55">
        <v>1515</v>
      </c>
      <c r="M276" s="274">
        <f t="shared" si="46"/>
        <v>0</v>
      </c>
      <c r="N276" s="275">
        <f t="shared" si="46"/>
        <v>0</v>
      </c>
      <c r="O276" s="276" t="e">
        <f ca="1"/>
        <v>#N/A</v>
      </c>
      <c r="Q276" s="34">
        <v>0</v>
      </c>
      <c r="R276" s="24">
        <v>0</v>
      </c>
      <c r="S276" s="24">
        <v>0</v>
      </c>
      <c r="T276" s="24">
        <v>0</v>
      </c>
      <c r="U276" s="24">
        <f t="array" ref="U276">IF(U$77&gt;" ",(U$628:U$1078),"")</f>
        <v>0</v>
      </c>
      <c r="V276" s="24">
        <f t="array" ref="V276">IF(V$77&gt;" ",(V$628:V$1078),"")</f>
        <v>0</v>
      </c>
      <c r="W276" s="24">
        <f t="array" ref="W276">IF(W$77&gt;" ",(W$628:W$1078),"")</f>
        <v>0</v>
      </c>
      <c r="X276" s="24">
        <f t="array" ref="X276">IF(X$77&gt;" ",(X$628:X$1078),"")</f>
        <v>0</v>
      </c>
      <c r="Y276" s="21">
        <v>0</v>
      </c>
      <c r="Z276" s="34">
        <f t="shared" si="47"/>
        <v>0</v>
      </c>
      <c r="AA276" s="24">
        <f t="shared" si="48"/>
        <v>0</v>
      </c>
      <c r="AB276" s="24">
        <f t="shared" si="49"/>
        <v>0</v>
      </c>
      <c r="AC276" s="24">
        <f t="shared" si="50"/>
        <v>0</v>
      </c>
      <c r="AD276" s="24">
        <f t="shared" si="42"/>
        <v>0</v>
      </c>
      <c r="AE276" s="24">
        <f t="shared" si="42"/>
        <v>0</v>
      </c>
      <c r="AF276" s="24">
        <f t="shared" si="42"/>
        <v>0</v>
      </c>
      <c r="AG276" s="24">
        <f t="shared" si="42"/>
        <v>0</v>
      </c>
      <c r="AH276" s="24">
        <f t="shared" si="43"/>
        <v>0</v>
      </c>
      <c r="AI276" s="24">
        <f t="shared" si="51"/>
        <v>0</v>
      </c>
      <c r="AJ276" s="261">
        <f t="shared" si="52"/>
        <v>0</v>
      </c>
      <c r="AK276" s="13"/>
      <c r="AL276" s="100">
        <v>1515</v>
      </c>
      <c r="AM276" s="202"/>
      <c r="AN276" s="200"/>
      <c r="AO276" s="200"/>
      <c r="AP276" s="284">
        <v>0.26500000000000001</v>
      </c>
      <c r="AR276" s="222">
        <v>97.329909196793707</v>
      </c>
      <c r="AS276" s="223">
        <v>97.316332719882951</v>
      </c>
      <c r="AT276" s="223">
        <v>95.320308989444186</v>
      </c>
      <c r="AU276" s="223">
        <v>95.486371140243946</v>
      </c>
      <c r="AV276" s="223">
        <v>98.260499999999993</v>
      </c>
      <c r="AW276" s="224">
        <v>96.9435</v>
      </c>
      <c r="AX276" s="42"/>
      <c r="AY276" s="181"/>
      <c r="AZ276" s="197"/>
    </row>
    <row r="277" spans="12:52" ht="13" thickBot="1" x14ac:dyDescent="0.3">
      <c r="L277" s="55">
        <v>1510</v>
      </c>
      <c r="M277" s="274">
        <f t="shared" si="46"/>
        <v>0</v>
      </c>
      <c r="N277" s="275">
        <f t="shared" si="46"/>
        <v>0</v>
      </c>
      <c r="O277" s="276" t="e">
        <f ca="1"/>
        <v>#N/A</v>
      </c>
      <c r="Q277" s="34">
        <v>0</v>
      </c>
      <c r="R277" s="24">
        <v>0</v>
      </c>
      <c r="S277" s="24">
        <v>0</v>
      </c>
      <c r="T277" s="24">
        <v>0</v>
      </c>
      <c r="U277" s="24">
        <f t="array" ref="U277">IF(U$77&gt;" ",(U$628:U$1078),"")</f>
        <v>0</v>
      </c>
      <c r="V277" s="24">
        <f t="array" ref="V277">IF(V$77&gt;" ",(V$628:V$1078),"")</f>
        <v>0</v>
      </c>
      <c r="W277" s="24">
        <f t="array" ref="W277">IF(W$77&gt;" ",(W$628:W$1078),"")</f>
        <v>0</v>
      </c>
      <c r="X277" s="24">
        <f t="array" ref="X277">IF(X$77&gt;" ",(X$628:X$1078),"")</f>
        <v>0</v>
      </c>
      <c r="Y277" s="21">
        <v>0</v>
      </c>
      <c r="Z277" s="34">
        <f t="shared" si="47"/>
        <v>0</v>
      </c>
      <c r="AA277" s="24">
        <f t="shared" si="48"/>
        <v>0</v>
      </c>
      <c r="AB277" s="24">
        <f t="shared" si="49"/>
        <v>0</v>
      </c>
      <c r="AC277" s="24">
        <f t="shared" si="50"/>
        <v>0</v>
      </c>
      <c r="AD277" s="24">
        <f t="shared" si="42"/>
        <v>0</v>
      </c>
      <c r="AE277" s="24">
        <f t="shared" si="42"/>
        <v>0</v>
      </c>
      <c r="AF277" s="24">
        <f t="shared" si="42"/>
        <v>0</v>
      </c>
      <c r="AG277" s="24">
        <f t="shared" si="42"/>
        <v>0</v>
      </c>
      <c r="AH277" s="24">
        <f t="shared" si="43"/>
        <v>0</v>
      </c>
      <c r="AI277" s="24">
        <f t="shared" si="51"/>
        <v>0</v>
      </c>
      <c r="AJ277" s="261">
        <f t="shared" si="52"/>
        <v>0</v>
      </c>
      <c r="AK277" s="13"/>
      <c r="AL277" s="100">
        <v>1510</v>
      </c>
      <c r="AM277" s="202"/>
      <c r="AN277" s="200"/>
      <c r="AO277" s="200"/>
      <c r="AP277" s="283">
        <v>0.2697</v>
      </c>
      <c r="AR277" s="222">
        <v>97.316199544412441</v>
      </c>
      <c r="AS277" s="223">
        <v>97.324122807960364</v>
      </c>
      <c r="AT277" s="223">
        <v>95.297518801447154</v>
      </c>
      <c r="AU277" s="223">
        <v>95.467548663759388</v>
      </c>
      <c r="AV277" s="223">
        <v>98.256</v>
      </c>
      <c r="AW277" s="224">
        <v>96.936000000000007</v>
      </c>
      <c r="AX277" s="42"/>
      <c r="AY277" s="181"/>
      <c r="AZ277" s="197"/>
    </row>
    <row r="278" spans="12:52" ht="13" thickBot="1" x14ac:dyDescent="0.3">
      <c r="L278" s="55">
        <v>1505</v>
      </c>
      <c r="M278" s="274">
        <f t="shared" si="46"/>
        <v>0</v>
      </c>
      <c r="N278" s="275">
        <f t="shared" si="46"/>
        <v>0</v>
      </c>
      <c r="O278" s="276" t="e">
        <f ca="1"/>
        <v>#N/A</v>
      </c>
      <c r="Q278" s="34">
        <v>0</v>
      </c>
      <c r="R278" s="24">
        <v>0</v>
      </c>
      <c r="S278" s="24">
        <v>0</v>
      </c>
      <c r="T278" s="24">
        <v>0</v>
      </c>
      <c r="U278" s="24">
        <f t="array" ref="U278">IF(U$77&gt;" ",(U$628:U$1078),"")</f>
        <v>0</v>
      </c>
      <c r="V278" s="24">
        <f t="array" ref="V278">IF(V$77&gt;" ",(V$628:V$1078),"")</f>
        <v>0</v>
      </c>
      <c r="W278" s="24">
        <f t="array" ref="W278">IF(W$77&gt;" ",(W$628:W$1078),"")</f>
        <v>0</v>
      </c>
      <c r="X278" s="24">
        <f t="array" ref="X278">IF(X$77&gt;" ",(X$628:X$1078),"")</f>
        <v>0</v>
      </c>
      <c r="Y278" s="21">
        <v>0</v>
      </c>
      <c r="Z278" s="34">
        <f t="shared" si="47"/>
        <v>0</v>
      </c>
      <c r="AA278" s="24">
        <f t="shared" si="48"/>
        <v>0</v>
      </c>
      <c r="AB278" s="24">
        <f t="shared" si="49"/>
        <v>0</v>
      </c>
      <c r="AC278" s="24">
        <f t="shared" si="50"/>
        <v>0</v>
      </c>
      <c r="AD278" s="24">
        <f t="shared" si="42"/>
        <v>0</v>
      </c>
      <c r="AE278" s="24">
        <f t="shared" si="42"/>
        <v>0</v>
      </c>
      <c r="AF278" s="24">
        <f t="shared" si="42"/>
        <v>0</v>
      </c>
      <c r="AG278" s="24">
        <f t="shared" si="42"/>
        <v>0</v>
      </c>
      <c r="AH278" s="24">
        <f t="shared" si="43"/>
        <v>0</v>
      </c>
      <c r="AI278" s="24">
        <f t="shared" si="51"/>
        <v>0</v>
      </c>
      <c r="AJ278" s="261">
        <f t="shared" si="52"/>
        <v>0</v>
      </c>
      <c r="AK278" s="13"/>
      <c r="AL278" s="100">
        <v>1505</v>
      </c>
      <c r="AM278" s="202"/>
      <c r="AN278" s="200"/>
      <c r="AO278" s="200"/>
      <c r="AP278" s="284">
        <v>0.1835</v>
      </c>
      <c r="AR278" s="222">
        <v>97.303078305060566</v>
      </c>
      <c r="AS278" s="223">
        <v>97.316993976739511</v>
      </c>
      <c r="AT278" s="223">
        <v>95.25560928712629</v>
      </c>
      <c r="AU278" s="223">
        <v>95.436751118147356</v>
      </c>
      <c r="AV278" s="223">
        <v>98.251500000000007</v>
      </c>
      <c r="AW278" s="224">
        <v>96.927999999999997</v>
      </c>
      <c r="AX278" s="42"/>
      <c r="AY278" s="181"/>
      <c r="AZ278" s="197"/>
    </row>
    <row r="279" spans="12:52" ht="13" thickBot="1" x14ac:dyDescent="0.3">
      <c r="L279" s="55">
        <v>1500</v>
      </c>
      <c r="M279" s="274">
        <f t="shared" si="46"/>
        <v>0</v>
      </c>
      <c r="N279" s="275">
        <f t="shared" si="46"/>
        <v>0</v>
      </c>
      <c r="O279" s="276" t="e">
        <f ca="1"/>
        <v>#N/A</v>
      </c>
      <c r="Q279" s="34">
        <v>0</v>
      </c>
      <c r="R279" s="24">
        <v>0</v>
      </c>
      <c r="S279" s="24">
        <v>0</v>
      </c>
      <c r="T279" s="24">
        <v>0</v>
      </c>
      <c r="U279" s="24">
        <f t="array" ref="U279">IF(U$77&gt;" ",(U$628:U$1078),"")</f>
        <v>0</v>
      </c>
      <c r="V279" s="24">
        <f t="array" ref="V279">IF(V$77&gt;" ",(V$628:V$1078),"")</f>
        <v>0</v>
      </c>
      <c r="W279" s="24">
        <f t="array" ref="W279">IF(W$77&gt;" ",(W$628:W$1078),"")</f>
        <v>0</v>
      </c>
      <c r="X279" s="24">
        <f t="array" ref="X279">IF(X$77&gt;" ",(X$628:X$1078),"")</f>
        <v>0</v>
      </c>
      <c r="Y279" s="21">
        <v>0</v>
      </c>
      <c r="Z279" s="34">
        <f t="shared" si="47"/>
        <v>0</v>
      </c>
      <c r="AA279" s="24">
        <f t="shared" si="48"/>
        <v>0</v>
      </c>
      <c r="AB279" s="24">
        <f t="shared" si="49"/>
        <v>0</v>
      </c>
      <c r="AC279" s="24">
        <f t="shared" si="50"/>
        <v>0</v>
      </c>
      <c r="AD279" s="24">
        <f t="shared" si="42"/>
        <v>0</v>
      </c>
      <c r="AE279" s="24">
        <f t="shared" si="42"/>
        <v>0</v>
      </c>
      <c r="AF279" s="24">
        <f t="shared" si="42"/>
        <v>0</v>
      </c>
      <c r="AG279" s="24">
        <f t="shared" si="42"/>
        <v>0</v>
      </c>
      <c r="AH279" s="24">
        <f t="shared" si="43"/>
        <v>0</v>
      </c>
      <c r="AI279" s="24">
        <f t="shared" si="51"/>
        <v>0</v>
      </c>
      <c r="AJ279" s="261">
        <f t="shared" si="52"/>
        <v>0</v>
      </c>
      <c r="AK279" s="13"/>
      <c r="AL279" s="100">
        <v>1500</v>
      </c>
      <c r="AM279" s="202"/>
      <c r="AN279" s="200"/>
      <c r="AO279" s="200"/>
      <c r="AP279" s="283">
        <v>0.24990000000000001</v>
      </c>
      <c r="AR279" s="222">
        <v>97.289989386154886</v>
      </c>
      <c r="AS279" s="223">
        <v>97.301429656434735</v>
      </c>
      <c r="AT279" s="223">
        <v>95.225279479974276</v>
      </c>
      <c r="AU279" s="223">
        <v>95.40738363548013</v>
      </c>
      <c r="AV279" s="223">
        <v>98.247</v>
      </c>
      <c r="AW279" s="224">
        <v>96.92</v>
      </c>
      <c r="AX279" s="42"/>
      <c r="AY279" s="181"/>
      <c r="AZ279" s="197"/>
    </row>
    <row r="280" spans="12:52" ht="13" thickBot="1" x14ac:dyDescent="0.3">
      <c r="L280" s="55">
        <v>1495</v>
      </c>
      <c r="M280" s="274">
        <f t="shared" si="46"/>
        <v>0</v>
      </c>
      <c r="N280" s="275">
        <f t="shared" si="46"/>
        <v>0</v>
      </c>
      <c r="O280" s="276" t="e">
        <f ca="1"/>
        <v>#N/A</v>
      </c>
      <c r="Q280" s="34">
        <v>0</v>
      </c>
      <c r="R280" s="24">
        <v>0</v>
      </c>
      <c r="S280" s="24">
        <v>0</v>
      </c>
      <c r="T280" s="24">
        <v>0</v>
      </c>
      <c r="U280" s="24">
        <f t="array" ref="U280">IF(U$77&gt;" ",(U$628:U$1078),"")</f>
        <v>0</v>
      </c>
      <c r="V280" s="24">
        <f t="array" ref="V280">IF(V$77&gt;" ",(V$628:V$1078),"")</f>
        <v>0</v>
      </c>
      <c r="W280" s="24">
        <f t="array" ref="W280">IF(W$77&gt;" ",(W$628:W$1078),"")</f>
        <v>0</v>
      </c>
      <c r="X280" s="24">
        <f t="array" ref="X280">IF(X$77&gt;" ",(X$628:X$1078),"")</f>
        <v>0</v>
      </c>
      <c r="Y280" s="21">
        <v>0</v>
      </c>
      <c r="Z280" s="34">
        <f t="shared" si="47"/>
        <v>0</v>
      </c>
      <c r="AA280" s="24">
        <f t="shared" si="48"/>
        <v>0</v>
      </c>
      <c r="AB280" s="24">
        <f t="shared" si="49"/>
        <v>0</v>
      </c>
      <c r="AC280" s="24">
        <f t="shared" si="50"/>
        <v>0</v>
      </c>
      <c r="AD280" s="24">
        <f t="shared" si="42"/>
        <v>0</v>
      </c>
      <c r="AE280" s="24">
        <f t="shared" si="42"/>
        <v>0</v>
      </c>
      <c r="AF280" s="24">
        <f t="shared" si="42"/>
        <v>0</v>
      </c>
      <c r="AG280" s="24">
        <f t="shared" si="42"/>
        <v>0</v>
      </c>
      <c r="AH280" s="24">
        <f t="shared" si="43"/>
        <v>0</v>
      </c>
      <c r="AI280" s="24">
        <f t="shared" si="51"/>
        <v>0</v>
      </c>
      <c r="AJ280" s="261">
        <f t="shared" si="52"/>
        <v>0</v>
      </c>
      <c r="AK280" s="13"/>
      <c r="AL280" s="100">
        <v>1495</v>
      </c>
      <c r="AM280" s="202"/>
      <c r="AN280" s="200"/>
      <c r="AO280" s="200"/>
      <c r="AP280" s="284">
        <v>0.182</v>
      </c>
      <c r="AR280" s="222">
        <v>97.292199338240309</v>
      </c>
      <c r="AS280" s="223">
        <v>97.283913468360979</v>
      </c>
      <c r="AT280" s="223">
        <v>95.189994505744423</v>
      </c>
      <c r="AU280" s="223">
        <v>95.367846460952435</v>
      </c>
      <c r="AV280" s="223">
        <v>98.239500000000007</v>
      </c>
      <c r="AW280" s="224">
        <v>96.91149999999999</v>
      </c>
      <c r="AX280" s="42"/>
      <c r="AY280" s="181"/>
      <c r="AZ280" s="197"/>
    </row>
    <row r="281" spans="12:52" ht="13" thickBot="1" x14ac:dyDescent="0.3">
      <c r="L281" s="55">
        <v>1490</v>
      </c>
      <c r="M281" s="274">
        <f t="shared" si="46"/>
        <v>0</v>
      </c>
      <c r="N281" s="275">
        <f t="shared" si="46"/>
        <v>0</v>
      </c>
      <c r="O281" s="276" t="e">
        <f ca="1"/>
        <v>#N/A</v>
      </c>
      <c r="Q281" s="34">
        <v>0</v>
      </c>
      <c r="R281" s="24">
        <v>0</v>
      </c>
      <c r="S281" s="24">
        <v>0</v>
      </c>
      <c r="T281" s="24">
        <v>0</v>
      </c>
      <c r="U281" s="24">
        <f t="array" ref="U281">IF(U$77&gt;" ",(U$628:U$1078),"")</f>
        <v>0</v>
      </c>
      <c r="V281" s="24">
        <f t="array" ref="V281">IF(V$77&gt;" ",(V$628:V$1078),"")</f>
        <v>0</v>
      </c>
      <c r="W281" s="24">
        <f t="array" ref="W281">IF(W$77&gt;" ",(W$628:W$1078),"")</f>
        <v>0</v>
      </c>
      <c r="X281" s="24">
        <f t="array" ref="X281">IF(X$77&gt;" ",(X$628:X$1078),"")</f>
        <v>0</v>
      </c>
      <c r="Y281" s="21">
        <v>0</v>
      </c>
      <c r="Z281" s="34">
        <f t="shared" si="47"/>
        <v>0</v>
      </c>
      <c r="AA281" s="24">
        <f t="shared" si="48"/>
        <v>0</v>
      </c>
      <c r="AB281" s="24">
        <f t="shared" si="49"/>
        <v>0</v>
      </c>
      <c r="AC281" s="24">
        <f t="shared" si="50"/>
        <v>0</v>
      </c>
      <c r="AD281" s="24">
        <f t="shared" si="42"/>
        <v>0</v>
      </c>
      <c r="AE281" s="24">
        <f t="shared" si="42"/>
        <v>0</v>
      </c>
      <c r="AF281" s="24">
        <f t="shared" si="42"/>
        <v>0</v>
      </c>
      <c r="AG281" s="24">
        <f t="shared" si="42"/>
        <v>0</v>
      </c>
      <c r="AH281" s="24">
        <f t="shared" si="43"/>
        <v>0</v>
      </c>
      <c r="AI281" s="24">
        <f t="shared" si="51"/>
        <v>0</v>
      </c>
      <c r="AJ281" s="261">
        <f t="shared" si="52"/>
        <v>0</v>
      </c>
      <c r="AK281" s="13"/>
      <c r="AL281" s="100">
        <v>1490</v>
      </c>
      <c r="AM281" s="202"/>
      <c r="AN281" s="200"/>
      <c r="AO281" s="200"/>
      <c r="AP281" s="283">
        <v>0.17430000000000001</v>
      </c>
      <c r="AR281" s="222">
        <v>97.265436018183593</v>
      </c>
      <c r="AS281" s="223">
        <v>97.274584552898773</v>
      </c>
      <c r="AT281" s="223">
        <v>95.158420335585333</v>
      </c>
      <c r="AU281" s="223">
        <v>95.337584962903279</v>
      </c>
      <c r="AV281" s="223">
        <v>98.231999999999999</v>
      </c>
      <c r="AW281" s="224">
        <v>96.902999999999992</v>
      </c>
      <c r="AX281" s="42"/>
      <c r="AY281" s="181"/>
      <c r="AZ281" s="197"/>
    </row>
    <row r="282" spans="12:52" ht="13" thickBot="1" x14ac:dyDescent="0.3">
      <c r="L282" s="55">
        <v>1485</v>
      </c>
      <c r="M282" s="274">
        <f t="shared" si="46"/>
        <v>0</v>
      </c>
      <c r="N282" s="275">
        <f t="shared" si="46"/>
        <v>0</v>
      </c>
      <c r="O282" s="276" t="e">
        <f ca="1"/>
        <v>#N/A</v>
      </c>
      <c r="Q282" s="34">
        <v>0</v>
      </c>
      <c r="R282" s="24">
        <v>0</v>
      </c>
      <c r="S282" s="24">
        <v>0</v>
      </c>
      <c r="T282" s="24">
        <v>0</v>
      </c>
      <c r="U282" s="24">
        <f t="array" ref="U282">IF(U$77&gt;" ",(U$628:U$1078),"")</f>
        <v>0</v>
      </c>
      <c r="V282" s="24">
        <f t="array" ref="V282">IF(V$77&gt;" ",(V$628:V$1078),"")</f>
        <v>0</v>
      </c>
      <c r="W282" s="24">
        <f t="array" ref="W282">IF(W$77&gt;" ",(W$628:W$1078),"")</f>
        <v>0</v>
      </c>
      <c r="X282" s="24">
        <f t="array" ref="X282">IF(X$77&gt;" ",(X$628:X$1078),"")</f>
        <v>0</v>
      </c>
      <c r="Y282" s="21">
        <v>0</v>
      </c>
      <c r="Z282" s="34">
        <f t="shared" si="47"/>
        <v>0</v>
      </c>
      <c r="AA282" s="24">
        <f t="shared" si="48"/>
        <v>0</v>
      </c>
      <c r="AB282" s="24">
        <f t="shared" si="49"/>
        <v>0</v>
      </c>
      <c r="AC282" s="24">
        <f t="shared" si="50"/>
        <v>0</v>
      </c>
      <c r="AD282" s="24">
        <f t="shared" si="42"/>
        <v>0</v>
      </c>
      <c r="AE282" s="24">
        <f t="shared" si="42"/>
        <v>0</v>
      </c>
      <c r="AF282" s="24">
        <f t="shared" si="42"/>
        <v>0</v>
      </c>
      <c r="AG282" s="24">
        <f t="shared" si="42"/>
        <v>0</v>
      </c>
      <c r="AH282" s="24">
        <f t="shared" si="43"/>
        <v>0</v>
      </c>
      <c r="AI282" s="24">
        <f t="shared" si="51"/>
        <v>0</v>
      </c>
      <c r="AJ282" s="261">
        <f t="shared" si="52"/>
        <v>0</v>
      </c>
      <c r="AK282" s="13"/>
      <c r="AL282" s="100">
        <v>1485</v>
      </c>
      <c r="AM282" s="202"/>
      <c r="AN282" s="200"/>
      <c r="AO282" s="200"/>
      <c r="AP282" s="284">
        <v>0.12470000000000001</v>
      </c>
      <c r="AR282" s="222">
        <v>97.259648827371549</v>
      </c>
      <c r="AS282" s="223">
        <v>97.249086581713058</v>
      </c>
      <c r="AT282" s="223">
        <v>95.123366656972408</v>
      </c>
      <c r="AU282" s="223">
        <v>95.295334931223962</v>
      </c>
      <c r="AV282" s="223">
        <v>98.224999999999994</v>
      </c>
      <c r="AW282" s="224">
        <v>96.894499999999994</v>
      </c>
      <c r="AX282" s="42"/>
      <c r="AY282" s="181"/>
      <c r="AZ282" s="197"/>
    </row>
    <row r="283" spans="12:52" ht="13" thickBot="1" x14ac:dyDescent="0.3">
      <c r="L283" s="55">
        <v>1480</v>
      </c>
      <c r="M283" s="274">
        <f t="shared" si="46"/>
        <v>0</v>
      </c>
      <c r="N283" s="275">
        <f t="shared" si="46"/>
        <v>0</v>
      </c>
      <c r="O283" s="276" t="e">
        <f ca="1"/>
        <v>#N/A</v>
      </c>
      <c r="Q283" s="34">
        <v>0</v>
      </c>
      <c r="R283" s="24">
        <v>0</v>
      </c>
      <c r="S283" s="24">
        <v>0</v>
      </c>
      <c r="T283" s="24">
        <v>0</v>
      </c>
      <c r="U283" s="24">
        <f t="array" ref="U283">IF(U$77&gt;" ",(U$628:U$1078),"")</f>
        <v>0</v>
      </c>
      <c r="V283" s="24">
        <f t="array" ref="V283">IF(V$77&gt;" ",(V$628:V$1078),"")</f>
        <v>0</v>
      </c>
      <c r="W283" s="24">
        <f t="array" ref="W283">IF(W$77&gt;" ",(W$628:W$1078),"")</f>
        <v>0</v>
      </c>
      <c r="X283" s="24">
        <f t="array" ref="X283">IF(X$77&gt;" ",(X$628:X$1078),"")</f>
        <v>0</v>
      </c>
      <c r="Y283" s="21">
        <v>0</v>
      </c>
      <c r="Z283" s="34">
        <f t="shared" si="47"/>
        <v>0</v>
      </c>
      <c r="AA283" s="24">
        <f t="shared" si="48"/>
        <v>0</v>
      </c>
      <c r="AB283" s="24">
        <f t="shared" si="49"/>
        <v>0</v>
      </c>
      <c r="AC283" s="24">
        <f t="shared" si="50"/>
        <v>0</v>
      </c>
      <c r="AD283" s="24">
        <f t="shared" si="42"/>
        <v>0</v>
      </c>
      <c r="AE283" s="24">
        <f t="shared" si="42"/>
        <v>0</v>
      </c>
      <c r="AF283" s="24">
        <f t="shared" si="42"/>
        <v>0</v>
      </c>
      <c r="AG283" s="24">
        <f t="shared" si="42"/>
        <v>0</v>
      </c>
      <c r="AH283" s="24">
        <f t="shared" si="43"/>
        <v>0</v>
      </c>
      <c r="AI283" s="24">
        <f t="shared" si="51"/>
        <v>0</v>
      </c>
      <c r="AJ283" s="261">
        <f t="shared" si="52"/>
        <v>0</v>
      </c>
      <c r="AK283" s="13"/>
      <c r="AL283" s="100">
        <v>1480</v>
      </c>
      <c r="AM283" s="202"/>
      <c r="AN283" s="200"/>
      <c r="AO283" s="200"/>
      <c r="AP283" s="283">
        <v>6.046E-2</v>
      </c>
      <c r="AR283" s="222">
        <v>97.258036157526888</v>
      </c>
      <c r="AS283" s="223">
        <v>97.257464044010604</v>
      </c>
      <c r="AT283" s="223">
        <v>95.067461678878757</v>
      </c>
      <c r="AU283" s="223">
        <v>95.242077531211024</v>
      </c>
      <c r="AV283" s="223">
        <v>98.218000000000004</v>
      </c>
      <c r="AW283" s="224">
        <v>96.88600000000001</v>
      </c>
      <c r="AX283" s="42"/>
      <c r="AY283" s="181"/>
      <c r="AZ283" s="197"/>
    </row>
    <row r="284" spans="12:52" ht="13" thickBot="1" x14ac:dyDescent="0.3">
      <c r="L284" s="55">
        <v>1475</v>
      </c>
      <c r="M284" s="274">
        <f t="shared" si="46"/>
        <v>0</v>
      </c>
      <c r="N284" s="275">
        <f t="shared" si="46"/>
        <v>0</v>
      </c>
      <c r="O284" s="276" t="e">
        <f ca="1"/>
        <v>#N/A</v>
      </c>
      <c r="Q284" s="34">
        <v>0</v>
      </c>
      <c r="R284" s="24">
        <v>0</v>
      </c>
      <c r="S284" s="24">
        <v>0</v>
      </c>
      <c r="T284" s="24">
        <v>0</v>
      </c>
      <c r="U284" s="24">
        <f t="array" ref="U284">IF(U$77&gt;" ",(U$628:U$1078),"")</f>
        <v>0</v>
      </c>
      <c r="V284" s="24">
        <f t="array" ref="V284">IF(V$77&gt;" ",(V$628:V$1078),"")</f>
        <v>0</v>
      </c>
      <c r="W284" s="24">
        <f t="array" ref="W284">IF(W$77&gt;" ",(W$628:W$1078),"")</f>
        <v>0</v>
      </c>
      <c r="X284" s="24">
        <f t="array" ref="X284">IF(X$77&gt;" ",(X$628:X$1078),"")</f>
        <v>0</v>
      </c>
      <c r="Y284" s="21">
        <v>0</v>
      </c>
      <c r="Z284" s="34">
        <f t="shared" si="47"/>
        <v>0</v>
      </c>
      <c r="AA284" s="24">
        <f t="shared" si="48"/>
        <v>0</v>
      </c>
      <c r="AB284" s="24">
        <f t="shared" si="49"/>
        <v>0</v>
      </c>
      <c r="AC284" s="24">
        <f t="shared" si="50"/>
        <v>0</v>
      </c>
      <c r="AD284" s="24">
        <f t="shared" si="42"/>
        <v>0</v>
      </c>
      <c r="AE284" s="24">
        <f t="shared" si="42"/>
        <v>0</v>
      </c>
      <c r="AF284" s="24">
        <f t="shared" si="42"/>
        <v>0</v>
      </c>
      <c r="AG284" s="24">
        <f t="shared" si="42"/>
        <v>0</v>
      </c>
      <c r="AH284" s="24">
        <f t="shared" ref="AH284:AH334" si="53">Y284</f>
        <v>0</v>
      </c>
      <c r="AI284" s="24">
        <f t="shared" si="51"/>
        <v>0</v>
      </c>
      <c r="AJ284" s="261">
        <f t="shared" si="52"/>
        <v>0</v>
      </c>
      <c r="AK284" s="13"/>
      <c r="AL284" s="100">
        <v>1475</v>
      </c>
      <c r="AM284" s="202"/>
      <c r="AN284" s="200"/>
      <c r="AO284" s="200"/>
      <c r="AP284" s="284">
        <v>0.18410000000000001</v>
      </c>
      <c r="AR284" s="222">
        <v>97.264908132709351</v>
      </c>
      <c r="AS284" s="223">
        <v>97.247466460936934</v>
      </c>
      <c r="AT284" s="223">
        <v>95.066628891825715</v>
      </c>
      <c r="AU284" s="223">
        <v>95.250271030733941</v>
      </c>
      <c r="AV284" s="223">
        <v>98.212000000000003</v>
      </c>
      <c r="AW284" s="224">
        <v>96.876499999999993</v>
      </c>
      <c r="AX284" s="42"/>
      <c r="AY284" s="181"/>
      <c r="AZ284" s="197"/>
    </row>
    <row r="285" spans="12:52" ht="13" thickBot="1" x14ac:dyDescent="0.3">
      <c r="L285" s="55">
        <v>1470</v>
      </c>
      <c r="M285" s="274">
        <f t="shared" si="46"/>
        <v>0</v>
      </c>
      <c r="N285" s="275">
        <f t="shared" si="46"/>
        <v>0</v>
      </c>
      <c r="O285" s="276" t="e">
        <f ca="1"/>
        <v>#N/A</v>
      </c>
      <c r="Q285" s="34">
        <v>0</v>
      </c>
      <c r="R285" s="24">
        <v>0</v>
      </c>
      <c r="S285" s="24">
        <v>0</v>
      </c>
      <c r="T285" s="24">
        <v>0</v>
      </c>
      <c r="U285" s="24">
        <f t="array" ref="U285">IF(U$77&gt;" ",(U$628:U$1078),"")</f>
        <v>0</v>
      </c>
      <c r="V285" s="24">
        <f t="array" ref="V285">IF(V$77&gt;" ",(V$628:V$1078),"")</f>
        <v>0</v>
      </c>
      <c r="W285" s="24">
        <f t="array" ref="W285">IF(W$77&gt;" ",(W$628:W$1078),"")</f>
        <v>0</v>
      </c>
      <c r="X285" s="24">
        <f t="array" ref="X285">IF(X$77&gt;" ",(X$628:X$1078),"")</f>
        <v>0</v>
      </c>
      <c r="Y285" s="21">
        <v>0</v>
      </c>
      <c r="Z285" s="34">
        <f t="shared" si="47"/>
        <v>0</v>
      </c>
      <c r="AA285" s="24">
        <f t="shared" si="48"/>
        <v>0</v>
      </c>
      <c r="AB285" s="24">
        <f t="shared" si="49"/>
        <v>0</v>
      </c>
      <c r="AC285" s="24">
        <f t="shared" si="50"/>
        <v>0</v>
      </c>
      <c r="AD285" s="24">
        <f t="shared" si="42"/>
        <v>0</v>
      </c>
      <c r="AE285" s="24">
        <f t="shared" si="42"/>
        <v>0</v>
      </c>
      <c r="AF285" s="24">
        <f t="shared" si="42"/>
        <v>0</v>
      </c>
      <c r="AG285" s="24">
        <f t="shared" si="42"/>
        <v>0</v>
      </c>
      <c r="AH285" s="24">
        <f t="shared" si="53"/>
        <v>0</v>
      </c>
      <c r="AI285" s="24">
        <f t="shared" si="51"/>
        <v>0</v>
      </c>
      <c r="AJ285" s="261">
        <f t="shared" si="52"/>
        <v>0</v>
      </c>
      <c r="AK285" s="13"/>
      <c r="AL285" s="100">
        <v>1470</v>
      </c>
      <c r="AM285" s="202"/>
      <c r="AN285" s="200"/>
      <c r="AO285" s="200"/>
      <c r="AP285" s="283">
        <v>4.9529999999999998E-2</v>
      </c>
      <c r="AR285" s="222">
        <v>97.22884978431091</v>
      </c>
      <c r="AS285" s="223">
        <v>97.249157679238706</v>
      </c>
      <c r="AT285" s="223">
        <v>95.029572417929273</v>
      </c>
      <c r="AU285" s="223">
        <v>95.214362186337056</v>
      </c>
      <c r="AV285" s="223">
        <v>98.206000000000003</v>
      </c>
      <c r="AW285" s="224">
        <v>96.867000000000004</v>
      </c>
      <c r="AX285" s="42"/>
      <c r="AY285" s="181"/>
      <c r="AZ285" s="197"/>
    </row>
    <row r="286" spans="12:52" ht="13" thickBot="1" x14ac:dyDescent="0.3">
      <c r="L286" s="55">
        <v>1465</v>
      </c>
      <c r="M286" s="274">
        <f t="shared" si="46"/>
        <v>0</v>
      </c>
      <c r="N286" s="275">
        <f t="shared" si="46"/>
        <v>0</v>
      </c>
      <c r="O286" s="276" t="e">
        <f ca="1"/>
        <v>#N/A</v>
      </c>
      <c r="Q286" s="34">
        <v>0</v>
      </c>
      <c r="R286" s="24">
        <v>0</v>
      </c>
      <c r="S286" s="24">
        <v>0</v>
      </c>
      <c r="T286" s="24">
        <v>0</v>
      </c>
      <c r="U286" s="24">
        <f t="array" ref="U286">IF(U$77&gt;" ",(U$628:U$1078),"")</f>
        <v>0</v>
      </c>
      <c r="V286" s="24">
        <f t="array" ref="V286">IF(V$77&gt;" ",(V$628:V$1078),"")</f>
        <v>0</v>
      </c>
      <c r="W286" s="24">
        <f t="array" ref="W286">IF(W$77&gt;" ",(W$628:W$1078),"")</f>
        <v>0</v>
      </c>
      <c r="X286" s="24">
        <f t="array" ref="X286">IF(X$77&gt;" ",(X$628:X$1078),"")</f>
        <v>0</v>
      </c>
      <c r="Y286" s="21">
        <v>0</v>
      </c>
      <c r="Z286" s="34">
        <f t="shared" si="47"/>
        <v>0</v>
      </c>
      <c r="AA286" s="24">
        <f t="shared" si="48"/>
        <v>0</v>
      </c>
      <c r="AB286" s="24">
        <f t="shared" si="49"/>
        <v>0</v>
      </c>
      <c r="AC286" s="24">
        <f t="shared" si="50"/>
        <v>0</v>
      </c>
      <c r="AD286" s="24">
        <f t="shared" si="42"/>
        <v>0</v>
      </c>
      <c r="AE286" s="24">
        <f t="shared" si="42"/>
        <v>0</v>
      </c>
      <c r="AF286" s="24">
        <f t="shared" si="42"/>
        <v>0</v>
      </c>
      <c r="AG286" s="24">
        <f t="shared" ref="AG286:AG349" si="54">X286</f>
        <v>0</v>
      </c>
      <c r="AH286" s="24">
        <f t="shared" si="53"/>
        <v>0</v>
      </c>
      <c r="AI286" s="24">
        <f t="shared" si="51"/>
        <v>0</v>
      </c>
      <c r="AJ286" s="261">
        <f t="shared" si="52"/>
        <v>0</v>
      </c>
      <c r="AK286" s="13"/>
      <c r="AL286" s="100">
        <v>1465</v>
      </c>
      <c r="AM286" s="202"/>
      <c r="AN286" s="200"/>
      <c r="AO286" s="200"/>
      <c r="AP286" s="284">
        <v>9.3109999999999998E-2</v>
      </c>
      <c r="AR286" s="222">
        <v>97.224764593200533</v>
      </c>
      <c r="AS286" s="223">
        <v>97.230624973010677</v>
      </c>
      <c r="AT286" s="223">
        <v>94.997665949587102</v>
      </c>
      <c r="AU286" s="223">
        <v>95.173378505689968</v>
      </c>
      <c r="AV286" s="223">
        <v>98.200500000000005</v>
      </c>
      <c r="AW286" s="224">
        <v>96.855999999999995</v>
      </c>
      <c r="AX286" s="42"/>
      <c r="AY286" s="181"/>
      <c r="AZ286" s="197"/>
    </row>
    <row r="287" spans="12:52" ht="13" thickBot="1" x14ac:dyDescent="0.3">
      <c r="L287" s="55">
        <v>1460</v>
      </c>
      <c r="M287" s="274">
        <f t="shared" ref="M287:N302" si="55">M836</f>
        <v>0</v>
      </c>
      <c r="N287" s="275">
        <f t="shared" si="55"/>
        <v>0</v>
      </c>
      <c r="O287" s="276" t="e">
        <f ca="1"/>
        <v>#N/A</v>
      </c>
      <c r="Q287" s="34">
        <v>0</v>
      </c>
      <c r="R287" s="24">
        <v>0</v>
      </c>
      <c r="S287" s="24">
        <v>0</v>
      </c>
      <c r="T287" s="24">
        <v>0</v>
      </c>
      <c r="U287" s="24">
        <f t="array" ref="U287">IF(U$77&gt;" ",(U$628:U$1078),"")</f>
        <v>0</v>
      </c>
      <c r="V287" s="24">
        <f t="array" ref="V287">IF(V$77&gt;" ",(V$628:V$1078),"")</f>
        <v>0</v>
      </c>
      <c r="W287" s="24">
        <f t="array" ref="W287">IF(W$77&gt;" ",(W$628:W$1078),"")</f>
        <v>0</v>
      </c>
      <c r="X287" s="24">
        <f t="array" ref="X287">IF(X$77&gt;" ",(X$628:X$1078),"")</f>
        <v>0</v>
      </c>
      <c r="Y287" s="21">
        <v>0</v>
      </c>
      <c r="Z287" s="34">
        <f t="shared" si="47"/>
        <v>0</v>
      </c>
      <c r="AA287" s="24">
        <f t="shared" si="48"/>
        <v>0</v>
      </c>
      <c r="AB287" s="24">
        <f t="shared" si="49"/>
        <v>0</v>
      </c>
      <c r="AC287" s="24">
        <f t="shared" si="50"/>
        <v>0</v>
      </c>
      <c r="AD287" s="24">
        <f t="shared" ref="AD287:AG350" si="56">U287</f>
        <v>0</v>
      </c>
      <c r="AE287" s="24">
        <f t="shared" si="56"/>
        <v>0</v>
      </c>
      <c r="AF287" s="24">
        <f t="shared" si="56"/>
        <v>0</v>
      </c>
      <c r="AG287" s="24">
        <f t="shared" si="54"/>
        <v>0</v>
      </c>
      <c r="AH287" s="24">
        <f t="shared" si="53"/>
        <v>0</v>
      </c>
      <c r="AI287" s="24">
        <f t="shared" si="51"/>
        <v>0</v>
      </c>
      <c r="AJ287" s="261">
        <f t="shared" si="52"/>
        <v>0</v>
      </c>
      <c r="AK287" s="13"/>
      <c r="AL287" s="100">
        <v>1460</v>
      </c>
      <c r="AM287" s="202"/>
      <c r="AN287" s="200"/>
      <c r="AO287" s="200"/>
      <c r="AP287" s="283">
        <v>8.5169999999999996E-2</v>
      </c>
      <c r="AR287" s="222">
        <v>97.213543276986385</v>
      </c>
      <c r="AS287" s="223">
        <v>97.200206612808302</v>
      </c>
      <c r="AT287" s="223">
        <v>94.982260198650692</v>
      </c>
      <c r="AU287" s="223">
        <v>95.161259170424856</v>
      </c>
      <c r="AV287" s="223">
        <v>98.194999999999993</v>
      </c>
      <c r="AW287" s="224">
        <v>96.844999999999999</v>
      </c>
      <c r="AX287" s="42"/>
      <c r="AY287" s="181"/>
      <c r="AZ287" s="197"/>
    </row>
    <row r="288" spans="12:52" ht="13" thickBot="1" x14ac:dyDescent="0.3">
      <c r="L288" s="55">
        <v>1455</v>
      </c>
      <c r="M288" s="274">
        <f t="shared" si="55"/>
        <v>0</v>
      </c>
      <c r="N288" s="275">
        <f t="shared" si="55"/>
        <v>0</v>
      </c>
      <c r="O288" s="276" t="e">
        <f ca="1"/>
        <v>#N/A</v>
      </c>
      <c r="Q288" s="34">
        <v>0</v>
      </c>
      <c r="R288" s="24">
        <v>0</v>
      </c>
      <c r="S288" s="24">
        <v>0</v>
      </c>
      <c r="T288" s="24">
        <v>0</v>
      </c>
      <c r="U288" s="24">
        <f t="array" ref="U288">IF(U$77&gt;" ",(U$628:U$1078),"")</f>
        <v>0</v>
      </c>
      <c r="V288" s="24">
        <f t="array" ref="V288">IF(V$77&gt;" ",(V$628:V$1078),"")</f>
        <v>0</v>
      </c>
      <c r="W288" s="24">
        <f t="array" ref="W288">IF(W$77&gt;" ",(W$628:W$1078),"")</f>
        <v>0</v>
      </c>
      <c r="X288" s="24">
        <f t="array" ref="X288">IF(X$77&gt;" ",(X$628:X$1078),"")</f>
        <v>0</v>
      </c>
      <c r="Y288" s="21">
        <v>0</v>
      </c>
      <c r="Z288" s="34">
        <f t="shared" si="47"/>
        <v>0</v>
      </c>
      <c r="AA288" s="24">
        <f t="shared" si="48"/>
        <v>0</v>
      </c>
      <c r="AB288" s="24">
        <f t="shared" si="49"/>
        <v>0</v>
      </c>
      <c r="AC288" s="24">
        <f t="shared" si="50"/>
        <v>0</v>
      </c>
      <c r="AD288" s="24">
        <f t="shared" si="56"/>
        <v>0</v>
      </c>
      <c r="AE288" s="24">
        <f t="shared" si="56"/>
        <v>0</v>
      </c>
      <c r="AF288" s="24">
        <f t="shared" si="56"/>
        <v>0</v>
      </c>
      <c r="AG288" s="24">
        <f t="shared" si="54"/>
        <v>0</v>
      </c>
      <c r="AH288" s="24">
        <f t="shared" si="53"/>
        <v>0</v>
      </c>
      <c r="AI288" s="24">
        <f t="shared" si="51"/>
        <v>0</v>
      </c>
      <c r="AJ288" s="261">
        <f t="shared" si="52"/>
        <v>0</v>
      </c>
      <c r="AK288" s="13"/>
      <c r="AL288" s="100">
        <v>1455</v>
      </c>
      <c r="AM288" s="202"/>
      <c r="AN288" s="200"/>
      <c r="AO288" s="200"/>
      <c r="AP288" s="284">
        <v>6.5960000000000005E-2</v>
      </c>
      <c r="AR288" s="222">
        <v>97.1908909610205</v>
      </c>
      <c r="AS288" s="223">
        <v>97.195989147167097</v>
      </c>
      <c r="AT288" s="223">
        <v>94.943318950673131</v>
      </c>
      <c r="AU288" s="223">
        <v>95.122464104715803</v>
      </c>
      <c r="AV288" s="223">
        <v>98.188000000000002</v>
      </c>
      <c r="AW288" s="224">
        <v>96.834500000000006</v>
      </c>
      <c r="AX288" s="42"/>
      <c r="AY288" s="181"/>
      <c r="AZ288" s="197"/>
    </row>
    <row r="289" spans="12:52" ht="13" thickBot="1" x14ac:dyDescent="0.3">
      <c r="L289" s="55">
        <v>1450</v>
      </c>
      <c r="M289" s="274">
        <f t="shared" si="55"/>
        <v>0</v>
      </c>
      <c r="N289" s="275">
        <f t="shared" si="55"/>
        <v>0</v>
      </c>
      <c r="O289" s="276" t="e">
        <f ca="1"/>
        <v>#N/A</v>
      </c>
      <c r="Q289" s="34">
        <v>0</v>
      </c>
      <c r="R289" s="24">
        <v>0</v>
      </c>
      <c r="S289" s="24">
        <v>0</v>
      </c>
      <c r="T289" s="24">
        <v>0</v>
      </c>
      <c r="U289" s="24">
        <f t="array" ref="U289">IF(U$77&gt;" ",(U$628:U$1078),"")</f>
        <v>0</v>
      </c>
      <c r="V289" s="24">
        <f t="array" ref="V289">IF(V$77&gt;" ",(V$628:V$1078),"")</f>
        <v>0</v>
      </c>
      <c r="W289" s="24">
        <f t="array" ref="W289">IF(W$77&gt;" ",(W$628:W$1078),"")</f>
        <v>0</v>
      </c>
      <c r="X289" s="24">
        <f t="array" ref="X289">IF(X$77&gt;" ",(X$628:X$1078),"")</f>
        <v>0</v>
      </c>
      <c r="Y289" s="21">
        <v>0</v>
      </c>
      <c r="Z289" s="34">
        <f t="shared" si="47"/>
        <v>0</v>
      </c>
      <c r="AA289" s="24">
        <f t="shared" si="48"/>
        <v>0</v>
      </c>
      <c r="AB289" s="24">
        <f t="shared" si="49"/>
        <v>0</v>
      </c>
      <c r="AC289" s="24">
        <f t="shared" si="50"/>
        <v>0</v>
      </c>
      <c r="AD289" s="24">
        <f t="shared" si="56"/>
        <v>0</v>
      </c>
      <c r="AE289" s="24">
        <f t="shared" si="56"/>
        <v>0</v>
      </c>
      <c r="AF289" s="24">
        <f t="shared" si="56"/>
        <v>0</v>
      </c>
      <c r="AG289" s="24">
        <f t="shared" si="54"/>
        <v>0</v>
      </c>
      <c r="AH289" s="24">
        <f t="shared" si="53"/>
        <v>0</v>
      </c>
      <c r="AI289" s="24">
        <f t="shared" si="51"/>
        <v>0</v>
      </c>
      <c r="AJ289" s="261">
        <f t="shared" si="52"/>
        <v>0</v>
      </c>
      <c r="AK289" s="13"/>
      <c r="AL289" s="100">
        <v>1450</v>
      </c>
      <c r="AM289" s="202"/>
      <c r="AN289" s="200"/>
      <c r="AO289" s="200"/>
      <c r="AP289" s="283">
        <v>2.733E-2</v>
      </c>
      <c r="AR289" s="222">
        <v>97.181593407356459</v>
      </c>
      <c r="AS289" s="223">
        <v>97.198408126786532</v>
      </c>
      <c r="AT289" s="223">
        <v>94.896312701913345</v>
      </c>
      <c r="AU289" s="223">
        <v>95.069192852200743</v>
      </c>
      <c r="AV289" s="223">
        <v>98.180999999999997</v>
      </c>
      <c r="AW289" s="224">
        <v>96.823999999999998</v>
      </c>
      <c r="AX289" s="42"/>
      <c r="AY289" s="181"/>
      <c r="AZ289" s="197"/>
    </row>
    <row r="290" spans="12:52" ht="13" thickBot="1" x14ac:dyDescent="0.3">
      <c r="L290" s="55">
        <v>1445</v>
      </c>
      <c r="M290" s="274">
        <f t="shared" si="55"/>
        <v>0</v>
      </c>
      <c r="N290" s="275">
        <f t="shared" si="55"/>
        <v>0</v>
      </c>
      <c r="O290" s="276" t="e">
        <f ca="1"/>
        <v>#N/A</v>
      </c>
      <c r="Q290" s="34">
        <v>0</v>
      </c>
      <c r="R290" s="24">
        <v>0</v>
      </c>
      <c r="S290" s="24">
        <v>0</v>
      </c>
      <c r="T290" s="24">
        <v>0</v>
      </c>
      <c r="U290" s="24">
        <f t="array" ref="U290">IF(U$77&gt;" ",(U$628:U$1078),"")</f>
        <v>0</v>
      </c>
      <c r="V290" s="24">
        <f t="array" ref="V290">IF(V$77&gt;" ",(V$628:V$1078),"")</f>
        <v>0</v>
      </c>
      <c r="W290" s="24">
        <f t="array" ref="W290">IF(W$77&gt;" ",(W$628:W$1078),"")</f>
        <v>0</v>
      </c>
      <c r="X290" s="24">
        <f t="array" ref="X290">IF(X$77&gt;" ",(X$628:X$1078),"")</f>
        <v>0</v>
      </c>
      <c r="Y290" s="21">
        <v>0</v>
      </c>
      <c r="Z290" s="34">
        <f t="shared" si="47"/>
        <v>0</v>
      </c>
      <c r="AA290" s="24">
        <f t="shared" si="48"/>
        <v>0</v>
      </c>
      <c r="AB290" s="24">
        <f t="shared" si="49"/>
        <v>0</v>
      </c>
      <c r="AC290" s="24">
        <f t="shared" si="50"/>
        <v>0</v>
      </c>
      <c r="AD290" s="24">
        <f t="shared" si="56"/>
        <v>0</v>
      </c>
      <c r="AE290" s="24">
        <f t="shared" si="56"/>
        <v>0</v>
      </c>
      <c r="AF290" s="24">
        <f t="shared" si="56"/>
        <v>0</v>
      </c>
      <c r="AG290" s="24">
        <f t="shared" si="54"/>
        <v>0</v>
      </c>
      <c r="AH290" s="24">
        <f t="shared" si="53"/>
        <v>0</v>
      </c>
      <c r="AI290" s="24">
        <f t="shared" si="51"/>
        <v>0</v>
      </c>
      <c r="AJ290" s="261">
        <f t="shared" si="52"/>
        <v>0</v>
      </c>
      <c r="AK290" s="13"/>
      <c r="AL290" s="100">
        <v>1445</v>
      </c>
      <c r="AM290" s="202"/>
      <c r="AN290" s="200"/>
      <c r="AO290" s="200"/>
      <c r="AP290" s="284">
        <v>4.9610000000000001E-2</v>
      </c>
      <c r="AR290" s="222">
        <v>97.176404620002288</v>
      </c>
      <c r="AS290" s="223">
        <v>97.170498860747912</v>
      </c>
      <c r="AT290" s="223">
        <v>94.836471008118068</v>
      </c>
      <c r="AU290" s="223">
        <v>95.007907321237781</v>
      </c>
      <c r="AV290" s="223">
        <v>98.1755</v>
      </c>
      <c r="AW290" s="224">
        <v>96.813000000000002</v>
      </c>
      <c r="AX290" s="42"/>
      <c r="AY290" s="181"/>
      <c r="AZ290" s="197"/>
    </row>
    <row r="291" spans="12:52" ht="13" thickBot="1" x14ac:dyDescent="0.3">
      <c r="L291" s="55">
        <v>1440</v>
      </c>
      <c r="M291" s="274">
        <f t="shared" si="55"/>
        <v>0</v>
      </c>
      <c r="N291" s="275">
        <f t="shared" si="55"/>
        <v>0</v>
      </c>
      <c r="O291" s="276" t="e">
        <f ca="1"/>
        <v>#N/A</v>
      </c>
      <c r="Q291" s="34">
        <v>0</v>
      </c>
      <c r="R291" s="24">
        <v>0</v>
      </c>
      <c r="S291" s="24">
        <v>0</v>
      </c>
      <c r="T291" s="24">
        <v>0</v>
      </c>
      <c r="U291" s="24">
        <f t="array" ref="U291">IF(U$77&gt;" ",(U$628:U$1078),"")</f>
        <v>0</v>
      </c>
      <c r="V291" s="24">
        <f t="array" ref="V291">IF(V$77&gt;" ",(V$628:V$1078),"")</f>
        <v>0</v>
      </c>
      <c r="W291" s="24">
        <f t="array" ref="W291">IF(W$77&gt;" ",(W$628:W$1078),"")</f>
        <v>0</v>
      </c>
      <c r="X291" s="24">
        <f t="array" ref="X291">IF(X$77&gt;" ",(X$628:X$1078),"")</f>
        <v>0</v>
      </c>
      <c r="Y291" s="21">
        <v>0</v>
      </c>
      <c r="Z291" s="34">
        <f t="shared" si="47"/>
        <v>0</v>
      </c>
      <c r="AA291" s="24">
        <f t="shared" si="48"/>
        <v>0</v>
      </c>
      <c r="AB291" s="24">
        <f t="shared" si="49"/>
        <v>0</v>
      </c>
      <c r="AC291" s="24">
        <f t="shared" si="50"/>
        <v>0</v>
      </c>
      <c r="AD291" s="24">
        <f t="shared" si="56"/>
        <v>0</v>
      </c>
      <c r="AE291" s="24">
        <f t="shared" si="56"/>
        <v>0</v>
      </c>
      <c r="AF291" s="24">
        <f t="shared" si="56"/>
        <v>0</v>
      </c>
      <c r="AG291" s="24">
        <f t="shared" si="54"/>
        <v>0</v>
      </c>
      <c r="AH291" s="24">
        <f t="shared" si="53"/>
        <v>0</v>
      </c>
      <c r="AI291" s="24">
        <f t="shared" si="51"/>
        <v>0</v>
      </c>
      <c r="AJ291" s="261">
        <f t="shared" si="52"/>
        <v>0</v>
      </c>
      <c r="AK291" s="13"/>
      <c r="AL291" s="100">
        <v>1440</v>
      </c>
      <c r="AM291" s="202"/>
      <c r="AN291" s="200"/>
      <c r="AO291" s="200"/>
      <c r="AP291" s="283">
        <v>3.9489999999999997E-2</v>
      </c>
      <c r="AR291" s="222">
        <v>97.168244833333802</v>
      </c>
      <c r="AS291" s="223">
        <v>97.145648048645185</v>
      </c>
      <c r="AT291" s="223">
        <v>94.79968618938112</v>
      </c>
      <c r="AU291" s="223">
        <v>94.981277608284316</v>
      </c>
      <c r="AV291" s="223">
        <v>98.17</v>
      </c>
      <c r="AW291" s="224">
        <v>96.801999999999992</v>
      </c>
      <c r="AX291" s="42"/>
      <c r="AY291" s="181"/>
      <c r="AZ291" s="197"/>
    </row>
    <row r="292" spans="12:52" ht="13" thickBot="1" x14ac:dyDescent="0.3">
      <c r="L292" s="55">
        <v>1435</v>
      </c>
      <c r="M292" s="274">
        <f t="shared" si="55"/>
        <v>0</v>
      </c>
      <c r="N292" s="275">
        <f t="shared" si="55"/>
        <v>0</v>
      </c>
      <c r="O292" s="276" t="e">
        <f ca="1"/>
        <v>#N/A</v>
      </c>
      <c r="Q292" s="34">
        <v>0</v>
      </c>
      <c r="R292" s="24">
        <v>0</v>
      </c>
      <c r="S292" s="24">
        <v>0</v>
      </c>
      <c r="T292" s="24">
        <v>0</v>
      </c>
      <c r="U292" s="24">
        <f t="array" ref="U292">IF(U$77&gt;" ",(U$628:U$1078),"")</f>
        <v>0</v>
      </c>
      <c r="V292" s="24">
        <f t="array" ref="V292">IF(V$77&gt;" ",(V$628:V$1078),"")</f>
        <v>0</v>
      </c>
      <c r="W292" s="24">
        <f t="array" ref="W292">IF(W$77&gt;" ",(W$628:W$1078),"")</f>
        <v>0</v>
      </c>
      <c r="X292" s="24">
        <f t="array" ref="X292">IF(X$77&gt;" ",(X$628:X$1078),"")</f>
        <v>0</v>
      </c>
      <c r="Y292" s="21">
        <v>0</v>
      </c>
      <c r="Z292" s="34">
        <f t="shared" si="47"/>
        <v>0</v>
      </c>
      <c r="AA292" s="24">
        <f t="shared" si="48"/>
        <v>0</v>
      </c>
      <c r="AB292" s="24">
        <f t="shared" si="49"/>
        <v>0</v>
      </c>
      <c r="AC292" s="24">
        <f t="shared" si="50"/>
        <v>0</v>
      </c>
      <c r="AD292" s="24">
        <f t="shared" si="56"/>
        <v>0</v>
      </c>
      <c r="AE292" s="24">
        <f t="shared" si="56"/>
        <v>0</v>
      </c>
      <c r="AF292" s="24">
        <f t="shared" si="56"/>
        <v>0</v>
      </c>
      <c r="AG292" s="24">
        <f t="shared" si="54"/>
        <v>0</v>
      </c>
      <c r="AH292" s="24">
        <f t="shared" si="53"/>
        <v>0</v>
      </c>
      <c r="AI292" s="24">
        <f t="shared" si="51"/>
        <v>0</v>
      </c>
      <c r="AJ292" s="261">
        <f t="shared" si="52"/>
        <v>0</v>
      </c>
      <c r="AK292" s="13"/>
      <c r="AL292" s="100">
        <v>1435</v>
      </c>
      <c r="AM292" s="202"/>
      <c r="AN292" s="200"/>
      <c r="AO292" s="200"/>
      <c r="AP292" s="284">
        <v>2.1350000000000001E-2</v>
      </c>
      <c r="AR292" s="222">
        <v>97.150021680378543</v>
      </c>
      <c r="AS292" s="223">
        <v>97.117302978907261</v>
      </c>
      <c r="AT292" s="223">
        <v>94.732621622350891</v>
      </c>
      <c r="AU292" s="223">
        <v>94.919006214904371</v>
      </c>
      <c r="AV292" s="223">
        <v>98.164000000000001</v>
      </c>
      <c r="AW292" s="224">
        <v>96.791499999999999</v>
      </c>
      <c r="AX292" s="42"/>
      <c r="AY292" s="181"/>
      <c r="AZ292" s="197"/>
    </row>
    <row r="293" spans="12:52" ht="13" thickBot="1" x14ac:dyDescent="0.3">
      <c r="L293" s="55">
        <v>1430</v>
      </c>
      <c r="M293" s="274">
        <f t="shared" si="55"/>
        <v>0</v>
      </c>
      <c r="N293" s="275">
        <f t="shared" si="55"/>
        <v>0</v>
      </c>
      <c r="O293" s="276" t="e">
        <f ca="1"/>
        <v>#N/A</v>
      </c>
      <c r="Q293" s="34">
        <v>0</v>
      </c>
      <c r="R293" s="24">
        <v>0</v>
      </c>
      <c r="S293" s="24">
        <v>0</v>
      </c>
      <c r="T293" s="24">
        <v>0</v>
      </c>
      <c r="U293" s="24">
        <f t="array" ref="U293">IF(U$77&gt;" ",(U$628:U$1078),"")</f>
        <v>0</v>
      </c>
      <c r="V293" s="24">
        <f t="array" ref="V293">IF(V$77&gt;" ",(V$628:V$1078),"")</f>
        <v>0</v>
      </c>
      <c r="W293" s="24">
        <f t="array" ref="W293">IF(W$77&gt;" ",(W$628:W$1078),"")</f>
        <v>0</v>
      </c>
      <c r="X293" s="24">
        <f t="array" ref="X293">IF(X$77&gt;" ",(X$628:X$1078),"")</f>
        <v>0</v>
      </c>
      <c r="Y293" s="21">
        <v>0</v>
      </c>
      <c r="Z293" s="34">
        <f t="shared" si="47"/>
        <v>0</v>
      </c>
      <c r="AA293" s="24">
        <f t="shared" si="48"/>
        <v>0</v>
      </c>
      <c r="AB293" s="24">
        <f t="shared" si="49"/>
        <v>0</v>
      </c>
      <c r="AC293" s="24">
        <f t="shared" si="50"/>
        <v>0</v>
      </c>
      <c r="AD293" s="24">
        <f t="shared" si="56"/>
        <v>0</v>
      </c>
      <c r="AE293" s="24">
        <f t="shared" si="56"/>
        <v>0</v>
      </c>
      <c r="AF293" s="24">
        <f t="shared" si="56"/>
        <v>0</v>
      </c>
      <c r="AG293" s="24">
        <f t="shared" si="54"/>
        <v>0</v>
      </c>
      <c r="AH293" s="24">
        <f t="shared" si="53"/>
        <v>0</v>
      </c>
      <c r="AI293" s="24">
        <f t="shared" si="51"/>
        <v>0</v>
      </c>
      <c r="AJ293" s="261">
        <f t="shared" si="52"/>
        <v>0</v>
      </c>
      <c r="AK293" s="13"/>
      <c r="AL293" s="100">
        <v>1430</v>
      </c>
      <c r="AM293" s="202"/>
      <c r="AN293" s="200"/>
      <c r="AO293" s="200"/>
      <c r="AP293" s="283">
        <v>6.1420000000000002E-2</v>
      </c>
      <c r="AR293" s="222">
        <v>97.114694617750004</v>
      </c>
      <c r="AS293" s="223">
        <v>97.098353210512869</v>
      </c>
      <c r="AT293" s="223">
        <v>94.667270683135783</v>
      </c>
      <c r="AU293" s="223">
        <v>94.844705380593837</v>
      </c>
      <c r="AV293" s="223">
        <v>98.158000000000001</v>
      </c>
      <c r="AW293" s="224">
        <v>96.780999999999992</v>
      </c>
      <c r="AX293" s="42"/>
      <c r="AY293" s="181"/>
      <c r="AZ293" s="197"/>
    </row>
    <row r="294" spans="12:52" ht="13" thickBot="1" x14ac:dyDescent="0.3">
      <c r="L294" s="55">
        <v>1425</v>
      </c>
      <c r="M294" s="274">
        <f t="shared" si="55"/>
        <v>0</v>
      </c>
      <c r="N294" s="275">
        <f t="shared" si="55"/>
        <v>0</v>
      </c>
      <c r="O294" s="276" t="e">
        <f ca="1"/>
        <v>#N/A</v>
      </c>
      <c r="Q294" s="34">
        <v>0</v>
      </c>
      <c r="R294" s="24">
        <v>0</v>
      </c>
      <c r="S294" s="24">
        <v>0</v>
      </c>
      <c r="T294" s="24">
        <v>0</v>
      </c>
      <c r="U294" s="24">
        <f t="array" ref="U294">IF(U$77&gt;" ",(U$628:U$1078),"")</f>
        <v>0</v>
      </c>
      <c r="V294" s="24">
        <f t="array" ref="V294">IF(V$77&gt;" ",(V$628:V$1078),"")</f>
        <v>0</v>
      </c>
      <c r="W294" s="24">
        <f t="array" ref="W294">IF(W$77&gt;" ",(W$628:W$1078),"")</f>
        <v>0</v>
      </c>
      <c r="X294" s="24">
        <f t="array" ref="X294">IF(X$77&gt;" ",(X$628:X$1078),"")</f>
        <v>0</v>
      </c>
      <c r="Y294" s="21">
        <v>0</v>
      </c>
      <c r="Z294" s="34">
        <f t="shared" si="47"/>
        <v>0</v>
      </c>
      <c r="AA294" s="24">
        <f t="shared" si="48"/>
        <v>0</v>
      </c>
      <c r="AB294" s="24">
        <f t="shared" si="49"/>
        <v>0</v>
      </c>
      <c r="AC294" s="24">
        <f t="shared" si="50"/>
        <v>0</v>
      </c>
      <c r="AD294" s="24">
        <f t="shared" si="56"/>
        <v>0</v>
      </c>
      <c r="AE294" s="24">
        <f t="shared" si="56"/>
        <v>0</v>
      </c>
      <c r="AF294" s="24">
        <f t="shared" si="56"/>
        <v>0</v>
      </c>
      <c r="AG294" s="24">
        <f t="shared" si="54"/>
        <v>0</v>
      </c>
      <c r="AH294" s="24">
        <f t="shared" si="53"/>
        <v>0</v>
      </c>
      <c r="AI294" s="24">
        <f t="shared" si="51"/>
        <v>0</v>
      </c>
      <c r="AJ294" s="261">
        <f t="shared" si="52"/>
        <v>0</v>
      </c>
      <c r="AK294" s="13"/>
      <c r="AL294" s="100">
        <v>1425</v>
      </c>
      <c r="AM294" s="202"/>
      <c r="AN294" s="200"/>
      <c r="AO294" s="200"/>
      <c r="AP294" s="284">
        <v>2.5780000000000001E-2</v>
      </c>
      <c r="AR294" s="222">
        <v>97.092338403598092</v>
      </c>
      <c r="AS294" s="223">
        <v>97.086598518078787</v>
      </c>
      <c r="AT294" s="223">
        <v>94.610267134700749</v>
      </c>
      <c r="AU294" s="223">
        <v>94.79604608617764</v>
      </c>
      <c r="AV294" s="223">
        <v>98.149000000000001</v>
      </c>
      <c r="AW294" s="224">
        <v>96.769499999999994</v>
      </c>
      <c r="AX294" s="42"/>
      <c r="AY294" s="181"/>
      <c r="AZ294" s="197"/>
    </row>
    <row r="295" spans="12:52" ht="13" thickBot="1" x14ac:dyDescent="0.3">
      <c r="L295" s="55">
        <v>1420</v>
      </c>
      <c r="M295" s="274">
        <f t="shared" si="55"/>
        <v>0</v>
      </c>
      <c r="N295" s="275">
        <f t="shared" si="55"/>
        <v>0</v>
      </c>
      <c r="O295" s="276" t="e">
        <f ca="1"/>
        <v>#N/A</v>
      </c>
      <c r="Q295" s="34">
        <v>0</v>
      </c>
      <c r="R295" s="24">
        <v>0</v>
      </c>
      <c r="S295" s="24">
        <v>0</v>
      </c>
      <c r="T295" s="24">
        <v>0</v>
      </c>
      <c r="U295" s="24">
        <f t="array" ref="U295">IF(U$77&gt;" ",(U$628:U$1078),"")</f>
        <v>0</v>
      </c>
      <c r="V295" s="24">
        <f t="array" ref="V295">IF(V$77&gt;" ",(V$628:V$1078),"")</f>
        <v>0</v>
      </c>
      <c r="W295" s="24">
        <f t="array" ref="W295">IF(W$77&gt;" ",(W$628:W$1078),"")</f>
        <v>0</v>
      </c>
      <c r="X295" s="24">
        <f t="array" ref="X295">IF(X$77&gt;" ",(X$628:X$1078),"")</f>
        <v>0</v>
      </c>
      <c r="Y295" s="21">
        <v>0</v>
      </c>
      <c r="Z295" s="34">
        <f t="shared" si="47"/>
        <v>0</v>
      </c>
      <c r="AA295" s="24">
        <f t="shared" si="48"/>
        <v>0</v>
      </c>
      <c r="AB295" s="24">
        <f t="shared" si="49"/>
        <v>0</v>
      </c>
      <c r="AC295" s="24">
        <f t="shared" si="50"/>
        <v>0</v>
      </c>
      <c r="AD295" s="24">
        <f t="shared" si="56"/>
        <v>0</v>
      </c>
      <c r="AE295" s="24">
        <f t="shared" si="56"/>
        <v>0</v>
      </c>
      <c r="AF295" s="24">
        <f t="shared" si="56"/>
        <v>0</v>
      </c>
      <c r="AG295" s="24">
        <f t="shared" si="54"/>
        <v>0</v>
      </c>
      <c r="AH295" s="24">
        <f t="shared" si="53"/>
        <v>0</v>
      </c>
      <c r="AI295" s="24">
        <f t="shared" si="51"/>
        <v>0</v>
      </c>
      <c r="AJ295" s="261">
        <f t="shared" si="52"/>
        <v>0</v>
      </c>
      <c r="AK295" s="13"/>
      <c r="AL295" s="100">
        <v>1420</v>
      </c>
      <c r="AM295" s="202"/>
      <c r="AN295" s="200"/>
      <c r="AO295" s="200"/>
      <c r="AP295" s="283">
        <v>8.2480000000000001E-3</v>
      </c>
      <c r="AR295" s="222">
        <v>97.082098704434586</v>
      </c>
      <c r="AS295" s="223">
        <v>97.080655175954575</v>
      </c>
      <c r="AT295" s="223">
        <v>94.549625375817186</v>
      </c>
      <c r="AU295" s="223">
        <v>94.725862040895848</v>
      </c>
      <c r="AV295" s="223">
        <v>98.14</v>
      </c>
      <c r="AW295" s="224">
        <v>96.757999999999996</v>
      </c>
      <c r="AX295" s="42"/>
      <c r="AY295" s="181"/>
      <c r="AZ295" s="197"/>
    </row>
    <row r="296" spans="12:52" ht="13" thickBot="1" x14ac:dyDescent="0.3">
      <c r="L296" s="55">
        <v>1415</v>
      </c>
      <c r="M296" s="274">
        <f t="shared" si="55"/>
        <v>0</v>
      </c>
      <c r="N296" s="275">
        <f t="shared" si="55"/>
        <v>0</v>
      </c>
      <c r="O296" s="276" t="e">
        <f ca="1"/>
        <v>#N/A</v>
      </c>
      <c r="Q296" s="34">
        <v>0</v>
      </c>
      <c r="R296" s="24">
        <v>0</v>
      </c>
      <c r="S296" s="24">
        <v>0</v>
      </c>
      <c r="T296" s="24">
        <v>0</v>
      </c>
      <c r="U296" s="24">
        <f t="array" ref="U296">IF(U$77&gt;" ",(U$628:U$1078),"")</f>
        <v>0</v>
      </c>
      <c r="V296" s="24">
        <f t="array" ref="V296">IF(V$77&gt;" ",(V$628:V$1078),"")</f>
        <v>0</v>
      </c>
      <c r="W296" s="24">
        <f t="array" ref="W296">IF(W$77&gt;" ",(W$628:W$1078),"")</f>
        <v>0</v>
      </c>
      <c r="X296" s="24">
        <f t="array" ref="X296">IF(X$77&gt;" ",(X$628:X$1078),"")</f>
        <v>0</v>
      </c>
      <c r="Y296" s="21">
        <v>0</v>
      </c>
      <c r="Z296" s="34">
        <f t="shared" si="47"/>
        <v>0</v>
      </c>
      <c r="AA296" s="24">
        <f t="shared" si="48"/>
        <v>0</v>
      </c>
      <c r="AB296" s="24">
        <f t="shared" si="49"/>
        <v>0</v>
      </c>
      <c r="AC296" s="24">
        <f t="shared" si="50"/>
        <v>0</v>
      </c>
      <c r="AD296" s="24">
        <f t="shared" si="56"/>
        <v>0</v>
      </c>
      <c r="AE296" s="24">
        <f t="shared" si="56"/>
        <v>0</v>
      </c>
      <c r="AF296" s="24">
        <f t="shared" si="56"/>
        <v>0</v>
      </c>
      <c r="AG296" s="24">
        <f t="shared" si="54"/>
        <v>0</v>
      </c>
      <c r="AH296" s="24">
        <f t="shared" si="53"/>
        <v>0</v>
      </c>
      <c r="AI296" s="24">
        <f t="shared" si="51"/>
        <v>0</v>
      </c>
      <c r="AJ296" s="261">
        <f t="shared" si="52"/>
        <v>0</v>
      </c>
      <c r="AK296" s="13"/>
      <c r="AL296" s="100">
        <v>1415</v>
      </c>
      <c r="AM296" s="202"/>
      <c r="AN296" s="200"/>
      <c r="AO296" s="200"/>
      <c r="AP296" s="284">
        <v>1.8310000000000001E-4</v>
      </c>
      <c r="AR296" s="222">
        <v>97.077572857314806</v>
      </c>
      <c r="AS296" s="223">
        <v>97.064033922341665</v>
      </c>
      <c r="AT296" s="223">
        <v>94.529632517156529</v>
      </c>
      <c r="AU296" s="223">
        <v>94.705965771045229</v>
      </c>
      <c r="AV296" s="223">
        <v>98.134</v>
      </c>
      <c r="AW296" s="224">
        <v>96.746499999999997</v>
      </c>
      <c r="AX296" s="42"/>
      <c r="AY296" s="181"/>
      <c r="AZ296" s="197"/>
    </row>
    <row r="297" spans="12:52" ht="13" thickBot="1" x14ac:dyDescent="0.3">
      <c r="L297" s="55">
        <v>1410</v>
      </c>
      <c r="M297" s="274">
        <f t="shared" si="55"/>
        <v>0</v>
      </c>
      <c r="N297" s="275">
        <f t="shared" si="55"/>
        <v>0</v>
      </c>
      <c r="O297" s="276" t="e">
        <f ca="1"/>
        <v>#N/A</v>
      </c>
      <c r="Q297" s="34">
        <v>0</v>
      </c>
      <c r="R297" s="24">
        <v>0</v>
      </c>
      <c r="S297" s="24">
        <v>0</v>
      </c>
      <c r="T297" s="24">
        <v>0</v>
      </c>
      <c r="U297" s="24">
        <f t="array" ref="U297">IF(U$77&gt;" ",(U$628:U$1078),"")</f>
        <v>0</v>
      </c>
      <c r="V297" s="24">
        <f t="array" ref="V297">IF(V$77&gt;" ",(V$628:V$1078),"")</f>
        <v>0</v>
      </c>
      <c r="W297" s="24">
        <f t="array" ref="W297">IF(W$77&gt;" ",(W$628:W$1078),"")</f>
        <v>0</v>
      </c>
      <c r="X297" s="24">
        <f t="array" ref="X297">IF(X$77&gt;" ",(X$628:X$1078),"")</f>
        <v>0</v>
      </c>
      <c r="Y297" s="21">
        <v>0</v>
      </c>
      <c r="Z297" s="34">
        <f t="shared" si="47"/>
        <v>0</v>
      </c>
      <c r="AA297" s="24">
        <f t="shared" si="48"/>
        <v>0</v>
      </c>
      <c r="AB297" s="24">
        <f t="shared" si="49"/>
        <v>0</v>
      </c>
      <c r="AC297" s="24">
        <f t="shared" si="50"/>
        <v>0</v>
      </c>
      <c r="AD297" s="24">
        <f t="shared" si="56"/>
        <v>0</v>
      </c>
      <c r="AE297" s="24">
        <f t="shared" si="56"/>
        <v>0</v>
      </c>
      <c r="AF297" s="24">
        <f t="shared" si="56"/>
        <v>0</v>
      </c>
      <c r="AG297" s="24">
        <f t="shared" si="54"/>
        <v>0</v>
      </c>
      <c r="AH297" s="24">
        <f t="shared" si="53"/>
        <v>0</v>
      </c>
      <c r="AI297" s="24">
        <f t="shared" si="51"/>
        <v>0</v>
      </c>
      <c r="AJ297" s="261">
        <f t="shared" si="52"/>
        <v>0</v>
      </c>
      <c r="AK297" s="13"/>
      <c r="AL297" s="100">
        <v>1410</v>
      </c>
      <c r="AM297" s="202"/>
      <c r="AN297" s="200"/>
      <c r="AO297" s="200"/>
      <c r="AP297" s="283">
        <v>4.6519999999999998E-4</v>
      </c>
      <c r="AR297" s="222">
        <v>97.029252435179231</v>
      </c>
      <c r="AS297" s="223">
        <v>97.070806617351465</v>
      </c>
      <c r="AT297" s="223">
        <v>94.504672232809909</v>
      </c>
      <c r="AU297" s="223">
        <v>94.677659389687108</v>
      </c>
      <c r="AV297" s="223">
        <v>98.128</v>
      </c>
      <c r="AW297" s="224">
        <v>96.734999999999999</v>
      </c>
      <c r="AX297" s="42"/>
      <c r="AY297" s="181"/>
      <c r="AZ297" s="197"/>
    </row>
    <row r="298" spans="12:52" ht="13" thickBot="1" x14ac:dyDescent="0.3">
      <c r="L298" s="55">
        <v>1405</v>
      </c>
      <c r="M298" s="274">
        <f t="shared" si="55"/>
        <v>0</v>
      </c>
      <c r="N298" s="275">
        <f t="shared" si="55"/>
        <v>0</v>
      </c>
      <c r="O298" s="276" t="e">
        <f ca="1"/>
        <v>#N/A</v>
      </c>
      <c r="Q298" s="34">
        <v>0</v>
      </c>
      <c r="R298" s="24">
        <v>0</v>
      </c>
      <c r="S298" s="24">
        <v>0</v>
      </c>
      <c r="T298" s="24">
        <v>0</v>
      </c>
      <c r="U298" s="24">
        <f t="array" ref="U298">IF(U$77&gt;" ",(U$628:U$1078),"")</f>
        <v>0</v>
      </c>
      <c r="V298" s="24">
        <f t="array" ref="V298">IF(V$77&gt;" ",(V$628:V$1078),"")</f>
        <v>0</v>
      </c>
      <c r="W298" s="24">
        <f t="array" ref="W298">IF(W$77&gt;" ",(W$628:W$1078),"")</f>
        <v>0</v>
      </c>
      <c r="X298" s="24">
        <f t="array" ref="X298">IF(X$77&gt;" ",(X$628:X$1078),"")</f>
        <v>0</v>
      </c>
      <c r="Y298" s="21">
        <v>0</v>
      </c>
      <c r="Z298" s="34">
        <f t="shared" si="47"/>
        <v>0</v>
      </c>
      <c r="AA298" s="24">
        <f t="shared" si="48"/>
        <v>0</v>
      </c>
      <c r="AB298" s="24">
        <f t="shared" si="49"/>
        <v>0</v>
      </c>
      <c r="AC298" s="24">
        <f t="shared" si="50"/>
        <v>0</v>
      </c>
      <c r="AD298" s="24">
        <f t="shared" si="56"/>
        <v>0</v>
      </c>
      <c r="AE298" s="24">
        <f t="shared" si="56"/>
        <v>0</v>
      </c>
      <c r="AF298" s="24">
        <f t="shared" si="56"/>
        <v>0</v>
      </c>
      <c r="AG298" s="24">
        <f t="shared" si="54"/>
        <v>0</v>
      </c>
      <c r="AH298" s="24">
        <f t="shared" si="53"/>
        <v>0</v>
      </c>
      <c r="AI298" s="24">
        <f t="shared" si="51"/>
        <v>0</v>
      </c>
      <c r="AJ298" s="261">
        <f t="shared" si="52"/>
        <v>0</v>
      </c>
      <c r="AK298" s="13"/>
      <c r="AL298" s="100">
        <v>1405</v>
      </c>
      <c r="AM298" s="202"/>
      <c r="AN298" s="200"/>
      <c r="AO298" s="200"/>
      <c r="AP298" s="284">
        <v>3.6339999999999999E-7</v>
      </c>
      <c r="AR298" s="222">
        <v>97.064391561777214</v>
      </c>
      <c r="AS298" s="223">
        <v>97.062953208202302</v>
      </c>
      <c r="AT298" s="223">
        <v>94.524637314764945</v>
      </c>
      <c r="AU298" s="223">
        <v>94.70016574078339</v>
      </c>
      <c r="AV298" s="223">
        <v>98.125500000000002</v>
      </c>
      <c r="AW298" s="224">
        <v>96.722499999999997</v>
      </c>
      <c r="AX298" s="42"/>
      <c r="AY298" s="181"/>
      <c r="AZ298" s="197"/>
    </row>
    <row r="299" spans="12:52" ht="13" thickBot="1" x14ac:dyDescent="0.3">
      <c r="L299" s="55">
        <v>1400</v>
      </c>
      <c r="M299" s="274">
        <f t="shared" si="55"/>
        <v>0</v>
      </c>
      <c r="N299" s="275">
        <f t="shared" si="55"/>
        <v>0</v>
      </c>
      <c r="O299" s="276" t="e">
        <f ca="1"/>
        <v>#N/A</v>
      </c>
      <c r="Q299" s="34">
        <v>0</v>
      </c>
      <c r="R299" s="24">
        <v>0</v>
      </c>
      <c r="S299" s="24">
        <v>0</v>
      </c>
      <c r="T299" s="24">
        <v>0</v>
      </c>
      <c r="U299" s="24">
        <f t="array" ref="U299">IF(U$77&gt;" ",(U$628:U$1078),"")</f>
        <v>0</v>
      </c>
      <c r="V299" s="24">
        <f t="array" ref="V299">IF(V$77&gt;" ",(V$628:V$1078),"")</f>
        <v>0</v>
      </c>
      <c r="W299" s="24">
        <f t="array" ref="W299">IF(W$77&gt;" ",(W$628:W$1078),"")</f>
        <v>0</v>
      </c>
      <c r="X299" s="24">
        <f t="array" ref="X299">IF(X$77&gt;" ",(X$628:X$1078),"")</f>
        <v>0</v>
      </c>
      <c r="Y299" s="21">
        <v>0</v>
      </c>
      <c r="Z299" s="34">
        <f t="shared" si="47"/>
        <v>0</v>
      </c>
      <c r="AA299" s="24">
        <f t="shared" si="48"/>
        <v>0</v>
      </c>
      <c r="AB299" s="24">
        <f t="shared" si="49"/>
        <v>0</v>
      </c>
      <c r="AC299" s="24">
        <f t="shared" si="50"/>
        <v>0</v>
      </c>
      <c r="AD299" s="24">
        <f t="shared" si="56"/>
        <v>0</v>
      </c>
      <c r="AE299" s="24">
        <f t="shared" si="56"/>
        <v>0</v>
      </c>
      <c r="AF299" s="24">
        <f t="shared" si="56"/>
        <v>0</v>
      </c>
      <c r="AG299" s="24">
        <f t="shared" si="54"/>
        <v>0</v>
      </c>
      <c r="AH299" s="24">
        <f t="shared" si="53"/>
        <v>0</v>
      </c>
      <c r="AI299" s="24">
        <f t="shared" si="51"/>
        <v>0</v>
      </c>
      <c r="AJ299" s="261">
        <f t="shared" si="52"/>
        <v>0</v>
      </c>
      <c r="AK299" s="13"/>
      <c r="AL299" s="100">
        <v>1400</v>
      </c>
      <c r="AM299" s="202"/>
      <c r="AN299" s="200"/>
      <c r="AO299" s="200"/>
      <c r="AP299" s="283">
        <v>3.2369999999999999E-9</v>
      </c>
      <c r="AR299" s="222">
        <v>97.047353534721523</v>
      </c>
      <c r="AS299" s="223">
        <v>97.060056755352491</v>
      </c>
      <c r="AT299" s="223">
        <v>94.521945895007264</v>
      </c>
      <c r="AU299" s="223">
        <v>94.699845800170465</v>
      </c>
      <c r="AV299" s="223">
        <v>98.123000000000005</v>
      </c>
      <c r="AW299" s="224">
        <v>96.71</v>
      </c>
      <c r="AX299" s="42"/>
      <c r="AY299" s="181"/>
      <c r="AZ299" s="197"/>
    </row>
    <row r="300" spans="12:52" ht="13" thickBot="1" x14ac:dyDescent="0.3">
      <c r="L300" s="55">
        <v>1395</v>
      </c>
      <c r="M300" s="274">
        <f t="shared" si="55"/>
        <v>0</v>
      </c>
      <c r="N300" s="275">
        <f t="shared" si="55"/>
        <v>0</v>
      </c>
      <c r="O300" s="276" t="e">
        <f ca="1"/>
        <v>#N/A</v>
      </c>
      <c r="Q300" s="34">
        <v>0</v>
      </c>
      <c r="R300" s="24">
        <v>0</v>
      </c>
      <c r="S300" s="24">
        <v>0</v>
      </c>
      <c r="T300" s="24">
        <v>0</v>
      </c>
      <c r="U300" s="24">
        <f t="array" ref="U300">IF(U$77&gt;" ",(U$628:U$1078),"")</f>
        <v>0</v>
      </c>
      <c r="V300" s="24">
        <f t="array" ref="V300">IF(V$77&gt;" ",(V$628:V$1078),"")</f>
        <v>0</v>
      </c>
      <c r="W300" s="24">
        <f t="array" ref="W300">IF(W$77&gt;" ",(W$628:W$1078),"")</f>
        <v>0</v>
      </c>
      <c r="X300" s="24">
        <f t="array" ref="X300">IF(X$77&gt;" ",(X$628:X$1078),"")</f>
        <v>0</v>
      </c>
      <c r="Y300" s="21">
        <v>0</v>
      </c>
      <c r="Z300" s="34">
        <f t="shared" si="47"/>
        <v>0</v>
      </c>
      <c r="AA300" s="24">
        <f t="shared" si="48"/>
        <v>0</v>
      </c>
      <c r="AB300" s="24">
        <f t="shared" si="49"/>
        <v>0</v>
      </c>
      <c r="AC300" s="24">
        <f t="shared" si="50"/>
        <v>0</v>
      </c>
      <c r="AD300" s="24">
        <f t="shared" si="56"/>
        <v>0</v>
      </c>
      <c r="AE300" s="24">
        <f t="shared" si="56"/>
        <v>0</v>
      </c>
      <c r="AF300" s="24">
        <f t="shared" si="56"/>
        <v>0</v>
      </c>
      <c r="AG300" s="24">
        <f t="shared" si="54"/>
        <v>0</v>
      </c>
      <c r="AH300" s="24">
        <f t="shared" si="53"/>
        <v>0</v>
      </c>
      <c r="AI300" s="24">
        <f t="shared" si="51"/>
        <v>0</v>
      </c>
      <c r="AJ300" s="261">
        <f t="shared" si="52"/>
        <v>0</v>
      </c>
      <c r="AK300" s="13"/>
      <c r="AL300" s="100">
        <v>1395</v>
      </c>
      <c r="AM300" s="202"/>
      <c r="AN300" s="200"/>
      <c r="AO300" s="200"/>
      <c r="AP300" s="284">
        <v>6.694E-7</v>
      </c>
      <c r="AR300" s="222">
        <v>97.084499744467962</v>
      </c>
      <c r="AS300" s="223">
        <v>97.083217269561956</v>
      </c>
      <c r="AT300" s="223">
        <v>94.563741855583274</v>
      </c>
      <c r="AU300" s="223">
        <v>94.752996584244855</v>
      </c>
      <c r="AV300" s="223">
        <v>98.121499999999997</v>
      </c>
      <c r="AW300" s="224">
        <v>96.697000000000003</v>
      </c>
      <c r="AX300" s="42"/>
      <c r="AY300" s="181"/>
      <c r="AZ300" s="197"/>
    </row>
    <row r="301" spans="12:52" ht="13" thickBot="1" x14ac:dyDescent="0.3">
      <c r="L301" s="55">
        <v>1390</v>
      </c>
      <c r="M301" s="274">
        <f t="shared" si="55"/>
        <v>0</v>
      </c>
      <c r="N301" s="275">
        <f t="shared" si="55"/>
        <v>0</v>
      </c>
      <c r="O301" s="276" t="e">
        <f ca="1"/>
        <v>#N/A</v>
      </c>
      <c r="Q301" s="34">
        <v>0</v>
      </c>
      <c r="R301" s="24">
        <v>0</v>
      </c>
      <c r="S301" s="24">
        <v>0</v>
      </c>
      <c r="T301" s="24">
        <v>0</v>
      </c>
      <c r="U301" s="24">
        <f t="array" ref="U301">IF(U$77&gt;" ",(U$628:U$1078),"")</f>
        <v>0</v>
      </c>
      <c r="V301" s="24">
        <f t="array" ref="V301">IF(V$77&gt;" ",(V$628:V$1078),"")</f>
        <v>0</v>
      </c>
      <c r="W301" s="24">
        <f t="array" ref="W301">IF(W$77&gt;" ",(W$628:W$1078),"")</f>
        <v>0</v>
      </c>
      <c r="X301" s="24">
        <f t="array" ref="X301">IF(X$77&gt;" ",(X$628:X$1078),"")</f>
        <v>0</v>
      </c>
      <c r="Y301" s="21">
        <v>0</v>
      </c>
      <c r="Z301" s="34">
        <f t="shared" si="47"/>
        <v>0</v>
      </c>
      <c r="AA301" s="24">
        <f t="shared" si="48"/>
        <v>0</v>
      </c>
      <c r="AB301" s="24">
        <f t="shared" si="49"/>
        <v>0</v>
      </c>
      <c r="AC301" s="24">
        <f t="shared" si="50"/>
        <v>0</v>
      </c>
      <c r="AD301" s="24">
        <f t="shared" si="56"/>
        <v>0</v>
      </c>
      <c r="AE301" s="24">
        <f t="shared" si="56"/>
        <v>0</v>
      </c>
      <c r="AF301" s="24">
        <f t="shared" si="56"/>
        <v>0</v>
      </c>
      <c r="AG301" s="24">
        <f t="shared" si="54"/>
        <v>0</v>
      </c>
      <c r="AH301" s="24">
        <f t="shared" si="53"/>
        <v>0</v>
      </c>
      <c r="AI301" s="24">
        <f t="shared" si="51"/>
        <v>0</v>
      </c>
      <c r="AJ301" s="261">
        <f t="shared" si="52"/>
        <v>0</v>
      </c>
      <c r="AK301" s="13"/>
      <c r="AL301" s="100">
        <v>1390</v>
      </c>
      <c r="AM301" s="202"/>
      <c r="AN301" s="200"/>
      <c r="AO301" s="200"/>
      <c r="AP301" s="283">
        <v>4.9180000000000003E-4</v>
      </c>
      <c r="AR301" s="222">
        <v>97.110587874654286</v>
      </c>
      <c r="AS301" s="223">
        <v>97.103330798107763</v>
      </c>
      <c r="AT301" s="223">
        <v>94.639115420231633</v>
      </c>
      <c r="AU301" s="223">
        <v>94.820630801118952</v>
      </c>
      <c r="AV301" s="223">
        <v>98.12</v>
      </c>
      <c r="AW301" s="224">
        <v>96.683999999999997</v>
      </c>
      <c r="AX301" s="42"/>
      <c r="AY301" s="181"/>
      <c r="AZ301" s="197"/>
    </row>
    <row r="302" spans="12:52" ht="13" thickBot="1" x14ac:dyDescent="0.3">
      <c r="L302" s="55">
        <v>1385</v>
      </c>
      <c r="M302" s="274">
        <f t="shared" si="55"/>
        <v>0</v>
      </c>
      <c r="N302" s="275">
        <f t="shared" si="55"/>
        <v>0</v>
      </c>
      <c r="O302" s="276" t="e">
        <f ca="1"/>
        <v>#N/A</v>
      </c>
      <c r="Q302" s="34">
        <v>0</v>
      </c>
      <c r="R302" s="24">
        <v>0</v>
      </c>
      <c r="S302" s="24">
        <v>0</v>
      </c>
      <c r="T302" s="24">
        <v>0</v>
      </c>
      <c r="U302" s="24">
        <f t="array" ref="U302">IF(U$77&gt;" ",(U$628:U$1078),"")</f>
        <v>0</v>
      </c>
      <c r="V302" s="24">
        <f t="array" ref="V302">IF(V$77&gt;" ",(V$628:V$1078),"")</f>
        <v>0</v>
      </c>
      <c r="W302" s="24">
        <f t="array" ref="W302">IF(W$77&gt;" ",(W$628:W$1078),"")</f>
        <v>0</v>
      </c>
      <c r="X302" s="24">
        <f t="array" ref="X302">IF(X$77&gt;" ",(X$628:X$1078),"")</f>
        <v>0</v>
      </c>
      <c r="Y302" s="21">
        <v>0</v>
      </c>
      <c r="Z302" s="34">
        <f t="shared" si="47"/>
        <v>0</v>
      </c>
      <c r="AA302" s="24">
        <f t="shared" si="48"/>
        <v>0</v>
      </c>
      <c r="AB302" s="24">
        <f t="shared" si="49"/>
        <v>0</v>
      </c>
      <c r="AC302" s="24">
        <f t="shared" si="50"/>
        <v>0</v>
      </c>
      <c r="AD302" s="24">
        <f t="shared" si="56"/>
        <v>0</v>
      </c>
      <c r="AE302" s="24">
        <f t="shared" si="56"/>
        <v>0</v>
      </c>
      <c r="AF302" s="24">
        <f t="shared" si="56"/>
        <v>0</v>
      </c>
      <c r="AG302" s="24">
        <f t="shared" si="54"/>
        <v>0</v>
      </c>
      <c r="AH302" s="24">
        <f t="shared" si="53"/>
        <v>0</v>
      </c>
      <c r="AI302" s="24">
        <f t="shared" si="51"/>
        <v>0</v>
      </c>
      <c r="AJ302" s="261">
        <f t="shared" si="52"/>
        <v>0</v>
      </c>
      <c r="AK302" s="13"/>
      <c r="AL302" s="100">
        <v>1385</v>
      </c>
      <c r="AM302" s="202"/>
      <c r="AN302" s="200"/>
      <c r="AO302" s="200"/>
      <c r="AP302" s="284">
        <v>2.0839999999999999E-6</v>
      </c>
      <c r="AR302" s="222">
        <v>97.122513908916019</v>
      </c>
      <c r="AS302" s="223">
        <v>97.108184790496423</v>
      </c>
      <c r="AT302" s="223">
        <v>94.661796072642687</v>
      </c>
      <c r="AU302" s="223">
        <v>94.838300622704836</v>
      </c>
      <c r="AV302" s="223">
        <v>98.118499999999997</v>
      </c>
      <c r="AW302" s="224">
        <v>96.670999999999992</v>
      </c>
      <c r="AX302" s="42"/>
      <c r="AY302" s="181"/>
      <c r="AZ302" s="197"/>
    </row>
    <row r="303" spans="12:52" ht="13" thickBot="1" x14ac:dyDescent="0.3">
      <c r="L303" s="55">
        <v>1380</v>
      </c>
      <c r="M303" s="274">
        <f t="shared" ref="M303:N318" si="57">M852</f>
        <v>0</v>
      </c>
      <c r="N303" s="275">
        <f t="shared" si="57"/>
        <v>0</v>
      </c>
      <c r="O303" s="276" t="e">
        <f ca="1"/>
        <v>#N/A</v>
      </c>
      <c r="Q303" s="34">
        <v>0</v>
      </c>
      <c r="R303" s="24">
        <v>0</v>
      </c>
      <c r="S303" s="24">
        <v>0</v>
      </c>
      <c r="T303" s="24">
        <v>0</v>
      </c>
      <c r="U303" s="24">
        <f t="array" ref="U303">IF(U$77&gt;" ",(U$628:U$1078),"")</f>
        <v>0</v>
      </c>
      <c r="V303" s="24">
        <f t="array" ref="V303">IF(V$77&gt;" ",(V$628:V$1078),"")</f>
        <v>0</v>
      </c>
      <c r="W303" s="24">
        <f t="array" ref="W303">IF(W$77&gt;" ",(W$628:W$1078),"")</f>
        <v>0</v>
      </c>
      <c r="X303" s="24">
        <f t="array" ref="X303">IF(X$77&gt;" ",(X$628:X$1078),"")</f>
        <v>0</v>
      </c>
      <c r="Y303" s="21">
        <v>0</v>
      </c>
      <c r="Z303" s="34">
        <f t="shared" si="47"/>
        <v>0</v>
      </c>
      <c r="AA303" s="24">
        <f t="shared" si="48"/>
        <v>0</v>
      </c>
      <c r="AB303" s="24">
        <f t="shared" si="49"/>
        <v>0</v>
      </c>
      <c r="AC303" s="24">
        <f t="shared" si="50"/>
        <v>0</v>
      </c>
      <c r="AD303" s="24">
        <f t="shared" si="56"/>
        <v>0</v>
      </c>
      <c r="AE303" s="24">
        <f t="shared" si="56"/>
        <v>0</v>
      </c>
      <c r="AF303" s="24">
        <f t="shared" si="56"/>
        <v>0</v>
      </c>
      <c r="AG303" s="24">
        <f t="shared" si="54"/>
        <v>0</v>
      </c>
      <c r="AH303" s="24">
        <f t="shared" si="53"/>
        <v>0</v>
      </c>
      <c r="AI303" s="24">
        <f t="shared" si="51"/>
        <v>0</v>
      </c>
      <c r="AJ303" s="261">
        <f t="shared" si="52"/>
        <v>0</v>
      </c>
      <c r="AK303" s="13"/>
      <c r="AL303" s="100">
        <v>1380</v>
      </c>
      <c r="AM303" s="202"/>
      <c r="AN303" s="200"/>
      <c r="AO303" s="200"/>
      <c r="AP303" s="283">
        <v>8.1349999999999999E-5</v>
      </c>
      <c r="AR303" s="222">
        <v>97.11837912890968</v>
      </c>
      <c r="AS303" s="223">
        <v>97.142521587192789</v>
      </c>
      <c r="AT303" s="223">
        <v>94.73906015005069</v>
      </c>
      <c r="AU303" s="223">
        <v>94.93692097282036</v>
      </c>
      <c r="AV303" s="223">
        <v>98.117000000000004</v>
      </c>
      <c r="AW303" s="224">
        <v>96.658000000000001</v>
      </c>
      <c r="AX303" s="42"/>
      <c r="AY303" s="181"/>
      <c r="AZ303" s="197"/>
    </row>
    <row r="304" spans="12:52" ht="13" thickBot="1" x14ac:dyDescent="0.3">
      <c r="L304" s="55">
        <v>1375</v>
      </c>
      <c r="M304" s="274">
        <f t="shared" si="57"/>
        <v>0</v>
      </c>
      <c r="N304" s="275">
        <f t="shared" si="57"/>
        <v>0</v>
      </c>
      <c r="O304" s="276" t="e">
        <f ca="1"/>
        <v>#N/A</v>
      </c>
      <c r="Q304" s="34">
        <v>0</v>
      </c>
      <c r="R304" s="24">
        <v>0</v>
      </c>
      <c r="S304" s="24">
        <v>0</v>
      </c>
      <c r="T304" s="24">
        <v>0</v>
      </c>
      <c r="U304" s="24">
        <f t="array" ref="U304">IF(U$77&gt;" ",(U$628:U$1078),"")</f>
        <v>0</v>
      </c>
      <c r="V304" s="24">
        <f t="array" ref="V304">IF(V$77&gt;" ",(V$628:V$1078),"")</f>
        <v>0</v>
      </c>
      <c r="W304" s="24">
        <f t="array" ref="W304">IF(W$77&gt;" ",(W$628:W$1078),"")</f>
        <v>0</v>
      </c>
      <c r="X304" s="24">
        <f t="array" ref="X304">IF(X$77&gt;" ",(X$628:X$1078),"")</f>
        <v>0</v>
      </c>
      <c r="Y304" s="21">
        <v>0</v>
      </c>
      <c r="Z304" s="34">
        <f t="shared" si="47"/>
        <v>0</v>
      </c>
      <c r="AA304" s="24">
        <f t="shared" si="48"/>
        <v>0</v>
      </c>
      <c r="AB304" s="24">
        <f t="shared" si="49"/>
        <v>0</v>
      </c>
      <c r="AC304" s="24">
        <f t="shared" si="50"/>
        <v>0</v>
      </c>
      <c r="AD304" s="24">
        <f t="shared" si="56"/>
        <v>0</v>
      </c>
      <c r="AE304" s="24">
        <f t="shared" si="56"/>
        <v>0</v>
      </c>
      <c r="AF304" s="24">
        <f t="shared" si="56"/>
        <v>0</v>
      </c>
      <c r="AG304" s="24">
        <f t="shared" si="54"/>
        <v>0</v>
      </c>
      <c r="AH304" s="24">
        <f t="shared" si="53"/>
        <v>0</v>
      </c>
      <c r="AI304" s="24">
        <f t="shared" si="51"/>
        <v>0</v>
      </c>
      <c r="AJ304" s="261">
        <f t="shared" si="52"/>
        <v>0</v>
      </c>
      <c r="AK304" s="13"/>
      <c r="AL304" s="100">
        <v>1375</v>
      </c>
      <c r="AM304" s="202"/>
      <c r="AN304" s="200"/>
      <c r="AO304" s="200"/>
      <c r="AP304" s="284">
        <v>3.2239999999999998E-4</v>
      </c>
      <c r="AR304" s="222">
        <v>97.143028917679899</v>
      </c>
      <c r="AS304" s="223">
        <v>97.131858655491556</v>
      </c>
      <c r="AT304" s="223">
        <v>94.729714636866689</v>
      </c>
      <c r="AU304" s="223">
        <v>94.91522056977017</v>
      </c>
      <c r="AV304" s="223">
        <v>98.114999999999995</v>
      </c>
      <c r="AW304" s="224">
        <v>96.644499999999994</v>
      </c>
      <c r="AX304" s="42"/>
      <c r="AY304" s="181"/>
      <c r="AZ304" s="197"/>
    </row>
    <row r="305" spans="12:52" ht="13" thickBot="1" x14ac:dyDescent="0.3">
      <c r="L305" s="55">
        <v>1370</v>
      </c>
      <c r="M305" s="274">
        <f t="shared" si="57"/>
        <v>0</v>
      </c>
      <c r="N305" s="275">
        <f t="shared" si="57"/>
        <v>0</v>
      </c>
      <c r="O305" s="273" t="e">
        <f ca="1"/>
        <v>#N/A</v>
      </c>
      <c r="Q305" s="34">
        <f t="array" ref="Q305:Q529">IF(Q77&gt;" ",(Q$854:Q$1078),"")</f>
        <v>0</v>
      </c>
      <c r="R305" s="24">
        <v>0</v>
      </c>
      <c r="S305" s="24">
        <v>0</v>
      </c>
      <c r="T305" s="24">
        <v>0</v>
      </c>
      <c r="U305" s="24">
        <f t="array" ref="U305">IF(U$77&gt;" ",(U$628:U$1078),"")</f>
        <v>0</v>
      </c>
      <c r="V305" s="24">
        <f t="array" ref="V305">IF(V$77&gt;" ",(V$628:V$1078),"")</f>
        <v>0</v>
      </c>
      <c r="W305" s="24">
        <f t="array" ref="W305">IF(W$77&gt;" ",(W$628:W$1078),"")</f>
        <v>0</v>
      </c>
      <c r="X305" s="24">
        <f t="array" ref="X305">IF(X$77&gt;" ",(X$628:X$1078),"")</f>
        <v>0</v>
      </c>
      <c r="Y305" s="21">
        <v>0</v>
      </c>
      <c r="Z305" s="34">
        <f t="shared" si="47"/>
        <v>0</v>
      </c>
      <c r="AA305" s="24">
        <f t="shared" si="48"/>
        <v>0</v>
      </c>
      <c r="AB305" s="24">
        <f t="shared" si="49"/>
        <v>0</v>
      </c>
      <c r="AC305" s="24">
        <f t="shared" si="50"/>
        <v>0</v>
      </c>
      <c r="AD305" s="24">
        <f t="shared" si="56"/>
        <v>0</v>
      </c>
      <c r="AE305" s="24">
        <f t="shared" si="56"/>
        <v>0</v>
      </c>
      <c r="AF305" s="24">
        <f t="shared" si="56"/>
        <v>0</v>
      </c>
      <c r="AG305" s="24">
        <f t="shared" si="54"/>
        <v>0</v>
      </c>
      <c r="AH305" s="24">
        <f t="shared" si="53"/>
        <v>0</v>
      </c>
      <c r="AI305" s="24">
        <f t="shared" si="51"/>
        <v>0</v>
      </c>
      <c r="AJ305" s="261">
        <f t="shared" si="52"/>
        <v>0</v>
      </c>
      <c r="AK305" s="13"/>
      <c r="AL305" s="100">
        <v>1370</v>
      </c>
      <c r="AM305" s="202"/>
      <c r="AN305" s="200"/>
      <c r="AO305" s="200"/>
      <c r="AP305" s="283">
        <v>2.9120000000000001E-7</v>
      </c>
      <c r="AR305" s="222">
        <v>97.148700308040318</v>
      </c>
      <c r="AS305" s="223">
        <v>97.13749792524375</v>
      </c>
      <c r="AT305" s="223">
        <v>94.726460062585943</v>
      </c>
      <c r="AU305" s="223">
        <v>94.900750155468302</v>
      </c>
      <c r="AV305" s="223">
        <v>98.113</v>
      </c>
      <c r="AW305" s="224">
        <v>96.631</v>
      </c>
      <c r="AX305" s="42"/>
      <c r="AY305" s="181"/>
      <c r="AZ305" s="197"/>
    </row>
    <row r="306" spans="12:52" ht="13" thickBot="1" x14ac:dyDescent="0.3">
      <c r="L306" s="55">
        <v>1365</v>
      </c>
      <c r="M306" s="274">
        <f t="shared" si="57"/>
        <v>0</v>
      </c>
      <c r="N306" s="275">
        <f t="shared" si="57"/>
        <v>0</v>
      </c>
      <c r="O306" s="273" t="e">
        <f ca="1"/>
        <v>#N/A</v>
      </c>
      <c r="Q306" s="34">
        <v>0</v>
      </c>
      <c r="R306" s="24">
        <v>0</v>
      </c>
      <c r="S306" s="24">
        <v>0</v>
      </c>
      <c r="T306" s="24">
        <v>0</v>
      </c>
      <c r="U306" s="24">
        <f t="array" ref="U306">IF(U$77&gt;" ",(U$628:U$1078),"")</f>
        <v>0</v>
      </c>
      <c r="V306" s="24">
        <f t="array" ref="V306">IF(V$77&gt;" ",(V$628:V$1078),"")</f>
        <v>0</v>
      </c>
      <c r="W306" s="24">
        <f t="array" ref="W306">IF(W$77&gt;" ",(W$628:W$1078),"")</f>
        <v>0</v>
      </c>
      <c r="X306" s="24">
        <f t="array" ref="X306">IF(X$77&gt;" ",(X$628:X$1078),"")</f>
        <v>0</v>
      </c>
      <c r="Y306" s="21">
        <v>0</v>
      </c>
      <c r="Z306" s="34">
        <f t="shared" si="47"/>
        <v>0</v>
      </c>
      <c r="AA306" s="24">
        <f t="shared" si="48"/>
        <v>0</v>
      </c>
      <c r="AB306" s="24">
        <f t="shared" si="49"/>
        <v>0</v>
      </c>
      <c r="AC306" s="24">
        <f t="shared" si="50"/>
        <v>0</v>
      </c>
      <c r="AD306" s="24">
        <f t="shared" si="56"/>
        <v>0</v>
      </c>
      <c r="AE306" s="24">
        <f t="shared" si="56"/>
        <v>0</v>
      </c>
      <c r="AF306" s="24">
        <f t="shared" si="56"/>
        <v>0</v>
      </c>
      <c r="AG306" s="24">
        <f t="shared" si="54"/>
        <v>0</v>
      </c>
      <c r="AH306" s="24">
        <f t="shared" si="53"/>
        <v>0</v>
      </c>
      <c r="AI306" s="24">
        <f t="shared" si="51"/>
        <v>0</v>
      </c>
      <c r="AJ306" s="261">
        <f t="shared" si="52"/>
        <v>0</v>
      </c>
      <c r="AK306" s="13"/>
      <c r="AL306" s="100">
        <v>1365</v>
      </c>
      <c r="AM306" s="202"/>
      <c r="AN306" s="200"/>
      <c r="AO306" s="200"/>
      <c r="AP306" s="284">
        <v>9.0500000000000004E-12</v>
      </c>
      <c r="AR306" s="222">
        <v>97.119895451509976</v>
      </c>
      <c r="AS306" s="223">
        <v>97.138716128067315</v>
      </c>
      <c r="AT306" s="223">
        <v>94.678689391984491</v>
      </c>
      <c r="AU306" s="223">
        <v>94.864974907765998</v>
      </c>
      <c r="AV306" s="223">
        <v>98.109500000000011</v>
      </c>
      <c r="AW306" s="224">
        <v>96.615499999999997</v>
      </c>
      <c r="AX306" s="42"/>
      <c r="AY306" s="181"/>
      <c r="AZ306" s="197"/>
    </row>
    <row r="307" spans="12:52" ht="13" thickBot="1" x14ac:dyDescent="0.3">
      <c r="L307" s="55">
        <v>1360</v>
      </c>
      <c r="M307" s="274">
        <f t="shared" si="57"/>
        <v>0</v>
      </c>
      <c r="N307" s="275">
        <f t="shared" si="57"/>
        <v>0</v>
      </c>
      <c r="O307" s="273" t="e">
        <f ca="1"/>
        <v>#N/A</v>
      </c>
      <c r="Q307" s="34">
        <v>0</v>
      </c>
      <c r="R307" s="24">
        <v>0</v>
      </c>
      <c r="S307" s="24">
        <v>0</v>
      </c>
      <c r="T307" s="24">
        <v>0</v>
      </c>
      <c r="U307" s="24">
        <f t="array" ref="U307">IF(U$77&gt;" ",(U$628:U$1078),"")</f>
        <v>0</v>
      </c>
      <c r="V307" s="24">
        <f t="array" ref="V307">IF(V$77&gt;" ",(V$628:V$1078),"")</f>
        <v>0</v>
      </c>
      <c r="W307" s="24">
        <f t="array" ref="W307">IF(W$77&gt;" ",(W$628:W$1078),"")</f>
        <v>0</v>
      </c>
      <c r="X307" s="24">
        <f t="array" ref="X307">IF(X$77&gt;" ",(X$628:X$1078),"")</f>
        <v>0</v>
      </c>
      <c r="Y307" s="21">
        <v>0</v>
      </c>
      <c r="Z307" s="34">
        <f t="shared" si="47"/>
        <v>0</v>
      </c>
      <c r="AA307" s="24">
        <f t="shared" si="48"/>
        <v>0</v>
      </c>
      <c r="AB307" s="24">
        <f t="shared" si="49"/>
        <v>0</v>
      </c>
      <c r="AC307" s="24">
        <f t="shared" si="50"/>
        <v>0</v>
      </c>
      <c r="AD307" s="24">
        <f t="shared" si="56"/>
        <v>0</v>
      </c>
      <c r="AE307" s="24">
        <f t="shared" si="56"/>
        <v>0</v>
      </c>
      <c r="AF307" s="24">
        <f t="shared" si="56"/>
        <v>0</v>
      </c>
      <c r="AG307" s="24">
        <f t="shared" si="54"/>
        <v>0</v>
      </c>
      <c r="AH307" s="24">
        <f t="shared" si="53"/>
        <v>0</v>
      </c>
      <c r="AI307" s="24">
        <f t="shared" si="51"/>
        <v>0</v>
      </c>
      <c r="AJ307" s="261">
        <f t="shared" si="52"/>
        <v>0</v>
      </c>
      <c r="AK307" s="13"/>
      <c r="AL307" s="100">
        <v>1360</v>
      </c>
      <c r="AM307" s="202"/>
      <c r="AN307" s="200"/>
      <c r="AO307" s="200"/>
      <c r="AP307" s="283">
        <v>2.1339999999999998E-6</v>
      </c>
      <c r="AR307" s="222">
        <v>97.105742743594647</v>
      </c>
      <c r="AS307" s="223">
        <v>97.117816854304081</v>
      </c>
      <c r="AT307" s="223">
        <v>94.671371248203229</v>
      </c>
      <c r="AU307" s="223">
        <v>94.85352316154065</v>
      </c>
      <c r="AV307" s="223">
        <v>98.106000000000009</v>
      </c>
      <c r="AW307" s="224">
        <v>96.6</v>
      </c>
      <c r="AX307" s="42"/>
      <c r="AY307" s="181"/>
      <c r="AZ307" s="197"/>
    </row>
    <row r="308" spans="12:52" ht="13" thickBot="1" x14ac:dyDescent="0.3">
      <c r="L308" s="55">
        <v>1355</v>
      </c>
      <c r="M308" s="274">
        <f t="shared" si="57"/>
        <v>0</v>
      </c>
      <c r="N308" s="275">
        <f t="shared" si="57"/>
        <v>0</v>
      </c>
      <c r="O308" s="273" t="e">
        <f ca="1"/>
        <v>#N/A</v>
      </c>
      <c r="Q308" s="34">
        <v>0</v>
      </c>
      <c r="R308" s="24">
        <v>0</v>
      </c>
      <c r="S308" s="24">
        <v>0</v>
      </c>
      <c r="T308" s="24">
        <v>0</v>
      </c>
      <c r="U308" s="24">
        <f t="array" ref="U308">IF(U$77&gt;" ",(U$628:U$1078),"")</f>
        <v>0</v>
      </c>
      <c r="V308" s="24">
        <f t="array" ref="V308">IF(V$77&gt;" ",(V$628:V$1078),"")</f>
        <v>0</v>
      </c>
      <c r="W308" s="24">
        <f t="array" ref="W308">IF(W$77&gt;" ",(W$628:W$1078),"")</f>
        <v>0</v>
      </c>
      <c r="X308" s="24">
        <f t="array" ref="X308">IF(X$77&gt;" ",(X$628:X$1078),"")</f>
        <v>0</v>
      </c>
      <c r="Y308" s="21">
        <v>0</v>
      </c>
      <c r="Z308" s="34">
        <f t="shared" si="47"/>
        <v>0</v>
      </c>
      <c r="AA308" s="24">
        <f t="shared" si="48"/>
        <v>0</v>
      </c>
      <c r="AB308" s="24">
        <f t="shared" si="49"/>
        <v>0</v>
      </c>
      <c r="AC308" s="24">
        <f t="shared" si="50"/>
        <v>0</v>
      </c>
      <c r="AD308" s="24">
        <f t="shared" si="56"/>
        <v>0</v>
      </c>
      <c r="AE308" s="24">
        <f t="shared" si="56"/>
        <v>0</v>
      </c>
      <c r="AF308" s="24">
        <f t="shared" si="56"/>
        <v>0</v>
      </c>
      <c r="AG308" s="24">
        <f t="shared" si="54"/>
        <v>0</v>
      </c>
      <c r="AH308" s="24">
        <f t="shared" si="53"/>
        <v>0</v>
      </c>
      <c r="AI308" s="24">
        <f t="shared" si="51"/>
        <v>0</v>
      </c>
      <c r="AJ308" s="261">
        <f t="shared" si="52"/>
        <v>0</v>
      </c>
      <c r="AK308" s="13"/>
      <c r="AL308" s="100">
        <v>1355</v>
      </c>
      <c r="AM308" s="202"/>
      <c r="AN308" s="200"/>
      <c r="AO308" s="200"/>
      <c r="AP308" s="284">
        <v>3.5930000000000002E-6</v>
      </c>
      <c r="AR308" s="222">
        <v>97.117323073734156</v>
      </c>
      <c r="AS308" s="223">
        <v>97.130520650249764</v>
      </c>
      <c r="AT308" s="223">
        <v>94.658344480556181</v>
      </c>
      <c r="AU308" s="223">
        <v>94.843555804571352</v>
      </c>
      <c r="AV308" s="223">
        <v>98.100999999999999</v>
      </c>
      <c r="AW308" s="224">
        <v>96.584499999999991</v>
      </c>
      <c r="AX308" s="42"/>
      <c r="AY308" s="181"/>
      <c r="AZ308" s="197"/>
    </row>
    <row r="309" spans="12:52" ht="13" thickBot="1" x14ac:dyDescent="0.3">
      <c r="L309" s="55">
        <v>1350</v>
      </c>
      <c r="M309" s="274">
        <f t="shared" si="57"/>
        <v>0</v>
      </c>
      <c r="N309" s="275">
        <f t="shared" si="57"/>
        <v>0</v>
      </c>
      <c r="O309" s="276" t="e">
        <f ca="1"/>
        <v>#N/A</v>
      </c>
      <c r="Q309" s="34">
        <v>0</v>
      </c>
      <c r="R309" s="24">
        <v>0</v>
      </c>
      <c r="S309" s="24">
        <v>0</v>
      </c>
      <c r="T309" s="24">
        <v>0</v>
      </c>
      <c r="U309" s="24">
        <f t="array" ref="U309">IF(U$77&gt;" ",(U$628:U$1078),"")</f>
        <v>0</v>
      </c>
      <c r="V309" s="24">
        <f t="array" ref="V309">IF(V$77&gt;" ",(V$628:V$1078),"")</f>
        <v>0</v>
      </c>
      <c r="W309" s="24">
        <f t="array" ref="W309">IF(W$77&gt;" ",(W$628:W$1078),"")</f>
        <v>0</v>
      </c>
      <c r="X309" s="24">
        <f t="array" ref="X309">IF(X$77&gt;" ",(X$628:X$1078),"")</f>
        <v>0</v>
      </c>
      <c r="Y309" s="21">
        <v>0</v>
      </c>
      <c r="Z309" s="34">
        <f t="shared" si="47"/>
        <v>0</v>
      </c>
      <c r="AA309" s="24">
        <f t="shared" si="48"/>
        <v>0</v>
      </c>
      <c r="AB309" s="24">
        <f t="shared" si="49"/>
        <v>0</v>
      </c>
      <c r="AC309" s="24">
        <f t="shared" si="50"/>
        <v>0</v>
      </c>
      <c r="AD309" s="24">
        <f t="shared" si="56"/>
        <v>0</v>
      </c>
      <c r="AE309" s="24">
        <f t="shared" si="56"/>
        <v>0</v>
      </c>
      <c r="AF309" s="24">
        <f t="shared" si="56"/>
        <v>0</v>
      </c>
      <c r="AG309" s="24">
        <f t="shared" si="54"/>
        <v>0</v>
      </c>
      <c r="AH309" s="24">
        <f t="shared" si="53"/>
        <v>0</v>
      </c>
      <c r="AI309" s="24">
        <f t="shared" si="51"/>
        <v>0</v>
      </c>
      <c r="AJ309" s="261">
        <f t="shared" si="52"/>
        <v>0</v>
      </c>
      <c r="AK309" s="13"/>
      <c r="AL309" s="100">
        <v>1350</v>
      </c>
      <c r="AM309" s="202"/>
      <c r="AN309" s="200"/>
      <c r="AO309" s="200"/>
      <c r="AP309" s="283">
        <v>1.5980000000000001E-2</v>
      </c>
      <c r="AR309" s="222">
        <v>97.114238483988345</v>
      </c>
      <c r="AS309" s="223">
        <v>97.113696275127566</v>
      </c>
      <c r="AT309" s="223">
        <v>94.617309837638388</v>
      </c>
      <c r="AU309" s="223">
        <v>94.825053518821107</v>
      </c>
      <c r="AV309" s="223">
        <v>98.096000000000004</v>
      </c>
      <c r="AW309" s="224">
        <v>96.569000000000003</v>
      </c>
      <c r="AX309" s="42"/>
      <c r="AY309" s="181"/>
      <c r="AZ309" s="197"/>
    </row>
    <row r="310" spans="12:52" ht="13" thickBot="1" x14ac:dyDescent="0.3">
      <c r="L310" s="55">
        <v>1345</v>
      </c>
      <c r="M310" s="274">
        <f t="shared" si="57"/>
        <v>0</v>
      </c>
      <c r="N310" s="275">
        <f t="shared" si="57"/>
        <v>0</v>
      </c>
      <c r="O310" s="276" t="e">
        <f ca="1"/>
        <v>#N/A</v>
      </c>
      <c r="Q310" s="34">
        <v>0</v>
      </c>
      <c r="R310" s="24">
        <v>0</v>
      </c>
      <c r="S310" s="24">
        <v>0</v>
      </c>
      <c r="T310" s="24">
        <v>0</v>
      </c>
      <c r="U310" s="24">
        <f t="array" ref="U310">IF(U$77&gt;" ",(U$628:U$1078),"")</f>
        <v>0</v>
      </c>
      <c r="V310" s="24">
        <f t="array" ref="V310">IF(V$77&gt;" ",(V$628:V$1078),"")</f>
        <v>0</v>
      </c>
      <c r="W310" s="24">
        <f t="array" ref="W310">IF(W$77&gt;" ",(W$628:W$1078),"")</f>
        <v>0</v>
      </c>
      <c r="X310" s="24">
        <f t="array" ref="X310">IF(X$77&gt;" ",(X$628:X$1078),"")</f>
        <v>0</v>
      </c>
      <c r="Y310" s="21">
        <v>0</v>
      </c>
      <c r="Z310" s="34">
        <f t="shared" si="47"/>
        <v>0</v>
      </c>
      <c r="AA310" s="24">
        <f t="shared" si="48"/>
        <v>0</v>
      </c>
      <c r="AB310" s="24">
        <f t="shared" si="49"/>
        <v>0</v>
      </c>
      <c r="AC310" s="24">
        <f t="shared" si="50"/>
        <v>0</v>
      </c>
      <c r="AD310" s="24">
        <f t="shared" si="56"/>
        <v>0</v>
      </c>
      <c r="AE310" s="24">
        <f t="shared" si="56"/>
        <v>0</v>
      </c>
      <c r="AF310" s="24">
        <f t="shared" si="56"/>
        <v>0</v>
      </c>
      <c r="AG310" s="24">
        <f t="shared" si="54"/>
        <v>0</v>
      </c>
      <c r="AH310" s="24">
        <f t="shared" si="53"/>
        <v>0</v>
      </c>
      <c r="AI310" s="24">
        <f t="shared" si="51"/>
        <v>0</v>
      </c>
      <c r="AJ310" s="261">
        <f t="shared" si="52"/>
        <v>0</v>
      </c>
      <c r="AK310" s="13"/>
      <c r="AL310" s="100">
        <v>1345</v>
      </c>
      <c r="AM310" s="202"/>
      <c r="AN310" s="200"/>
      <c r="AO310" s="200"/>
      <c r="AP310" s="284">
        <v>0.1087</v>
      </c>
      <c r="AR310" s="222">
        <v>97.110389585672294</v>
      </c>
      <c r="AS310" s="223">
        <v>97.096044797427069</v>
      </c>
      <c r="AT310" s="223">
        <v>94.608657732300642</v>
      </c>
      <c r="AU310" s="223">
        <v>94.805500978141254</v>
      </c>
      <c r="AV310" s="223">
        <v>98.095500000000001</v>
      </c>
      <c r="AW310" s="224">
        <v>96.554500000000004</v>
      </c>
      <c r="AX310" s="42"/>
      <c r="AY310" s="181"/>
      <c r="AZ310" s="197"/>
    </row>
    <row r="311" spans="12:52" ht="13" thickBot="1" x14ac:dyDescent="0.3">
      <c r="L311" s="55">
        <v>1340</v>
      </c>
      <c r="M311" s="274">
        <f t="shared" si="57"/>
        <v>0</v>
      </c>
      <c r="N311" s="275">
        <f t="shared" si="57"/>
        <v>0</v>
      </c>
      <c r="O311" s="276" t="e">
        <f ca="1"/>
        <v>#N/A</v>
      </c>
      <c r="Q311" s="34">
        <v>0</v>
      </c>
      <c r="R311" s="24">
        <v>0</v>
      </c>
      <c r="S311" s="24">
        <v>0</v>
      </c>
      <c r="T311" s="24">
        <v>0</v>
      </c>
      <c r="U311" s="24">
        <f t="array" ref="U311">IF(U$77&gt;" ",(U$628:U$1078),"")</f>
        <v>0</v>
      </c>
      <c r="V311" s="24">
        <f t="array" ref="V311">IF(V$77&gt;" ",(V$628:V$1078),"")</f>
        <v>0</v>
      </c>
      <c r="W311" s="24">
        <f t="array" ref="W311">IF(W$77&gt;" ",(W$628:W$1078),"")</f>
        <v>0</v>
      </c>
      <c r="X311" s="24">
        <f t="array" ref="X311">IF(X$77&gt;" ",(X$628:X$1078),"")</f>
        <v>0</v>
      </c>
      <c r="Y311" s="21">
        <v>0</v>
      </c>
      <c r="Z311" s="34">
        <f t="shared" si="47"/>
        <v>0</v>
      </c>
      <c r="AA311" s="24">
        <f t="shared" si="48"/>
        <v>0</v>
      </c>
      <c r="AB311" s="24">
        <f t="shared" si="49"/>
        <v>0</v>
      </c>
      <c r="AC311" s="24">
        <f t="shared" si="50"/>
        <v>0</v>
      </c>
      <c r="AD311" s="24">
        <f t="shared" si="56"/>
        <v>0</v>
      </c>
      <c r="AE311" s="24">
        <f t="shared" si="56"/>
        <v>0</v>
      </c>
      <c r="AF311" s="24">
        <f t="shared" si="56"/>
        <v>0</v>
      </c>
      <c r="AG311" s="24">
        <f t="shared" si="54"/>
        <v>0</v>
      </c>
      <c r="AH311" s="24">
        <f t="shared" si="53"/>
        <v>0</v>
      </c>
      <c r="AI311" s="24">
        <f t="shared" si="51"/>
        <v>0</v>
      </c>
      <c r="AJ311" s="261">
        <f t="shared" si="52"/>
        <v>0</v>
      </c>
      <c r="AK311" s="13"/>
      <c r="AL311" s="100">
        <v>1340</v>
      </c>
      <c r="AM311" s="202"/>
      <c r="AN311" s="200"/>
      <c r="AO311" s="200"/>
      <c r="AP311" s="283">
        <v>0.1678</v>
      </c>
      <c r="AR311" s="222">
        <v>97.124679204369272</v>
      </c>
      <c r="AS311" s="223">
        <v>97.131827353024576</v>
      </c>
      <c r="AT311" s="223">
        <v>94.613271264156921</v>
      </c>
      <c r="AU311" s="223">
        <v>94.808636698614563</v>
      </c>
      <c r="AV311" s="223">
        <v>98.094999999999999</v>
      </c>
      <c r="AW311" s="224">
        <v>96.54</v>
      </c>
      <c r="AX311" s="42"/>
      <c r="AY311" s="181"/>
      <c r="AZ311" s="197"/>
    </row>
    <row r="312" spans="12:52" ht="13" thickBot="1" x14ac:dyDescent="0.3">
      <c r="L312" s="55">
        <v>1335</v>
      </c>
      <c r="M312" s="274">
        <f t="shared" si="57"/>
        <v>0</v>
      </c>
      <c r="N312" s="275">
        <f t="shared" si="57"/>
        <v>0</v>
      </c>
      <c r="O312" s="276" t="e">
        <f ca="1"/>
        <v>#N/A</v>
      </c>
      <c r="Q312" s="34">
        <v>0</v>
      </c>
      <c r="R312" s="24">
        <v>0</v>
      </c>
      <c r="S312" s="24">
        <v>0</v>
      </c>
      <c r="T312" s="24">
        <v>0</v>
      </c>
      <c r="U312" s="24">
        <f t="array" ref="U312">IF(U$77&gt;" ",(U$628:U$1078),"")</f>
        <v>0</v>
      </c>
      <c r="V312" s="24">
        <f t="array" ref="V312">IF(V$77&gt;" ",(V$628:V$1078),"")</f>
        <v>0</v>
      </c>
      <c r="W312" s="24">
        <f t="array" ref="W312">IF(W$77&gt;" ",(W$628:W$1078),"")</f>
        <v>0</v>
      </c>
      <c r="X312" s="24">
        <f t="array" ref="X312">IF(X$77&gt;" ",(X$628:X$1078),"")</f>
        <v>0</v>
      </c>
      <c r="Y312" s="21">
        <v>0</v>
      </c>
      <c r="Z312" s="34">
        <f t="shared" si="47"/>
        <v>0</v>
      </c>
      <c r="AA312" s="24">
        <f t="shared" si="48"/>
        <v>0</v>
      </c>
      <c r="AB312" s="24">
        <f t="shared" si="49"/>
        <v>0</v>
      </c>
      <c r="AC312" s="24">
        <f t="shared" si="50"/>
        <v>0</v>
      </c>
      <c r="AD312" s="24">
        <f t="shared" si="56"/>
        <v>0</v>
      </c>
      <c r="AE312" s="24">
        <f t="shared" si="56"/>
        <v>0</v>
      </c>
      <c r="AF312" s="24">
        <f t="shared" si="56"/>
        <v>0</v>
      </c>
      <c r="AG312" s="24">
        <f t="shared" si="54"/>
        <v>0</v>
      </c>
      <c r="AH312" s="24">
        <f t="shared" si="53"/>
        <v>0</v>
      </c>
      <c r="AI312" s="24">
        <f t="shared" si="51"/>
        <v>0</v>
      </c>
      <c r="AJ312" s="261">
        <f t="shared" si="52"/>
        <v>0</v>
      </c>
      <c r="AK312" s="13"/>
      <c r="AL312" s="100">
        <v>1335</v>
      </c>
      <c r="AM312" s="202"/>
      <c r="AN312" s="200"/>
      <c r="AO312" s="200"/>
      <c r="AP312" s="284">
        <v>0.23050000000000001</v>
      </c>
      <c r="AR312" s="222">
        <v>97.106654650725702</v>
      </c>
      <c r="AS312" s="223">
        <v>97.077718392951724</v>
      </c>
      <c r="AT312" s="223">
        <v>94.579090310406499</v>
      </c>
      <c r="AU312" s="223">
        <v>94.785072279243181</v>
      </c>
      <c r="AV312" s="223">
        <v>98.090999999999994</v>
      </c>
      <c r="AW312" s="224">
        <v>96.525000000000006</v>
      </c>
      <c r="AX312" s="42"/>
      <c r="AY312" s="181"/>
      <c r="AZ312" s="197"/>
    </row>
    <row r="313" spans="12:52" ht="13" thickBot="1" x14ac:dyDescent="0.3">
      <c r="L313" s="55">
        <v>1330</v>
      </c>
      <c r="M313" s="274">
        <f t="shared" si="57"/>
        <v>0</v>
      </c>
      <c r="N313" s="275">
        <f t="shared" si="57"/>
        <v>0</v>
      </c>
      <c r="O313" s="276" t="e">
        <f ca="1"/>
        <v>#N/A</v>
      </c>
      <c r="Q313" s="34">
        <v>0</v>
      </c>
      <c r="R313" s="24">
        <v>0</v>
      </c>
      <c r="S313" s="24">
        <v>0</v>
      </c>
      <c r="T313" s="24">
        <v>0</v>
      </c>
      <c r="U313" s="24">
        <f t="array" ref="U313">IF(U$77&gt;" ",(U$628:U$1078),"")</f>
        <v>0</v>
      </c>
      <c r="V313" s="24">
        <f t="array" ref="V313">IF(V$77&gt;" ",(V$628:V$1078),"")</f>
        <v>0</v>
      </c>
      <c r="W313" s="24">
        <f t="array" ref="W313">IF(W$77&gt;" ",(W$628:W$1078),"")</f>
        <v>0</v>
      </c>
      <c r="X313" s="24">
        <f t="array" ref="X313">IF(X$77&gt;" ",(X$628:X$1078),"")</f>
        <v>0</v>
      </c>
      <c r="Y313" s="21">
        <v>0</v>
      </c>
      <c r="Z313" s="34">
        <f t="shared" si="47"/>
        <v>0</v>
      </c>
      <c r="AA313" s="24">
        <f t="shared" si="48"/>
        <v>0</v>
      </c>
      <c r="AB313" s="24">
        <f t="shared" si="49"/>
        <v>0</v>
      </c>
      <c r="AC313" s="24">
        <f t="shared" si="50"/>
        <v>0</v>
      </c>
      <c r="AD313" s="24">
        <f t="shared" si="56"/>
        <v>0</v>
      </c>
      <c r="AE313" s="24">
        <f t="shared" si="56"/>
        <v>0</v>
      </c>
      <c r="AF313" s="24">
        <f t="shared" si="56"/>
        <v>0</v>
      </c>
      <c r="AG313" s="24">
        <f t="shared" si="54"/>
        <v>0</v>
      </c>
      <c r="AH313" s="24">
        <f t="shared" si="53"/>
        <v>0</v>
      </c>
      <c r="AI313" s="24">
        <f t="shared" si="51"/>
        <v>0</v>
      </c>
      <c r="AJ313" s="261">
        <f t="shared" si="52"/>
        <v>0</v>
      </c>
      <c r="AK313" s="13"/>
      <c r="AL313" s="100">
        <v>1330</v>
      </c>
      <c r="AM313" s="202"/>
      <c r="AN313" s="200"/>
      <c r="AO313" s="200"/>
      <c r="AP313" s="283">
        <v>0.2286</v>
      </c>
      <c r="AR313" s="222">
        <v>97.075685569829645</v>
      </c>
      <c r="AS313" s="223">
        <v>97.066548869047153</v>
      </c>
      <c r="AT313" s="223">
        <v>94.572104435975731</v>
      </c>
      <c r="AU313" s="223">
        <v>94.769784955362979</v>
      </c>
      <c r="AV313" s="223">
        <v>98.087000000000003</v>
      </c>
      <c r="AW313" s="224">
        <v>96.51</v>
      </c>
      <c r="AX313" s="42"/>
      <c r="AY313" s="181"/>
      <c r="AZ313" s="197"/>
    </row>
    <row r="314" spans="12:52" ht="13" thickBot="1" x14ac:dyDescent="0.3">
      <c r="L314" s="55">
        <v>1325</v>
      </c>
      <c r="M314" s="274">
        <f t="shared" si="57"/>
        <v>0</v>
      </c>
      <c r="N314" s="275">
        <f t="shared" si="57"/>
        <v>0</v>
      </c>
      <c r="O314" s="276" t="e">
        <f ca="1"/>
        <v>#N/A</v>
      </c>
      <c r="Q314" s="34">
        <v>0</v>
      </c>
      <c r="R314" s="24">
        <v>0</v>
      </c>
      <c r="S314" s="24">
        <v>0</v>
      </c>
      <c r="T314" s="24">
        <v>0</v>
      </c>
      <c r="U314" s="24">
        <f t="array" ref="U314">IF(U$77&gt;" ",(U$628:U$1078),"")</f>
        <v>0</v>
      </c>
      <c r="V314" s="24">
        <f t="array" ref="V314">IF(V$77&gt;" ",(V$628:V$1078),"")</f>
        <v>0</v>
      </c>
      <c r="W314" s="24">
        <f t="array" ref="W314">IF(W$77&gt;" ",(W$628:W$1078),"")</f>
        <v>0</v>
      </c>
      <c r="X314" s="24">
        <f t="array" ref="X314">IF(X$77&gt;" ",(X$628:X$1078),"")</f>
        <v>0</v>
      </c>
      <c r="Y314" s="21">
        <v>0</v>
      </c>
      <c r="Z314" s="34">
        <f t="shared" si="47"/>
        <v>0</v>
      </c>
      <c r="AA314" s="24">
        <f t="shared" si="48"/>
        <v>0</v>
      </c>
      <c r="AB314" s="24">
        <f t="shared" si="49"/>
        <v>0</v>
      </c>
      <c r="AC314" s="24">
        <f t="shared" si="50"/>
        <v>0</v>
      </c>
      <c r="AD314" s="24">
        <f t="shared" si="56"/>
        <v>0</v>
      </c>
      <c r="AE314" s="24">
        <f t="shared" si="56"/>
        <v>0</v>
      </c>
      <c r="AF314" s="24">
        <f t="shared" si="56"/>
        <v>0</v>
      </c>
      <c r="AG314" s="24">
        <f t="shared" si="54"/>
        <v>0</v>
      </c>
      <c r="AH314" s="24">
        <f t="shared" si="53"/>
        <v>0</v>
      </c>
      <c r="AI314" s="24">
        <f t="shared" si="51"/>
        <v>0</v>
      </c>
      <c r="AJ314" s="261">
        <f t="shared" si="52"/>
        <v>0</v>
      </c>
      <c r="AK314" s="13"/>
      <c r="AL314" s="100">
        <v>1325</v>
      </c>
      <c r="AM314" s="202"/>
      <c r="AN314" s="200"/>
      <c r="AO314" s="200"/>
      <c r="AP314" s="284">
        <v>0.32129999999999997</v>
      </c>
      <c r="AR314" s="222">
        <v>97.080385588149284</v>
      </c>
      <c r="AS314" s="223">
        <v>97.083529110173131</v>
      </c>
      <c r="AT314" s="223">
        <v>94.558988117733747</v>
      </c>
      <c r="AU314" s="223">
        <v>94.755779735331387</v>
      </c>
      <c r="AV314" s="223">
        <v>98.084000000000003</v>
      </c>
      <c r="AW314" s="224">
        <v>96.491</v>
      </c>
      <c r="AX314" s="42"/>
      <c r="AY314" s="181"/>
      <c r="AZ314" s="197"/>
    </row>
    <row r="315" spans="12:52" ht="13" thickBot="1" x14ac:dyDescent="0.3">
      <c r="L315" s="55">
        <v>1320</v>
      </c>
      <c r="M315" s="274">
        <f t="shared" si="57"/>
        <v>0</v>
      </c>
      <c r="N315" s="275">
        <f t="shared" si="57"/>
        <v>0</v>
      </c>
      <c r="O315" s="276" t="e">
        <f ca="1"/>
        <v>#N/A</v>
      </c>
      <c r="Q315" s="34">
        <v>0</v>
      </c>
      <c r="R315" s="24">
        <v>0</v>
      </c>
      <c r="S315" s="24">
        <v>0</v>
      </c>
      <c r="T315" s="24">
        <v>0</v>
      </c>
      <c r="U315" s="24">
        <f t="array" ref="U315">IF(U$77&gt;" ",(U$628:U$1078),"")</f>
        <v>0</v>
      </c>
      <c r="V315" s="24">
        <f t="array" ref="V315">IF(V$77&gt;" ",(V$628:V$1078),"")</f>
        <v>0</v>
      </c>
      <c r="W315" s="24">
        <f t="array" ref="W315">IF(W$77&gt;" ",(W$628:W$1078),"")</f>
        <v>0</v>
      </c>
      <c r="X315" s="24">
        <f t="array" ref="X315">IF(X$77&gt;" ",(X$628:X$1078),"")</f>
        <v>0</v>
      </c>
      <c r="Y315" s="21">
        <v>0</v>
      </c>
      <c r="Z315" s="34">
        <f t="shared" si="47"/>
        <v>0</v>
      </c>
      <c r="AA315" s="24">
        <f t="shared" si="48"/>
        <v>0</v>
      </c>
      <c r="AB315" s="24">
        <f t="shared" si="49"/>
        <v>0</v>
      </c>
      <c r="AC315" s="24">
        <f t="shared" si="50"/>
        <v>0</v>
      </c>
      <c r="AD315" s="24">
        <f t="shared" si="56"/>
        <v>0</v>
      </c>
      <c r="AE315" s="24">
        <f t="shared" si="56"/>
        <v>0</v>
      </c>
      <c r="AF315" s="24">
        <f t="shared" si="56"/>
        <v>0</v>
      </c>
      <c r="AG315" s="24">
        <f t="shared" si="54"/>
        <v>0</v>
      </c>
      <c r="AH315" s="24">
        <f t="shared" si="53"/>
        <v>0</v>
      </c>
      <c r="AI315" s="24">
        <f t="shared" si="51"/>
        <v>0</v>
      </c>
      <c r="AJ315" s="261">
        <f t="shared" si="52"/>
        <v>0</v>
      </c>
      <c r="AK315" s="13"/>
      <c r="AL315" s="100">
        <v>1320</v>
      </c>
      <c r="AM315" s="202"/>
      <c r="AN315" s="200"/>
      <c r="AO315" s="200"/>
      <c r="AP315" s="283">
        <v>0.25800000000000001</v>
      </c>
      <c r="AR315" s="222">
        <v>97.070185662681524</v>
      </c>
      <c r="AS315" s="223">
        <v>97.06683727000329</v>
      </c>
      <c r="AT315" s="223">
        <v>94.535190485306472</v>
      </c>
      <c r="AU315" s="223">
        <v>94.721575445163111</v>
      </c>
      <c r="AV315" s="223">
        <v>98.080999999999989</v>
      </c>
      <c r="AW315" s="224">
        <v>96.472000000000008</v>
      </c>
      <c r="AX315" s="42"/>
      <c r="AY315" s="181"/>
      <c r="AZ315" s="197"/>
    </row>
    <row r="316" spans="12:52" ht="13" thickBot="1" x14ac:dyDescent="0.3">
      <c r="L316" s="55">
        <v>1315</v>
      </c>
      <c r="M316" s="274">
        <f t="shared" si="57"/>
        <v>0</v>
      </c>
      <c r="N316" s="275">
        <f t="shared" si="57"/>
        <v>0</v>
      </c>
      <c r="O316" s="276" t="e">
        <f ca="1"/>
        <v>#N/A</v>
      </c>
      <c r="Q316" s="34">
        <v>0</v>
      </c>
      <c r="R316" s="24">
        <v>0</v>
      </c>
      <c r="S316" s="24">
        <v>0</v>
      </c>
      <c r="T316" s="24">
        <v>0</v>
      </c>
      <c r="U316" s="24">
        <f t="array" ref="U316">IF(U$77&gt;" ",(U$628:U$1078),"")</f>
        <v>0</v>
      </c>
      <c r="V316" s="24">
        <f t="array" ref="V316">IF(V$77&gt;" ",(V$628:V$1078),"")</f>
        <v>0</v>
      </c>
      <c r="W316" s="24">
        <f t="array" ref="W316">IF(W$77&gt;" ",(W$628:W$1078),"")</f>
        <v>0</v>
      </c>
      <c r="X316" s="24">
        <f t="array" ref="X316">IF(X$77&gt;" ",(X$628:X$1078),"")</f>
        <v>0</v>
      </c>
      <c r="Y316" s="21">
        <v>0</v>
      </c>
      <c r="Z316" s="34">
        <f t="shared" si="47"/>
        <v>0</v>
      </c>
      <c r="AA316" s="24">
        <f t="shared" si="48"/>
        <v>0</v>
      </c>
      <c r="AB316" s="24">
        <f t="shared" si="49"/>
        <v>0</v>
      </c>
      <c r="AC316" s="24">
        <f t="shared" si="50"/>
        <v>0</v>
      </c>
      <c r="AD316" s="24">
        <f t="shared" si="56"/>
        <v>0</v>
      </c>
      <c r="AE316" s="24">
        <f t="shared" si="56"/>
        <v>0</v>
      </c>
      <c r="AF316" s="24">
        <f t="shared" si="56"/>
        <v>0</v>
      </c>
      <c r="AG316" s="24">
        <f t="shared" si="54"/>
        <v>0</v>
      </c>
      <c r="AH316" s="24">
        <f t="shared" si="53"/>
        <v>0</v>
      </c>
      <c r="AI316" s="24">
        <f t="shared" si="51"/>
        <v>0</v>
      </c>
      <c r="AJ316" s="261">
        <f t="shared" si="52"/>
        <v>0</v>
      </c>
      <c r="AK316" s="13"/>
      <c r="AL316" s="100">
        <v>1315</v>
      </c>
      <c r="AM316" s="202"/>
      <c r="AN316" s="200"/>
      <c r="AO316" s="200"/>
      <c r="AP316" s="284">
        <v>0.28499999999999998</v>
      </c>
      <c r="AR316" s="222">
        <v>97.083755997924243</v>
      </c>
      <c r="AS316" s="223">
        <v>97.071359053502945</v>
      </c>
      <c r="AT316" s="223">
        <v>94.50884678073156</v>
      </c>
      <c r="AU316" s="223">
        <v>94.696866564421768</v>
      </c>
      <c r="AV316" s="223">
        <v>98.076499999999996</v>
      </c>
      <c r="AW316" s="224">
        <v>96.454499999999996</v>
      </c>
      <c r="AX316" s="42"/>
      <c r="AY316" s="181"/>
      <c r="AZ316" s="197"/>
    </row>
    <row r="317" spans="12:52" ht="13" thickBot="1" x14ac:dyDescent="0.3">
      <c r="L317" s="55">
        <v>1310</v>
      </c>
      <c r="M317" s="274">
        <f t="shared" si="57"/>
        <v>0</v>
      </c>
      <c r="N317" s="275">
        <f t="shared" si="57"/>
        <v>0</v>
      </c>
      <c r="O317" s="276" t="e">
        <f ca="1"/>
        <v>#N/A</v>
      </c>
      <c r="Q317" s="34">
        <v>0</v>
      </c>
      <c r="R317" s="24">
        <v>0</v>
      </c>
      <c r="S317" s="24">
        <v>0</v>
      </c>
      <c r="T317" s="24">
        <v>0</v>
      </c>
      <c r="U317" s="24">
        <f t="array" ref="U317">IF(U$77&gt;" ",(U$628:U$1078),"")</f>
        <v>0</v>
      </c>
      <c r="V317" s="24">
        <f t="array" ref="V317">IF(V$77&gt;" ",(V$628:V$1078),"")</f>
        <v>0</v>
      </c>
      <c r="W317" s="24">
        <f t="array" ref="W317">IF(W$77&gt;" ",(W$628:W$1078),"")</f>
        <v>0</v>
      </c>
      <c r="X317" s="24">
        <f t="array" ref="X317">IF(X$77&gt;" ",(X$628:X$1078),"")</f>
        <v>0</v>
      </c>
      <c r="Y317" s="21">
        <v>0</v>
      </c>
      <c r="Z317" s="34">
        <f t="shared" si="47"/>
        <v>0</v>
      </c>
      <c r="AA317" s="24">
        <f t="shared" si="48"/>
        <v>0</v>
      </c>
      <c r="AB317" s="24">
        <f t="shared" si="49"/>
        <v>0</v>
      </c>
      <c r="AC317" s="24">
        <f t="shared" si="50"/>
        <v>0</v>
      </c>
      <c r="AD317" s="24">
        <f t="shared" si="56"/>
        <v>0</v>
      </c>
      <c r="AE317" s="24">
        <f t="shared" si="56"/>
        <v>0</v>
      </c>
      <c r="AF317" s="24">
        <f t="shared" si="56"/>
        <v>0</v>
      </c>
      <c r="AG317" s="24">
        <f t="shared" si="54"/>
        <v>0</v>
      </c>
      <c r="AH317" s="24">
        <f t="shared" si="53"/>
        <v>0</v>
      </c>
      <c r="AI317" s="24">
        <f t="shared" si="51"/>
        <v>0</v>
      </c>
      <c r="AJ317" s="261">
        <f t="shared" si="52"/>
        <v>0</v>
      </c>
      <c r="AK317" s="13"/>
      <c r="AL317" s="100">
        <v>1310</v>
      </c>
      <c r="AM317" s="202"/>
      <c r="AN317" s="200"/>
      <c r="AO317" s="200"/>
      <c r="AP317" s="283">
        <v>0.30030000000000001</v>
      </c>
      <c r="AR317" s="222">
        <v>97.082163513910885</v>
      </c>
      <c r="AS317" s="223">
        <v>97.055697962853344</v>
      </c>
      <c r="AT317" s="223">
        <v>94.505634724618588</v>
      </c>
      <c r="AU317" s="223">
        <v>94.694662475191237</v>
      </c>
      <c r="AV317" s="223">
        <v>98.072000000000003</v>
      </c>
      <c r="AW317" s="224">
        <v>96.436999999999998</v>
      </c>
      <c r="AX317" s="42"/>
      <c r="AY317" s="181"/>
      <c r="AZ317" s="197"/>
    </row>
    <row r="318" spans="12:52" ht="13" thickBot="1" x14ac:dyDescent="0.3">
      <c r="L318" s="55">
        <v>1305</v>
      </c>
      <c r="M318" s="274">
        <f t="shared" si="57"/>
        <v>0</v>
      </c>
      <c r="N318" s="275">
        <f t="shared" si="57"/>
        <v>0</v>
      </c>
      <c r="O318" s="276" t="e">
        <f ca="1"/>
        <v>#N/A</v>
      </c>
      <c r="Q318" s="34">
        <v>0</v>
      </c>
      <c r="R318" s="24">
        <v>0</v>
      </c>
      <c r="S318" s="24">
        <v>0</v>
      </c>
      <c r="T318" s="24">
        <v>0</v>
      </c>
      <c r="U318" s="24">
        <f t="array" ref="U318">IF(U$77&gt;" ",(U$628:U$1078),"")</f>
        <v>0</v>
      </c>
      <c r="V318" s="24">
        <f t="array" ref="V318">IF(V$77&gt;" ",(V$628:V$1078),"")</f>
        <v>0</v>
      </c>
      <c r="W318" s="24">
        <f t="array" ref="W318">IF(W$77&gt;" ",(W$628:W$1078),"")</f>
        <v>0</v>
      </c>
      <c r="X318" s="24">
        <f t="array" ref="X318">IF(X$77&gt;" ",(X$628:X$1078),"")</f>
        <v>0</v>
      </c>
      <c r="Y318" s="21">
        <v>0</v>
      </c>
      <c r="Z318" s="34">
        <f t="shared" si="47"/>
        <v>0</v>
      </c>
      <c r="AA318" s="24">
        <f t="shared" si="48"/>
        <v>0</v>
      </c>
      <c r="AB318" s="24">
        <f t="shared" si="49"/>
        <v>0</v>
      </c>
      <c r="AC318" s="24">
        <f t="shared" si="50"/>
        <v>0</v>
      </c>
      <c r="AD318" s="24">
        <f t="shared" si="56"/>
        <v>0</v>
      </c>
      <c r="AE318" s="24">
        <f t="shared" si="56"/>
        <v>0</v>
      </c>
      <c r="AF318" s="24">
        <f t="shared" si="56"/>
        <v>0</v>
      </c>
      <c r="AG318" s="24">
        <f t="shared" si="54"/>
        <v>0</v>
      </c>
      <c r="AH318" s="24">
        <f t="shared" si="53"/>
        <v>0</v>
      </c>
      <c r="AI318" s="24">
        <f t="shared" si="51"/>
        <v>0</v>
      </c>
      <c r="AJ318" s="261">
        <f t="shared" si="52"/>
        <v>0</v>
      </c>
      <c r="AK318" s="13"/>
      <c r="AL318" s="100">
        <v>1305</v>
      </c>
      <c r="AM318" s="202"/>
      <c r="AN318" s="200"/>
      <c r="AO318" s="200"/>
      <c r="AP318" s="284">
        <v>0.38269999999999998</v>
      </c>
      <c r="AR318" s="222">
        <v>97.059239550716185</v>
      </c>
      <c r="AS318" s="223">
        <v>97.067181911391728</v>
      </c>
      <c r="AT318" s="223">
        <v>94.484232129400723</v>
      </c>
      <c r="AU318" s="223">
        <v>94.676074376635214</v>
      </c>
      <c r="AV318" s="223">
        <v>98.067499999999995</v>
      </c>
      <c r="AW318" s="224">
        <v>96.417500000000004</v>
      </c>
      <c r="AX318" s="42"/>
      <c r="AY318" s="181"/>
      <c r="AZ318" s="197"/>
    </row>
    <row r="319" spans="12:52" ht="13" thickBot="1" x14ac:dyDescent="0.3">
      <c r="L319" s="55">
        <v>1300</v>
      </c>
      <c r="M319" s="274">
        <f t="shared" ref="M319:N334" si="58">M868</f>
        <v>0</v>
      </c>
      <c r="N319" s="275">
        <f t="shared" si="58"/>
        <v>0</v>
      </c>
      <c r="O319" s="276" t="e">
        <f ca="1"/>
        <v>#N/A</v>
      </c>
      <c r="Q319" s="34">
        <v>0</v>
      </c>
      <c r="R319" s="24">
        <v>0</v>
      </c>
      <c r="S319" s="24">
        <v>0</v>
      </c>
      <c r="T319" s="24">
        <v>0</v>
      </c>
      <c r="U319" s="24">
        <f t="array" ref="U319">IF(U$77&gt;" ",(U$628:U$1078),"")</f>
        <v>0</v>
      </c>
      <c r="V319" s="24">
        <f t="array" ref="V319">IF(V$77&gt;" ",(V$628:V$1078),"")</f>
        <v>0</v>
      </c>
      <c r="W319" s="24">
        <f t="array" ref="W319">IF(W$77&gt;" ",(W$628:W$1078),"")</f>
        <v>0</v>
      </c>
      <c r="X319" s="24">
        <f t="array" ref="X319">IF(X$77&gt;" ",(X$628:X$1078),"")</f>
        <v>0</v>
      </c>
      <c r="Y319" s="21">
        <v>0</v>
      </c>
      <c r="Z319" s="34">
        <f t="shared" si="47"/>
        <v>0</v>
      </c>
      <c r="AA319" s="24">
        <f t="shared" si="48"/>
        <v>0</v>
      </c>
      <c r="AB319" s="24">
        <f t="shared" si="49"/>
        <v>0</v>
      </c>
      <c r="AC319" s="24">
        <f t="shared" si="50"/>
        <v>0</v>
      </c>
      <c r="AD319" s="24">
        <f t="shared" si="56"/>
        <v>0</v>
      </c>
      <c r="AE319" s="24">
        <f t="shared" si="56"/>
        <v>0</v>
      </c>
      <c r="AF319" s="24">
        <f t="shared" si="56"/>
        <v>0</v>
      </c>
      <c r="AG319" s="24">
        <f t="shared" si="54"/>
        <v>0</v>
      </c>
      <c r="AH319" s="24">
        <f t="shared" si="53"/>
        <v>0</v>
      </c>
      <c r="AI319" s="24">
        <f t="shared" si="51"/>
        <v>0</v>
      </c>
      <c r="AJ319" s="261">
        <f t="shared" si="52"/>
        <v>0</v>
      </c>
      <c r="AK319" s="13"/>
      <c r="AL319" s="100">
        <v>1300</v>
      </c>
      <c r="AM319" s="202"/>
      <c r="AN319" s="200"/>
      <c r="AO319" s="200"/>
      <c r="AP319" s="283">
        <v>0.35210000000000002</v>
      </c>
      <c r="AR319" s="222">
        <v>97.028699530823246</v>
      </c>
      <c r="AS319" s="223">
        <v>97.039836468937878</v>
      </c>
      <c r="AT319" s="223">
        <v>94.46444127042065</v>
      </c>
      <c r="AU319" s="223">
        <v>94.657904450182173</v>
      </c>
      <c r="AV319" s="223">
        <v>98.063000000000002</v>
      </c>
      <c r="AW319" s="224">
        <v>96.397999999999996</v>
      </c>
      <c r="AX319" s="42"/>
      <c r="AY319" s="181"/>
      <c r="AZ319" s="197"/>
    </row>
    <row r="320" spans="12:52" ht="13" thickBot="1" x14ac:dyDescent="0.3">
      <c r="L320" s="55">
        <v>1295</v>
      </c>
      <c r="M320" s="274">
        <f t="shared" si="58"/>
        <v>0</v>
      </c>
      <c r="N320" s="275">
        <f t="shared" si="58"/>
        <v>0</v>
      </c>
      <c r="O320" s="276" t="e">
        <f ca="1"/>
        <v>#N/A</v>
      </c>
      <c r="Q320" s="34">
        <v>0</v>
      </c>
      <c r="R320" s="24">
        <v>0</v>
      </c>
      <c r="S320" s="24">
        <v>0</v>
      </c>
      <c r="T320" s="24">
        <v>0</v>
      </c>
      <c r="U320" s="24">
        <f t="array" ref="U320">IF(U$77&gt;" ",(U$628:U$1078),"")</f>
        <v>0</v>
      </c>
      <c r="V320" s="24">
        <f t="array" ref="V320">IF(V$77&gt;" ",(V$628:V$1078),"")</f>
        <v>0</v>
      </c>
      <c r="W320" s="24">
        <f t="array" ref="W320">IF(W$77&gt;" ",(W$628:W$1078),"")</f>
        <v>0</v>
      </c>
      <c r="X320" s="24">
        <f t="array" ref="X320">IF(X$77&gt;" ",(X$628:X$1078),"")</f>
        <v>0</v>
      </c>
      <c r="Y320" s="21">
        <v>0</v>
      </c>
      <c r="Z320" s="34">
        <f t="shared" si="47"/>
        <v>0</v>
      </c>
      <c r="AA320" s="24">
        <f t="shared" si="48"/>
        <v>0</v>
      </c>
      <c r="AB320" s="24">
        <f t="shared" si="49"/>
        <v>0</v>
      </c>
      <c r="AC320" s="24">
        <f t="shared" si="50"/>
        <v>0</v>
      </c>
      <c r="AD320" s="24">
        <f t="shared" si="56"/>
        <v>0</v>
      </c>
      <c r="AE320" s="24">
        <f t="shared" si="56"/>
        <v>0</v>
      </c>
      <c r="AF320" s="24">
        <f t="shared" si="56"/>
        <v>0</v>
      </c>
      <c r="AG320" s="24">
        <f t="shared" si="54"/>
        <v>0</v>
      </c>
      <c r="AH320" s="24">
        <f t="shared" si="53"/>
        <v>0</v>
      </c>
      <c r="AI320" s="24">
        <f t="shared" si="51"/>
        <v>0</v>
      </c>
      <c r="AJ320" s="261">
        <f t="shared" si="52"/>
        <v>0</v>
      </c>
      <c r="AK320" s="13"/>
      <c r="AL320" s="100">
        <v>1295</v>
      </c>
      <c r="AM320" s="202"/>
      <c r="AN320" s="200"/>
      <c r="AO320" s="200"/>
      <c r="AP320" s="284">
        <v>0.40400000000000003</v>
      </c>
      <c r="AR320" s="222">
        <v>97.03795495216923</v>
      </c>
      <c r="AS320" s="223">
        <v>97.03770408186142</v>
      </c>
      <c r="AT320" s="223">
        <v>94.45820167962728</v>
      </c>
      <c r="AU320" s="223">
        <v>94.665301732759829</v>
      </c>
      <c r="AV320" s="223">
        <v>98.06</v>
      </c>
      <c r="AW320" s="224">
        <v>96.378500000000003</v>
      </c>
      <c r="AX320" s="42"/>
      <c r="AY320" s="181"/>
      <c r="AZ320" s="197"/>
    </row>
    <row r="321" spans="12:52" ht="13" thickBot="1" x14ac:dyDescent="0.3">
      <c r="L321" s="55">
        <v>1290</v>
      </c>
      <c r="M321" s="274">
        <f t="shared" si="58"/>
        <v>0</v>
      </c>
      <c r="N321" s="275">
        <f t="shared" si="58"/>
        <v>0</v>
      </c>
      <c r="O321" s="276" t="e">
        <f ca="1"/>
        <v>#N/A</v>
      </c>
      <c r="Q321" s="34">
        <v>0</v>
      </c>
      <c r="R321" s="24">
        <v>0</v>
      </c>
      <c r="S321" s="24">
        <v>0</v>
      </c>
      <c r="T321" s="24">
        <v>0</v>
      </c>
      <c r="U321" s="24">
        <f t="array" ref="U321">IF(U$77&gt;" ",(U$628:U$1078),"")</f>
        <v>0</v>
      </c>
      <c r="V321" s="24">
        <f t="array" ref="V321">IF(V$77&gt;" ",(V$628:V$1078),"")</f>
        <v>0</v>
      </c>
      <c r="W321" s="24">
        <f t="array" ref="W321">IF(W$77&gt;" ",(W$628:W$1078),"")</f>
        <v>0</v>
      </c>
      <c r="X321" s="24">
        <f t="array" ref="X321">IF(X$77&gt;" ",(X$628:X$1078),"")</f>
        <v>0</v>
      </c>
      <c r="Y321" s="21">
        <v>0</v>
      </c>
      <c r="Z321" s="34">
        <f t="shared" si="47"/>
        <v>0</v>
      </c>
      <c r="AA321" s="24">
        <f t="shared" si="48"/>
        <v>0</v>
      </c>
      <c r="AB321" s="24">
        <f t="shared" si="49"/>
        <v>0</v>
      </c>
      <c r="AC321" s="24">
        <f t="shared" si="50"/>
        <v>0</v>
      </c>
      <c r="AD321" s="24">
        <f t="shared" si="56"/>
        <v>0</v>
      </c>
      <c r="AE321" s="24">
        <f t="shared" si="56"/>
        <v>0</v>
      </c>
      <c r="AF321" s="24">
        <f t="shared" si="56"/>
        <v>0</v>
      </c>
      <c r="AG321" s="24">
        <f t="shared" si="54"/>
        <v>0</v>
      </c>
      <c r="AH321" s="24">
        <f t="shared" si="53"/>
        <v>0</v>
      </c>
      <c r="AI321" s="24">
        <f t="shared" si="51"/>
        <v>0</v>
      </c>
      <c r="AJ321" s="261">
        <f t="shared" si="52"/>
        <v>0</v>
      </c>
      <c r="AK321" s="13"/>
      <c r="AL321" s="100">
        <v>1290</v>
      </c>
      <c r="AM321" s="202"/>
      <c r="AN321" s="200"/>
      <c r="AO321" s="200"/>
      <c r="AP321" s="283">
        <v>0.41170000000000001</v>
      </c>
      <c r="AR321" s="222">
        <v>97.046020447504532</v>
      </c>
      <c r="AS321" s="223">
        <v>97.030777790772007</v>
      </c>
      <c r="AT321" s="223">
        <v>94.442309346832147</v>
      </c>
      <c r="AU321" s="223">
        <v>94.636129972856835</v>
      </c>
      <c r="AV321" s="223">
        <v>98.057000000000002</v>
      </c>
      <c r="AW321" s="224">
        <v>96.358999999999995</v>
      </c>
      <c r="AX321" s="42"/>
      <c r="AY321" s="181"/>
      <c r="AZ321" s="197"/>
    </row>
    <row r="322" spans="12:52" ht="13" thickBot="1" x14ac:dyDescent="0.3">
      <c r="L322" s="55">
        <v>1285</v>
      </c>
      <c r="M322" s="274">
        <f t="shared" si="58"/>
        <v>0</v>
      </c>
      <c r="N322" s="275">
        <f t="shared" si="58"/>
        <v>0</v>
      </c>
      <c r="O322" s="276" t="e">
        <f ca="1"/>
        <v>#N/A</v>
      </c>
      <c r="Q322" s="34">
        <v>0</v>
      </c>
      <c r="R322" s="24">
        <v>0</v>
      </c>
      <c r="S322" s="24">
        <v>0</v>
      </c>
      <c r="T322" s="24">
        <v>0</v>
      </c>
      <c r="U322" s="24">
        <f t="array" ref="U322">IF(U$77&gt;" ",(U$628:U$1078),"")</f>
        <v>0</v>
      </c>
      <c r="V322" s="24">
        <f t="array" ref="V322">IF(V$77&gt;" ",(V$628:V$1078),"")</f>
        <v>0</v>
      </c>
      <c r="W322" s="24">
        <f t="array" ref="W322">IF(W$77&gt;" ",(W$628:W$1078),"")</f>
        <v>0</v>
      </c>
      <c r="X322" s="24">
        <f t="array" ref="X322">IF(X$77&gt;" ",(X$628:X$1078),"")</f>
        <v>0</v>
      </c>
      <c r="Y322" s="21">
        <v>0</v>
      </c>
      <c r="Z322" s="34">
        <f t="shared" si="47"/>
        <v>0</v>
      </c>
      <c r="AA322" s="24">
        <f t="shared" si="48"/>
        <v>0</v>
      </c>
      <c r="AB322" s="24">
        <f t="shared" si="49"/>
        <v>0</v>
      </c>
      <c r="AC322" s="24">
        <f t="shared" si="50"/>
        <v>0</v>
      </c>
      <c r="AD322" s="24">
        <f t="shared" si="56"/>
        <v>0</v>
      </c>
      <c r="AE322" s="24">
        <f t="shared" si="56"/>
        <v>0</v>
      </c>
      <c r="AF322" s="24">
        <f t="shared" si="56"/>
        <v>0</v>
      </c>
      <c r="AG322" s="24">
        <f t="shared" si="54"/>
        <v>0</v>
      </c>
      <c r="AH322" s="24">
        <f t="shared" si="53"/>
        <v>0</v>
      </c>
      <c r="AI322" s="24">
        <f t="shared" si="51"/>
        <v>0</v>
      </c>
      <c r="AJ322" s="261">
        <f t="shared" si="52"/>
        <v>0</v>
      </c>
      <c r="AK322" s="13"/>
      <c r="AL322" s="100">
        <v>1285</v>
      </c>
      <c r="AM322" s="202"/>
      <c r="AN322" s="200"/>
      <c r="AO322" s="200"/>
      <c r="AP322" s="284">
        <v>0.42280000000000001</v>
      </c>
      <c r="AR322" s="222">
        <v>97.018333398322497</v>
      </c>
      <c r="AS322" s="223">
        <v>97.044019877053032</v>
      </c>
      <c r="AT322" s="223">
        <v>94.403254285319278</v>
      </c>
      <c r="AU322" s="223">
        <v>94.601859358975119</v>
      </c>
      <c r="AV322" s="223">
        <v>98.054500000000004</v>
      </c>
      <c r="AW322" s="224">
        <v>96.336500000000001</v>
      </c>
      <c r="AX322" s="42"/>
      <c r="AY322" s="181"/>
      <c r="AZ322" s="197"/>
    </row>
    <row r="323" spans="12:52" ht="13" thickBot="1" x14ac:dyDescent="0.3">
      <c r="L323" s="55">
        <v>1280</v>
      </c>
      <c r="M323" s="274">
        <f t="shared" si="58"/>
        <v>0</v>
      </c>
      <c r="N323" s="275">
        <f t="shared" si="58"/>
        <v>0</v>
      </c>
      <c r="O323" s="273" t="e">
        <f ca="1"/>
        <v>#N/A</v>
      </c>
      <c r="Q323" s="34">
        <v>0</v>
      </c>
      <c r="R323" s="24">
        <v>0</v>
      </c>
      <c r="S323" s="24">
        <v>0</v>
      </c>
      <c r="T323" s="24">
        <v>0</v>
      </c>
      <c r="U323" s="24">
        <f t="array" ref="U323">IF(U$77&gt;" ",(U$628:U$1078),"")</f>
        <v>0</v>
      </c>
      <c r="V323" s="24">
        <f t="array" ref="V323">IF(V$77&gt;" ",(V$628:V$1078),"")</f>
        <v>0</v>
      </c>
      <c r="W323" s="24">
        <f t="array" ref="W323">IF(W$77&gt;" ",(W$628:W$1078),"")</f>
        <v>0</v>
      </c>
      <c r="X323" s="24">
        <f t="array" ref="X323">IF(X$77&gt;" ",(X$628:X$1078),"")</f>
        <v>0</v>
      </c>
      <c r="Y323" s="21">
        <v>0</v>
      </c>
      <c r="Z323" s="34">
        <f t="shared" si="47"/>
        <v>0</v>
      </c>
      <c r="AA323" s="24">
        <f t="shared" si="48"/>
        <v>0</v>
      </c>
      <c r="AB323" s="24">
        <f t="shared" si="49"/>
        <v>0</v>
      </c>
      <c r="AC323" s="24">
        <f t="shared" si="50"/>
        <v>0</v>
      </c>
      <c r="AD323" s="24">
        <f t="shared" si="56"/>
        <v>0</v>
      </c>
      <c r="AE323" s="24">
        <f t="shared" si="56"/>
        <v>0</v>
      </c>
      <c r="AF323" s="24">
        <f t="shared" si="56"/>
        <v>0</v>
      </c>
      <c r="AG323" s="24">
        <f t="shared" si="54"/>
        <v>0</v>
      </c>
      <c r="AH323" s="24">
        <f t="shared" si="53"/>
        <v>0</v>
      </c>
      <c r="AI323" s="24">
        <f t="shared" si="51"/>
        <v>0</v>
      </c>
      <c r="AJ323" s="261">
        <f t="shared" si="52"/>
        <v>0</v>
      </c>
      <c r="AK323" s="13"/>
      <c r="AL323" s="100">
        <v>1280</v>
      </c>
      <c r="AM323" s="202"/>
      <c r="AN323" s="200"/>
      <c r="AO323" s="200"/>
      <c r="AP323" s="283">
        <v>0.42080000000000001</v>
      </c>
      <c r="AR323" s="222">
        <v>97.023372335989976</v>
      </c>
      <c r="AS323" s="223">
        <v>97.007611843859237</v>
      </c>
      <c r="AT323" s="223">
        <v>94.39067732999338</v>
      </c>
      <c r="AU323" s="223">
        <v>94.587551956793575</v>
      </c>
      <c r="AV323" s="223">
        <v>98.051999999999992</v>
      </c>
      <c r="AW323" s="224">
        <v>96.313999999999993</v>
      </c>
      <c r="AX323" s="42"/>
      <c r="AY323" s="181"/>
      <c r="AZ323" s="197"/>
    </row>
    <row r="324" spans="12:52" ht="13" thickBot="1" x14ac:dyDescent="0.3">
      <c r="L324" s="55">
        <v>1275</v>
      </c>
      <c r="M324" s="274">
        <f t="shared" si="58"/>
        <v>0</v>
      </c>
      <c r="N324" s="275">
        <f t="shared" si="58"/>
        <v>0</v>
      </c>
      <c r="O324" s="273" t="e">
        <f ca="1"/>
        <v>#N/A</v>
      </c>
      <c r="Q324" s="34">
        <v>0</v>
      </c>
      <c r="R324" s="24">
        <v>0</v>
      </c>
      <c r="S324" s="24">
        <v>0</v>
      </c>
      <c r="T324" s="24">
        <v>0</v>
      </c>
      <c r="U324" s="24">
        <f t="array" ref="U324">IF(U$77&gt;" ",(U$628:U$1078),"")</f>
        <v>0</v>
      </c>
      <c r="V324" s="24">
        <f t="array" ref="V324">IF(V$77&gt;" ",(V$628:V$1078),"")</f>
        <v>0</v>
      </c>
      <c r="W324" s="24">
        <f t="array" ref="W324">IF(W$77&gt;" ",(W$628:W$1078),"")</f>
        <v>0</v>
      </c>
      <c r="X324" s="24">
        <f t="array" ref="X324">IF(X$77&gt;" ",(X$628:X$1078),"")</f>
        <v>0</v>
      </c>
      <c r="Y324" s="21">
        <v>0</v>
      </c>
      <c r="Z324" s="34">
        <f t="shared" si="47"/>
        <v>0</v>
      </c>
      <c r="AA324" s="24">
        <f t="shared" si="48"/>
        <v>0</v>
      </c>
      <c r="AB324" s="24">
        <f t="shared" si="49"/>
        <v>0</v>
      </c>
      <c r="AC324" s="24">
        <f t="shared" si="50"/>
        <v>0</v>
      </c>
      <c r="AD324" s="24">
        <f t="shared" si="56"/>
        <v>0</v>
      </c>
      <c r="AE324" s="24">
        <f t="shared" si="56"/>
        <v>0</v>
      </c>
      <c r="AF324" s="24">
        <f t="shared" si="56"/>
        <v>0</v>
      </c>
      <c r="AG324" s="24">
        <f t="shared" si="54"/>
        <v>0</v>
      </c>
      <c r="AH324" s="24">
        <f t="shared" si="53"/>
        <v>0</v>
      </c>
      <c r="AI324" s="24">
        <f t="shared" si="51"/>
        <v>0</v>
      </c>
      <c r="AJ324" s="261">
        <f t="shared" si="52"/>
        <v>0</v>
      </c>
      <c r="AK324" s="13"/>
      <c r="AL324" s="100">
        <v>1275</v>
      </c>
      <c r="AM324" s="202"/>
      <c r="AN324" s="200"/>
      <c r="AO324" s="200"/>
      <c r="AP324" s="284">
        <v>0.41110000000000002</v>
      </c>
      <c r="AR324" s="222">
        <v>97.029839700231378</v>
      </c>
      <c r="AS324" s="223">
        <v>97.01747467036104</v>
      </c>
      <c r="AT324" s="223">
        <v>94.392243923859482</v>
      </c>
      <c r="AU324" s="223">
        <v>94.580516076938025</v>
      </c>
      <c r="AV324" s="223">
        <v>98.051000000000002</v>
      </c>
      <c r="AW324" s="224">
        <v>96.292999999999992</v>
      </c>
      <c r="AX324" s="42"/>
      <c r="AY324" s="181"/>
      <c r="AZ324" s="197"/>
    </row>
    <row r="325" spans="12:52" ht="13" thickBot="1" x14ac:dyDescent="0.3">
      <c r="L325" s="55">
        <v>1270</v>
      </c>
      <c r="M325" s="274">
        <f t="shared" si="58"/>
        <v>0</v>
      </c>
      <c r="N325" s="275">
        <f t="shared" si="58"/>
        <v>0</v>
      </c>
      <c r="O325" s="273" t="e">
        <f ca="1"/>
        <v>#N/A</v>
      </c>
      <c r="Q325" s="34">
        <v>0</v>
      </c>
      <c r="R325" s="24">
        <v>0</v>
      </c>
      <c r="S325" s="24">
        <v>0</v>
      </c>
      <c r="T325" s="24">
        <v>0</v>
      </c>
      <c r="U325" s="24">
        <f t="array" ref="U325">IF(U$77&gt;" ",(U$628:U$1078),"")</f>
        <v>0</v>
      </c>
      <c r="V325" s="24">
        <f t="array" ref="V325">IF(V$77&gt;" ",(V$628:V$1078),"")</f>
        <v>0</v>
      </c>
      <c r="W325" s="24">
        <f t="array" ref="W325">IF(W$77&gt;" ",(W$628:W$1078),"")</f>
        <v>0</v>
      </c>
      <c r="X325" s="24">
        <f t="array" ref="X325">IF(X$77&gt;" ",(X$628:X$1078),"")</f>
        <v>0</v>
      </c>
      <c r="Y325" s="21">
        <v>0</v>
      </c>
      <c r="Z325" s="34">
        <f t="shared" si="47"/>
        <v>0</v>
      </c>
      <c r="AA325" s="24">
        <f t="shared" si="48"/>
        <v>0</v>
      </c>
      <c r="AB325" s="24">
        <f t="shared" si="49"/>
        <v>0</v>
      </c>
      <c r="AC325" s="24">
        <f t="shared" si="50"/>
        <v>0</v>
      </c>
      <c r="AD325" s="24">
        <f t="shared" si="56"/>
        <v>0</v>
      </c>
      <c r="AE325" s="24">
        <f t="shared" si="56"/>
        <v>0</v>
      </c>
      <c r="AF325" s="24">
        <f t="shared" si="56"/>
        <v>0</v>
      </c>
      <c r="AG325" s="24">
        <f t="shared" si="54"/>
        <v>0</v>
      </c>
      <c r="AH325" s="24">
        <f t="shared" si="53"/>
        <v>0</v>
      </c>
      <c r="AI325" s="24">
        <f t="shared" si="51"/>
        <v>0</v>
      </c>
      <c r="AJ325" s="261">
        <f t="shared" si="52"/>
        <v>0</v>
      </c>
      <c r="AK325" s="13"/>
      <c r="AL325" s="100">
        <v>1270</v>
      </c>
      <c r="AM325" s="202"/>
      <c r="AN325" s="200"/>
      <c r="AO325" s="200"/>
      <c r="AP325" s="283">
        <v>0.38629999999999998</v>
      </c>
      <c r="AR325" s="222">
        <v>97.009677060969253</v>
      </c>
      <c r="AS325" s="223">
        <v>97.009237685147582</v>
      </c>
      <c r="AT325" s="223">
        <v>94.367829426882111</v>
      </c>
      <c r="AU325" s="223">
        <v>94.56143019551034</v>
      </c>
      <c r="AV325" s="223">
        <v>98.05</v>
      </c>
      <c r="AW325" s="224">
        <v>96.272000000000006</v>
      </c>
      <c r="AX325" s="42"/>
      <c r="AY325" s="181"/>
      <c r="AZ325" s="197"/>
    </row>
    <row r="326" spans="12:52" ht="13" thickBot="1" x14ac:dyDescent="0.3">
      <c r="L326" s="55">
        <v>1265</v>
      </c>
      <c r="M326" s="274">
        <f t="shared" si="58"/>
        <v>0</v>
      </c>
      <c r="N326" s="275">
        <f t="shared" si="58"/>
        <v>0</v>
      </c>
      <c r="O326" s="273" t="e">
        <f ca="1"/>
        <v>#N/A</v>
      </c>
      <c r="Q326" s="34">
        <v>0</v>
      </c>
      <c r="R326" s="24">
        <v>0</v>
      </c>
      <c r="S326" s="24">
        <v>0</v>
      </c>
      <c r="T326" s="24">
        <v>0</v>
      </c>
      <c r="U326" s="24">
        <f t="array" ref="U326">IF(U$77&gt;" ",(U$628:U$1078),"")</f>
        <v>0</v>
      </c>
      <c r="V326" s="24">
        <f t="array" ref="V326">IF(V$77&gt;" ",(V$628:V$1078),"")</f>
        <v>0</v>
      </c>
      <c r="W326" s="24">
        <f t="array" ref="W326">IF(W$77&gt;" ",(W$628:W$1078),"")</f>
        <v>0</v>
      </c>
      <c r="X326" s="24">
        <f t="array" ref="X326">IF(X$77&gt;" ",(X$628:X$1078),"")</f>
        <v>0</v>
      </c>
      <c r="Y326" s="21">
        <v>0</v>
      </c>
      <c r="Z326" s="34">
        <f t="shared" si="47"/>
        <v>0</v>
      </c>
      <c r="AA326" s="24">
        <f t="shared" si="48"/>
        <v>0</v>
      </c>
      <c r="AB326" s="24">
        <f t="shared" si="49"/>
        <v>0</v>
      </c>
      <c r="AC326" s="24">
        <f t="shared" si="50"/>
        <v>0</v>
      </c>
      <c r="AD326" s="24">
        <f t="shared" si="56"/>
        <v>0</v>
      </c>
      <c r="AE326" s="24">
        <f t="shared" si="56"/>
        <v>0</v>
      </c>
      <c r="AF326" s="24">
        <f t="shared" si="56"/>
        <v>0</v>
      </c>
      <c r="AG326" s="24">
        <f t="shared" si="54"/>
        <v>0</v>
      </c>
      <c r="AH326" s="24">
        <f t="shared" si="53"/>
        <v>0</v>
      </c>
      <c r="AI326" s="24">
        <f t="shared" si="51"/>
        <v>0</v>
      </c>
      <c r="AJ326" s="261">
        <f t="shared" si="52"/>
        <v>0</v>
      </c>
      <c r="AK326" s="13"/>
      <c r="AL326" s="100">
        <v>1265</v>
      </c>
      <c r="AM326" s="202"/>
      <c r="AN326" s="200"/>
      <c r="AO326" s="200"/>
      <c r="AP326" s="284">
        <v>0.39460000000000001</v>
      </c>
      <c r="AR326" s="222">
        <v>96.993635424929607</v>
      </c>
      <c r="AS326" s="223">
        <v>96.998292355118338</v>
      </c>
      <c r="AT326" s="223">
        <v>94.362339442787473</v>
      </c>
      <c r="AU326" s="223">
        <v>94.56199027833712</v>
      </c>
      <c r="AV326" s="223">
        <v>98.046500000000009</v>
      </c>
      <c r="AW326" s="224">
        <v>96.249499999999998</v>
      </c>
      <c r="AX326" s="42"/>
      <c r="AY326" s="181"/>
      <c r="AZ326" s="197"/>
    </row>
    <row r="327" spans="12:52" ht="13" thickBot="1" x14ac:dyDescent="0.3">
      <c r="L327" s="55">
        <v>1260</v>
      </c>
      <c r="M327" s="274">
        <f t="shared" si="58"/>
        <v>0</v>
      </c>
      <c r="N327" s="275">
        <f t="shared" si="58"/>
        <v>0</v>
      </c>
      <c r="O327" s="276" t="e">
        <f ca="1"/>
        <v>#N/A</v>
      </c>
      <c r="Q327" s="34">
        <v>0</v>
      </c>
      <c r="R327" s="24">
        <v>0</v>
      </c>
      <c r="S327" s="24">
        <v>0</v>
      </c>
      <c r="T327" s="24">
        <v>0</v>
      </c>
      <c r="U327" s="24">
        <f t="array" ref="U327">IF(U$77&gt;" ",(U$628:U$1078),"")</f>
        <v>0</v>
      </c>
      <c r="V327" s="24">
        <f t="array" ref="V327">IF(V$77&gt;" ",(V$628:V$1078),"")</f>
        <v>0</v>
      </c>
      <c r="W327" s="24">
        <f t="array" ref="W327">IF(W$77&gt;" ",(W$628:W$1078),"")</f>
        <v>0</v>
      </c>
      <c r="X327" s="24">
        <f t="array" ref="X327">IF(X$77&gt;" ",(X$628:X$1078),"")</f>
        <v>0</v>
      </c>
      <c r="Y327" s="21">
        <v>0</v>
      </c>
      <c r="Z327" s="34">
        <f t="shared" si="47"/>
        <v>0</v>
      </c>
      <c r="AA327" s="24">
        <f t="shared" si="48"/>
        <v>0</v>
      </c>
      <c r="AB327" s="24">
        <f t="shared" si="49"/>
        <v>0</v>
      </c>
      <c r="AC327" s="24">
        <f t="shared" si="50"/>
        <v>0</v>
      </c>
      <c r="AD327" s="24">
        <f t="shared" si="56"/>
        <v>0</v>
      </c>
      <c r="AE327" s="24">
        <f t="shared" si="56"/>
        <v>0</v>
      </c>
      <c r="AF327" s="24">
        <f t="shared" si="56"/>
        <v>0</v>
      </c>
      <c r="AG327" s="24">
        <f t="shared" si="54"/>
        <v>0</v>
      </c>
      <c r="AH327" s="24">
        <f t="shared" si="53"/>
        <v>0</v>
      </c>
      <c r="AI327" s="24">
        <f t="shared" si="51"/>
        <v>0</v>
      </c>
      <c r="AJ327" s="261">
        <f t="shared" si="52"/>
        <v>0</v>
      </c>
      <c r="AK327" s="13"/>
      <c r="AL327" s="100">
        <v>1260</v>
      </c>
      <c r="AM327" s="202"/>
      <c r="AN327" s="200"/>
      <c r="AO327" s="200"/>
      <c r="AP327" s="283">
        <v>0.42980000000000002</v>
      </c>
      <c r="AR327" s="222">
        <v>97.006524421590484</v>
      </c>
      <c r="AS327" s="223">
        <v>96.987482063010305</v>
      </c>
      <c r="AT327" s="223">
        <v>94.324360345333517</v>
      </c>
      <c r="AU327" s="223">
        <v>94.529747659464022</v>
      </c>
      <c r="AV327" s="223">
        <v>98.043000000000006</v>
      </c>
      <c r="AW327" s="224">
        <v>96.22699999999999</v>
      </c>
      <c r="AX327" s="42"/>
      <c r="AY327" s="181"/>
      <c r="AZ327" s="197"/>
    </row>
    <row r="328" spans="12:52" ht="13" thickBot="1" x14ac:dyDescent="0.3">
      <c r="L328" s="55">
        <v>1255</v>
      </c>
      <c r="M328" s="274">
        <f t="shared" si="58"/>
        <v>0</v>
      </c>
      <c r="N328" s="275">
        <f t="shared" si="58"/>
        <v>0</v>
      </c>
      <c r="O328" s="276" t="e">
        <f ca="1"/>
        <v>#N/A</v>
      </c>
      <c r="Q328" s="34">
        <v>0</v>
      </c>
      <c r="R328" s="24">
        <v>0</v>
      </c>
      <c r="S328" s="24">
        <v>0</v>
      </c>
      <c r="T328" s="24">
        <v>0</v>
      </c>
      <c r="U328" s="24">
        <f t="array" ref="U328">IF(U$77&gt;" ",(U$628:U$1078),"")</f>
        <v>0</v>
      </c>
      <c r="V328" s="24">
        <f t="array" ref="V328">IF(V$77&gt;" ",(V$628:V$1078),"")</f>
        <v>0</v>
      </c>
      <c r="W328" s="24">
        <f t="array" ref="W328">IF(W$77&gt;" ",(W$628:W$1078),"")</f>
        <v>0</v>
      </c>
      <c r="X328" s="24">
        <f t="array" ref="X328">IF(X$77&gt;" ",(X$628:X$1078),"")</f>
        <v>0</v>
      </c>
      <c r="Y328" s="21">
        <v>0</v>
      </c>
      <c r="Z328" s="34">
        <f t="shared" si="47"/>
        <v>0</v>
      </c>
      <c r="AA328" s="24">
        <f t="shared" si="48"/>
        <v>0</v>
      </c>
      <c r="AB328" s="24">
        <f t="shared" si="49"/>
        <v>0</v>
      </c>
      <c r="AC328" s="24">
        <f t="shared" si="50"/>
        <v>0</v>
      </c>
      <c r="AD328" s="24">
        <f t="shared" si="56"/>
        <v>0</v>
      </c>
      <c r="AE328" s="24">
        <f t="shared" si="56"/>
        <v>0</v>
      </c>
      <c r="AF328" s="24">
        <f t="shared" si="56"/>
        <v>0</v>
      </c>
      <c r="AG328" s="24">
        <f t="shared" si="54"/>
        <v>0</v>
      </c>
      <c r="AH328" s="24">
        <f t="shared" si="53"/>
        <v>0</v>
      </c>
      <c r="AI328" s="24">
        <f t="shared" si="51"/>
        <v>0</v>
      </c>
      <c r="AJ328" s="261">
        <f t="shared" si="52"/>
        <v>0</v>
      </c>
      <c r="AK328" s="13"/>
      <c r="AL328" s="100">
        <v>1255</v>
      </c>
      <c r="AM328" s="202"/>
      <c r="AN328" s="200"/>
      <c r="AO328" s="200"/>
      <c r="AP328" s="284">
        <v>0.44940000000000002</v>
      </c>
      <c r="AR328" s="222">
        <v>96.997305922621251</v>
      </c>
      <c r="AS328" s="223">
        <v>96.96354670362571</v>
      </c>
      <c r="AT328" s="223">
        <v>94.31909761264167</v>
      </c>
      <c r="AU328" s="223">
        <v>94.5128378871146</v>
      </c>
      <c r="AV328" s="223">
        <v>98.04</v>
      </c>
      <c r="AW328" s="224">
        <v>96.201999999999998</v>
      </c>
      <c r="AX328" s="42"/>
      <c r="AY328" s="181"/>
      <c r="AZ328" s="197"/>
    </row>
    <row r="329" spans="12:52" ht="13" thickBot="1" x14ac:dyDescent="0.3">
      <c r="L329" s="55">
        <v>1250</v>
      </c>
      <c r="M329" s="274">
        <f t="shared" si="58"/>
        <v>0</v>
      </c>
      <c r="N329" s="275">
        <f t="shared" si="58"/>
        <v>0</v>
      </c>
      <c r="O329" s="276" t="e">
        <f ca="1"/>
        <v>#N/A</v>
      </c>
      <c r="Q329" s="34">
        <v>0</v>
      </c>
      <c r="R329" s="24">
        <v>0</v>
      </c>
      <c r="S329" s="24">
        <v>0</v>
      </c>
      <c r="T329" s="24">
        <v>0</v>
      </c>
      <c r="U329" s="24">
        <f t="array" ref="U329">IF(U$77&gt;" ",(U$628:U$1078),"")</f>
        <v>0</v>
      </c>
      <c r="V329" s="24">
        <f t="array" ref="V329">IF(V$77&gt;" ",(V$628:V$1078),"")</f>
        <v>0</v>
      </c>
      <c r="W329" s="24">
        <f t="array" ref="W329">IF(W$77&gt;" ",(W$628:W$1078),"")</f>
        <v>0</v>
      </c>
      <c r="X329" s="24">
        <f t="array" ref="X329">IF(X$77&gt;" ",(X$628:X$1078),"")</f>
        <v>0</v>
      </c>
      <c r="Y329" s="21">
        <v>0</v>
      </c>
      <c r="Z329" s="34">
        <f t="shared" si="47"/>
        <v>0</v>
      </c>
      <c r="AA329" s="24">
        <f t="shared" si="48"/>
        <v>0</v>
      </c>
      <c r="AB329" s="24">
        <f t="shared" si="49"/>
        <v>0</v>
      </c>
      <c r="AC329" s="24">
        <f t="shared" si="50"/>
        <v>0</v>
      </c>
      <c r="AD329" s="24">
        <f t="shared" si="56"/>
        <v>0</v>
      </c>
      <c r="AE329" s="24">
        <f t="shared" si="56"/>
        <v>0</v>
      </c>
      <c r="AF329" s="24">
        <f t="shared" si="56"/>
        <v>0</v>
      </c>
      <c r="AG329" s="24">
        <f t="shared" si="54"/>
        <v>0</v>
      </c>
      <c r="AH329" s="24">
        <f t="shared" si="53"/>
        <v>0</v>
      </c>
      <c r="AI329" s="24">
        <f t="shared" si="51"/>
        <v>0</v>
      </c>
      <c r="AJ329" s="261">
        <f t="shared" si="52"/>
        <v>0</v>
      </c>
      <c r="AK329" s="13"/>
      <c r="AL329" s="100">
        <v>1250</v>
      </c>
      <c r="AM329" s="202"/>
      <c r="AN329" s="200"/>
      <c r="AO329" s="200"/>
      <c r="AP329" s="283">
        <v>0.45569999999999999</v>
      </c>
      <c r="AR329" s="222">
        <v>96.991748786302537</v>
      </c>
      <c r="AS329" s="223">
        <v>96.98702243093642</v>
      </c>
      <c r="AT329" s="223">
        <v>94.326147980702558</v>
      </c>
      <c r="AU329" s="223">
        <v>94.511333032994415</v>
      </c>
      <c r="AV329" s="223">
        <v>98.036999999999992</v>
      </c>
      <c r="AW329" s="224">
        <v>96.177000000000007</v>
      </c>
      <c r="AX329" s="42"/>
      <c r="AY329" s="181"/>
      <c r="AZ329" s="197"/>
    </row>
    <row r="330" spans="12:52" ht="13" thickBot="1" x14ac:dyDescent="0.3">
      <c r="L330" s="55">
        <v>1245</v>
      </c>
      <c r="M330" s="274">
        <f t="shared" si="58"/>
        <v>0</v>
      </c>
      <c r="N330" s="275">
        <f t="shared" si="58"/>
        <v>0</v>
      </c>
      <c r="O330" s="276" t="e">
        <f ca="1"/>
        <v>#N/A</v>
      </c>
      <c r="Q330" s="34">
        <v>0</v>
      </c>
      <c r="R330" s="24">
        <v>0</v>
      </c>
      <c r="S330" s="24">
        <v>0</v>
      </c>
      <c r="T330" s="24">
        <v>0</v>
      </c>
      <c r="U330" s="24">
        <f t="array" ref="U330">IF(U$77&gt;" ",(U$628:U$1078),"")</f>
        <v>0</v>
      </c>
      <c r="V330" s="24">
        <f t="array" ref="V330">IF(V$77&gt;" ",(V$628:V$1078),"")</f>
        <v>0</v>
      </c>
      <c r="W330" s="24">
        <f t="array" ref="W330">IF(W$77&gt;" ",(W$628:W$1078),"")</f>
        <v>0</v>
      </c>
      <c r="X330" s="24">
        <f t="array" ref="X330">IF(X$77&gt;" ",(X$628:X$1078),"")</f>
        <v>0</v>
      </c>
      <c r="Y330" s="21">
        <v>0</v>
      </c>
      <c r="Z330" s="34">
        <f t="shared" si="47"/>
        <v>0</v>
      </c>
      <c r="AA330" s="24">
        <f t="shared" si="48"/>
        <v>0</v>
      </c>
      <c r="AB330" s="24">
        <f t="shared" si="49"/>
        <v>0</v>
      </c>
      <c r="AC330" s="24">
        <f t="shared" si="50"/>
        <v>0</v>
      </c>
      <c r="AD330" s="24">
        <f t="shared" si="56"/>
        <v>0</v>
      </c>
      <c r="AE330" s="24">
        <f t="shared" si="56"/>
        <v>0</v>
      </c>
      <c r="AF330" s="24">
        <f t="shared" si="56"/>
        <v>0</v>
      </c>
      <c r="AG330" s="24">
        <f t="shared" si="54"/>
        <v>0</v>
      </c>
      <c r="AH330" s="24">
        <f t="shared" si="53"/>
        <v>0</v>
      </c>
      <c r="AI330" s="24">
        <f t="shared" si="51"/>
        <v>0</v>
      </c>
      <c r="AJ330" s="261">
        <f t="shared" si="52"/>
        <v>0</v>
      </c>
      <c r="AK330" s="13"/>
      <c r="AL330" s="100">
        <v>1245</v>
      </c>
      <c r="AM330" s="202"/>
      <c r="AN330" s="200"/>
      <c r="AO330" s="200"/>
      <c r="AP330" s="284">
        <v>0.45519999999999999</v>
      </c>
      <c r="AR330" s="222">
        <v>97.014845610923444</v>
      </c>
      <c r="AS330" s="223">
        <v>96.976950860586598</v>
      </c>
      <c r="AT330" s="223">
        <v>94.285571438346565</v>
      </c>
      <c r="AU330" s="223">
        <v>94.484052265463447</v>
      </c>
      <c r="AV330" s="223">
        <v>98.036000000000001</v>
      </c>
      <c r="AW330" s="224">
        <v>96.150999999999996</v>
      </c>
      <c r="AX330" s="42"/>
      <c r="AY330" s="181"/>
      <c r="AZ330" s="197"/>
    </row>
    <row r="331" spans="12:52" ht="13" thickBot="1" x14ac:dyDescent="0.3">
      <c r="L331" s="55">
        <v>1240</v>
      </c>
      <c r="M331" s="274">
        <f t="shared" si="58"/>
        <v>0</v>
      </c>
      <c r="N331" s="275">
        <f t="shared" si="58"/>
        <v>0</v>
      </c>
      <c r="O331" s="276" t="e">
        <f ca="1"/>
        <v>#N/A</v>
      </c>
      <c r="Q331" s="34">
        <v>0</v>
      </c>
      <c r="R331" s="24">
        <v>0</v>
      </c>
      <c r="S331" s="24">
        <v>0</v>
      </c>
      <c r="T331" s="24">
        <v>0</v>
      </c>
      <c r="U331" s="24">
        <f t="array" ref="U331">IF(U$77&gt;" ",(U$628:U$1078),"")</f>
        <v>0</v>
      </c>
      <c r="V331" s="24">
        <f t="array" ref="V331">IF(V$77&gt;" ",(V$628:V$1078),"")</f>
        <v>0</v>
      </c>
      <c r="W331" s="24">
        <f t="array" ref="W331">IF(W$77&gt;" ",(W$628:W$1078),"")</f>
        <v>0</v>
      </c>
      <c r="X331" s="24">
        <f t="array" ref="X331">IF(X$77&gt;" ",(X$628:X$1078),"")</f>
        <v>0</v>
      </c>
      <c r="Y331" s="21">
        <v>0</v>
      </c>
      <c r="Z331" s="34">
        <f t="shared" si="47"/>
        <v>0</v>
      </c>
      <c r="AA331" s="24">
        <f t="shared" si="48"/>
        <v>0</v>
      </c>
      <c r="AB331" s="24">
        <f t="shared" si="49"/>
        <v>0</v>
      </c>
      <c r="AC331" s="24">
        <f t="shared" si="50"/>
        <v>0</v>
      </c>
      <c r="AD331" s="24">
        <f t="shared" si="56"/>
        <v>0</v>
      </c>
      <c r="AE331" s="24">
        <f t="shared" si="56"/>
        <v>0</v>
      </c>
      <c r="AF331" s="24">
        <f t="shared" si="56"/>
        <v>0</v>
      </c>
      <c r="AG331" s="24">
        <f t="shared" si="54"/>
        <v>0</v>
      </c>
      <c r="AH331" s="24">
        <f t="shared" si="53"/>
        <v>0</v>
      </c>
      <c r="AI331" s="24">
        <f t="shared" si="51"/>
        <v>0</v>
      </c>
      <c r="AJ331" s="261">
        <f t="shared" si="52"/>
        <v>0</v>
      </c>
      <c r="AK331" s="13"/>
      <c r="AL331" s="100">
        <v>1240</v>
      </c>
      <c r="AM331" s="202"/>
      <c r="AN331" s="200"/>
      <c r="AO331" s="200"/>
      <c r="AP331" s="283">
        <v>0.45939999999999998</v>
      </c>
      <c r="AR331" s="222">
        <v>96.9814049261458</v>
      </c>
      <c r="AS331" s="223">
        <v>96.949303527552047</v>
      </c>
      <c r="AT331" s="223">
        <v>94.306254283932205</v>
      </c>
      <c r="AU331" s="223">
        <v>94.495849932345848</v>
      </c>
      <c r="AV331" s="223">
        <v>98.034999999999997</v>
      </c>
      <c r="AW331" s="224">
        <v>96.125</v>
      </c>
      <c r="AX331" s="42"/>
      <c r="AY331" s="181"/>
      <c r="AZ331" s="197"/>
    </row>
    <row r="332" spans="12:52" ht="13" thickBot="1" x14ac:dyDescent="0.3">
      <c r="L332" s="55">
        <v>1235</v>
      </c>
      <c r="M332" s="274">
        <f t="shared" si="58"/>
        <v>0</v>
      </c>
      <c r="N332" s="275">
        <f t="shared" si="58"/>
        <v>0</v>
      </c>
      <c r="O332" s="276" t="e">
        <f ca="1"/>
        <v>#N/A</v>
      </c>
      <c r="Q332" s="34">
        <v>0</v>
      </c>
      <c r="R332" s="24">
        <v>0</v>
      </c>
      <c r="S332" s="24">
        <v>0</v>
      </c>
      <c r="T332" s="24">
        <v>0</v>
      </c>
      <c r="U332" s="24">
        <f t="array" ref="U332">IF(U$77&gt;" ",(U$628:U$1078),"")</f>
        <v>0</v>
      </c>
      <c r="V332" s="24">
        <f t="array" ref="V332">IF(V$77&gt;" ",(V$628:V$1078),"")</f>
        <v>0</v>
      </c>
      <c r="W332" s="24">
        <f t="array" ref="W332">IF(W$77&gt;" ",(W$628:W$1078),"")</f>
        <v>0</v>
      </c>
      <c r="X332" s="24">
        <f t="array" ref="X332">IF(X$77&gt;" ",(X$628:X$1078),"")</f>
        <v>0</v>
      </c>
      <c r="Y332" s="21">
        <v>0</v>
      </c>
      <c r="Z332" s="34">
        <f t="shared" si="47"/>
        <v>0</v>
      </c>
      <c r="AA332" s="24">
        <f t="shared" si="48"/>
        <v>0</v>
      </c>
      <c r="AB332" s="24">
        <f t="shared" si="49"/>
        <v>0</v>
      </c>
      <c r="AC332" s="24">
        <f t="shared" si="50"/>
        <v>0</v>
      </c>
      <c r="AD332" s="24">
        <f t="shared" si="56"/>
        <v>0</v>
      </c>
      <c r="AE332" s="24">
        <f t="shared" si="56"/>
        <v>0</v>
      </c>
      <c r="AF332" s="24">
        <f t="shared" si="56"/>
        <v>0</v>
      </c>
      <c r="AG332" s="24">
        <f t="shared" si="54"/>
        <v>0</v>
      </c>
      <c r="AH332" s="24">
        <f t="shared" si="53"/>
        <v>0</v>
      </c>
      <c r="AI332" s="24">
        <f t="shared" si="51"/>
        <v>0</v>
      </c>
      <c r="AJ332" s="261">
        <f t="shared" si="52"/>
        <v>0</v>
      </c>
      <c r="AK332" s="13"/>
      <c r="AL332" s="100">
        <v>1235</v>
      </c>
      <c r="AM332" s="202"/>
      <c r="AN332" s="200"/>
      <c r="AO332" s="200"/>
      <c r="AP332" s="284">
        <v>0.4637</v>
      </c>
      <c r="AR332" s="222">
        <v>96.961678668200548</v>
      </c>
      <c r="AS332" s="223">
        <v>96.986153348642858</v>
      </c>
      <c r="AT332" s="223">
        <v>94.280483551648885</v>
      </c>
      <c r="AU332" s="223">
        <v>94.481258573789134</v>
      </c>
      <c r="AV332" s="223">
        <v>98.036500000000004</v>
      </c>
      <c r="AW332" s="224">
        <v>96.098500000000001</v>
      </c>
      <c r="AX332" s="42"/>
      <c r="AY332" s="181"/>
      <c r="AZ332" s="197"/>
    </row>
    <row r="333" spans="12:52" ht="13" thickBot="1" x14ac:dyDescent="0.3">
      <c r="L333" s="55">
        <v>1230</v>
      </c>
      <c r="M333" s="274">
        <f t="shared" si="58"/>
        <v>0</v>
      </c>
      <c r="N333" s="275">
        <f t="shared" si="58"/>
        <v>0</v>
      </c>
      <c r="O333" s="276" t="e">
        <f ca="1"/>
        <v>#N/A</v>
      </c>
      <c r="Q333" s="34">
        <v>0</v>
      </c>
      <c r="R333" s="24">
        <v>0</v>
      </c>
      <c r="S333" s="24">
        <v>0</v>
      </c>
      <c r="T333" s="24">
        <v>0</v>
      </c>
      <c r="U333" s="24">
        <f t="array" ref="U333">IF(U$77&gt;" ",(U$628:U$1078),"")</f>
        <v>0</v>
      </c>
      <c r="V333" s="24">
        <f t="array" ref="V333">IF(V$77&gt;" ",(V$628:V$1078),"")</f>
        <v>0</v>
      </c>
      <c r="W333" s="24">
        <f t="array" ref="W333">IF(W$77&gt;" ",(W$628:W$1078),"")</f>
        <v>0</v>
      </c>
      <c r="X333" s="24">
        <f t="array" ref="X333">IF(X$77&gt;" ",(X$628:X$1078),"")</f>
        <v>0</v>
      </c>
      <c r="Y333" s="21">
        <v>0</v>
      </c>
      <c r="Z333" s="34">
        <f t="shared" si="47"/>
        <v>0</v>
      </c>
      <c r="AA333" s="24">
        <f t="shared" si="48"/>
        <v>0</v>
      </c>
      <c r="AB333" s="24">
        <f t="shared" si="49"/>
        <v>0</v>
      </c>
      <c r="AC333" s="24">
        <f t="shared" si="50"/>
        <v>0</v>
      </c>
      <c r="AD333" s="24">
        <f t="shared" si="56"/>
        <v>0</v>
      </c>
      <c r="AE333" s="24">
        <f t="shared" si="56"/>
        <v>0</v>
      </c>
      <c r="AF333" s="24">
        <f t="shared" si="56"/>
        <v>0</v>
      </c>
      <c r="AG333" s="24">
        <f t="shared" si="54"/>
        <v>0</v>
      </c>
      <c r="AH333" s="24">
        <f t="shared" si="53"/>
        <v>0</v>
      </c>
      <c r="AI333" s="24">
        <f t="shared" si="51"/>
        <v>0</v>
      </c>
      <c r="AJ333" s="261">
        <f t="shared" si="52"/>
        <v>0</v>
      </c>
      <c r="AK333" s="13"/>
      <c r="AL333" s="100">
        <v>1230</v>
      </c>
      <c r="AM333" s="202"/>
      <c r="AN333" s="200"/>
      <c r="AO333" s="200"/>
      <c r="AP333" s="283">
        <v>0.4587</v>
      </c>
      <c r="AR333" s="222">
        <v>96.968646970080229</v>
      </c>
      <c r="AS333" s="223">
        <v>96.945321650502819</v>
      </c>
      <c r="AT333" s="223">
        <v>94.294811096992817</v>
      </c>
      <c r="AU333" s="223">
        <v>94.501868738208017</v>
      </c>
      <c r="AV333" s="223">
        <v>98.037999999999997</v>
      </c>
      <c r="AW333" s="224">
        <v>96.072000000000003</v>
      </c>
      <c r="AX333" s="42"/>
      <c r="AY333" s="181"/>
      <c r="AZ333" s="197"/>
    </row>
    <row r="334" spans="12:52" ht="13" thickBot="1" x14ac:dyDescent="0.3">
      <c r="L334" s="55">
        <v>1225</v>
      </c>
      <c r="M334" s="274">
        <f t="shared" si="58"/>
        <v>0</v>
      </c>
      <c r="N334" s="275">
        <f t="shared" si="58"/>
        <v>0</v>
      </c>
      <c r="O334" s="276" t="e">
        <f ca="1"/>
        <v>#N/A</v>
      </c>
      <c r="Q334" s="34">
        <v>0</v>
      </c>
      <c r="R334" s="24">
        <v>0</v>
      </c>
      <c r="S334" s="24">
        <v>0</v>
      </c>
      <c r="T334" s="24">
        <v>0</v>
      </c>
      <c r="U334" s="24">
        <f t="array" ref="U334">IF(U$77&gt;" ",(U$628:U$1078),"")</f>
        <v>0</v>
      </c>
      <c r="V334" s="24">
        <f t="array" ref="V334">IF(V$77&gt;" ",(V$628:V$1078),"")</f>
        <v>0</v>
      </c>
      <c r="W334" s="24">
        <f t="array" ref="W334">IF(W$77&gt;" ",(W$628:W$1078),"")</f>
        <v>0</v>
      </c>
      <c r="X334" s="24">
        <f t="array" ref="X334">IF(X$77&gt;" ",(X$628:X$1078),"")</f>
        <v>0</v>
      </c>
      <c r="Y334" s="21">
        <v>0</v>
      </c>
      <c r="Z334" s="34">
        <f t="shared" si="47"/>
        <v>0</v>
      </c>
      <c r="AA334" s="24">
        <f t="shared" si="48"/>
        <v>0</v>
      </c>
      <c r="AB334" s="24">
        <f t="shared" si="49"/>
        <v>0</v>
      </c>
      <c r="AC334" s="24">
        <f t="shared" si="50"/>
        <v>0</v>
      </c>
      <c r="AD334" s="24">
        <f t="shared" si="56"/>
        <v>0</v>
      </c>
      <c r="AE334" s="24">
        <f t="shared" si="56"/>
        <v>0</v>
      </c>
      <c r="AF334" s="24">
        <f t="shared" si="56"/>
        <v>0</v>
      </c>
      <c r="AG334" s="24">
        <f t="shared" si="54"/>
        <v>0</v>
      </c>
      <c r="AH334" s="24">
        <f t="shared" si="53"/>
        <v>0</v>
      </c>
      <c r="AI334" s="24">
        <f t="shared" si="51"/>
        <v>0</v>
      </c>
      <c r="AJ334" s="261">
        <f t="shared" si="52"/>
        <v>0</v>
      </c>
      <c r="AK334" s="13"/>
      <c r="AL334" s="100">
        <v>1225</v>
      </c>
      <c r="AM334" s="202"/>
      <c r="AN334" s="200"/>
      <c r="AO334" s="200"/>
      <c r="AP334" s="284">
        <v>0.46100000000000002</v>
      </c>
      <c r="AR334" s="222">
        <v>96.971538890397014</v>
      </c>
      <c r="AS334" s="223">
        <v>96.938988283024216</v>
      </c>
      <c r="AT334" s="223">
        <v>94.272219499806226</v>
      </c>
      <c r="AU334" s="223">
        <v>94.463122814613371</v>
      </c>
      <c r="AV334" s="223">
        <v>98.035499999999999</v>
      </c>
      <c r="AW334" s="224">
        <v>96.042000000000002</v>
      </c>
      <c r="AX334" s="42"/>
      <c r="AY334" s="181"/>
      <c r="AZ334" s="197"/>
    </row>
    <row r="335" spans="12:52" ht="13" thickBot="1" x14ac:dyDescent="0.3">
      <c r="L335" s="55">
        <v>1220</v>
      </c>
      <c r="M335" s="274">
        <f t="shared" ref="M335:N350" si="59">M884</f>
        <v>0</v>
      </c>
      <c r="N335" s="275">
        <f t="shared" si="59"/>
        <v>0</v>
      </c>
      <c r="O335" s="276" t="e">
        <f ca="1"/>
        <v>#N/A</v>
      </c>
      <c r="Q335" s="34">
        <v>0</v>
      </c>
      <c r="R335" s="24">
        <v>0</v>
      </c>
      <c r="S335" s="24">
        <v>0</v>
      </c>
      <c r="T335" s="24">
        <v>0</v>
      </c>
      <c r="U335" s="24">
        <f t="array" ref="U335">IF(U$77&gt;" ",(U$628:U$1078),"")</f>
        <v>0</v>
      </c>
      <c r="V335" s="24">
        <f t="array" ref="V335">IF(V$77&gt;" ",(V$628:V$1078),"")</f>
        <v>0</v>
      </c>
      <c r="W335" s="24">
        <f t="array" ref="W335">IF(W$77&gt;" ",(W$628:W$1078),"")</f>
        <v>0</v>
      </c>
      <c r="X335" s="24">
        <f t="array" ref="X335">IF(X$77&gt;" ",(X$628:X$1078),"")</f>
        <v>0</v>
      </c>
      <c r="Y335" s="21">
        <v>0</v>
      </c>
      <c r="Z335" s="34">
        <f t="shared" ref="Z335:Z398" si="60">Q335</f>
        <v>0</v>
      </c>
      <c r="AA335" s="24">
        <f t="shared" ref="AA335:AA398" si="61">R335</f>
        <v>0</v>
      </c>
      <c r="AB335" s="24">
        <f t="shared" ref="AB335:AB398" si="62">S335</f>
        <v>0</v>
      </c>
      <c r="AC335" s="24">
        <f t="shared" ref="AC335:AC398" si="63">T335</f>
        <v>0</v>
      </c>
      <c r="AD335" s="24">
        <f t="shared" si="56"/>
        <v>0</v>
      </c>
      <c r="AE335" s="24">
        <f t="shared" si="56"/>
        <v>0</v>
      </c>
      <c r="AF335" s="24">
        <f t="shared" si="56"/>
        <v>0</v>
      </c>
      <c r="AG335" s="24">
        <f t="shared" si="54"/>
        <v>0</v>
      </c>
      <c r="AH335" s="24">
        <f t="shared" ref="AH335:AH385" si="64">Y335</f>
        <v>0</v>
      </c>
      <c r="AI335" s="24">
        <f t="shared" si="51"/>
        <v>0</v>
      </c>
      <c r="AJ335" s="261">
        <f t="shared" si="52"/>
        <v>0</v>
      </c>
      <c r="AK335" s="13"/>
      <c r="AL335" s="100">
        <v>1220</v>
      </c>
      <c r="AM335" s="202"/>
      <c r="AN335" s="200"/>
      <c r="AO335" s="200"/>
      <c r="AP335" s="283">
        <v>0.45669999999999999</v>
      </c>
      <c r="AR335" s="222">
        <v>96.984788825585326</v>
      </c>
      <c r="AS335" s="223">
        <v>96.943861275430663</v>
      </c>
      <c r="AT335" s="223">
        <v>94.245446912059421</v>
      </c>
      <c r="AU335" s="223">
        <v>94.434301812783232</v>
      </c>
      <c r="AV335" s="223">
        <v>98.033000000000001</v>
      </c>
      <c r="AW335" s="224">
        <v>96.012</v>
      </c>
      <c r="AX335" s="42"/>
      <c r="AY335" s="181"/>
      <c r="AZ335" s="197"/>
    </row>
    <row r="336" spans="12:52" ht="13" thickBot="1" x14ac:dyDescent="0.3">
      <c r="L336" s="55">
        <v>1215</v>
      </c>
      <c r="M336" s="274">
        <f t="shared" si="59"/>
        <v>0</v>
      </c>
      <c r="N336" s="275">
        <f t="shared" si="59"/>
        <v>0</v>
      </c>
      <c r="O336" s="276" t="e">
        <f ca="1"/>
        <v>#N/A</v>
      </c>
      <c r="Q336" s="34">
        <v>0</v>
      </c>
      <c r="R336" s="24">
        <v>0</v>
      </c>
      <c r="S336" s="24">
        <v>0</v>
      </c>
      <c r="T336" s="24">
        <v>0</v>
      </c>
      <c r="U336" s="24">
        <f t="array" ref="U336">IF(U$77&gt;" ",(U$628:U$1078),"")</f>
        <v>0</v>
      </c>
      <c r="V336" s="24">
        <f t="array" ref="V336">IF(V$77&gt;" ",(V$628:V$1078),"")</f>
        <v>0</v>
      </c>
      <c r="W336" s="24">
        <f t="array" ref="W336">IF(W$77&gt;" ",(W$628:W$1078),"")</f>
        <v>0</v>
      </c>
      <c r="X336" s="24">
        <f t="array" ref="X336">IF(X$77&gt;" ",(X$628:X$1078),"")</f>
        <v>0</v>
      </c>
      <c r="Y336" s="21">
        <v>0</v>
      </c>
      <c r="Z336" s="34">
        <f t="shared" si="60"/>
        <v>0</v>
      </c>
      <c r="AA336" s="24">
        <f t="shared" si="61"/>
        <v>0</v>
      </c>
      <c r="AB336" s="24">
        <f t="shared" si="62"/>
        <v>0</v>
      </c>
      <c r="AC336" s="24">
        <f t="shared" si="63"/>
        <v>0</v>
      </c>
      <c r="AD336" s="24">
        <f t="shared" si="56"/>
        <v>0</v>
      </c>
      <c r="AE336" s="24">
        <f t="shared" si="56"/>
        <v>0</v>
      </c>
      <c r="AF336" s="24">
        <f t="shared" si="56"/>
        <v>0</v>
      </c>
      <c r="AG336" s="24">
        <f t="shared" si="54"/>
        <v>0</v>
      </c>
      <c r="AH336" s="24">
        <f t="shared" si="64"/>
        <v>0</v>
      </c>
      <c r="AI336" s="24">
        <f t="shared" ref="AI336:AI399" si="65">AVERAGE(Z336:AH336)</f>
        <v>0</v>
      </c>
      <c r="AJ336" s="261">
        <f t="shared" ref="AJ336:AJ399" si="66">AI336/100</f>
        <v>0</v>
      </c>
      <c r="AK336" s="13"/>
      <c r="AL336" s="100">
        <v>1215</v>
      </c>
      <c r="AM336" s="202"/>
      <c r="AN336" s="200"/>
      <c r="AO336" s="200"/>
      <c r="AP336" s="284">
        <v>0.42659999999999998</v>
      </c>
      <c r="AR336" s="222">
        <v>96.967529884332194</v>
      </c>
      <c r="AS336" s="223">
        <v>96.943151070233043</v>
      </c>
      <c r="AT336" s="223">
        <v>94.243032668498628</v>
      </c>
      <c r="AU336" s="223">
        <v>94.445324541444123</v>
      </c>
      <c r="AV336" s="223">
        <v>98.032499999999999</v>
      </c>
      <c r="AW336" s="224">
        <v>95.983499999999992</v>
      </c>
      <c r="AX336" s="42"/>
      <c r="AY336" s="181"/>
      <c r="AZ336" s="197"/>
    </row>
    <row r="337" spans="12:52" ht="13" thickBot="1" x14ac:dyDescent="0.3">
      <c r="L337" s="55">
        <v>1210</v>
      </c>
      <c r="M337" s="274">
        <f t="shared" si="59"/>
        <v>0</v>
      </c>
      <c r="N337" s="275">
        <f t="shared" si="59"/>
        <v>0</v>
      </c>
      <c r="O337" s="276" t="e">
        <f ca="1"/>
        <v>#N/A</v>
      </c>
      <c r="Q337" s="34">
        <v>0</v>
      </c>
      <c r="R337" s="24">
        <v>0</v>
      </c>
      <c r="S337" s="24">
        <v>0</v>
      </c>
      <c r="T337" s="24">
        <v>0</v>
      </c>
      <c r="U337" s="24">
        <f t="array" ref="U337">IF(U$77&gt;" ",(U$628:U$1078),"")</f>
        <v>0</v>
      </c>
      <c r="V337" s="24">
        <f t="array" ref="V337">IF(V$77&gt;" ",(V$628:V$1078),"")</f>
        <v>0</v>
      </c>
      <c r="W337" s="24">
        <f t="array" ref="W337">IF(W$77&gt;" ",(W$628:W$1078),"")</f>
        <v>0</v>
      </c>
      <c r="X337" s="24">
        <f t="array" ref="X337">IF(X$77&gt;" ",(X$628:X$1078),"")</f>
        <v>0</v>
      </c>
      <c r="Y337" s="21">
        <v>0</v>
      </c>
      <c r="Z337" s="34">
        <f t="shared" si="60"/>
        <v>0</v>
      </c>
      <c r="AA337" s="24">
        <f t="shared" si="61"/>
        <v>0</v>
      </c>
      <c r="AB337" s="24">
        <f t="shared" si="62"/>
        <v>0</v>
      </c>
      <c r="AC337" s="24">
        <f t="shared" si="63"/>
        <v>0</v>
      </c>
      <c r="AD337" s="24">
        <f t="shared" si="56"/>
        <v>0</v>
      </c>
      <c r="AE337" s="24">
        <f t="shared" si="56"/>
        <v>0</v>
      </c>
      <c r="AF337" s="24">
        <f t="shared" si="56"/>
        <v>0</v>
      </c>
      <c r="AG337" s="24">
        <f t="shared" si="54"/>
        <v>0</v>
      </c>
      <c r="AH337" s="24">
        <f t="shared" si="64"/>
        <v>0</v>
      </c>
      <c r="AI337" s="24">
        <f t="shared" si="65"/>
        <v>0</v>
      </c>
      <c r="AJ337" s="261">
        <f t="shared" si="66"/>
        <v>0</v>
      </c>
      <c r="AK337" s="13"/>
      <c r="AL337" s="100">
        <v>1210</v>
      </c>
      <c r="AM337" s="202"/>
      <c r="AN337" s="200"/>
      <c r="AO337" s="200"/>
      <c r="AP337" s="283">
        <v>0.45200000000000001</v>
      </c>
      <c r="AR337" s="222">
        <v>96.964542738145568</v>
      </c>
      <c r="AS337" s="223">
        <v>96.949325206632466</v>
      </c>
      <c r="AT337" s="223">
        <v>94.233745458512431</v>
      </c>
      <c r="AU337" s="223">
        <v>94.443307011357163</v>
      </c>
      <c r="AV337" s="223">
        <v>98.031999999999996</v>
      </c>
      <c r="AW337" s="224">
        <v>95.954999999999998</v>
      </c>
      <c r="AX337" s="42"/>
      <c r="AY337" s="181"/>
      <c r="AZ337" s="197"/>
    </row>
    <row r="338" spans="12:52" ht="13" thickBot="1" x14ac:dyDescent="0.3">
      <c r="L338" s="55">
        <v>1205</v>
      </c>
      <c r="M338" s="274">
        <f t="shared" si="59"/>
        <v>0</v>
      </c>
      <c r="N338" s="275">
        <f t="shared" si="59"/>
        <v>0</v>
      </c>
      <c r="O338" s="276" t="e">
        <f ca="1"/>
        <v>#N/A</v>
      </c>
      <c r="Q338" s="34">
        <v>0</v>
      </c>
      <c r="R338" s="24">
        <v>0</v>
      </c>
      <c r="S338" s="24">
        <v>0</v>
      </c>
      <c r="T338" s="24">
        <v>0</v>
      </c>
      <c r="U338" s="24">
        <f t="array" ref="U338">IF(U$77&gt;" ",(U$628:U$1078),"")</f>
        <v>0</v>
      </c>
      <c r="V338" s="24">
        <f t="array" ref="V338">IF(V$77&gt;" ",(V$628:V$1078),"")</f>
        <v>0</v>
      </c>
      <c r="W338" s="24">
        <f t="array" ref="W338">IF(W$77&gt;" ",(W$628:W$1078),"")</f>
        <v>0</v>
      </c>
      <c r="X338" s="24">
        <f t="array" ref="X338">IF(X$77&gt;" ",(X$628:X$1078),"")</f>
        <v>0</v>
      </c>
      <c r="Y338" s="21">
        <v>0</v>
      </c>
      <c r="Z338" s="34">
        <f t="shared" si="60"/>
        <v>0</v>
      </c>
      <c r="AA338" s="24">
        <f t="shared" si="61"/>
        <v>0</v>
      </c>
      <c r="AB338" s="24">
        <f t="shared" si="62"/>
        <v>0</v>
      </c>
      <c r="AC338" s="24">
        <f t="shared" si="63"/>
        <v>0</v>
      </c>
      <c r="AD338" s="24">
        <f t="shared" si="56"/>
        <v>0</v>
      </c>
      <c r="AE338" s="24">
        <f t="shared" si="56"/>
        <v>0</v>
      </c>
      <c r="AF338" s="24">
        <f t="shared" si="56"/>
        <v>0</v>
      </c>
      <c r="AG338" s="24">
        <f t="shared" si="54"/>
        <v>0</v>
      </c>
      <c r="AH338" s="24">
        <f t="shared" si="64"/>
        <v>0</v>
      </c>
      <c r="AI338" s="24">
        <f t="shared" si="65"/>
        <v>0</v>
      </c>
      <c r="AJ338" s="261">
        <f t="shared" si="66"/>
        <v>0</v>
      </c>
      <c r="AK338" s="13"/>
      <c r="AL338" s="100">
        <v>1205</v>
      </c>
      <c r="AM338" s="202"/>
      <c r="AN338" s="200"/>
      <c r="AO338" s="200"/>
      <c r="AP338" s="284">
        <v>0.43569999999999998</v>
      </c>
      <c r="AR338" s="222">
        <v>96.961617869447863</v>
      </c>
      <c r="AS338" s="223">
        <v>96.947283142634888</v>
      </c>
      <c r="AT338" s="223">
        <v>94.234847221973567</v>
      </c>
      <c r="AU338" s="223">
        <v>94.42678076567303</v>
      </c>
      <c r="AV338" s="223">
        <v>98.033000000000001</v>
      </c>
      <c r="AW338" s="224">
        <v>95.921999999999997</v>
      </c>
      <c r="AX338" s="42"/>
      <c r="AY338" s="181"/>
      <c r="AZ338" s="197"/>
    </row>
    <row r="339" spans="12:52" ht="13" thickBot="1" x14ac:dyDescent="0.3">
      <c r="L339" s="55">
        <v>1200</v>
      </c>
      <c r="M339" s="274">
        <f t="shared" si="59"/>
        <v>0</v>
      </c>
      <c r="N339" s="275">
        <f t="shared" si="59"/>
        <v>0</v>
      </c>
      <c r="O339" s="276" t="e">
        <f ca="1"/>
        <v>#N/A</v>
      </c>
      <c r="Q339" s="34">
        <v>0</v>
      </c>
      <c r="R339" s="24">
        <v>0</v>
      </c>
      <c r="S339" s="24">
        <v>0</v>
      </c>
      <c r="T339" s="24">
        <v>0</v>
      </c>
      <c r="U339" s="24">
        <f t="array" ref="U339">IF(U$77&gt;" ",(U$628:U$1078),"")</f>
        <v>0</v>
      </c>
      <c r="V339" s="24">
        <f t="array" ref="V339">IF(V$77&gt;" ",(V$628:V$1078),"")</f>
        <v>0</v>
      </c>
      <c r="W339" s="24">
        <f t="array" ref="W339">IF(W$77&gt;" ",(W$628:W$1078),"")</f>
        <v>0</v>
      </c>
      <c r="X339" s="24">
        <f t="array" ref="X339">IF(X$77&gt;" ",(X$628:X$1078),"")</f>
        <v>0</v>
      </c>
      <c r="Y339" s="21">
        <v>0</v>
      </c>
      <c r="Z339" s="34">
        <f t="shared" si="60"/>
        <v>0</v>
      </c>
      <c r="AA339" s="24">
        <f t="shared" si="61"/>
        <v>0</v>
      </c>
      <c r="AB339" s="24">
        <f t="shared" si="62"/>
        <v>0</v>
      </c>
      <c r="AC339" s="24">
        <f t="shared" si="63"/>
        <v>0</v>
      </c>
      <c r="AD339" s="24">
        <f t="shared" si="56"/>
        <v>0</v>
      </c>
      <c r="AE339" s="24">
        <f t="shared" si="56"/>
        <v>0</v>
      </c>
      <c r="AF339" s="24">
        <f t="shared" si="56"/>
        <v>0</v>
      </c>
      <c r="AG339" s="24">
        <f t="shared" si="54"/>
        <v>0</v>
      </c>
      <c r="AH339" s="24">
        <f t="shared" si="64"/>
        <v>0</v>
      </c>
      <c r="AI339" s="24">
        <f t="shared" si="65"/>
        <v>0</v>
      </c>
      <c r="AJ339" s="261">
        <f t="shared" si="66"/>
        <v>0</v>
      </c>
      <c r="AK339" s="13"/>
      <c r="AL339" s="100">
        <v>1200</v>
      </c>
      <c r="AM339" s="202"/>
      <c r="AN339" s="200"/>
      <c r="AO339" s="200"/>
      <c r="AP339" s="283">
        <v>0.44690000000000002</v>
      </c>
      <c r="AR339" s="222">
        <v>96.946551695490825</v>
      </c>
      <c r="AS339" s="223">
        <v>96.958692223332491</v>
      </c>
      <c r="AT339" s="223">
        <v>94.22394009420502</v>
      </c>
      <c r="AU339" s="223">
        <v>94.439541220409296</v>
      </c>
      <c r="AV339" s="223">
        <v>98.033999999999992</v>
      </c>
      <c r="AW339" s="224">
        <v>95.888999999999996</v>
      </c>
      <c r="AX339" s="42"/>
      <c r="AY339" s="181"/>
      <c r="AZ339" s="197"/>
    </row>
    <row r="340" spans="12:52" ht="13" thickBot="1" x14ac:dyDescent="0.3">
      <c r="L340" s="55">
        <v>1195</v>
      </c>
      <c r="M340" s="274">
        <f t="shared" si="59"/>
        <v>0</v>
      </c>
      <c r="N340" s="275">
        <f t="shared" si="59"/>
        <v>0</v>
      </c>
      <c r="O340" s="276" t="e">
        <f ca="1"/>
        <v>#N/A</v>
      </c>
      <c r="Q340" s="34">
        <v>0</v>
      </c>
      <c r="R340" s="24">
        <v>0</v>
      </c>
      <c r="S340" s="24">
        <v>0</v>
      </c>
      <c r="T340" s="24">
        <v>0</v>
      </c>
      <c r="U340" s="24">
        <f t="array" ref="U340">IF(U$77&gt;" ",(U$628:U$1078),"")</f>
        <v>0</v>
      </c>
      <c r="V340" s="24">
        <f t="array" ref="V340">IF(V$77&gt;" ",(V$628:V$1078),"")</f>
        <v>0</v>
      </c>
      <c r="W340" s="24">
        <f t="array" ref="W340">IF(W$77&gt;" ",(W$628:W$1078),"")</f>
        <v>0</v>
      </c>
      <c r="X340" s="24">
        <f t="array" ref="X340">IF(X$77&gt;" ",(X$628:X$1078),"")</f>
        <v>0</v>
      </c>
      <c r="Y340" s="21">
        <v>0</v>
      </c>
      <c r="Z340" s="34">
        <f t="shared" si="60"/>
        <v>0</v>
      </c>
      <c r="AA340" s="24">
        <f t="shared" si="61"/>
        <v>0</v>
      </c>
      <c r="AB340" s="24">
        <f t="shared" si="62"/>
        <v>0</v>
      </c>
      <c r="AC340" s="24">
        <f t="shared" si="63"/>
        <v>0</v>
      </c>
      <c r="AD340" s="24">
        <f t="shared" si="56"/>
        <v>0</v>
      </c>
      <c r="AE340" s="24">
        <f t="shared" si="56"/>
        <v>0</v>
      </c>
      <c r="AF340" s="24">
        <f t="shared" si="56"/>
        <v>0</v>
      </c>
      <c r="AG340" s="24">
        <f t="shared" si="54"/>
        <v>0</v>
      </c>
      <c r="AH340" s="24">
        <f t="shared" si="64"/>
        <v>0</v>
      </c>
      <c r="AI340" s="24">
        <f t="shared" si="65"/>
        <v>0</v>
      </c>
      <c r="AJ340" s="261">
        <f t="shared" si="66"/>
        <v>0</v>
      </c>
      <c r="AK340" s="13"/>
      <c r="AL340" s="100">
        <v>1195</v>
      </c>
      <c r="AM340" s="202"/>
      <c r="AN340" s="200"/>
      <c r="AO340" s="200"/>
      <c r="AP340" s="284">
        <v>0.44569999999999999</v>
      </c>
      <c r="AR340" s="222">
        <v>96.960428753802162</v>
      </c>
      <c r="AS340" s="223">
        <v>96.937440271140972</v>
      </c>
      <c r="AT340" s="223">
        <v>94.216368139641474</v>
      </c>
      <c r="AU340" s="223">
        <v>94.421309568785276</v>
      </c>
      <c r="AV340" s="223">
        <v>98.032499999999999</v>
      </c>
      <c r="AW340" s="224">
        <v>95.854500000000002</v>
      </c>
      <c r="AX340" s="42"/>
      <c r="AY340" s="181"/>
      <c r="AZ340" s="197"/>
    </row>
    <row r="341" spans="12:52" ht="13" thickBot="1" x14ac:dyDescent="0.3">
      <c r="L341" s="55">
        <v>1190</v>
      </c>
      <c r="M341" s="274">
        <f t="shared" si="59"/>
        <v>0</v>
      </c>
      <c r="N341" s="275">
        <f t="shared" si="59"/>
        <v>0</v>
      </c>
      <c r="O341" s="276" t="e">
        <f ca="1"/>
        <v>#N/A</v>
      </c>
      <c r="Q341" s="34">
        <v>0</v>
      </c>
      <c r="R341" s="24">
        <v>0</v>
      </c>
      <c r="S341" s="24">
        <v>0</v>
      </c>
      <c r="T341" s="24">
        <v>0</v>
      </c>
      <c r="U341" s="24">
        <f t="array" ref="U341">IF(U$77&gt;" ",(U$628:U$1078),"")</f>
        <v>0</v>
      </c>
      <c r="V341" s="24">
        <f t="array" ref="V341">IF(V$77&gt;" ",(V$628:V$1078),"")</f>
        <v>0</v>
      </c>
      <c r="W341" s="24">
        <f t="array" ref="W341">IF(W$77&gt;" ",(W$628:W$1078),"")</f>
        <v>0</v>
      </c>
      <c r="X341" s="24">
        <f t="array" ref="X341">IF(X$77&gt;" ",(X$628:X$1078),"")</f>
        <v>0</v>
      </c>
      <c r="Y341" s="21">
        <v>0</v>
      </c>
      <c r="Z341" s="34">
        <f t="shared" si="60"/>
        <v>0</v>
      </c>
      <c r="AA341" s="24">
        <f t="shared" si="61"/>
        <v>0</v>
      </c>
      <c r="AB341" s="24">
        <f t="shared" si="62"/>
        <v>0</v>
      </c>
      <c r="AC341" s="24">
        <f t="shared" si="63"/>
        <v>0</v>
      </c>
      <c r="AD341" s="24">
        <f t="shared" si="56"/>
        <v>0</v>
      </c>
      <c r="AE341" s="24">
        <f t="shared" si="56"/>
        <v>0</v>
      </c>
      <c r="AF341" s="24">
        <f t="shared" si="56"/>
        <v>0</v>
      </c>
      <c r="AG341" s="24">
        <f t="shared" si="54"/>
        <v>0</v>
      </c>
      <c r="AH341" s="24">
        <f t="shared" si="64"/>
        <v>0</v>
      </c>
      <c r="AI341" s="24">
        <f t="shared" si="65"/>
        <v>0</v>
      </c>
      <c r="AJ341" s="261">
        <f t="shared" si="66"/>
        <v>0</v>
      </c>
      <c r="AK341" s="13"/>
      <c r="AL341" s="100">
        <v>1190</v>
      </c>
      <c r="AM341" s="202"/>
      <c r="AN341" s="200"/>
      <c r="AO341" s="200"/>
      <c r="AP341" s="283">
        <v>0.46100000000000002</v>
      </c>
      <c r="AR341" s="222">
        <v>96.943215433001356</v>
      </c>
      <c r="AS341" s="223">
        <v>96.91799629781265</v>
      </c>
      <c r="AT341" s="223">
        <v>94.19726742261831</v>
      </c>
      <c r="AU341" s="223">
        <v>94.413298497538634</v>
      </c>
      <c r="AV341" s="223">
        <v>98.031000000000006</v>
      </c>
      <c r="AW341" s="224">
        <v>95.82</v>
      </c>
      <c r="AX341" s="42"/>
      <c r="AY341" s="181"/>
      <c r="AZ341" s="197"/>
    </row>
    <row r="342" spans="12:52" ht="13" thickBot="1" x14ac:dyDescent="0.3">
      <c r="L342" s="55">
        <v>1185</v>
      </c>
      <c r="M342" s="274">
        <f t="shared" si="59"/>
        <v>0</v>
      </c>
      <c r="N342" s="275">
        <f t="shared" si="59"/>
        <v>0</v>
      </c>
      <c r="O342" s="276" t="e">
        <f ca="1"/>
        <v>#N/A</v>
      </c>
      <c r="Q342" s="34">
        <v>0</v>
      </c>
      <c r="R342" s="24">
        <v>0</v>
      </c>
      <c r="S342" s="24">
        <v>0</v>
      </c>
      <c r="T342" s="24">
        <v>0</v>
      </c>
      <c r="U342" s="24">
        <f t="array" ref="U342">IF(U$77&gt;" ",(U$628:U$1078),"")</f>
        <v>0</v>
      </c>
      <c r="V342" s="24">
        <f t="array" ref="V342">IF(V$77&gt;" ",(V$628:V$1078),"")</f>
        <v>0</v>
      </c>
      <c r="W342" s="24">
        <f t="array" ref="W342">IF(W$77&gt;" ",(W$628:W$1078),"")</f>
        <v>0</v>
      </c>
      <c r="X342" s="24">
        <f t="array" ref="X342">IF(X$77&gt;" ",(X$628:X$1078),"")</f>
        <v>0</v>
      </c>
      <c r="Y342" s="21">
        <v>0</v>
      </c>
      <c r="Z342" s="34">
        <f t="shared" si="60"/>
        <v>0</v>
      </c>
      <c r="AA342" s="24">
        <f t="shared" si="61"/>
        <v>0</v>
      </c>
      <c r="AB342" s="24">
        <f t="shared" si="62"/>
        <v>0</v>
      </c>
      <c r="AC342" s="24">
        <f t="shared" si="63"/>
        <v>0</v>
      </c>
      <c r="AD342" s="24">
        <f t="shared" si="56"/>
        <v>0</v>
      </c>
      <c r="AE342" s="24">
        <f t="shared" si="56"/>
        <v>0</v>
      </c>
      <c r="AF342" s="24">
        <f t="shared" si="56"/>
        <v>0</v>
      </c>
      <c r="AG342" s="24">
        <f t="shared" si="54"/>
        <v>0</v>
      </c>
      <c r="AH342" s="24">
        <f t="shared" si="64"/>
        <v>0</v>
      </c>
      <c r="AI342" s="24">
        <f t="shared" si="65"/>
        <v>0</v>
      </c>
      <c r="AJ342" s="261">
        <f t="shared" si="66"/>
        <v>0</v>
      </c>
      <c r="AK342" s="13"/>
      <c r="AL342" s="100">
        <v>1185</v>
      </c>
      <c r="AM342" s="202"/>
      <c r="AN342" s="200"/>
      <c r="AO342" s="200"/>
      <c r="AP342" s="284">
        <v>0.40620000000000001</v>
      </c>
      <c r="AR342" s="222">
        <v>96.921810429262166</v>
      </c>
      <c r="AS342" s="223">
        <v>96.929235772673053</v>
      </c>
      <c r="AT342" s="223">
        <v>94.192754913341858</v>
      </c>
      <c r="AU342" s="223">
        <v>94.399681771884829</v>
      </c>
      <c r="AV342" s="223">
        <v>98.032499999999999</v>
      </c>
      <c r="AW342" s="224">
        <v>95.783000000000001</v>
      </c>
      <c r="AX342" s="42"/>
      <c r="AY342" s="181"/>
      <c r="AZ342" s="197"/>
    </row>
    <row r="343" spans="12:52" ht="13" thickBot="1" x14ac:dyDescent="0.3">
      <c r="L343" s="55">
        <v>1180</v>
      </c>
      <c r="M343" s="274">
        <f t="shared" si="59"/>
        <v>0</v>
      </c>
      <c r="N343" s="275">
        <f t="shared" si="59"/>
        <v>0</v>
      </c>
      <c r="O343" s="276" t="e">
        <f ca="1"/>
        <v>#N/A</v>
      </c>
      <c r="Q343" s="34">
        <v>0</v>
      </c>
      <c r="R343" s="24">
        <v>0</v>
      </c>
      <c r="S343" s="24">
        <v>0</v>
      </c>
      <c r="T343" s="24">
        <v>0</v>
      </c>
      <c r="U343" s="24">
        <f t="array" ref="U343">IF(U$77&gt;" ",(U$628:U$1078),"")</f>
        <v>0</v>
      </c>
      <c r="V343" s="24">
        <f t="array" ref="V343">IF(V$77&gt;" ",(V$628:V$1078),"")</f>
        <v>0</v>
      </c>
      <c r="W343" s="24">
        <f t="array" ref="W343">IF(W$77&gt;" ",(W$628:W$1078),"")</f>
        <v>0</v>
      </c>
      <c r="X343" s="24">
        <f t="array" ref="X343">IF(X$77&gt;" ",(X$628:X$1078),"")</f>
        <v>0</v>
      </c>
      <c r="Y343" s="21">
        <v>0</v>
      </c>
      <c r="Z343" s="34">
        <f t="shared" si="60"/>
        <v>0</v>
      </c>
      <c r="AA343" s="24">
        <f t="shared" si="61"/>
        <v>0</v>
      </c>
      <c r="AB343" s="24">
        <f t="shared" si="62"/>
        <v>0</v>
      </c>
      <c r="AC343" s="24">
        <f t="shared" si="63"/>
        <v>0</v>
      </c>
      <c r="AD343" s="24">
        <f t="shared" si="56"/>
        <v>0</v>
      </c>
      <c r="AE343" s="24">
        <f t="shared" si="56"/>
        <v>0</v>
      </c>
      <c r="AF343" s="24">
        <f t="shared" si="56"/>
        <v>0</v>
      </c>
      <c r="AG343" s="24">
        <f t="shared" si="54"/>
        <v>0</v>
      </c>
      <c r="AH343" s="24">
        <f t="shared" si="64"/>
        <v>0</v>
      </c>
      <c r="AI343" s="24">
        <f t="shared" si="65"/>
        <v>0</v>
      </c>
      <c r="AJ343" s="261">
        <f t="shared" si="66"/>
        <v>0</v>
      </c>
      <c r="AK343" s="13"/>
      <c r="AL343" s="100">
        <v>1180</v>
      </c>
      <c r="AM343" s="202"/>
      <c r="AN343" s="200"/>
      <c r="AO343" s="200"/>
      <c r="AP343" s="283">
        <v>0.43940000000000001</v>
      </c>
      <c r="AR343" s="222">
        <v>96.939328591937326</v>
      </c>
      <c r="AS343" s="223">
        <v>96.929044289270237</v>
      </c>
      <c r="AT343" s="223">
        <v>94.171190434915289</v>
      </c>
      <c r="AU343" s="223">
        <v>94.375776266402696</v>
      </c>
      <c r="AV343" s="223">
        <v>98.033999999999992</v>
      </c>
      <c r="AW343" s="224">
        <v>95.745999999999995</v>
      </c>
      <c r="AX343" s="42"/>
      <c r="AY343" s="181"/>
      <c r="AZ343" s="197"/>
    </row>
    <row r="344" spans="12:52" ht="13" thickBot="1" x14ac:dyDescent="0.3">
      <c r="L344" s="55">
        <v>1175</v>
      </c>
      <c r="M344" s="274">
        <f t="shared" si="59"/>
        <v>0</v>
      </c>
      <c r="N344" s="275">
        <f t="shared" si="59"/>
        <v>0</v>
      </c>
      <c r="O344" s="276" t="e">
        <f ca="1"/>
        <v>#N/A</v>
      </c>
      <c r="Q344" s="34">
        <v>0</v>
      </c>
      <c r="R344" s="24">
        <v>0</v>
      </c>
      <c r="S344" s="24">
        <v>0</v>
      </c>
      <c r="T344" s="24">
        <v>0</v>
      </c>
      <c r="U344" s="24">
        <f t="array" ref="U344">IF(U$77&gt;" ",(U$628:U$1078),"")</f>
        <v>0</v>
      </c>
      <c r="V344" s="24">
        <f t="array" ref="V344">IF(V$77&gt;" ",(V$628:V$1078),"")</f>
        <v>0</v>
      </c>
      <c r="W344" s="24">
        <f t="array" ref="W344">IF(W$77&gt;" ",(W$628:W$1078),"")</f>
        <v>0</v>
      </c>
      <c r="X344" s="24">
        <f t="array" ref="X344">IF(X$77&gt;" ",(X$628:X$1078),"")</f>
        <v>0</v>
      </c>
      <c r="Y344" s="21">
        <v>0</v>
      </c>
      <c r="Z344" s="34">
        <f t="shared" si="60"/>
        <v>0</v>
      </c>
      <c r="AA344" s="24">
        <f t="shared" si="61"/>
        <v>0</v>
      </c>
      <c r="AB344" s="24">
        <f t="shared" si="62"/>
        <v>0</v>
      </c>
      <c r="AC344" s="24">
        <f t="shared" si="63"/>
        <v>0</v>
      </c>
      <c r="AD344" s="24">
        <f t="shared" si="56"/>
        <v>0</v>
      </c>
      <c r="AE344" s="24">
        <f t="shared" si="56"/>
        <v>0</v>
      </c>
      <c r="AF344" s="24">
        <f t="shared" si="56"/>
        <v>0</v>
      </c>
      <c r="AG344" s="24">
        <f t="shared" si="54"/>
        <v>0</v>
      </c>
      <c r="AH344" s="24">
        <f t="shared" si="64"/>
        <v>0</v>
      </c>
      <c r="AI344" s="24">
        <f t="shared" si="65"/>
        <v>0</v>
      </c>
      <c r="AJ344" s="261">
        <f t="shared" si="66"/>
        <v>0</v>
      </c>
      <c r="AK344" s="13"/>
      <c r="AL344" s="100">
        <v>1175</v>
      </c>
      <c r="AM344" s="202"/>
      <c r="AN344" s="200"/>
      <c r="AO344" s="200"/>
      <c r="AP344" s="284">
        <v>0.4511</v>
      </c>
      <c r="AR344" s="222">
        <v>96.912454597825942</v>
      </c>
      <c r="AS344" s="223">
        <v>96.917198209006145</v>
      </c>
      <c r="AT344" s="223">
        <v>94.198174512081138</v>
      </c>
      <c r="AU344" s="223">
        <v>94.397248746887712</v>
      </c>
      <c r="AV344" s="223">
        <v>98.033999999999992</v>
      </c>
      <c r="AW344" s="224">
        <v>95.707499999999996</v>
      </c>
      <c r="AX344" s="42"/>
      <c r="AY344" s="181"/>
      <c r="AZ344" s="197"/>
    </row>
    <row r="345" spans="12:52" ht="13" thickBot="1" x14ac:dyDescent="0.3">
      <c r="L345" s="55">
        <v>1170</v>
      </c>
      <c r="M345" s="274">
        <f t="shared" si="59"/>
        <v>0</v>
      </c>
      <c r="N345" s="275">
        <f t="shared" si="59"/>
        <v>0</v>
      </c>
      <c r="O345" s="276" t="e">
        <f ca="1"/>
        <v>#N/A</v>
      </c>
      <c r="Q345" s="34">
        <v>0</v>
      </c>
      <c r="R345" s="24">
        <v>0</v>
      </c>
      <c r="S345" s="24">
        <v>0</v>
      </c>
      <c r="T345" s="24">
        <v>0</v>
      </c>
      <c r="U345" s="24">
        <f t="array" ref="U345">IF(U$77&gt;" ",(U$628:U$1078),"")</f>
        <v>0</v>
      </c>
      <c r="V345" s="24">
        <f t="array" ref="V345">IF(V$77&gt;" ",(V$628:V$1078),"")</f>
        <v>0</v>
      </c>
      <c r="W345" s="24">
        <f t="array" ref="W345">IF(W$77&gt;" ",(W$628:W$1078),"")</f>
        <v>0</v>
      </c>
      <c r="X345" s="24">
        <f t="array" ref="X345">IF(X$77&gt;" ",(X$628:X$1078),"")</f>
        <v>0</v>
      </c>
      <c r="Y345" s="21">
        <v>0</v>
      </c>
      <c r="Z345" s="34">
        <f t="shared" si="60"/>
        <v>0</v>
      </c>
      <c r="AA345" s="24">
        <f t="shared" si="61"/>
        <v>0</v>
      </c>
      <c r="AB345" s="24">
        <f t="shared" si="62"/>
        <v>0</v>
      </c>
      <c r="AC345" s="24">
        <f t="shared" si="63"/>
        <v>0</v>
      </c>
      <c r="AD345" s="24">
        <f t="shared" si="56"/>
        <v>0</v>
      </c>
      <c r="AE345" s="24">
        <f t="shared" si="56"/>
        <v>0</v>
      </c>
      <c r="AF345" s="24">
        <f t="shared" si="56"/>
        <v>0</v>
      </c>
      <c r="AG345" s="24">
        <f t="shared" si="54"/>
        <v>0</v>
      </c>
      <c r="AH345" s="24">
        <f t="shared" si="64"/>
        <v>0</v>
      </c>
      <c r="AI345" s="24">
        <f t="shared" si="65"/>
        <v>0</v>
      </c>
      <c r="AJ345" s="261">
        <f t="shared" si="66"/>
        <v>0</v>
      </c>
      <c r="AK345" s="13"/>
      <c r="AL345" s="100">
        <v>1170</v>
      </c>
      <c r="AM345" s="202"/>
      <c r="AN345" s="200"/>
      <c r="AO345" s="200"/>
      <c r="AP345" s="283">
        <v>0.45739999999999997</v>
      </c>
      <c r="AR345" s="222">
        <v>96.922277049160741</v>
      </c>
      <c r="AS345" s="223">
        <v>96.903894079934688</v>
      </c>
      <c r="AT345" s="223">
        <v>94.157331672777204</v>
      </c>
      <c r="AU345" s="223">
        <v>94.366940041755299</v>
      </c>
      <c r="AV345" s="223">
        <v>98.033999999999992</v>
      </c>
      <c r="AW345" s="224">
        <v>95.669000000000011</v>
      </c>
      <c r="AX345" s="42"/>
      <c r="AY345" s="181"/>
      <c r="AZ345" s="197"/>
    </row>
    <row r="346" spans="12:52" ht="13" thickBot="1" x14ac:dyDescent="0.3">
      <c r="L346" s="55">
        <v>1165</v>
      </c>
      <c r="M346" s="274">
        <f t="shared" si="59"/>
        <v>0</v>
      </c>
      <c r="N346" s="275">
        <f t="shared" si="59"/>
        <v>0</v>
      </c>
      <c r="O346" s="276" t="e">
        <f ca="1"/>
        <v>#N/A</v>
      </c>
      <c r="Q346" s="34">
        <v>0</v>
      </c>
      <c r="R346" s="24">
        <v>0</v>
      </c>
      <c r="S346" s="24">
        <v>0</v>
      </c>
      <c r="T346" s="24">
        <v>0</v>
      </c>
      <c r="U346" s="24">
        <f t="array" ref="U346">IF(U$77&gt;" ",(U$628:U$1078),"")</f>
        <v>0</v>
      </c>
      <c r="V346" s="24">
        <f t="array" ref="V346">IF(V$77&gt;" ",(V$628:V$1078),"")</f>
        <v>0</v>
      </c>
      <c r="W346" s="24">
        <f t="array" ref="W346">IF(W$77&gt;" ",(W$628:W$1078),"")</f>
        <v>0</v>
      </c>
      <c r="X346" s="24">
        <f t="array" ref="X346">IF(X$77&gt;" ",(X$628:X$1078),"")</f>
        <v>0</v>
      </c>
      <c r="Y346" s="21">
        <v>0</v>
      </c>
      <c r="Z346" s="34">
        <f t="shared" si="60"/>
        <v>0</v>
      </c>
      <c r="AA346" s="24">
        <f t="shared" si="61"/>
        <v>0</v>
      </c>
      <c r="AB346" s="24">
        <f t="shared" si="62"/>
        <v>0</v>
      </c>
      <c r="AC346" s="24">
        <f t="shared" si="63"/>
        <v>0</v>
      </c>
      <c r="AD346" s="24">
        <f t="shared" si="56"/>
        <v>0</v>
      </c>
      <c r="AE346" s="24">
        <f t="shared" si="56"/>
        <v>0</v>
      </c>
      <c r="AF346" s="24">
        <f t="shared" si="56"/>
        <v>0</v>
      </c>
      <c r="AG346" s="24">
        <f t="shared" si="54"/>
        <v>0</v>
      </c>
      <c r="AH346" s="24">
        <f t="shared" si="64"/>
        <v>0</v>
      </c>
      <c r="AI346" s="24">
        <f t="shared" si="65"/>
        <v>0</v>
      </c>
      <c r="AJ346" s="261">
        <f t="shared" si="66"/>
        <v>0</v>
      </c>
      <c r="AK346" s="13"/>
      <c r="AL346" s="100">
        <v>1165</v>
      </c>
      <c r="AM346" s="202"/>
      <c r="AN346" s="200"/>
      <c r="AO346" s="200"/>
      <c r="AP346" s="284">
        <v>0.38750000000000001</v>
      </c>
      <c r="AR346" s="222">
        <v>96.925489887097129</v>
      </c>
      <c r="AS346" s="223">
        <v>96.91299055432512</v>
      </c>
      <c r="AT346" s="223">
        <v>94.162656230237488</v>
      </c>
      <c r="AU346" s="223">
        <v>94.371328029002484</v>
      </c>
      <c r="AV346" s="223">
        <v>98.036500000000004</v>
      </c>
      <c r="AW346" s="224">
        <v>95.627499999999998</v>
      </c>
      <c r="AX346" s="42"/>
      <c r="AY346" s="181"/>
      <c r="AZ346" s="197"/>
    </row>
    <row r="347" spans="12:52" ht="13" thickBot="1" x14ac:dyDescent="0.3">
      <c r="L347" s="55">
        <v>1160</v>
      </c>
      <c r="M347" s="274">
        <f t="shared" si="59"/>
        <v>0</v>
      </c>
      <c r="N347" s="275">
        <f t="shared" si="59"/>
        <v>0</v>
      </c>
      <c r="O347" s="276" t="e">
        <f ca="1"/>
        <v>#N/A</v>
      </c>
      <c r="Q347" s="34">
        <v>0</v>
      </c>
      <c r="R347" s="24">
        <v>0</v>
      </c>
      <c r="S347" s="24">
        <v>0</v>
      </c>
      <c r="T347" s="24">
        <v>0</v>
      </c>
      <c r="U347" s="24">
        <f t="array" ref="U347">IF(U$77&gt;" ",(U$628:U$1078),"")</f>
        <v>0</v>
      </c>
      <c r="V347" s="24">
        <f t="array" ref="V347">IF(V$77&gt;" ",(V$628:V$1078),"")</f>
        <v>0</v>
      </c>
      <c r="W347" s="24">
        <f t="array" ref="W347">IF(W$77&gt;" ",(W$628:W$1078),"")</f>
        <v>0</v>
      </c>
      <c r="X347" s="24">
        <f t="array" ref="X347">IF(X$77&gt;" ",(X$628:X$1078),"")</f>
        <v>0</v>
      </c>
      <c r="Y347" s="21">
        <v>0</v>
      </c>
      <c r="Z347" s="34">
        <f t="shared" si="60"/>
        <v>0</v>
      </c>
      <c r="AA347" s="24">
        <f t="shared" si="61"/>
        <v>0</v>
      </c>
      <c r="AB347" s="24">
        <f t="shared" si="62"/>
        <v>0</v>
      </c>
      <c r="AC347" s="24">
        <f t="shared" si="63"/>
        <v>0</v>
      </c>
      <c r="AD347" s="24">
        <f t="shared" si="56"/>
        <v>0</v>
      </c>
      <c r="AE347" s="24">
        <f t="shared" si="56"/>
        <v>0</v>
      </c>
      <c r="AF347" s="24">
        <f t="shared" si="56"/>
        <v>0</v>
      </c>
      <c r="AG347" s="24">
        <f t="shared" si="54"/>
        <v>0</v>
      </c>
      <c r="AH347" s="24">
        <f t="shared" si="64"/>
        <v>0</v>
      </c>
      <c r="AI347" s="24">
        <f t="shared" si="65"/>
        <v>0</v>
      </c>
      <c r="AJ347" s="261">
        <f t="shared" si="66"/>
        <v>0</v>
      </c>
      <c r="AK347" s="13"/>
      <c r="AL347" s="100">
        <v>1160</v>
      </c>
      <c r="AM347" s="202"/>
      <c r="AN347" s="200"/>
      <c r="AO347" s="200"/>
      <c r="AP347" s="283">
        <v>0.28560000000000002</v>
      </c>
      <c r="AR347" s="222">
        <v>96.93130065277802</v>
      </c>
      <c r="AS347" s="223">
        <v>96.905882660621032</v>
      </c>
      <c r="AT347" s="223">
        <v>94.166096974058817</v>
      </c>
      <c r="AU347" s="223">
        <v>94.360279547635471</v>
      </c>
      <c r="AV347" s="223">
        <v>98.039000000000001</v>
      </c>
      <c r="AW347" s="224">
        <v>95.585999999999999</v>
      </c>
      <c r="AX347" s="42"/>
      <c r="AY347" s="181"/>
      <c r="AZ347" s="197"/>
    </row>
    <row r="348" spans="12:52" ht="13" thickBot="1" x14ac:dyDescent="0.3">
      <c r="L348" s="55">
        <v>1155</v>
      </c>
      <c r="M348" s="274">
        <f t="shared" si="59"/>
        <v>0</v>
      </c>
      <c r="N348" s="275">
        <f t="shared" si="59"/>
        <v>0</v>
      </c>
      <c r="O348" s="276" t="e">
        <f ca="1"/>
        <v>#N/A</v>
      </c>
      <c r="Q348" s="34">
        <v>0</v>
      </c>
      <c r="R348" s="24">
        <v>0</v>
      </c>
      <c r="S348" s="24">
        <v>0</v>
      </c>
      <c r="T348" s="24">
        <v>0</v>
      </c>
      <c r="U348" s="24">
        <f t="array" ref="U348">IF(U$77&gt;" ",(U$628:U$1078),"")</f>
        <v>0</v>
      </c>
      <c r="V348" s="24">
        <f t="array" ref="V348">IF(V$77&gt;" ",(V$628:V$1078),"")</f>
        <v>0</v>
      </c>
      <c r="W348" s="24">
        <f t="array" ref="W348">IF(W$77&gt;" ",(W$628:W$1078),"")</f>
        <v>0</v>
      </c>
      <c r="X348" s="24">
        <f t="array" ref="X348">IF(X$77&gt;" ",(X$628:X$1078),"")</f>
        <v>0</v>
      </c>
      <c r="Y348" s="21">
        <v>0</v>
      </c>
      <c r="Z348" s="34">
        <f t="shared" si="60"/>
        <v>0</v>
      </c>
      <c r="AA348" s="24">
        <f t="shared" si="61"/>
        <v>0</v>
      </c>
      <c r="AB348" s="24">
        <f t="shared" si="62"/>
        <v>0</v>
      </c>
      <c r="AC348" s="24">
        <f t="shared" si="63"/>
        <v>0</v>
      </c>
      <c r="AD348" s="24">
        <f t="shared" si="56"/>
        <v>0</v>
      </c>
      <c r="AE348" s="24">
        <f t="shared" si="56"/>
        <v>0</v>
      </c>
      <c r="AF348" s="24">
        <f t="shared" si="56"/>
        <v>0</v>
      </c>
      <c r="AG348" s="24">
        <f t="shared" si="54"/>
        <v>0</v>
      </c>
      <c r="AH348" s="24">
        <f t="shared" si="64"/>
        <v>0</v>
      </c>
      <c r="AI348" s="24">
        <f t="shared" si="65"/>
        <v>0</v>
      </c>
      <c r="AJ348" s="261">
        <f t="shared" si="66"/>
        <v>0</v>
      </c>
      <c r="AK348" s="13"/>
      <c r="AL348" s="100">
        <v>1155</v>
      </c>
      <c r="AM348" s="202"/>
      <c r="AN348" s="200"/>
      <c r="AO348" s="200"/>
      <c r="AP348" s="284">
        <v>0.31230000000000002</v>
      </c>
      <c r="AR348" s="222">
        <v>96.906474873024194</v>
      </c>
      <c r="AS348" s="223">
        <v>96.896349349281579</v>
      </c>
      <c r="AT348" s="223">
        <v>94.152319745262901</v>
      </c>
      <c r="AU348" s="223">
        <v>94.35961100040133</v>
      </c>
      <c r="AV348" s="223">
        <v>98.042000000000002</v>
      </c>
      <c r="AW348" s="224">
        <v>95.542500000000004</v>
      </c>
      <c r="AX348" s="42"/>
      <c r="AY348" s="181"/>
      <c r="AZ348" s="197"/>
    </row>
    <row r="349" spans="12:52" ht="13" thickBot="1" x14ac:dyDescent="0.3">
      <c r="L349" s="55">
        <v>1150</v>
      </c>
      <c r="M349" s="274">
        <f t="shared" si="59"/>
        <v>0</v>
      </c>
      <c r="N349" s="275">
        <f t="shared" si="59"/>
        <v>0</v>
      </c>
      <c r="O349" s="276" t="e">
        <f ca="1"/>
        <v>#N/A</v>
      </c>
      <c r="Q349" s="34">
        <v>0</v>
      </c>
      <c r="R349" s="24">
        <v>0</v>
      </c>
      <c r="S349" s="24">
        <v>0</v>
      </c>
      <c r="T349" s="24">
        <v>0</v>
      </c>
      <c r="U349" s="24">
        <f t="array" ref="U349">IF(U$77&gt;" ",(U$628:U$1078),"")</f>
        <v>0</v>
      </c>
      <c r="V349" s="24">
        <f t="array" ref="V349">IF(V$77&gt;" ",(V$628:V$1078),"")</f>
        <v>0</v>
      </c>
      <c r="W349" s="24">
        <f t="array" ref="W349">IF(W$77&gt;" ",(W$628:W$1078),"")</f>
        <v>0</v>
      </c>
      <c r="X349" s="24">
        <f t="array" ref="X349">IF(X$77&gt;" ",(X$628:X$1078),"")</f>
        <v>0</v>
      </c>
      <c r="Y349" s="21">
        <v>0</v>
      </c>
      <c r="Z349" s="34">
        <f t="shared" si="60"/>
        <v>0</v>
      </c>
      <c r="AA349" s="24">
        <f t="shared" si="61"/>
        <v>0</v>
      </c>
      <c r="AB349" s="24">
        <f t="shared" si="62"/>
        <v>0</v>
      </c>
      <c r="AC349" s="24">
        <f t="shared" si="63"/>
        <v>0</v>
      </c>
      <c r="AD349" s="24">
        <f t="shared" si="56"/>
        <v>0</v>
      </c>
      <c r="AE349" s="24">
        <f t="shared" si="56"/>
        <v>0</v>
      </c>
      <c r="AF349" s="24">
        <f t="shared" si="56"/>
        <v>0</v>
      </c>
      <c r="AG349" s="24">
        <f t="shared" si="54"/>
        <v>0</v>
      </c>
      <c r="AH349" s="24">
        <f t="shared" si="64"/>
        <v>0</v>
      </c>
      <c r="AI349" s="24">
        <f t="shared" si="65"/>
        <v>0</v>
      </c>
      <c r="AJ349" s="261">
        <f t="shared" si="66"/>
        <v>0</v>
      </c>
      <c r="AK349" s="13"/>
      <c r="AL349" s="100">
        <v>1150</v>
      </c>
      <c r="AM349" s="202"/>
      <c r="AN349" s="200"/>
      <c r="AO349" s="200"/>
      <c r="AP349" s="283">
        <v>0.12130000000000001</v>
      </c>
      <c r="AR349" s="222">
        <v>96.90143606325455</v>
      </c>
      <c r="AS349" s="223">
        <v>96.888147442921607</v>
      </c>
      <c r="AT349" s="223">
        <v>94.133521329593066</v>
      </c>
      <c r="AU349" s="223">
        <v>94.345656536760842</v>
      </c>
      <c r="AV349" s="223">
        <v>98.045000000000002</v>
      </c>
      <c r="AW349" s="224">
        <v>95.498999999999995</v>
      </c>
      <c r="AX349" s="42"/>
      <c r="AY349" s="181"/>
      <c r="AZ349" s="197"/>
    </row>
    <row r="350" spans="12:52" ht="13" thickBot="1" x14ac:dyDescent="0.3">
      <c r="L350" s="55">
        <v>1145</v>
      </c>
      <c r="M350" s="274">
        <f t="shared" si="59"/>
        <v>0</v>
      </c>
      <c r="N350" s="275">
        <f t="shared" si="59"/>
        <v>0</v>
      </c>
      <c r="O350" s="276" t="e">
        <f ca="1"/>
        <v>#N/A</v>
      </c>
      <c r="Q350" s="34">
        <v>0</v>
      </c>
      <c r="R350" s="24">
        <v>0</v>
      </c>
      <c r="S350" s="24">
        <v>0</v>
      </c>
      <c r="T350" s="24">
        <v>0</v>
      </c>
      <c r="U350" s="24">
        <f t="array" ref="U350">IF(U$77&gt;" ",(U$628:U$1078),"")</f>
        <v>0</v>
      </c>
      <c r="V350" s="24">
        <f t="array" ref="V350">IF(V$77&gt;" ",(V$628:V$1078),"")</f>
        <v>0</v>
      </c>
      <c r="W350" s="24">
        <f t="array" ref="W350">IF(W$77&gt;" ",(W$628:W$1078),"")</f>
        <v>0</v>
      </c>
      <c r="X350" s="24">
        <f t="array" ref="X350">IF(X$77&gt;" ",(X$628:X$1078),"")</f>
        <v>0</v>
      </c>
      <c r="Y350" s="21">
        <v>0</v>
      </c>
      <c r="Z350" s="34">
        <f t="shared" si="60"/>
        <v>0</v>
      </c>
      <c r="AA350" s="24">
        <f t="shared" si="61"/>
        <v>0</v>
      </c>
      <c r="AB350" s="24">
        <f t="shared" si="62"/>
        <v>0</v>
      </c>
      <c r="AC350" s="24">
        <f t="shared" si="63"/>
        <v>0</v>
      </c>
      <c r="AD350" s="24">
        <f t="shared" si="56"/>
        <v>0</v>
      </c>
      <c r="AE350" s="24">
        <f t="shared" si="56"/>
        <v>0</v>
      </c>
      <c r="AF350" s="24">
        <f t="shared" si="56"/>
        <v>0</v>
      </c>
      <c r="AG350" s="24">
        <f t="shared" si="56"/>
        <v>0</v>
      </c>
      <c r="AH350" s="24">
        <f t="shared" si="64"/>
        <v>0</v>
      </c>
      <c r="AI350" s="24">
        <f t="shared" si="65"/>
        <v>0</v>
      </c>
      <c r="AJ350" s="261">
        <f t="shared" si="66"/>
        <v>0</v>
      </c>
      <c r="AK350" s="13"/>
      <c r="AL350" s="100">
        <v>1145</v>
      </c>
      <c r="AM350" s="202"/>
      <c r="AN350" s="200"/>
      <c r="AO350" s="200"/>
      <c r="AP350" s="284">
        <v>0.14560000000000001</v>
      </c>
      <c r="AR350" s="222">
        <v>96.909393982881468</v>
      </c>
      <c r="AS350" s="223">
        <v>96.888805245509289</v>
      </c>
      <c r="AT350" s="223">
        <v>94.160205678562477</v>
      </c>
      <c r="AU350" s="223">
        <v>94.3489877655431</v>
      </c>
      <c r="AV350" s="223">
        <v>98.046500000000009</v>
      </c>
      <c r="AW350" s="224">
        <v>95.451499999999996</v>
      </c>
      <c r="AX350" s="42"/>
      <c r="AY350" s="181"/>
      <c r="AZ350" s="197"/>
    </row>
    <row r="351" spans="12:52" ht="13" thickBot="1" x14ac:dyDescent="0.3">
      <c r="L351" s="55">
        <v>1140</v>
      </c>
      <c r="M351" s="274">
        <f t="shared" ref="M351:N366" si="67">M900</f>
        <v>0</v>
      </c>
      <c r="N351" s="275">
        <f t="shared" si="67"/>
        <v>0</v>
      </c>
      <c r="O351" s="276" t="e">
        <f ca="1"/>
        <v>#N/A</v>
      </c>
      <c r="Q351" s="34">
        <v>0</v>
      </c>
      <c r="R351" s="24">
        <v>0</v>
      </c>
      <c r="S351" s="24">
        <v>0</v>
      </c>
      <c r="T351" s="24">
        <v>0</v>
      </c>
      <c r="U351" s="24">
        <f t="array" ref="U351">IF(U$77&gt;" ",(U$628:U$1078),"")</f>
        <v>0</v>
      </c>
      <c r="V351" s="24">
        <f t="array" ref="V351">IF(V$77&gt;" ",(V$628:V$1078),"")</f>
        <v>0</v>
      </c>
      <c r="W351" s="24">
        <f t="array" ref="W351">IF(W$77&gt;" ",(W$628:W$1078),"")</f>
        <v>0</v>
      </c>
      <c r="X351" s="24">
        <f t="array" ref="X351">IF(X$77&gt;" ",(X$628:X$1078),"")</f>
        <v>0</v>
      </c>
      <c r="Y351" s="21">
        <v>0</v>
      </c>
      <c r="Z351" s="34">
        <f t="shared" si="60"/>
        <v>0</v>
      </c>
      <c r="AA351" s="24">
        <f t="shared" si="61"/>
        <v>0</v>
      </c>
      <c r="AB351" s="24">
        <f t="shared" si="62"/>
        <v>0</v>
      </c>
      <c r="AC351" s="24">
        <f t="shared" si="63"/>
        <v>0</v>
      </c>
      <c r="AD351" s="24">
        <f t="shared" ref="AD351:AG414" si="68">U351</f>
        <v>0</v>
      </c>
      <c r="AE351" s="24">
        <f t="shared" si="68"/>
        <v>0</v>
      </c>
      <c r="AF351" s="24">
        <f t="shared" si="68"/>
        <v>0</v>
      </c>
      <c r="AG351" s="24">
        <f t="shared" si="68"/>
        <v>0</v>
      </c>
      <c r="AH351" s="24">
        <f t="shared" si="64"/>
        <v>0</v>
      </c>
      <c r="AI351" s="24">
        <f t="shared" si="65"/>
        <v>0</v>
      </c>
      <c r="AJ351" s="261">
        <f t="shared" si="66"/>
        <v>0</v>
      </c>
      <c r="AK351" s="13"/>
      <c r="AL351" s="100">
        <v>1140</v>
      </c>
      <c r="AM351" s="202"/>
      <c r="AN351" s="200"/>
      <c r="AO351" s="200"/>
      <c r="AP351" s="283">
        <v>0.25519999999999998</v>
      </c>
      <c r="AR351" s="222">
        <v>96.898059126088242</v>
      </c>
      <c r="AS351" s="223">
        <v>96.889744402390306</v>
      </c>
      <c r="AT351" s="223">
        <v>94.156787866373762</v>
      </c>
      <c r="AU351" s="223">
        <v>94.358733925072727</v>
      </c>
      <c r="AV351" s="223">
        <v>98.048000000000002</v>
      </c>
      <c r="AW351" s="224">
        <v>95.403999999999996</v>
      </c>
      <c r="AX351" s="42"/>
      <c r="AY351" s="181"/>
      <c r="AZ351" s="197"/>
    </row>
    <row r="352" spans="12:52" ht="13" thickBot="1" x14ac:dyDescent="0.3">
      <c r="L352" s="55">
        <v>1135</v>
      </c>
      <c r="M352" s="274">
        <f t="shared" si="67"/>
        <v>0</v>
      </c>
      <c r="N352" s="275">
        <f t="shared" si="67"/>
        <v>0</v>
      </c>
      <c r="O352" s="276" t="e">
        <f ca="1"/>
        <v>#N/A</v>
      </c>
      <c r="Q352" s="34">
        <v>0</v>
      </c>
      <c r="R352" s="24">
        <v>0</v>
      </c>
      <c r="S352" s="24">
        <v>0</v>
      </c>
      <c r="T352" s="24">
        <v>0</v>
      </c>
      <c r="U352" s="24">
        <f t="array" ref="U352">IF(U$77&gt;" ",(U$628:U$1078),"")</f>
        <v>0</v>
      </c>
      <c r="V352" s="24">
        <f t="array" ref="V352">IF(V$77&gt;" ",(V$628:V$1078),"")</f>
        <v>0</v>
      </c>
      <c r="W352" s="24">
        <f t="array" ref="W352">IF(W$77&gt;" ",(W$628:W$1078),"")</f>
        <v>0</v>
      </c>
      <c r="X352" s="24">
        <f t="array" ref="X352">IF(X$77&gt;" ",(X$628:X$1078),"")</f>
        <v>0</v>
      </c>
      <c r="Y352" s="21">
        <v>0</v>
      </c>
      <c r="Z352" s="34">
        <f t="shared" si="60"/>
        <v>0</v>
      </c>
      <c r="AA352" s="24">
        <f t="shared" si="61"/>
        <v>0</v>
      </c>
      <c r="AB352" s="24">
        <f t="shared" si="62"/>
        <v>0</v>
      </c>
      <c r="AC352" s="24">
        <f t="shared" si="63"/>
        <v>0</v>
      </c>
      <c r="AD352" s="24">
        <f t="shared" si="68"/>
        <v>0</v>
      </c>
      <c r="AE352" s="24">
        <f t="shared" si="68"/>
        <v>0</v>
      </c>
      <c r="AF352" s="24">
        <f t="shared" si="68"/>
        <v>0</v>
      </c>
      <c r="AG352" s="24">
        <f t="shared" si="68"/>
        <v>0</v>
      </c>
      <c r="AH352" s="24">
        <f t="shared" si="64"/>
        <v>0</v>
      </c>
      <c r="AI352" s="24">
        <f t="shared" si="65"/>
        <v>0</v>
      </c>
      <c r="AJ352" s="261">
        <f t="shared" si="66"/>
        <v>0</v>
      </c>
      <c r="AK352" s="13"/>
      <c r="AL352" s="100">
        <v>1135</v>
      </c>
      <c r="AM352" s="202"/>
      <c r="AN352" s="200"/>
      <c r="AO352" s="200"/>
      <c r="AP352" s="284">
        <v>1.542E-2</v>
      </c>
      <c r="AR352" s="222">
        <v>96.890454377815459</v>
      </c>
      <c r="AS352" s="223">
        <v>96.896217414970991</v>
      </c>
      <c r="AT352" s="223">
        <v>94.158869174559911</v>
      </c>
      <c r="AU352" s="223">
        <v>94.361298063776374</v>
      </c>
      <c r="AV352" s="223">
        <v>98.051999999999992</v>
      </c>
      <c r="AW352" s="224">
        <v>95.352500000000006</v>
      </c>
      <c r="AX352" s="42"/>
      <c r="AY352" s="181"/>
      <c r="AZ352" s="197"/>
    </row>
    <row r="353" spans="12:52" ht="13" thickBot="1" x14ac:dyDescent="0.3">
      <c r="L353" s="55">
        <v>1130</v>
      </c>
      <c r="M353" s="274">
        <f t="shared" si="67"/>
        <v>0</v>
      </c>
      <c r="N353" s="275">
        <f t="shared" si="67"/>
        <v>0</v>
      </c>
      <c r="O353" s="276" t="e">
        <f ca="1"/>
        <v>#N/A</v>
      </c>
      <c r="Q353" s="34">
        <v>0</v>
      </c>
      <c r="R353" s="24">
        <v>0</v>
      </c>
      <c r="S353" s="24">
        <v>0</v>
      </c>
      <c r="T353" s="24">
        <v>0</v>
      </c>
      <c r="U353" s="24">
        <f t="array" ref="U353">IF(U$77&gt;" ",(U$628:U$1078),"")</f>
        <v>0</v>
      </c>
      <c r="V353" s="24">
        <f t="array" ref="V353">IF(V$77&gt;" ",(V$628:V$1078),"")</f>
        <v>0</v>
      </c>
      <c r="W353" s="24">
        <f t="array" ref="W353">IF(W$77&gt;" ",(W$628:W$1078),"")</f>
        <v>0</v>
      </c>
      <c r="X353" s="24">
        <f t="array" ref="X353">IF(X$77&gt;" ",(X$628:X$1078),"")</f>
        <v>0</v>
      </c>
      <c r="Y353" s="21">
        <v>0</v>
      </c>
      <c r="Z353" s="34">
        <f t="shared" si="60"/>
        <v>0</v>
      </c>
      <c r="AA353" s="24">
        <f t="shared" si="61"/>
        <v>0</v>
      </c>
      <c r="AB353" s="24">
        <f t="shared" si="62"/>
        <v>0</v>
      </c>
      <c r="AC353" s="24">
        <f t="shared" si="63"/>
        <v>0</v>
      </c>
      <c r="AD353" s="24">
        <f t="shared" si="68"/>
        <v>0</v>
      </c>
      <c r="AE353" s="24">
        <f t="shared" si="68"/>
        <v>0</v>
      </c>
      <c r="AF353" s="24">
        <f t="shared" si="68"/>
        <v>0</v>
      </c>
      <c r="AG353" s="24">
        <f t="shared" si="68"/>
        <v>0</v>
      </c>
      <c r="AH353" s="24">
        <f t="shared" si="64"/>
        <v>0</v>
      </c>
      <c r="AI353" s="24">
        <f t="shared" si="65"/>
        <v>0</v>
      </c>
      <c r="AJ353" s="261">
        <f t="shared" si="66"/>
        <v>0</v>
      </c>
      <c r="AK353" s="13"/>
      <c r="AL353" s="100">
        <v>1130</v>
      </c>
      <c r="AM353" s="202"/>
      <c r="AN353" s="200"/>
      <c r="AO353" s="200"/>
      <c r="AP353" s="283">
        <v>7.0370000000000002E-2</v>
      </c>
      <c r="AR353" s="222">
        <v>96.904723497618249</v>
      </c>
      <c r="AS353" s="223">
        <v>96.877271977880568</v>
      </c>
      <c r="AT353" s="223">
        <v>94.141666788943539</v>
      </c>
      <c r="AU353" s="223">
        <v>94.34933697856826</v>
      </c>
      <c r="AV353" s="223">
        <v>98.055999999999997</v>
      </c>
      <c r="AW353" s="224">
        <v>95.301000000000002</v>
      </c>
      <c r="AX353" s="42"/>
      <c r="AY353" s="181"/>
      <c r="AZ353" s="197"/>
    </row>
    <row r="354" spans="12:52" ht="13" thickBot="1" x14ac:dyDescent="0.3">
      <c r="L354" s="55">
        <v>1125</v>
      </c>
      <c r="M354" s="274">
        <f t="shared" si="67"/>
        <v>0</v>
      </c>
      <c r="N354" s="275">
        <f t="shared" si="67"/>
        <v>0</v>
      </c>
      <c r="O354" s="276" t="e">
        <f ca="1"/>
        <v>#N/A</v>
      </c>
      <c r="Q354" s="34">
        <v>0</v>
      </c>
      <c r="R354" s="24">
        <v>0</v>
      </c>
      <c r="S354" s="24">
        <v>0</v>
      </c>
      <c r="T354" s="24">
        <v>0</v>
      </c>
      <c r="U354" s="24">
        <f t="array" ref="U354">IF(U$77&gt;" ",(U$628:U$1078),"")</f>
        <v>0</v>
      </c>
      <c r="V354" s="24">
        <f t="array" ref="V354">IF(V$77&gt;" ",(V$628:V$1078),"")</f>
        <v>0</v>
      </c>
      <c r="W354" s="24">
        <f t="array" ref="W354">IF(W$77&gt;" ",(W$628:W$1078),"")</f>
        <v>0</v>
      </c>
      <c r="X354" s="24">
        <f t="array" ref="X354">IF(X$77&gt;" ",(X$628:X$1078),"")</f>
        <v>0</v>
      </c>
      <c r="Y354" s="21">
        <v>0</v>
      </c>
      <c r="Z354" s="34">
        <f t="shared" si="60"/>
        <v>0</v>
      </c>
      <c r="AA354" s="24">
        <f t="shared" si="61"/>
        <v>0</v>
      </c>
      <c r="AB354" s="24">
        <f t="shared" si="62"/>
        <v>0</v>
      </c>
      <c r="AC354" s="24">
        <f t="shared" si="63"/>
        <v>0</v>
      </c>
      <c r="AD354" s="24">
        <f t="shared" si="68"/>
        <v>0</v>
      </c>
      <c r="AE354" s="24">
        <f t="shared" si="68"/>
        <v>0</v>
      </c>
      <c r="AF354" s="24">
        <f t="shared" si="68"/>
        <v>0</v>
      </c>
      <c r="AG354" s="24">
        <f t="shared" si="68"/>
        <v>0</v>
      </c>
      <c r="AH354" s="24">
        <f t="shared" si="64"/>
        <v>0</v>
      </c>
      <c r="AI354" s="24">
        <f t="shared" si="65"/>
        <v>0</v>
      </c>
      <c r="AJ354" s="261">
        <f t="shared" si="66"/>
        <v>0</v>
      </c>
      <c r="AK354" s="13"/>
      <c r="AL354" s="100">
        <v>1125</v>
      </c>
      <c r="AM354" s="202"/>
      <c r="AN354" s="200"/>
      <c r="AO354" s="200"/>
      <c r="AP354" s="284">
        <v>0.1439</v>
      </c>
      <c r="AR354" s="222">
        <v>96.880858250153935</v>
      </c>
      <c r="AS354" s="223">
        <v>96.878771816111296</v>
      </c>
      <c r="AT354" s="223">
        <v>94.14180772931779</v>
      </c>
      <c r="AU354" s="223">
        <v>94.343351597217136</v>
      </c>
      <c r="AV354" s="223">
        <v>98.06</v>
      </c>
      <c r="AW354" s="224">
        <v>95.247</v>
      </c>
      <c r="AX354" s="42"/>
      <c r="AY354" s="181"/>
      <c r="AZ354" s="197"/>
    </row>
    <row r="355" spans="12:52" ht="13" thickBot="1" x14ac:dyDescent="0.3">
      <c r="L355" s="55">
        <v>1120</v>
      </c>
      <c r="M355" s="274">
        <f t="shared" si="67"/>
        <v>0</v>
      </c>
      <c r="N355" s="275">
        <f t="shared" si="67"/>
        <v>0</v>
      </c>
      <c r="O355" s="276" t="e">
        <f ca="1"/>
        <v>#N/A</v>
      </c>
      <c r="Q355" s="34">
        <v>0</v>
      </c>
      <c r="R355" s="24">
        <v>0</v>
      </c>
      <c r="S355" s="24">
        <v>0</v>
      </c>
      <c r="T355" s="24">
        <v>0</v>
      </c>
      <c r="U355" s="24">
        <f t="array" ref="U355">IF(U$77&gt;" ",(U$628:U$1078),"")</f>
        <v>0</v>
      </c>
      <c r="V355" s="24">
        <f t="array" ref="V355">IF(V$77&gt;" ",(V$628:V$1078),"")</f>
        <v>0</v>
      </c>
      <c r="W355" s="24">
        <f t="array" ref="W355">IF(W$77&gt;" ",(W$628:W$1078),"")</f>
        <v>0</v>
      </c>
      <c r="X355" s="24">
        <f t="array" ref="X355">IF(X$77&gt;" ",(X$628:X$1078),"")</f>
        <v>0</v>
      </c>
      <c r="Y355" s="21">
        <v>0</v>
      </c>
      <c r="Z355" s="34">
        <f t="shared" si="60"/>
        <v>0</v>
      </c>
      <c r="AA355" s="24">
        <f t="shared" si="61"/>
        <v>0</v>
      </c>
      <c r="AB355" s="24">
        <f t="shared" si="62"/>
        <v>0</v>
      </c>
      <c r="AC355" s="24">
        <f t="shared" si="63"/>
        <v>0</v>
      </c>
      <c r="AD355" s="24">
        <f t="shared" si="68"/>
        <v>0</v>
      </c>
      <c r="AE355" s="24">
        <f t="shared" si="68"/>
        <v>0</v>
      </c>
      <c r="AF355" s="24">
        <f t="shared" si="68"/>
        <v>0</v>
      </c>
      <c r="AG355" s="24">
        <f t="shared" si="68"/>
        <v>0</v>
      </c>
      <c r="AH355" s="24">
        <f t="shared" si="64"/>
        <v>0</v>
      </c>
      <c r="AI355" s="24">
        <f t="shared" si="65"/>
        <v>0</v>
      </c>
      <c r="AJ355" s="261">
        <f t="shared" si="66"/>
        <v>0</v>
      </c>
      <c r="AK355" s="13"/>
      <c r="AL355" s="100">
        <v>1120</v>
      </c>
      <c r="AM355" s="202"/>
      <c r="AN355" s="200"/>
      <c r="AO355" s="200"/>
      <c r="AP355" s="283">
        <v>0.14149999999999999</v>
      </c>
      <c r="AR355" s="222">
        <v>96.892600659566185</v>
      </c>
      <c r="AS355" s="223">
        <v>96.868901156768402</v>
      </c>
      <c r="AT355" s="223">
        <v>94.116066336188794</v>
      </c>
      <c r="AU355" s="223">
        <v>94.325862623579454</v>
      </c>
      <c r="AV355" s="223">
        <v>98.063999999999993</v>
      </c>
      <c r="AW355" s="224">
        <v>95.193000000000012</v>
      </c>
      <c r="AX355" s="42"/>
      <c r="AY355" s="181"/>
      <c r="AZ355" s="197"/>
    </row>
    <row r="356" spans="12:52" ht="13" thickBot="1" x14ac:dyDescent="0.3">
      <c r="L356" s="55">
        <v>1115</v>
      </c>
      <c r="M356" s="274">
        <f t="shared" si="67"/>
        <v>0</v>
      </c>
      <c r="N356" s="275">
        <f t="shared" si="67"/>
        <v>0</v>
      </c>
      <c r="O356" s="276" t="e">
        <f ca="1"/>
        <v>#N/A</v>
      </c>
      <c r="Q356" s="34">
        <v>0</v>
      </c>
      <c r="R356" s="24">
        <v>0</v>
      </c>
      <c r="S356" s="24">
        <v>0</v>
      </c>
      <c r="T356" s="24">
        <v>0</v>
      </c>
      <c r="U356" s="24">
        <f t="array" ref="U356">IF(U$77&gt;" ",(U$628:U$1078),"")</f>
        <v>0</v>
      </c>
      <c r="V356" s="24">
        <f t="array" ref="V356">IF(V$77&gt;" ",(V$628:V$1078),"")</f>
        <v>0</v>
      </c>
      <c r="W356" s="24">
        <f t="array" ref="W356">IF(W$77&gt;" ",(W$628:W$1078),"")</f>
        <v>0</v>
      </c>
      <c r="X356" s="24">
        <f t="array" ref="X356">IF(X$77&gt;" ",(X$628:X$1078),"")</f>
        <v>0</v>
      </c>
      <c r="Y356" s="21">
        <v>0</v>
      </c>
      <c r="Z356" s="34">
        <f t="shared" si="60"/>
        <v>0</v>
      </c>
      <c r="AA356" s="24">
        <f t="shared" si="61"/>
        <v>0</v>
      </c>
      <c r="AB356" s="24">
        <f t="shared" si="62"/>
        <v>0</v>
      </c>
      <c r="AC356" s="24">
        <f t="shared" si="63"/>
        <v>0</v>
      </c>
      <c r="AD356" s="24">
        <f t="shared" si="68"/>
        <v>0</v>
      </c>
      <c r="AE356" s="24">
        <f t="shared" si="68"/>
        <v>0</v>
      </c>
      <c r="AF356" s="24">
        <f t="shared" si="68"/>
        <v>0</v>
      </c>
      <c r="AG356" s="24">
        <f t="shared" si="68"/>
        <v>0</v>
      </c>
      <c r="AH356" s="24">
        <f t="shared" si="64"/>
        <v>0</v>
      </c>
      <c r="AI356" s="24">
        <f t="shared" si="65"/>
        <v>0</v>
      </c>
      <c r="AJ356" s="261">
        <f t="shared" si="66"/>
        <v>0</v>
      </c>
      <c r="AK356" s="13"/>
      <c r="AL356" s="100">
        <v>1115</v>
      </c>
      <c r="AM356" s="202"/>
      <c r="AN356" s="200"/>
      <c r="AO356" s="200"/>
      <c r="AP356" s="284">
        <v>0.24909999999999999</v>
      </c>
      <c r="AR356" s="222">
        <v>96.894723329588544</v>
      </c>
      <c r="AS356" s="223">
        <v>96.877749524626282</v>
      </c>
      <c r="AT356" s="223">
        <v>94.138563611395455</v>
      </c>
      <c r="AU356" s="223">
        <v>94.345476679923706</v>
      </c>
      <c r="AV356" s="223">
        <v>98.067499999999995</v>
      </c>
      <c r="AW356" s="224">
        <v>95.132499999999993</v>
      </c>
      <c r="AX356" s="42"/>
      <c r="AY356" s="181"/>
      <c r="AZ356" s="197"/>
    </row>
    <row r="357" spans="12:52" ht="13" thickBot="1" x14ac:dyDescent="0.3">
      <c r="L357" s="55">
        <v>1110</v>
      </c>
      <c r="M357" s="274">
        <f t="shared" si="67"/>
        <v>0</v>
      </c>
      <c r="N357" s="275">
        <f t="shared" si="67"/>
        <v>0</v>
      </c>
      <c r="O357" s="276" t="e">
        <f ca="1"/>
        <v>#N/A</v>
      </c>
      <c r="Q357" s="34">
        <v>0</v>
      </c>
      <c r="R357" s="24">
        <v>0</v>
      </c>
      <c r="S357" s="24">
        <v>0</v>
      </c>
      <c r="T357" s="24">
        <v>0</v>
      </c>
      <c r="U357" s="24">
        <f t="array" ref="U357">IF(U$77&gt;" ",(U$628:U$1078),"")</f>
        <v>0</v>
      </c>
      <c r="V357" s="24">
        <f t="array" ref="V357">IF(V$77&gt;" ",(V$628:V$1078),"")</f>
        <v>0</v>
      </c>
      <c r="W357" s="24">
        <f t="array" ref="W357">IF(W$77&gt;" ",(W$628:W$1078),"")</f>
        <v>0</v>
      </c>
      <c r="X357" s="24">
        <f t="array" ref="X357">IF(X$77&gt;" ",(X$628:X$1078),"")</f>
        <v>0</v>
      </c>
      <c r="Y357" s="21">
        <v>0</v>
      </c>
      <c r="Z357" s="34">
        <f t="shared" si="60"/>
        <v>0</v>
      </c>
      <c r="AA357" s="24">
        <f t="shared" si="61"/>
        <v>0</v>
      </c>
      <c r="AB357" s="24">
        <f t="shared" si="62"/>
        <v>0</v>
      </c>
      <c r="AC357" s="24">
        <f t="shared" si="63"/>
        <v>0</v>
      </c>
      <c r="AD357" s="24">
        <f t="shared" si="68"/>
        <v>0</v>
      </c>
      <c r="AE357" s="24">
        <f t="shared" si="68"/>
        <v>0</v>
      </c>
      <c r="AF357" s="24">
        <f t="shared" si="68"/>
        <v>0</v>
      </c>
      <c r="AG357" s="24">
        <f t="shared" si="68"/>
        <v>0</v>
      </c>
      <c r="AH357" s="24">
        <f t="shared" si="64"/>
        <v>0</v>
      </c>
      <c r="AI357" s="24">
        <f t="shared" si="65"/>
        <v>0</v>
      </c>
      <c r="AJ357" s="261">
        <f t="shared" si="66"/>
        <v>0</v>
      </c>
      <c r="AK357" s="13"/>
      <c r="AL357" s="100">
        <v>1110</v>
      </c>
      <c r="AM357" s="202"/>
      <c r="AN357" s="200"/>
      <c r="AO357" s="200"/>
      <c r="AP357" s="283">
        <v>0.47760000000000002</v>
      </c>
      <c r="AR357" s="222">
        <v>96.911669142032665</v>
      </c>
      <c r="AS357" s="223">
        <v>96.88661869378025</v>
      </c>
      <c r="AT357" s="223">
        <v>94.132851611732164</v>
      </c>
      <c r="AU357" s="223">
        <v>94.342835368139433</v>
      </c>
      <c r="AV357" s="223">
        <v>98.070999999999998</v>
      </c>
      <c r="AW357" s="224">
        <v>95.072000000000003</v>
      </c>
      <c r="AX357" s="42"/>
      <c r="AY357" s="181"/>
      <c r="AZ357" s="197"/>
    </row>
    <row r="358" spans="12:52" ht="13" thickBot="1" x14ac:dyDescent="0.3">
      <c r="L358" s="55">
        <v>1105</v>
      </c>
      <c r="M358" s="274">
        <f t="shared" si="67"/>
        <v>0</v>
      </c>
      <c r="N358" s="275">
        <f t="shared" si="67"/>
        <v>0</v>
      </c>
      <c r="O358" s="276" t="e">
        <f ca="1"/>
        <v>#N/A</v>
      </c>
      <c r="Q358" s="34">
        <v>0</v>
      </c>
      <c r="R358" s="24">
        <v>0</v>
      </c>
      <c r="S358" s="24">
        <v>0</v>
      </c>
      <c r="T358" s="24">
        <v>0</v>
      </c>
      <c r="U358" s="24">
        <f t="array" ref="U358">IF(U$77&gt;" ",(U$628:U$1078),"")</f>
        <v>0</v>
      </c>
      <c r="V358" s="24">
        <f t="array" ref="V358">IF(V$77&gt;" ",(V$628:V$1078),"")</f>
        <v>0</v>
      </c>
      <c r="W358" s="24">
        <f t="array" ref="W358">IF(W$77&gt;" ",(W$628:W$1078),"")</f>
        <v>0</v>
      </c>
      <c r="X358" s="24">
        <f t="array" ref="X358">IF(X$77&gt;" ",(X$628:X$1078),"")</f>
        <v>0</v>
      </c>
      <c r="Y358" s="21">
        <v>0</v>
      </c>
      <c r="Z358" s="34">
        <f t="shared" si="60"/>
        <v>0</v>
      </c>
      <c r="AA358" s="24">
        <f t="shared" si="61"/>
        <v>0</v>
      </c>
      <c r="AB358" s="24">
        <f t="shared" si="62"/>
        <v>0</v>
      </c>
      <c r="AC358" s="24">
        <f t="shared" si="63"/>
        <v>0</v>
      </c>
      <c r="AD358" s="24">
        <f t="shared" si="68"/>
        <v>0</v>
      </c>
      <c r="AE358" s="24">
        <f t="shared" si="68"/>
        <v>0</v>
      </c>
      <c r="AF358" s="24">
        <f t="shared" si="68"/>
        <v>0</v>
      </c>
      <c r="AG358" s="24">
        <f t="shared" si="68"/>
        <v>0</v>
      </c>
      <c r="AH358" s="24">
        <f t="shared" si="64"/>
        <v>0</v>
      </c>
      <c r="AI358" s="24">
        <f t="shared" si="65"/>
        <v>0</v>
      </c>
      <c r="AJ358" s="261">
        <f t="shared" si="66"/>
        <v>0</v>
      </c>
      <c r="AK358" s="13"/>
      <c r="AL358" s="100">
        <v>1105</v>
      </c>
      <c r="AM358" s="202"/>
      <c r="AN358" s="200"/>
      <c r="AO358" s="200"/>
      <c r="AP358" s="284">
        <v>0.505</v>
      </c>
      <c r="AR358" s="222">
        <v>96.889283200155703</v>
      </c>
      <c r="AS358" s="223">
        <v>96.861107610032761</v>
      </c>
      <c r="AT358" s="223">
        <v>94.137879192274951</v>
      </c>
      <c r="AU358" s="223">
        <v>94.338554381619403</v>
      </c>
      <c r="AV358" s="223">
        <v>98.075000000000003</v>
      </c>
      <c r="AW358" s="224">
        <v>95.009</v>
      </c>
      <c r="AX358" s="42"/>
      <c r="AY358" s="181"/>
      <c r="AZ358" s="197"/>
    </row>
    <row r="359" spans="12:52" ht="13" thickBot="1" x14ac:dyDescent="0.3">
      <c r="L359" s="55">
        <v>1100</v>
      </c>
      <c r="M359" s="274">
        <f t="shared" si="67"/>
        <v>0</v>
      </c>
      <c r="N359" s="275">
        <f t="shared" si="67"/>
        <v>0</v>
      </c>
      <c r="O359" s="276" t="e">
        <f ca="1"/>
        <v>#N/A</v>
      </c>
      <c r="Q359" s="34">
        <v>0</v>
      </c>
      <c r="R359" s="24">
        <v>0</v>
      </c>
      <c r="S359" s="24">
        <v>0</v>
      </c>
      <c r="T359" s="24">
        <v>0</v>
      </c>
      <c r="U359" s="24">
        <f t="array" ref="U359">IF(U$77&gt;" ",(U$628:U$1078),"")</f>
        <v>0</v>
      </c>
      <c r="V359" s="24">
        <f t="array" ref="V359">IF(V$77&gt;" ",(V$628:V$1078),"")</f>
        <v>0</v>
      </c>
      <c r="W359" s="24">
        <f t="array" ref="W359">IF(W$77&gt;" ",(W$628:W$1078),"")</f>
        <v>0</v>
      </c>
      <c r="X359" s="24">
        <f t="array" ref="X359">IF(X$77&gt;" ",(X$628:X$1078),"")</f>
        <v>0</v>
      </c>
      <c r="Y359" s="21">
        <v>0</v>
      </c>
      <c r="Z359" s="34">
        <f t="shared" si="60"/>
        <v>0</v>
      </c>
      <c r="AA359" s="24">
        <f t="shared" si="61"/>
        <v>0</v>
      </c>
      <c r="AB359" s="24">
        <f t="shared" si="62"/>
        <v>0</v>
      </c>
      <c r="AC359" s="24">
        <f t="shared" si="63"/>
        <v>0</v>
      </c>
      <c r="AD359" s="24">
        <f t="shared" si="68"/>
        <v>0</v>
      </c>
      <c r="AE359" s="24">
        <f t="shared" si="68"/>
        <v>0</v>
      </c>
      <c r="AF359" s="24">
        <f t="shared" si="68"/>
        <v>0</v>
      </c>
      <c r="AG359" s="24">
        <f t="shared" si="68"/>
        <v>0</v>
      </c>
      <c r="AH359" s="24">
        <f t="shared" si="64"/>
        <v>0</v>
      </c>
      <c r="AI359" s="24">
        <f t="shared" si="65"/>
        <v>0</v>
      </c>
      <c r="AJ359" s="261">
        <f t="shared" si="66"/>
        <v>0</v>
      </c>
      <c r="AK359" s="13"/>
      <c r="AL359" s="100">
        <v>1100</v>
      </c>
      <c r="AM359" s="202"/>
      <c r="AN359" s="200"/>
      <c r="AO359" s="200"/>
      <c r="AP359" s="283">
        <v>0.4844</v>
      </c>
      <c r="AR359" s="222">
        <v>96.887615968794805</v>
      </c>
      <c r="AS359" s="223">
        <v>96.859921560328857</v>
      </c>
      <c r="AT359" s="223">
        <v>94.126082079557236</v>
      </c>
      <c r="AU359" s="223">
        <v>94.326475068657999</v>
      </c>
      <c r="AV359" s="223">
        <v>98.079000000000008</v>
      </c>
      <c r="AW359" s="224">
        <v>94.945999999999998</v>
      </c>
      <c r="AX359" s="42"/>
      <c r="AY359" s="181"/>
      <c r="AZ359" s="197"/>
    </row>
    <row r="360" spans="12:52" ht="13" thickBot="1" x14ac:dyDescent="0.3">
      <c r="L360" s="55">
        <v>1095</v>
      </c>
      <c r="M360" s="274">
        <f t="shared" si="67"/>
        <v>0</v>
      </c>
      <c r="N360" s="275">
        <f t="shared" si="67"/>
        <v>0</v>
      </c>
      <c r="O360" s="276" t="e">
        <f ca="1"/>
        <v>#N/A</v>
      </c>
      <c r="Q360" s="34">
        <v>0</v>
      </c>
      <c r="R360" s="24">
        <v>0</v>
      </c>
      <c r="S360" s="24">
        <v>0</v>
      </c>
      <c r="T360" s="24">
        <v>0</v>
      </c>
      <c r="U360" s="24">
        <f t="array" ref="U360">IF(U$77&gt;" ",(U$628:U$1078),"")</f>
        <v>0</v>
      </c>
      <c r="V360" s="24">
        <f t="array" ref="V360">IF(V$77&gt;" ",(V$628:V$1078),"")</f>
        <v>0</v>
      </c>
      <c r="W360" s="24">
        <f t="array" ref="W360">IF(W$77&gt;" ",(W$628:W$1078),"")</f>
        <v>0</v>
      </c>
      <c r="X360" s="24">
        <f t="array" ref="X360">IF(X$77&gt;" ",(X$628:X$1078),"")</f>
        <v>0</v>
      </c>
      <c r="Y360" s="21">
        <v>0</v>
      </c>
      <c r="Z360" s="34">
        <f t="shared" si="60"/>
        <v>0</v>
      </c>
      <c r="AA360" s="24">
        <f t="shared" si="61"/>
        <v>0</v>
      </c>
      <c r="AB360" s="24">
        <f t="shared" si="62"/>
        <v>0</v>
      </c>
      <c r="AC360" s="24">
        <f t="shared" si="63"/>
        <v>0</v>
      </c>
      <c r="AD360" s="24">
        <f t="shared" si="68"/>
        <v>0</v>
      </c>
      <c r="AE360" s="24">
        <f t="shared" si="68"/>
        <v>0</v>
      </c>
      <c r="AF360" s="24">
        <f t="shared" si="68"/>
        <v>0</v>
      </c>
      <c r="AG360" s="24">
        <f t="shared" si="68"/>
        <v>0</v>
      </c>
      <c r="AH360" s="24">
        <f t="shared" si="64"/>
        <v>0</v>
      </c>
      <c r="AI360" s="24">
        <f t="shared" si="65"/>
        <v>0</v>
      </c>
      <c r="AJ360" s="261">
        <f t="shared" si="66"/>
        <v>0</v>
      </c>
      <c r="AK360" s="13"/>
      <c r="AL360" s="100">
        <v>1095</v>
      </c>
      <c r="AM360" s="202"/>
      <c r="AN360" s="200"/>
      <c r="AO360" s="200"/>
      <c r="AP360" s="284">
        <v>0.51919999999999999</v>
      </c>
      <c r="AR360" s="222">
        <v>96.882286191779144</v>
      </c>
      <c r="AS360" s="223">
        <v>96.850683259355534</v>
      </c>
      <c r="AT360" s="223">
        <v>94.128997883512966</v>
      </c>
      <c r="AU360" s="223">
        <v>94.336560713490954</v>
      </c>
      <c r="AV360" s="223">
        <v>98.084000000000003</v>
      </c>
      <c r="AW360" s="224">
        <v>94.875</v>
      </c>
      <c r="AX360" s="42"/>
      <c r="AY360" s="181"/>
      <c r="AZ360" s="197"/>
    </row>
    <row r="361" spans="12:52" ht="13" thickBot="1" x14ac:dyDescent="0.3">
      <c r="L361" s="55">
        <v>1090</v>
      </c>
      <c r="M361" s="274">
        <f t="shared" si="67"/>
        <v>0</v>
      </c>
      <c r="N361" s="275">
        <f t="shared" si="67"/>
        <v>0</v>
      </c>
      <c r="O361" s="276" t="e">
        <f ca="1"/>
        <v>#N/A</v>
      </c>
      <c r="Q361" s="34">
        <v>0</v>
      </c>
      <c r="R361" s="24">
        <v>0</v>
      </c>
      <c r="S361" s="24">
        <v>0</v>
      </c>
      <c r="T361" s="24">
        <v>0</v>
      </c>
      <c r="U361" s="24">
        <f t="array" ref="U361">IF(U$77&gt;" ",(U$628:U$1078),"")</f>
        <v>0</v>
      </c>
      <c r="V361" s="24">
        <f t="array" ref="V361">IF(V$77&gt;" ",(V$628:V$1078),"")</f>
        <v>0</v>
      </c>
      <c r="W361" s="24">
        <f t="array" ref="W361">IF(W$77&gt;" ",(W$628:W$1078),"")</f>
        <v>0</v>
      </c>
      <c r="X361" s="24">
        <f t="array" ref="X361">IF(X$77&gt;" ",(X$628:X$1078),"")</f>
        <v>0</v>
      </c>
      <c r="Y361" s="21">
        <v>0</v>
      </c>
      <c r="Z361" s="34">
        <f t="shared" si="60"/>
        <v>0</v>
      </c>
      <c r="AA361" s="24">
        <f t="shared" si="61"/>
        <v>0</v>
      </c>
      <c r="AB361" s="24">
        <f t="shared" si="62"/>
        <v>0</v>
      </c>
      <c r="AC361" s="24">
        <f t="shared" si="63"/>
        <v>0</v>
      </c>
      <c r="AD361" s="24">
        <f t="shared" si="68"/>
        <v>0</v>
      </c>
      <c r="AE361" s="24">
        <f t="shared" si="68"/>
        <v>0</v>
      </c>
      <c r="AF361" s="24">
        <f t="shared" si="68"/>
        <v>0</v>
      </c>
      <c r="AG361" s="24">
        <f t="shared" si="68"/>
        <v>0</v>
      </c>
      <c r="AH361" s="24">
        <f t="shared" si="64"/>
        <v>0</v>
      </c>
      <c r="AI361" s="24">
        <f t="shared" si="65"/>
        <v>0</v>
      </c>
      <c r="AJ361" s="261">
        <f t="shared" si="66"/>
        <v>0</v>
      </c>
      <c r="AK361" s="13"/>
      <c r="AL361" s="100">
        <v>1090</v>
      </c>
      <c r="AM361" s="202"/>
      <c r="AN361" s="200"/>
      <c r="AO361" s="200"/>
      <c r="AP361" s="283">
        <v>0.55410000000000004</v>
      </c>
      <c r="AR361" s="222">
        <v>96.87216468883571</v>
      </c>
      <c r="AS361" s="223">
        <v>96.837929576170382</v>
      </c>
      <c r="AT361" s="223">
        <v>94.132114907241771</v>
      </c>
      <c r="AU361" s="223">
        <v>94.335531483547811</v>
      </c>
      <c r="AV361" s="223">
        <v>98.088999999999999</v>
      </c>
      <c r="AW361" s="224">
        <v>94.804000000000002</v>
      </c>
      <c r="AX361" s="42"/>
      <c r="AY361" s="181"/>
      <c r="AZ361" s="197"/>
    </row>
    <row r="362" spans="12:52" ht="13" thickBot="1" x14ac:dyDescent="0.3">
      <c r="L362" s="55">
        <v>1085</v>
      </c>
      <c r="M362" s="274">
        <f t="shared" si="67"/>
        <v>0</v>
      </c>
      <c r="N362" s="275">
        <f t="shared" si="67"/>
        <v>0</v>
      </c>
      <c r="O362" s="276" t="e">
        <f ca="1"/>
        <v>#N/A</v>
      </c>
      <c r="Q362" s="34">
        <v>0</v>
      </c>
      <c r="R362" s="24">
        <v>0</v>
      </c>
      <c r="S362" s="24">
        <v>0</v>
      </c>
      <c r="T362" s="24">
        <v>0</v>
      </c>
      <c r="U362" s="24">
        <f t="array" ref="U362">IF(U$77&gt;" ",(U$628:U$1078),"")</f>
        <v>0</v>
      </c>
      <c r="V362" s="24">
        <f t="array" ref="V362">IF(V$77&gt;" ",(V$628:V$1078),"")</f>
        <v>0</v>
      </c>
      <c r="W362" s="24">
        <f t="array" ref="W362">IF(W$77&gt;" ",(W$628:W$1078),"")</f>
        <v>0</v>
      </c>
      <c r="X362" s="24">
        <f t="array" ref="X362">IF(X$77&gt;" ",(X$628:X$1078),"")</f>
        <v>0</v>
      </c>
      <c r="Y362" s="21">
        <v>0</v>
      </c>
      <c r="Z362" s="34">
        <f t="shared" si="60"/>
        <v>0</v>
      </c>
      <c r="AA362" s="24">
        <f t="shared" si="61"/>
        <v>0</v>
      </c>
      <c r="AB362" s="24">
        <f t="shared" si="62"/>
        <v>0</v>
      </c>
      <c r="AC362" s="24">
        <f t="shared" si="63"/>
        <v>0</v>
      </c>
      <c r="AD362" s="24">
        <f t="shared" si="68"/>
        <v>0</v>
      </c>
      <c r="AE362" s="24">
        <f t="shared" si="68"/>
        <v>0</v>
      </c>
      <c r="AF362" s="24">
        <f t="shared" si="68"/>
        <v>0</v>
      </c>
      <c r="AG362" s="24">
        <f t="shared" si="68"/>
        <v>0</v>
      </c>
      <c r="AH362" s="24">
        <f t="shared" si="64"/>
        <v>0</v>
      </c>
      <c r="AI362" s="24">
        <f t="shared" si="65"/>
        <v>0</v>
      </c>
      <c r="AJ362" s="261">
        <f t="shared" si="66"/>
        <v>0</v>
      </c>
      <c r="AK362" s="13"/>
      <c r="AL362" s="100">
        <v>1085</v>
      </c>
      <c r="AM362" s="202"/>
      <c r="AN362" s="200"/>
      <c r="AO362" s="200"/>
      <c r="AP362" s="284">
        <v>0.59160000000000001</v>
      </c>
      <c r="AR362" s="222">
        <v>96.860311830466614</v>
      </c>
      <c r="AS362" s="223">
        <v>96.860247655969019</v>
      </c>
      <c r="AT362" s="223">
        <v>94.125684739828259</v>
      </c>
      <c r="AU362" s="223">
        <v>94.331127023437872</v>
      </c>
      <c r="AV362" s="223">
        <v>98.093500000000006</v>
      </c>
      <c r="AW362" s="224">
        <v>94.73</v>
      </c>
      <c r="AX362" s="42"/>
      <c r="AY362" s="181"/>
      <c r="AZ362" s="197"/>
    </row>
    <row r="363" spans="12:52" ht="13" thickBot="1" x14ac:dyDescent="0.3">
      <c r="L363" s="55">
        <v>1080</v>
      </c>
      <c r="M363" s="274">
        <f t="shared" si="67"/>
        <v>0</v>
      </c>
      <c r="N363" s="275">
        <f t="shared" si="67"/>
        <v>0</v>
      </c>
      <c r="O363" s="276" t="e">
        <f ca="1"/>
        <v>#N/A</v>
      </c>
      <c r="Q363" s="34">
        <v>0</v>
      </c>
      <c r="R363" s="24">
        <v>0</v>
      </c>
      <c r="S363" s="24">
        <v>0</v>
      </c>
      <c r="T363" s="24">
        <v>0</v>
      </c>
      <c r="U363" s="24">
        <f t="array" ref="U363">IF(U$77&gt;" ",(U$628:U$1078),"")</f>
        <v>0</v>
      </c>
      <c r="V363" s="24">
        <f t="array" ref="V363">IF(V$77&gt;" ",(V$628:V$1078),"")</f>
        <v>0</v>
      </c>
      <c r="W363" s="24">
        <f t="array" ref="W363">IF(W$77&gt;" ",(W$628:W$1078),"")</f>
        <v>0</v>
      </c>
      <c r="X363" s="24">
        <f t="array" ref="X363">IF(X$77&gt;" ",(X$628:X$1078),"")</f>
        <v>0</v>
      </c>
      <c r="Y363" s="21">
        <v>0</v>
      </c>
      <c r="Z363" s="34">
        <f t="shared" si="60"/>
        <v>0</v>
      </c>
      <c r="AA363" s="24">
        <f t="shared" si="61"/>
        <v>0</v>
      </c>
      <c r="AB363" s="24">
        <f t="shared" si="62"/>
        <v>0</v>
      </c>
      <c r="AC363" s="24">
        <f t="shared" si="63"/>
        <v>0</v>
      </c>
      <c r="AD363" s="24">
        <f t="shared" si="68"/>
        <v>0</v>
      </c>
      <c r="AE363" s="24">
        <f t="shared" si="68"/>
        <v>0</v>
      </c>
      <c r="AF363" s="24">
        <f t="shared" si="68"/>
        <v>0</v>
      </c>
      <c r="AG363" s="24">
        <f t="shared" si="68"/>
        <v>0</v>
      </c>
      <c r="AH363" s="24">
        <f t="shared" si="64"/>
        <v>0</v>
      </c>
      <c r="AI363" s="24">
        <f t="shared" si="65"/>
        <v>0</v>
      </c>
      <c r="AJ363" s="261">
        <f t="shared" si="66"/>
        <v>0</v>
      </c>
      <c r="AK363" s="13"/>
      <c r="AL363" s="100">
        <v>1080</v>
      </c>
      <c r="AM363" s="202"/>
      <c r="AN363" s="200"/>
      <c r="AO363" s="200"/>
      <c r="AP363" s="283">
        <v>0.59550000000000003</v>
      </c>
      <c r="AR363" s="222">
        <v>96.864170785887211</v>
      </c>
      <c r="AS363" s="223">
        <v>96.86552495242772</v>
      </c>
      <c r="AT363" s="223">
        <v>94.127853165458831</v>
      </c>
      <c r="AU363" s="223">
        <v>94.346254014653994</v>
      </c>
      <c r="AV363" s="223">
        <v>98.097999999999999</v>
      </c>
      <c r="AW363" s="224">
        <v>94.655999999999992</v>
      </c>
      <c r="AX363" s="42"/>
      <c r="AY363" s="181"/>
      <c r="AZ363" s="197"/>
    </row>
    <row r="364" spans="12:52" ht="13" thickBot="1" x14ac:dyDescent="0.3">
      <c r="L364" s="55">
        <v>1075</v>
      </c>
      <c r="M364" s="274">
        <f t="shared" si="67"/>
        <v>0</v>
      </c>
      <c r="N364" s="275">
        <f t="shared" si="67"/>
        <v>0</v>
      </c>
      <c r="O364" s="276" t="e">
        <f ca="1"/>
        <v>#N/A</v>
      </c>
      <c r="Q364" s="34">
        <v>0</v>
      </c>
      <c r="R364" s="24">
        <v>0</v>
      </c>
      <c r="S364" s="24">
        <v>0</v>
      </c>
      <c r="T364" s="24">
        <v>0</v>
      </c>
      <c r="U364" s="24">
        <f t="array" ref="U364">IF(U$77&gt;" ",(U$628:U$1078),"")</f>
        <v>0</v>
      </c>
      <c r="V364" s="24">
        <f t="array" ref="V364">IF(V$77&gt;" ",(V$628:V$1078),"")</f>
        <v>0</v>
      </c>
      <c r="W364" s="24">
        <f t="array" ref="W364">IF(W$77&gt;" ",(W$628:W$1078),"")</f>
        <v>0</v>
      </c>
      <c r="X364" s="24">
        <f t="array" ref="X364">IF(X$77&gt;" ",(X$628:X$1078),"")</f>
        <v>0</v>
      </c>
      <c r="Y364" s="21">
        <v>0</v>
      </c>
      <c r="Z364" s="34">
        <f t="shared" si="60"/>
        <v>0</v>
      </c>
      <c r="AA364" s="24">
        <f t="shared" si="61"/>
        <v>0</v>
      </c>
      <c r="AB364" s="24">
        <f t="shared" si="62"/>
        <v>0</v>
      </c>
      <c r="AC364" s="24">
        <f t="shared" si="63"/>
        <v>0</v>
      </c>
      <c r="AD364" s="24">
        <f t="shared" si="68"/>
        <v>0</v>
      </c>
      <c r="AE364" s="24">
        <f t="shared" si="68"/>
        <v>0</v>
      </c>
      <c r="AF364" s="24">
        <f t="shared" si="68"/>
        <v>0</v>
      </c>
      <c r="AG364" s="24">
        <f t="shared" si="68"/>
        <v>0</v>
      </c>
      <c r="AH364" s="24">
        <f t="shared" si="64"/>
        <v>0</v>
      </c>
      <c r="AI364" s="24">
        <f t="shared" si="65"/>
        <v>0</v>
      </c>
      <c r="AJ364" s="261">
        <f t="shared" si="66"/>
        <v>0</v>
      </c>
      <c r="AK364" s="13"/>
      <c r="AL364" s="100">
        <v>1075</v>
      </c>
      <c r="AM364" s="202"/>
      <c r="AN364" s="200"/>
      <c r="AO364" s="200"/>
      <c r="AP364" s="284">
        <v>0.59079999999999999</v>
      </c>
      <c r="AR364" s="222">
        <v>96.849673714918552</v>
      </c>
      <c r="AS364" s="223">
        <v>96.842734820727742</v>
      </c>
      <c r="AT364" s="223">
        <v>94.120022738180651</v>
      </c>
      <c r="AU364" s="223">
        <v>94.337357101751408</v>
      </c>
      <c r="AV364" s="223">
        <v>98.105500000000006</v>
      </c>
      <c r="AW364" s="224">
        <v>94.573999999999998</v>
      </c>
      <c r="AX364" s="42"/>
      <c r="AY364" s="181"/>
      <c r="AZ364" s="197"/>
    </row>
    <row r="365" spans="12:52" ht="13" thickBot="1" x14ac:dyDescent="0.3">
      <c r="L365" s="55">
        <v>1070</v>
      </c>
      <c r="M365" s="274">
        <f t="shared" si="67"/>
        <v>0</v>
      </c>
      <c r="N365" s="275">
        <f t="shared" si="67"/>
        <v>0</v>
      </c>
      <c r="O365" s="276" t="e">
        <f ca="1"/>
        <v>#N/A</v>
      </c>
      <c r="Q365" s="34">
        <v>0</v>
      </c>
      <c r="R365" s="24">
        <v>0</v>
      </c>
      <c r="S365" s="24">
        <v>0</v>
      </c>
      <c r="T365" s="24">
        <v>0</v>
      </c>
      <c r="U365" s="24">
        <f t="array" ref="U365">IF(U$77&gt;" ",(U$628:U$1078),"")</f>
        <v>0</v>
      </c>
      <c r="V365" s="24">
        <f t="array" ref="V365">IF(V$77&gt;" ",(V$628:V$1078),"")</f>
        <v>0</v>
      </c>
      <c r="W365" s="24">
        <f t="array" ref="W365">IF(W$77&gt;" ",(W$628:W$1078),"")</f>
        <v>0</v>
      </c>
      <c r="X365" s="24">
        <f t="array" ref="X365">IF(X$77&gt;" ",(X$628:X$1078),"")</f>
        <v>0</v>
      </c>
      <c r="Y365" s="21">
        <v>0</v>
      </c>
      <c r="Z365" s="34">
        <f t="shared" si="60"/>
        <v>0</v>
      </c>
      <c r="AA365" s="24">
        <f t="shared" si="61"/>
        <v>0</v>
      </c>
      <c r="AB365" s="24">
        <f t="shared" si="62"/>
        <v>0</v>
      </c>
      <c r="AC365" s="24">
        <f t="shared" si="63"/>
        <v>0</v>
      </c>
      <c r="AD365" s="24">
        <f t="shared" si="68"/>
        <v>0</v>
      </c>
      <c r="AE365" s="24">
        <f t="shared" si="68"/>
        <v>0</v>
      </c>
      <c r="AF365" s="24">
        <f t="shared" si="68"/>
        <v>0</v>
      </c>
      <c r="AG365" s="24">
        <f t="shared" si="68"/>
        <v>0</v>
      </c>
      <c r="AH365" s="24">
        <f t="shared" si="64"/>
        <v>0</v>
      </c>
      <c r="AI365" s="24">
        <f t="shared" si="65"/>
        <v>0</v>
      </c>
      <c r="AJ365" s="261">
        <f t="shared" si="66"/>
        <v>0</v>
      </c>
      <c r="AK365" s="13"/>
      <c r="AL365" s="100">
        <v>1070</v>
      </c>
      <c r="AM365" s="202"/>
      <c r="AN365" s="200"/>
      <c r="AO365" s="200"/>
      <c r="AP365" s="283">
        <v>0.60289999999999999</v>
      </c>
      <c r="AR365" s="222">
        <v>96.842372839215201</v>
      </c>
      <c r="AS365" s="223">
        <v>96.83472173493476</v>
      </c>
      <c r="AT365" s="223">
        <v>94.115871491975852</v>
      </c>
      <c r="AU365" s="223">
        <v>94.328793111257752</v>
      </c>
      <c r="AV365" s="223">
        <v>98.113</v>
      </c>
      <c r="AW365" s="224">
        <v>94.492000000000004</v>
      </c>
      <c r="AX365" s="42"/>
      <c r="AY365" s="181"/>
      <c r="AZ365" s="197"/>
    </row>
    <row r="366" spans="12:52" ht="13" thickBot="1" x14ac:dyDescent="0.3">
      <c r="L366" s="55">
        <v>1065</v>
      </c>
      <c r="M366" s="274">
        <f t="shared" si="67"/>
        <v>0</v>
      </c>
      <c r="N366" s="275">
        <f t="shared" si="67"/>
        <v>0</v>
      </c>
      <c r="O366" s="276" t="e">
        <f ca="1"/>
        <v>#N/A</v>
      </c>
      <c r="Q366" s="34">
        <v>0</v>
      </c>
      <c r="R366" s="24">
        <v>0</v>
      </c>
      <c r="S366" s="24">
        <v>0</v>
      </c>
      <c r="T366" s="24">
        <v>0</v>
      </c>
      <c r="U366" s="24">
        <f t="array" ref="U366">IF(U$77&gt;" ",(U$628:U$1078),"")</f>
        <v>0</v>
      </c>
      <c r="V366" s="24">
        <f t="array" ref="V366">IF(V$77&gt;" ",(V$628:V$1078),"")</f>
        <v>0</v>
      </c>
      <c r="W366" s="24">
        <f t="array" ref="W366">IF(W$77&gt;" ",(W$628:W$1078),"")</f>
        <v>0</v>
      </c>
      <c r="X366" s="24">
        <f t="array" ref="X366">IF(X$77&gt;" ",(X$628:X$1078),"")</f>
        <v>0</v>
      </c>
      <c r="Y366" s="21">
        <v>0</v>
      </c>
      <c r="Z366" s="34">
        <f t="shared" si="60"/>
        <v>0</v>
      </c>
      <c r="AA366" s="24">
        <f t="shared" si="61"/>
        <v>0</v>
      </c>
      <c r="AB366" s="24">
        <f t="shared" si="62"/>
        <v>0</v>
      </c>
      <c r="AC366" s="24">
        <f t="shared" si="63"/>
        <v>0</v>
      </c>
      <c r="AD366" s="24">
        <f t="shared" si="68"/>
        <v>0</v>
      </c>
      <c r="AE366" s="24">
        <f t="shared" si="68"/>
        <v>0</v>
      </c>
      <c r="AF366" s="24">
        <f t="shared" si="68"/>
        <v>0</v>
      </c>
      <c r="AG366" s="24">
        <f t="shared" si="68"/>
        <v>0</v>
      </c>
      <c r="AH366" s="24">
        <f t="shared" si="64"/>
        <v>0</v>
      </c>
      <c r="AI366" s="24">
        <f t="shared" si="65"/>
        <v>0</v>
      </c>
      <c r="AJ366" s="261">
        <f t="shared" si="66"/>
        <v>0</v>
      </c>
      <c r="AK366" s="13"/>
      <c r="AL366" s="100">
        <v>1065</v>
      </c>
      <c r="AM366" s="202"/>
      <c r="AN366" s="200"/>
      <c r="AO366" s="200"/>
      <c r="AP366" s="284">
        <v>0.62729999999999997</v>
      </c>
      <c r="AR366" s="222">
        <v>96.851554235526336</v>
      </c>
      <c r="AS366" s="223">
        <v>96.860467575367849</v>
      </c>
      <c r="AT366" s="223">
        <v>94.113199885852453</v>
      </c>
      <c r="AU366" s="223">
        <v>94.336933561628385</v>
      </c>
      <c r="AV366" s="223">
        <v>98.119</v>
      </c>
      <c r="AW366" s="224">
        <v>94.402500000000003</v>
      </c>
      <c r="AX366" s="42"/>
      <c r="AY366" s="181"/>
      <c r="AZ366" s="197"/>
    </row>
    <row r="367" spans="12:52" ht="13" thickBot="1" x14ac:dyDescent="0.3">
      <c r="L367" s="55">
        <v>1060</v>
      </c>
      <c r="M367" s="274">
        <f t="shared" ref="M367:N382" si="69">M916</f>
        <v>0</v>
      </c>
      <c r="N367" s="275">
        <f t="shared" si="69"/>
        <v>0</v>
      </c>
      <c r="O367" s="276" t="e">
        <f ca="1"/>
        <v>#N/A</v>
      </c>
      <c r="Q367" s="34">
        <v>0</v>
      </c>
      <c r="R367" s="24">
        <v>0</v>
      </c>
      <c r="S367" s="24">
        <v>0</v>
      </c>
      <c r="T367" s="24">
        <v>0</v>
      </c>
      <c r="U367" s="24">
        <f t="array" ref="U367">IF(U$77&gt;" ",(U$628:U$1078),"")</f>
        <v>0</v>
      </c>
      <c r="V367" s="24">
        <f t="array" ref="V367">IF(V$77&gt;" ",(V$628:V$1078),"")</f>
        <v>0</v>
      </c>
      <c r="W367" s="24">
        <f t="array" ref="W367">IF(W$77&gt;" ",(W$628:W$1078),"")</f>
        <v>0</v>
      </c>
      <c r="X367" s="24">
        <f t="array" ref="X367">IF(X$77&gt;" ",(X$628:X$1078),"")</f>
        <v>0</v>
      </c>
      <c r="Y367" s="21">
        <v>0</v>
      </c>
      <c r="Z367" s="34">
        <f t="shared" si="60"/>
        <v>0</v>
      </c>
      <c r="AA367" s="24">
        <f t="shared" si="61"/>
        <v>0</v>
      </c>
      <c r="AB367" s="24">
        <f t="shared" si="62"/>
        <v>0</v>
      </c>
      <c r="AC367" s="24">
        <f t="shared" si="63"/>
        <v>0</v>
      </c>
      <c r="AD367" s="24">
        <f t="shared" si="68"/>
        <v>0</v>
      </c>
      <c r="AE367" s="24">
        <f t="shared" si="68"/>
        <v>0</v>
      </c>
      <c r="AF367" s="24">
        <f t="shared" si="68"/>
        <v>0</v>
      </c>
      <c r="AG367" s="24">
        <f t="shared" si="68"/>
        <v>0</v>
      </c>
      <c r="AH367" s="24">
        <f t="shared" si="64"/>
        <v>0</v>
      </c>
      <c r="AI367" s="24">
        <f t="shared" si="65"/>
        <v>0</v>
      </c>
      <c r="AJ367" s="261">
        <f t="shared" si="66"/>
        <v>0</v>
      </c>
      <c r="AK367" s="13"/>
      <c r="AL367" s="100">
        <v>1060</v>
      </c>
      <c r="AM367" s="202"/>
      <c r="AN367" s="200"/>
      <c r="AO367" s="200"/>
      <c r="AP367" s="283">
        <v>0.63400000000000001</v>
      </c>
      <c r="AR367" s="222">
        <v>96.868512296336561</v>
      </c>
      <c r="AS367" s="223">
        <v>96.83861914434199</v>
      </c>
      <c r="AT367" s="223">
        <v>94.129580164991594</v>
      </c>
      <c r="AU367" s="223">
        <v>94.335283539629913</v>
      </c>
      <c r="AV367" s="223">
        <v>98.125</v>
      </c>
      <c r="AW367" s="224">
        <v>94.313000000000002</v>
      </c>
      <c r="AX367" s="42"/>
      <c r="AY367" s="181"/>
      <c r="AZ367" s="197"/>
    </row>
    <row r="368" spans="12:52" ht="13" thickBot="1" x14ac:dyDescent="0.3">
      <c r="L368" s="55">
        <v>1055</v>
      </c>
      <c r="M368" s="274">
        <f t="shared" si="69"/>
        <v>0</v>
      </c>
      <c r="N368" s="275">
        <f t="shared" si="69"/>
        <v>0</v>
      </c>
      <c r="O368" s="276" t="e">
        <f ca="1"/>
        <v>#N/A</v>
      </c>
      <c r="Q368" s="34">
        <v>0</v>
      </c>
      <c r="R368" s="24">
        <v>0</v>
      </c>
      <c r="S368" s="24">
        <v>0</v>
      </c>
      <c r="T368" s="24">
        <v>0</v>
      </c>
      <c r="U368" s="24">
        <f t="array" ref="U368">IF(U$77&gt;" ",(U$628:U$1078),"")</f>
        <v>0</v>
      </c>
      <c r="V368" s="24">
        <f t="array" ref="V368">IF(V$77&gt;" ",(V$628:V$1078),"")</f>
        <v>0</v>
      </c>
      <c r="W368" s="24">
        <f t="array" ref="W368">IF(W$77&gt;" ",(W$628:W$1078),"")</f>
        <v>0</v>
      </c>
      <c r="X368" s="24">
        <f t="array" ref="X368">IF(X$77&gt;" ",(X$628:X$1078),"")</f>
        <v>0</v>
      </c>
      <c r="Y368" s="21">
        <v>0</v>
      </c>
      <c r="Z368" s="34">
        <f t="shared" si="60"/>
        <v>0</v>
      </c>
      <c r="AA368" s="24">
        <f t="shared" si="61"/>
        <v>0</v>
      </c>
      <c r="AB368" s="24">
        <f t="shared" si="62"/>
        <v>0</v>
      </c>
      <c r="AC368" s="24">
        <f t="shared" si="63"/>
        <v>0</v>
      </c>
      <c r="AD368" s="24">
        <f t="shared" si="68"/>
        <v>0</v>
      </c>
      <c r="AE368" s="24">
        <f t="shared" si="68"/>
        <v>0</v>
      </c>
      <c r="AF368" s="24">
        <f t="shared" si="68"/>
        <v>0</v>
      </c>
      <c r="AG368" s="24">
        <f t="shared" si="68"/>
        <v>0</v>
      </c>
      <c r="AH368" s="24">
        <f t="shared" si="64"/>
        <v>0</v>
      </c>
      <c r="AI368" s="24">
        <f t="shared" si="65"/>
        <v>0</v>
      </c>
      <c r="AJ368" s="261">
        <f t="shared" si="66"/>
        <v>0</v>
      </c>
      <c r="AK368" s="13"/>
      <c r="AL368" s="100">
        <v>1055</v>
      </c>
      <c r="AM368" s="202"/>
      <c r="AN368" s="200"/>
      <c r="AO368" s="200"/>
      <c r="AP368" s="284">
        <v>0.64659999999999995</v>
      </c>
      <c r="AR368" s="222">
        <v>96.855376163627838</v>
      </c>
      <c r="AS368" s="223">
        <v>96.833421335443859</v>
      </c>
      <c r="AT368" s="223">
        <v>94.129755535244712</v>
      </c>
      <c r="AU368" s="223">
        <v>94.343631986464501</v>
      </c>
      <c r="AV368" s="223">
        <v>98.131</v>
      </c>
      <c r="AW368" s="224">
        <v>94.217500000000001</v>
      </c>
      <c r="AX368" s="42"/>
      <c r="AY368" s="181"/>
      <c r="AZ368" s="197"/>
    </row>
    <row r="369" spans="12:52" ht="13" thickBot="1" x14ac:dyDescent="0.3">
      <c r="L369" s="55">
        <v>1050</v>
      </c>
      <c r="M369" s="274">
        <f t="shared" si="69"/>
        <v>0</v>
      </c>
      <c r="N369" s="275">
        <f t="shared" si="69"/>
        <v>0</v>
      </c>
      <c r="O369" s="276" t="e">
        <f ca="1"/>
        <v>#N/A</v>
      </c>
      <c r="Q369" s="34">
        <v>0</v>
      </c>
      <c r="R369" s="24">
        <v>0</v>
      </c>
      <c r="S369" s="24">
        <v>0</v>
      </c>
      <c r="T369" s="24">
        <v>0</v>
      </c>
      <c r="U369" s="24">
        <f t="array" ref="U369">IF(U$77&gt;" ",(U$628:U$1078),"")</f>
        <v>0</v>
      </c>
      <c r="V369" s="24">
        <f t="array" ref="V369">IF(V$77&gt;" ",(V$628:V$1078),"")</f>
        <v>0</v>
      </c>
      <c r="W369" s="24">
        <f t="array" ref="W369">IF(W$77&gt;" ",(W$628:W$1078),"")</f>
        <v>0</v>
      </c>
      <c r="X369" s="24">
        <f t="array" ref="X369">IF(X$77&gt;" ",(X$628:X$1078),"")</f>
        <v>0</v>
      </c>
      <c r="Y369" s="21">
        <v>0</v>
      </c>
      <c r="Z369" s="34">
        <f t="shared" si="60"/>
        <v>0</v>
      </c>
      <c r="AA369" s="24">
        <f t="shared" si="61"/>
        <v>0</v>
      </c>
      <c r="AB369" s="24">
        <f t="shared" si="62"/>
        <v>0</v>
      </c>
      <c r="AC369" s="24">
        <f t="shared" si="63"/>
        <v>0</v>
      </c>
      <c r="AD369" s="24">
        <f t="shared" si="68"/>
        <v>0</v>
      </c>
      <c r="AE369" s="24">
        <f t="shared" si="68"/>
        <v>0</v>
      </c>
      <c r="AF369" s="24">
        <f t="shared" si="68"/>
        <v>0</v>
      </c>
      <c r="AG369" s="24">
        <f t="shared" si="68"/>
        <v>0</v>
      </c>
      <c r="AH369" s="24">
        <f t="shared" si="64"/>
        <v>0</v>
      </c>
      <c r="AI369" s="24">
        <f t="shared" si="65"/>
        <v>0</v>
      </c>
      <c r="AJ369" s="261">
        <f t="shared" si="66"/>
        <v>0</v>
      </c>
      <c r="AK369" s="13"/>
      <c r="AL369" s="100">
        <v>1050</v>
      </c>
      <c r="AM369" s="202"/>
      <c r="AN369" s="200"/>
      <c r="AO369" s="200"/>
      <c r="AP369" s="283">
        <v>0.65269999999999995</v>
      </c>
      <c r="AR369" s="222">
        <v>96.841201488847005</v>
      </c>
      <c r="AS369" s="223">
        <v>96.847024235138463</v>
      </c>
      <c r="AT369" s="223">
        <v>94.139090022457992</v>
      </c>
      <c r="AU369" s="223">
        <v>94.357076923101957</v>
      </c>
      <c r="AV369" s="223">
        <v>98.137</v>
      </c>
      <c r="AW369" s="224">
        <v>94.122</v>
      </c>
      <c r="AX369" s="42"/>
      <c r="AY369" s="181"/>
      <c r="AZ369" s="197"/>
    </row>
    <row r="370" spans="12:52" ht="13" thickBot="1" x14ac:dyDescent="0.3">
      <c r="L370" s="55">
        <v>1045</v>
      </c>
      <c r="M370" s="274">
        <f t="shared" si="69"/>
        <v>0</v>
      </c>
      <c r="N370" s="275">
        <f t="shared" si="69"/>
        <v>0</v>
      </c>
      <c r="O370" s="276" t="e">
        <f ca="1"/>
        <v>#N/A</v>
      </c>
      <c r="Q370" s="34">
        <v>0</v>
      </c>
      <c r="R370" s="24">
        <v>0</v>
      </c>
      <c r="S370" s="24">
        <v>0</v>
      </c>
      <c r="T370" s="24">
        <v>0</v>
      </c>
      <c r="U370" s="24">
        <f t="array" ref="U370">IF(U$77&gt;" ",(U$628:U$1078),"")</f>
        <v>0</v>
      </c>
      <c r="V370" s="24">
        <f t="array" ref="V370">IF(V$77&gt;" ",(V$628:V$1078),"")</f>
        <v>0</v>
      </c>
      <c r="W370" s="24">
        <f t="array" ref="W370">IF(W$77&gt;" ",(W$628:W$1078),"")</f>
        <v>0</v>
      </c>
      <c r="X370" s="24">
        <f t="array" ref="X370">IF(X$77&gt;" ",(X$628:X$1078),"")</f>
        <v>0</v>
      </c>
      <c r="Y370" s="21">
        <v>0</v>
      </c>
      <c r="Z370" s="34">
        <f t="shared" si="60"/>
        <v>0</v>
      </c>
      <c r="AA370" s="24">
        <f t="shared" si="61"/>
        <v>0</v>
      </c>
      <c r="AB370" s="24">
        <f t="shared" si="62"/>
        <v>0</v>
      </c>
      <c r="AC370" s="24">
        <f t="shared" si="63"/>
        <v>0</v>
      </c>
      <c r="AD370" s="24">
        <f t="shared" si="68"/>
        <v>0</v>
      </c>
      <c r="AE370" s="24">
        <f t="shared" si="68"/>
        <v>0</v>
      </c>
      <c r="AF370" s="24">
        <f t="shared" si="68"/>
        <v>0</v>
      </c>
      <c r="AG370" s="24">
        <f t="shared" si="68"/>
        <v>0</v>
      </c>
      <c r="AH370" s="24">
        <f t="shared" si="64"/>
        <v>0</v>
      </c>
      <c r="AI370" s="24">
        <f t="shared" si="65"/>
        <v>0</v>
      </c>
      <c r="AJ370" s="261">
        <f t="shared" si="66"/>
        <v>0</v>
      </c>
      <c r="AK370" s="13"/>
      <c r="AL370" s="100">
        <v>1045</v>
      </c>
      <c r="AM370" s="202"/>
      <c r="AN370" s="200"/>
      <c r="AO370" s="200"/>
      <c r="AP370" s="284">
        <v>0.66259999999999997</v>
      </c>
      <c r="AR370" s="222">
        <v>96.838841425461723</v>
      </c>
      <c r="AS370" s="223">
        <v>96.832903945356918</v>
      </c>
      <c r="AT370" s="223">
        <v>94.131705119977312</v>
      </c>
      <c r="AU370" s="223">
        <v>94.339419929724002</v>
      </c>
      <c r="AV370" s="223">
        <v>98.144500000000008</v>
      </c>
      <c r="AW370" s="224">
        <v>94.013000000000005</v>
      </c>
      <c r="AX370" s="42"/>
      <c r="AY370" s="181"/>
      <c r="AZ370" s="197"/>
    </row>
    <row r="371" spans="12:52" ht="13" thickBot="1" x14ac:dyDescent="0.3">
      <c r="L371" s="55">
        <v>1040</v>
      </c>
      <c r="M371" s="274">
        <f t="shared" si="69"/>
        <v>0</v>
      </c>
      <c r="N371" s="275">
        <f t="shared" si="69"/>
        <v>0</v>
      </c>
      <c r="O371" s="276" t="e">
        <f ca="1"/>
        <v>#N/A</v>
      </c>
      <c r="Q371" s="34">
        <v>0</v>
      </c>
      <c r="R371" s="24">
        <v>0</v>
      </c>
      <c r="S371" s="24">
        <v>0</v>
      </c>
      <c r="T371" s="24">
        <v>0</v>
      </c>
      <c r="U371" s="24">
        <f t="array" ref="U371">IF(U$77&gt;" ",(U$628:U$1078),"")</f>
        <v>0</v>
      </c>
      <c r="V371" s="24">
        <f t="array" ref="V371">IF(V$77&gt;" ",(V$628:V$1078),"")</f>
        <v>0</v>
      </c>
      <c r="W371" s="24">
        <f t="array" ref="W371">IF(W$77&gt;" ",(W$628:W$1078),"")</f>
        <v>0</v>
      </c>
      <c r="X371" s="24">
        <f t="array" ref="X371">IF(X$77&gt;" ",(X$628:X$1078),"")</f>
        <v>0</v>
      </c>
      <c r="Y371" s="21">
        <v>0</v>
      </c>
      <c r="Z371" s="34">
        <f t="shared" si="60"/>
        <v>0</v>
      </c>
      <c r="AA371" s="24">
        <f t="shared" si="61"/>
        <v>0</v>
      </c>
      <c r="AB371" s="24">
        <f t="shared" si="62"/>
        <v>0</v>
      </c>
      <c r="AC371" s="24">
        <f t="shared" si="63"/>
        <v>0</v>
      </c>
      <c r="AD371" s="24">
        <f t="shared" si="68"/>
        <v>0</v>
      </c>
      <c r="AE371" s="24">
        <f t="shared" si="68"/>
        <v>0</v>
      </c>
      <c r="AF371" s="24">
        <f t="shared" si="68"/>
        <v>0</v>
      </c>
      <c r="AG371" s="24">
        <f t="shared" si="68"/>
        <v>0</v>
      </c>
      <c r="AH371" s="24">
        <f t="shared" si="64"/>
        <v>0</v>
      </c>
      <c r="AI371" s="24">
        <f t="shared" si="65"/>
        <v>0</v>
      </c>
      <c r="AJ371" s="261">
        <f t="shared" si="66"/>
        <v>0</v>
      </c>
      <c r="AK371" s="13"/>
      <c r="AL371" s="100">
        <v>1040</v>
      </c>
      <c r="AM371" s="202"/>
      <c r="AN371" s="200"/>
      <c r="AO371" s="200"/>
      <c r="AP371" s="283">
        <v>0.66969999999999996</v>
      </c>
      <c r="AR371" s="222">
        <v>96.841916411387729</v>
      </c>
      <c r="AS371" s="223">
        <v>96.828394355954813</v>
      </c>
      <c r="AT371" s="223">
        <v>94.147391858981791</v>
      </c>
      <c r="AU371" s="223">
        <v>94.358110170474319</v>
      </c>
      <c r="AV371" s="223">
        <v>98.152000000000001</v>
      </c>
      <c r="AW371" s="224">
        <v>93.903999999999996</v>
      </c>
      <c r="AX371" s="42"/>
      <c r="AY371" s="181"/>
      <c r="AZ371" s="197"/>
    </row>
    <row r="372" spans="12:52" ht="13" thickBot="1" x14ac:dyDescent="0.3">
      <c r="L372" s="55">
        <v>1035</v>
      </c>
      <c r="M372" s="274">
        <f t="shared" si="69"/>
        <v>0</v>
      </c>
      <c r="N372" s="275">
        <f t="shared" si="69"/>
        <v>0</v>
      </c>
      <c r="O372" s="276" t="e">
        <f ca="1"/>
        <v>#N/A</v>
      </c>
      <c r="Q372" s="34">
        <v>0</v>
      </c>
      <c r="R372" s="24">
        <v>0</v>
      </c>
      <c r="S372" s="24">
        <v>0</v>
      </c>
      <c r="T372" s="24">
        <v>0</v>
      </c>
      <c r="U372" s="24">
        <f t="array" ref="U372">IF(U$77&gt;" ",(U$628:U$1078),"")</f>
        <v>0</v>
      </c>
      <c r="V372" s="24">
        <f t="array" ref="V372">IF(V$77&gt;" ",(V$628:V$1078),"")</f>
        <v>0</v>
      </c>
      <c r="W372" s="24">
        <f t="array" ref="W372">IF(W$77&gt;" ",(W$628:W$1078),"")</f>
        <v>0</v>
      </c>
      <c r="X372" s="24">
        <f t="array" ref="X372">IF(X$77&gt;" ",(X$628:X$1078),"")</f>
        <v>0</v>
      </c>
      <c r="Y372" s="21">
        <v>0</v>
      </c>
      <c r="Z372" s="34">
        <f t="shared" si="60"/>
        <v>0</v>
      </c>
      <c r="AA372" s="24">
        <f t="shared" si="61"/>
        <v>0</v>
      </c>
      <c r="AB372" s="24">
        <f t="shared" si="62"/>
        <v>0</v>
      </c>
      <c r="AC372" s="24">
        <f t="shared" si="63"/>
        <v>0</v>
      </c>
      <c r="AD372" s="24">
        <f t="shared" si="68"/>
        <v>0</v>
      </c>
      <c r="AE372" s="24">
        <f t="shared" si="68"/>
        <v>0</v>
      </c>
      <c r="AF372" s="24">
        <f t="shared" si="68"/>
        <v>0</v>
      </c>
      <c r="AG372" s="24">
        <f t="shared" si="68"/>
        <v>0</v>
      </c>
      <c r="AH372" s="24">
        <f t="shared" si="64"/>
        <v>0</v>
      </c>
      <c r="AI372" s="24">
        <f t="shared" si="65"/>
        <v>0</v>
      </c>
      <c r="AJ372" s="261">
        <f t="shared" si="66"/>
        <v>0</v>
      </c>
      <c r="AK372" s="13"/>
      <c r="AL372" s="100">
        <v>1035</v>
      </c>
      <c r="AM372" s="202"/>
      <c r="AN372" s="200"/>
      <c r="AO372" s="200"/>
      <c r="AP372" s="284">
        <v>0.6804</v>
      </c>
      <c r="AR372" s="222">
        <v>96.829398993142263</v>
      </c>
      <c r="AS372" s="223">
        <v>96.825745185526785</v>
      </c>
      <c r="AT372" s="223">
        <v>94.148449193572972</v>
      </c>
      <c r="AU372" s="223">
        <v>94.35999368594679</v>
      </c>
      <c r="AV372" s="223">
        <v>98.158500000000004</v>
      </c>
      <c r="AW372" s="224">
        <v>93.78649999999999</v>
      </c>
      <c r="AX372" s="42"/>
      <c r="AY372" s="181"/>
      <c r="AZ372" s="197"/>
    </row>
    <row r="373" spans="12:52" ht="13" thickBot="1" x14ac:dyDescent="0.3">
      <c r="L373" s="55">
        <v>1030</v>
      </c>
      <c r="M373" s="274">
        <f t="shared" si="69"/>
        <v>0</v>
      </c>
      <c r="N373" s="275">
        <f t="shared" si="69"/>
        <v>0</v>
      </c>
      <c r="O373" s="276" t="e">
        <f ca="1"/>
        <v>#N/A</v>
      </c>
      <c r="Q373" s="34">
        <v>0</v>
      </c>
      <c r="R373" s="24">
        <v>0</v>
      </c>
      <c r="S373" s="24">
        <v>0</v>
      </c>
      <c r="T373" s="24">
        <v>0</v>
      </c>
      <c r="U373" s="24">
        <f t="array" ref="U373">IF(U$77&gt;" ",(U$628:U$1078),"")</f>
        <v>0</v>
      </c>
      <c r="V373" s="24">
        <f t="array" ref="V373">IF(V$77&gt;" ",(V$628:V$1078),"")</f>
        <v>0</v>
      </c>
      <c r="W373" s="24">
        <f t="array" ref="W373">IF(W$77&gt;" ",(W$628:W$1078),"")</f>
        <v>0</v>
      </c>
      <c r="X373" s="24">
        <f t="array" ref="X373">IF(X$77&gt;" ",(X$628:X$1078),"")</f>
        <v>0</v>
      </c>
      <c r="Y373" s="21">
        <v>0</v>
      </c>
      <c r="Z373" s="34">
        <f t="shared" si="60"/>
        <v>0</v>
      </c>
      <c r="AA373" s="24">
        <f t="shared" si="61"/>
        <v>0</v>
      </c>
      <c r="AB373" s="24">
        <f t="shared" si="62"/>
        <v>0</v>
      </c>
      <c r="AC373" s="24">
        <f t="shared" si="63"/>
        <v>0</v>
      </c>
      <c r="AD373" s="24">
        <f t="shared" si="68"/>
        <v>0</v>
      </c>
      <c r="AE373" s="24">
        <f t="shared" si="68"/>
        <v>0</v>
      </c>
      <c r="AF373" s="24">
        <f t="shared" si="68"/>
        <v>0</v>
      </c>
      <c r="AG373" s="24">
        <f t="shared" si="68"/>
        <v>0</v>
      </c>
      <c r="AH373" s="24">
        <f t="shared" si="64"/>
        <v>0</v>
      </c>
      <c r="AI373" s="24">
        <f t="shared" si="65"/>
        <v>0</v>
      </c>
      <c r="AJ373" s="261">
        <f t="shared" si="66"/>
        <v>0</v>
      </c>
      <c r="AK373" s="13"/>
      <c r="AL373" s="100">
        <v>1030</v>
      </c>
      <c r="AM373" s="202"/>
      <c r="AN373" s="200"/>
      <c r="AO373" s="200"/>
      <c r="AP373" s="283">
        <v>0.6885</v>
      </c>
      <c r="AR373" s="222">
        <v>96.83859618354343</v>
      </c>
      <c r="AS373" s="223">
        <v>96.820510153988153</v>
      </c>
      <c r="AT373" s="223">
        <v>94.130120722069378</v>
      </c>
      <c r="AU373" s="223">
        <v>94.348350205273263</v>
      </c>
      <c r="AV373" s="223">
        <v>98.165000000000006</v>
      </c>
      <c r="AW373" s="224">
        <v>93.668999999999997</v>
      </c>
      <c r="AX373" s="42"/>
      <c r="AY373" s="181"/>
      <c r="AZ373" s="197"/>
    </row>
    <row r="374" spans="12:52" ht="13" thickBot="1" x14ac:dyDescent="0.3">
      <c r="L374" s="55">
        <v>1025</v>
      </c>
      <c r="M374" s="274">
        <f t="shared" si="69"/>
        <v>0</v>
      </c>
      <c r="N374" s="275">
        <f t="shared" si="69"/>
        <v>0</v>
      </c>
      <c r="O374" s="276" t="e">
        <f ca="1"/>
        <v>#N/A</v>
      </c>
      <c r="Q374" s="34">
        <v>0</v>
      </c>
      <c r="R374" s="24">
        <v>0</v>
      </c>
      <c r="S374" s="24">
        <v>0</v>
      </c>
      <c r="T374" s="24">
        <v>0</v>
      </c>
      <c r="U374" s="24">
        <f t="array" ref="U374">IF(U$77&gt;" ",(U$628:U$1078),"")</f>
        <v>0</v>
      </c>
      <c r="V374" s="24">
        <f t="array" ref="V374">IF(V$77&gt;" ",(V$628:V$1078),"")</f>
        <v>0</v>
      </c>
      <c r="W374" s="24">
        <f t="array" ref="W374">IF(W$77&gt;" ",(W$628:W$1078),"")</f>
        <v>0</v>
      </c>
      <c r="X374" s="24">
        <f t="array" ref="X374">IF(X$77&gt;" ",(X$628:X$1078),"")</f>
        <v>0</v>
      </c>
      <c r="Y374" s="21">
        <v>0</v>
      </c>
      <c r="Z374" s="34">
        <f t="shared" si="60"/>
        <v>0</v>
      </c>
      <c r="AA374" s="24">
        <f t="shared" si="61"/>
        <v>0</v>
      </c>
      <c r="AB374" s="24">
        <f t="shared" si="62"/>
        <v>0</v>
      </c>
      <c r="AC374" s="24">
        <f t="shared" si="63"/>
        <v>0</v>
      </c>
      <c r="AD374" s="24">
        <f t="shared" si="68"/>
        <v>0</v>
      </c>
      <c r="AE374" s="24">
        <f t="shared" si="68"/>
        <v>0</v>
      </c>
      <c r="AF374" s="24">
        <f t="shared" si="68"/>
        <v>0</v>
      </c>
      <c r="AG374" s="24">
        <f t="shared" si="68"/>
        <v>0</v>
      </c>
      <c r="AH374" s="24">
        <f t="shared" si="64"/>
        <v>0</v>
      </c>
      <c r="AI374" s="24">
        <f t="shared" si="65"/>
        <v>0</v>
      </c>
      <c r="AJ374" s="261">
        <f t="shared" si="66"/>
        <v>0</v>
      </c>
      <c r="AK374" s="13"/>
      <c r="AL374" s="100">
        <v>1025</v>
      </c>
      <c r="AM374" s="202"/>
      <c r="AN374" s="200"/>
      <c r="AO374" s="200"/>
      <c r="AP374" s="284">
        <v>0.69550000000000001</v>
      </c>
      <c r="AR374" s="222">
        <v>96.827486263497249</v>
      </c>
      <c r="AS374" s="223">
        <v>96.839402761613982</v>
      </c>
      <c r="AT374" s="223">
        <v>94.157458946719785</v>
      </c>
      <c r="AU374" s="223">
        <v>94.375805082441858</v>
      </c>
      <c r="AV374" s="223">
        <v>98.172499999999999</v>
      </c>
      <c r="AW374" s="224">
        <v>93.536000000000001</v>
      </c>
      <c r="AX374" s="42"/>
      <c r="AY374" s="181"/>
      <c r="AZ374" s="197"/>
    </row>
    <row r="375" spans="12:52" ht="13" thickBot="1" x14ac:dyDescent="0.3">
      <c r="L375" s="55">
        <v>1020</v>
      </c>
      <c r="M375" s="274">
        <f t="shared" si="69"/>
        <v>0</v>
      </c>
      <c r="N375" s="275">
        <f t="shared" si="69"/>
        <v>0</v>
      </c>
      <c r="O375" s="276" t="e">
        <f ca="1"/>
        <v>#N/A</v>
      </c>
      <c r="Q375" s="34">
        <v>0</v>
      </c>
      <c r="R375" s="24">
        <v>0</v>
      </c>
      <c r="S375" s="24">
        <v>0</v>
      </c>
      <c r="T375" s="24">
        <v>0</v>
      </c>
      <c r="U375" s="24">
        <f t="array" ref="U375">IF(U$77&gt;" ",(U$628:U$1078),"")</f>
        <v>0</v>
      </c>
      <c r="V375" s="24">
        <f t="array" ref="V375">IF(V$77&gt;" ",(V$628:V$1078),"")</f>
        <v>0</v>
      </c>
      <c r="W375" s="24">
        <f t="array" ref="W375">IF(W$77&gt;" ",(W$628:W$1078),"")</f>
        <v>0</v>
      </c>
      <c r="X375" s="24">
        <f t="array" ref="X375">IF(X$77&gt;" ",(X$628:X$1078),"")</f>
        <v>0</v>
      </c>
      <c r="Y375" s="21">
        <v>0</v>
      </c>
      <c r="Z375" s="34">
        <f t="shared" si="60"/>
        <v>0</v>
      </c>
      <c r="AA375" s="24">
        <f t="shared" si="61"/>
        <v>0</v>
      </c>
      <c r="AB375" s="24">
        <f t="shared" si="62"/>
        <v>0</v>
      </c>
      <c r="AC375" s="24">
        <f t="shared" si="63"/>
        <v>0</v>
      </c>
      <c r="AD375" s="24">
        <f t="shared" si="68"/>
        <v>0</v>
      </c>
      <c r="AE375" s="24">
        <f t="shared" si="68"/>
        <v>0</v>
      </c>
      <c r="AF375" s="24">
        <f t="shared" si="68"/>
        <v>0</v>
      </c>
      <c r="AG375" s="24">
        <f t="shared" si="68"/>
        <v>0</v>
      </c>
      <c r="AH375" s="24">
        <f t="shared" si="64"/>
        <v>0</v>
      </c>
      <c r="AI375" s="24">
        <f t="shared" si="65"/>
        <v>0</v>
      </c>
      <c r="AJ375" s="261">
        <f t="shared" si="66"/>
        <v>0</v>
      </c>
      <c r="AK375" s="13"/>
      <c r="AL375" s="100">
        <v>1020</v>
      </c>
      <c r="AM375" s="202"/>
      <c r="AN375" s="200"/>
      <c r="AO375" s="200"/>
      <c r="AP375" s="283">
        <v>0.69689999999999996</v>
      </c>
      <c r="AR375" s="222">
        <v>96.833502531976322</v>
      </c>
      <c r="AS375" s="223">
        <v>96.83900152853046</v>
      </c>
      <c r="AT375" s="223">
        <v>94.158000722217636</v>
      </c>
      <c r="AU375" s="223">
        <v>94.373538124851564</v>
      </c>
      <c r="AV375" s="223">
        <v>98.18</v>
      </c>
      <c r="AW375" s="224">
        <v>93.403000000000006</v>
      </c>
      <c r="AX375" s="42"/>
      <c r="AY375" s="181"/>
      <c r="AZ375" s="197"/>
    </row>
    <row r="376" spans="12:52" ht="13" thickBot="1" x14ac:dyDescent="0.3">
      <c r="L376" s="55">
        <v>1015</v>
      </c>
      <c r="M376" s="274">
        <f t="shared" si="69"/>
        <v>0</v>
      </c>
      <c r="N376" s="275">
        <f t="shared" si="69"/>
        <v>0</v>
      </c>
      <c r="O376" s="276" t="e">
        <f ca="1"/>
        <v>#N/A</v>
      </c>
      <c r="Q376" s="34">
        <v>0</v>
      </c>
      <c r="R376" s="24">
        <v>0</v>
      </c>
      <c r="S376" s="24">
        <v>0</v>
      </c>
      <c r="T376" s="24">
        <v>0</v>
      </c>
      <c r="U376" s="24">
        <f t="array" ref="U376">IF(U$77&gt;" ",(U$628:U$1078),"")</f>
        <v>0</v>
      </c>
      <c r="V376" s="24">
        <f t="array" ref="V376">IF(V$77&gt;" ",(V$628:V$1078),"")</f>
        <v>0</v>
      </c>
      <c r="W376" s="24">
        <f t="array" ref="W376">IF(W$77&gt;" ",(W$628:W$1078),"")</f>
        <v>0</v>
      </c>
      <c r="X376" s="24">
        <f t="array" ref="X376">IF(X$77&gt;" ",(X$628:X$1078),"")</f>
        <v>0</v>
      </c>
      <c r="Y376" s="21">
        <v>0</v>
      </c>
      <c r="Z376" s="34">
        <f t="shared" si="60"/>
        <v>0</v>
      </c>
      <c r="AA376" s="24">
        <f t="shared" si="61"/>
        <v>0</v>
      </c>
      <c r="AB376" s="24">
        <f t="shared" si="62"/>
        <v>0</v>
      </c>
      <c r="AC376" s="24">
        <f t="shared" si="63"/>
        <v>0</v>
      </c>
      <c r="AD376" s="24">
        <f t="shared" si="68"/>
        <v>0</v>
      </c>
      <c r="AE376" s="24">
        <f t="shared" si="68"/>
        <v>0</v>
      </c>
      <c r="AF376" s="24">
        <f t="shared" si="68"/>
        <v>0</v>
      </c>
      <c r="AG376" s="24">
        <f t="shared" si="68"/>
        <v>0</v>
      </c>
      <c r="AH376" s="24">
        <f t="shared" si="64"/>
        <v>0</v>
      </c>
      <c r="AI376" s="24">
        <f t="shared" si="65"/>
        <v>0</v>
      </c>
      <c r="AJ376" s="261">
        <f t="shared" si="66"/>
        <v>0</v>
      </c>
      <c r="AK376" s="13"/>
      <c r="AL376" s="100">
        <v>1015</v>
      </c>
      <c r="AM376" s="202"/>
      <c r="AN376" s="200"/>
      <c r="AO376" s="200"/>
      <c r="AP376" s="284">
        <v>0.70609999999999995</v>
      </c>
      <c r="AR376" s="222">
        <v>96.816647346543178</v>
      </c>
      <c r="AS376" s="223">
        <v>96.823062895996941</v>
      </c>
      <c r="AT376" s="223">
        <v>94.160674750216245</v>
      </c>
      <c r="AU376" s="223">
        <v>94.372496286516579</v>
      </c>
      <c r="AV376" s="223">
        <v>98.1905</v>
      </c>
      <c r="AW376" s="224">
        <v>93.26</v>
      </c>
      <c r="AX376" s="42"/>
      <c r="AY376" s="181"/>
      <c r="AZ376" s="197"/>
    </row>
    <row r="377" spans="12:52" ht="13" thickBot="1" x14ac:dyDescent="0.3">
      <c r="L377" s="55">
        <v>1010</v>
      </c>
      <c r="M377" s="274">
        <f t="shared" si="69"/>
        <v>0</v>
      </c>
      <c r="N377" s="275">
        <f t="shared" si="69"/>
        <v>0</v>
      </c>
      <c r="O377" s="276" t="e">
        <f ca="1"/>
        <v>#N/A</v>
      </c>
      <c r="Q377" s="34">
        <v>0</v>
      </c>
      <c r="R377" s="24">
        <v>0</v>
      </c>
      <c r="S377" s="24">
        <v>0</v>
      </c>
      <c r="T377" s="24">
        <v>0</v>
      </c>
      <c r="U377" s="24">
        <f t="array" ref="U377">IF(U$77&gt;" ",(U$628:U$1078),"")</f>
        <v>0</v>
      </c>
      <c r="V377" s="24">
        <f t="array" ref="V377">IF(V$77&gt;" ",(V$628:V$1078),"")</f>
        <v>0</v>
      </c>
      <c r="W377" s="24">
        <f t="array" ref="W377">IF(W$77&gt;" ",(W$628:W$1078),"")</f>
        <v>0</v>
      </c>
      <c r="X377" s="24">
        <f t="array" ref="X377">IF(X$77&gt;" ",(X$628:X$1078),"")</f>
        <v>0</v>
      </c>
      <c r="Y377" s="21">
        <v>0</v>
      </c>
      <c r="Z377" s="34">
        <f t="shared" si="60"/>
        <v>0</v>
      </c>
      <c r="AA377" s="24">
        <f t="shared" si="61"/>
        <v>0</v>
      </c>
      <c r="AB377" s="24">
        <f t="shared" si="62"/>
        <v>0</v>
      </c>
      <c r="AC377" s="24">
        <f t="shared" si="63"/>
        <v>0</v>
      </c>
      <c r="AD377" s="24">
        <f t="shared" si="68"/>
        <v>0</v>
      </c>
      <c r="AE377" s="24">
        <f t="shared" si="68"/>
        <v>0</v>
      </c>
      <c r="AF377" s="24">
        <f t="shared" si="68"/>
        <v>0</v>
      </c>
      <c r="AG377" s="24">
        <f t="shared" si="68"/>
        <v>0</v>
      </c>
      <c r="AH377" s="24">
        <f t="shared" si="64"/>
        <v>0</v>
      </c>
      <c r="AI377" s="24">
        <f t="shared" si="65"/>
        <v>0</v>
      </c>
      <c r="AJ377" s="261">
        <f t="shared" si="66"/>
        <v>0</v>
      </c>
      <c r="AK377" s="13"/>
      <c r="AL377" s="100">
        <v>1010</v>
      </c>
      <c r="AM377" s="202"/>
      <c r="AN377" s="200"/>
      <c r="AO377" s="200"/>
      <c r="AP377" s="283">
        <v>0.71699999999999997</v>
      </c>
      <c r="AR377" s="222">
        <v>96.820071667058755</v>
      </c>
      <c r="AS377" s="223">
        <v>96.828988890568326</v>
      </c>
      <c r="AT377" s="223">
        <v>94.177380149946671</v>
      </c>
      <c r="AU377" s="223">
        <v>94.385612481272787</v>
      </c>
      <c r="AV377" s="223">
        <v>98.201000000000008</v>
      </c>
      <c r="AW377" s="224">
        <v>93.117000000000004</v>
      </c>
      <c r="AX377" s="42"/>
      <c r="AY377" s="181"/>
      <c r="AZ377" s="197"/>
    </row>
    <row r="378" spans="12:52" ht="13" thickBot="1" x14ac:dyDescent="0.3">
      <c r="L378" s="55">
        <v>1005</v>
      </c>
      <c r="M378" s="274">
        <f t="shared" si="69"/>
        <v>0</v>
      </c>
      <c r="N378" s="275">
        <f t="shared" si="69"/>
        <v>0</v>
      </c>
      <c r="O378" s="276" t="e">
        <f ca="1"/>
        <v>#N/A</v>
      </c>
      <c r="Q378" s="34">
        <v>0</v>
      </c>
      <c r="R378" s="24">
        <v>0</v>
      </c>
      <c r="S378" s="24">
        <v>0</v>
      </c>
      <c r="T378" s="24">
        <v>0</v>
      </c>
      <c r="U378" s="24">
        <f t="array" ref="U378">IF(U$77&gt;" ",(U$628:U$1078),"")</f>
        <v>0</v>
      </c>
      <c r="V378" s="24">
        <f t="array" ref="V378">IF(V$77&gt;" ",(V$628:V$1078),"")</f>
        <v>0</v>
      </c>
      <c r="W378" s="24">
        <f t="array" ref="W378">IF(W$77&gt;" ",(W$628:W$1078),"")</f>
        <v>0</v>
      </c>
      <c r="X378" s="24">
        <f t="array" ref="X378">IF(X$77&gt;" ",(X$628:X$1078),"")</f>
        <v>0</v>
      </c>
      <c r="Y378" s="21">
        <v>0</v>
      </c>
      <c r="Z378" s="34">
        <f t="shared" si="60"/>
        <v>0</v>
      </c>
      <c r="AA378" s="24">
        <f t="shared" si="61"/>
        <v>0</v>
      </c>
      <c r="AB378" s="24">
        <f t="shared" si="62"/>
        <v>0</v>
      </c>
      <c r="AC378" s="24">
        <f t="shared" si="63"/>
        <v>0</v>
      </c>
      <c r="AD378" s="24">
        <f t="shared" si="68"/>
        <v>0</v>
      </c>
      <c r="AE378" s="24">
        <f t="shared" si="68"/>
        <v>0</v>
      </c>
      <c r="AF378" s="24">
        <f t="shared" si="68"/>
        <v>0</v>
      </c>
      <c r="AG378" s="24">
        <f t="shared" si="68"/>
        <v>0</v>
      </c>
      <c r="AH378" s="24">
        <f t="shared" si="64"/>
        <v>0</v>
      </c>
      <c r="AI378" s="24">
        <f t="shared" si="65"/>
        <v>0</v>
      </c>
      <c r="AJ378" s="261">
        <f t="shared" si="66"/>
        <v>0</v>
      </c>
      <c r="AK378" s="13"/>
      <c r="AL378" s="100">
        <v>1005</v>
      </c>
      <c r="AM378" s="202"/>
      <c r="AN378" s="200"/>
      <c r="AO378" s="200"/>
      <c r="AP378" s="284">
        <v>0.67979999999999996</v>
      </c>
      <c r="AR378" s="222">
        <v>96.818374912218303</v>
      </c>
      <c r="AS378" s="223">
        <v>96.805855783687022</v>
      </c>
      <c r="AT378" s="223">
        <v>94.171043061511469</v>
      </c>
      <c r="AU378" s="223">
        <v>94.389166856441463</v>
      </c>
      <c r="AV378" s="223">
        <v>98.207999999999998</v>
      </c>
      <c r="AW378" s="224">
        <v>92.959499999999991</v>
      </c>
      <c r="AX378" s="42"/>
      <c r="AY378" s="181"/>
      <c r="AZ378" s="197"/>
    </row>
    <row r="379" spans="12:52" ht="13" thickBot="1" x14ac:dyDescent="0.3">
      <c r="L379" s="55">
        <v>1000</v>
      </c>
      <c r="M379" s="274">
        <f t="shared" si="69"/>
        <v>0</v>
      </c>
      <c r="N379" s="275">
        <f t="shared" si="69"/>
        <v>0</v>
      </c>
      <c r="O379" s="276" t="e">
        <f ca="1"/>
        <v>#N/A</v>
      </c>
      <c r="Q379" s="34">
        <v>0</v>
      </c>
      <c r="R379" s="24">
        <v>0</v>
      </c>
      <c r="S379" s="24">
        <v>0</v>
      </c>
      <c r="T379" s="24">
        <v>0</v>
      </c>
      <c r="U379" s="24">
        <f t="array" ref="U379">IF(U$77&gt;" ",(U$628:U$1078),"")</f>
        <v>0</v>
      </c>
      <c r="V379" s="24">
        <f t="array" ref="V379">IF(V$77&gt;" ",(V$628:V$1078),"")</f>
        <v>0</v>
      </c>
      <c r="W379" s="24">
        <f t="array" ref="W379">IF(W$77&gt;" ",(W$628:W$1078),"")</f>
        <v>0</v>
      </c>
      <c r="X379" s="24">
        <f t="array" ref="X379">IF(X$77&gt;" ",(X$628:X$1078),"")</f>
        <v>0</v>
      </c>
      <c r="Y379" s="21">
        <v>0</v>
      </c>
      <c r="Z379" s="34">
        <f t="shared" si="60"/>
        <v>0</v>
      </c>
      <c r="AA379" s="24">
        <f t="shared" si="61"/>
        <v>0</v>
      </c>
      <c r="AB379" s="24">
        <f t="shared" si="62"/>
        <v>0</v>
      </c>
      <c r="AC379" s="24">
        <f t="shared" si="63"/>
        <v>0</v>
      </c>
      <c r="AD379" s="24">
        <f t="shared" si="68"/>
        <v>0</v>
      </c>
      <c r="AE379" s="24">
        <f t="shared" si="68"/>
        <v>0</v>
      </c>
      <c r="AF379" s="24">
        <f t="shared" si="68"/>
        <v>0</v>
      </c>
      <c r="AG379" s="24">
        <f t="shared" si="68"/>
        <v>0</v>
      </c>
      <c r="AH379" s="24">
        <f t="shared" si="64"/>
        <v>0</v>
      </c>
      <c r="AI379" s="24">
        <f t="shared" si="65"/>
        <v>0</v>
      </c>
      <c r="AJ379" s="261">
        <f t="shared" si="66"/>
        <v>0</v>
      </c>
      <c r="AK379" s="13"/>
      <c r="AL379" s="100">
        <v>1000</v>
      </c>
      <c r="AM379" s="202"/>
      <c r="AN379" s="200"/>
      <c r="AO379" s="200"/>
      <c r="AP379" s="283">
        <v>0.73319999999999996</v>
      </c>
      <c r="AR379" s="222">
        <v>96.828662291168328</v>
      </c>
      <c r="AS379" s="223">
        <v>96.804835260248012</v>
      </c>
      <c r="AT379" s="223">
        <v>94.176814198033881</v>
      </c>
      <c r="AU379" s="223">
        <v>94.384460010056003</v>
      </c>
      <c r="AV379" s="223">
        <v>98.215000000000003</v>
      </c>
      <c r="AW379" s="224">
        <v>92.801999999999992</v>
      </c>
      <c r="AX379" s="42"/>
      <c r="AY379" s="181"/>
      <c r="AZ379" s="197"/>
    </row>
    <row r="380" spans="12:52" ht="13" thickBot="1" x14ac:dyDescent="0.3">
      <c r="L380" s="55">
        <v>995</v>
      </c>
      <c r="M380" s="274">
        <f t="shared" si="69"/>
        <v>0</v>
      </c>
      <c r="N380" s="275">
        <f t="shared" si="69"/>
        <v>0</v>
      </c>
      <c r="O380" s="276" t="e">
        <f ca="1"/>
        <v>#N/A</v>
      </c>
      <c r="Q380" s="34">
        <v>0</v>
      </c>
      <c r="R380" s="24">
        <v>0</v>
      </c>
      <c r="S380" s="24">
        <v>0</v>
      </c>
      <c r="T380" s="24">
        <v>0</v>
      </c>
      <c r="U380" s="24">
        <f t="array" ref="U380">IF(U$77&gt;" ",(U$628:U$1078),"")</f>
        <v>0</v>
      </c>
      <c r="V380" s="24">
        <f t="array" ref="V380">IF(V$77&gt;" ",(V$628:V$1078),"")</f>
        <v>0</v>
      </c>
      <c r="W380" s="24">
        <f t="array" ref="W380">IF(W$77&gt;" ",(W$628:W$1078),"")</f>
        <v>0</v>
      </c>
      <c r="X380" s="24">
        <f t="array" ref="X380">IF(X$77&gt;" ",(X$628:X$1078),"")</f>
        <v>0</v>
      </c>
      <c r="Y380" s="21">
        <v>0</v>
      </c>
      <c r="Z380" s="34">
        <f t="shared" si="60"/>
        <v>0</v>
      </c>
      <c r="AA380" s="24">
        <f t="shared" si="61"/>
        <v>0</v>
      </c>
      <c r="AB380" s="24">
        <f t="shared" si="62"/>
        <v>0</v>
      </c>
      <c r="AC380" s="24">
        <f t="shared" si="63"/>
        <v>0</v>
      </c>
      <c r="AD380" s="24">
        <f t="shared" si="68"/>
        <v>0</v>
      </c>
      <c r="AE380" s="24">
        <f t="shared" si="68"/>
        <v>0</v>
      </c>
      <c r="AF380" s="24">
        <f t="shared" si="68"/>
        <v>0</v>
      </c>
      <c r="AG380" s="24">
        <f t="shared" si="68"/>
        <v>0</v>
      </c>
      <c r="AH380" s="24">
        <f t="shared" si="64"/>
        <v>0</v>
      </c>
      <c r="AI380" s="24">
        <f t="shared" si="65"/>
        <v>0</v>
      </c>
      <c r="AJ380" s="261">
        <f t="shared" si="66"/>
        <v>0</v>
      </c>
      <c r="AK380" s="13"/>
      <c r="AL380" s="100">
        <v>995</v>
      </c>
      <c r="AM380" s="202"/>
      <c r="AN380" s="200"/>
      <c r="AO380" s="200"/>
      <c r="AP380" s="284">
        <v>0.74960000000000004</v>
      </c>
      <c r="AR380" s="222">
        <v>96.814029701272943</v>
      </c>
      <c r="AS380" s="223">
        <v>96.795014454817988</v>
      </c>
      <c r="AT380" s="223">
        <v>94.182618460353424</v>
      </c>
      <c r="AU380" s="223">
        <v>94.399667211757404</v>
      </c>
      <c r="AV380" s="223">
        <v>98.222499999999997</v>
      </c>
      <c r="AW380" s="224">
        <v>92.622500000000002</v>
      </c>
      <c r="AX380" s="42"/>
      <c r="AY380" s="181"/>
      <c r="AZ380" s="197"/>
    </row>
    <row r="381" spans="12:52" ht="13" thickBot="1" x14ac:dyDescent="0.3">
      <c r="L381" s="55">
        <v>990</v>
      </c>
      <c r="M381" s="274">
        <f t="shared" si="69"/>
        <v>0</v>
      </c>
      <c r="N381" s="275">
        <f t="shared" si="69"/>
        <v>0</v>
      </c>
      <c r="O381" s="276" t="e">
        <f ca="1"/>
        <v>#N/A</v>
      </c>
      <c r="Q381" s="34">
        <v>0</v>
      </c>
      <c r="R381" s="24">
        <v>0</v>
      </c>
      <c r="S381" s="24">
        <v>0</v>
      </c>
      <c r="T381" s="24">
        <v>0</v>
      </c>
      <c r="U381" s="24">
        <f t="array" ref="U381">IF(U$77&gt;" ",(U$628:U$1078),"")</f>
        <v>0</v>
      </c>
      <c r="V381" s="24">
        <f t="array" ref="V381">IF(V$77&gt;" ",(V$628:V$1078),"")</f>
        <v>0</v>
      </c>
      <c r="W381" s="24">
        <f t="array" ref="W381">IF(W$77&gt;" ",(W$628:W$1078),"")</f>
        <v>0</v>
      </c>
      <c r="X381" s="24">
        <f t="array" ref="X381">IF(X$77&gt;" ",(X$628:X$1078),"")</f>
        <v>0</v>
      </c>
      <c r="Y381" s="21">
        <v>0</v>
      </c>
      <c r="Z381" s="34">
        <f t="shared" si="60"/>
        <v>0</v>
      </c>
      <c r="AA381" s="24">
        <f t="shared" si="61"/>
        <v>0</v>
      </c>
      <c r="AB381" s="24">
        <f t="shared" si="62"/>
        <v>0</v>
      </c>
      <c r="AC381" s="24">
        <f t="shared" si="63"/>
        <v>0</v>
      </c>
      <c r="AD381" s="24">
        <f t="shared" si="68"/>
        <v>0</v>
      </c>
      <c r="AE381" s="24">
        <f t="shared" si="68"/>
        <v>0</v>
      </c>
      <c r="AF381" s="24">
        <f t="shared" si="68"/>
        <v>0</v>
      </c>
      <c r="AG381" s="24">
        <f t="shared" si="68"/>
        <v>0</v>
      </c>
      <c r="AH381" s="24">
        <f t="shared" si="64"/>
        <v>0</v>
      </c>
      <c r="AI381" s="24">
        <f t="shared" si="65"/>
        <v>0</v>
      </c>
      <c r="AJ381" s="261">
        <f t="shared" si="66"/>
        <v>0</v>
      </c>
      <c r="AK381" s="13"/>
      <c r="AL381" s="100">
        <v>990</v>
      </c>
      <c r="AM381" s="202"/>
      <c r="AN381" s="200"/>
      <c r="AO381" s="200"/>
      <c r="AP381" s="283">
        <v>0.73009999999999997</v>
      </c>
      <c r="AR381" s="222">
        <v>96.821083978387023</v>
      </c>
      <c r="AS381" s="223">
        <v>96.796548542573646</v>
      </c>
      <c r="AT381" s="223">
        <v>94.182631723634813</v>
      </c>
      <c r="AU381" s="223">
        <v>94.39891768748619</v>
      </c>
      <c r="AV381" s="223">
        <v>98.23</v>
      </c>
      <c r="AW381" s="224">
        <v>92.442999999999998</v>
      </c>
      <c r="AX381" s="42"/>
      <c r="AY381" s="181"/>
      <c r="AZ381" s="197"/>
    </row>
    <row r="382" spans="12:52" ht="13" thickBot="1" x14ac:dyDescent="0.3">
      <c r="L382" s="55">
        <v>985</v>
      </c>
      <c r="M382" s="274">
        <f t="shared" si="69"/>
        <v>0</v>
      </c>
      <c r="N382" s="275">
        <f t="shared" si="69"/>
        <v>0</v>
      </c>
      <c r="O382" s="276" t="e">
        <f ca="1"/>
        <v>#N/A</v>
      </c>
      <c r="Q382" s="34">
        <v>0</v>
      </c>
      <c r="R382" s="24">
        <v>0</v>
      </c>
      <c r="S382" s="24">
        <v>0</v>
      </c>
      <c r="T382" s="24">
        <v>0</v>
      </c>
      <c r="U382" s="24">
        <f t="array" ref="U382">IF(U$77&gt;" ",(U$628:U$1078),"")</f>
        <v>0</v>
      </c>
      <c r="V382" s="24">
        <f t="array" ref="V382">IF(V$77&gt;" ",(V$628:V$1078),"")</f>
        <v>0</v>
      </c>
      <c r="W382" s="24">
        <f t="array" ref="W382">IF(W$77&gt;" ",(W$628:W$1078),"")</f>
        <v>0</v>
      </c>
      <c r="X382" s="24">
        <f t="array" ref="X382">IF(X$77&gt;" ",(X$628:X$1078),"")</f>
        <v>0</v>
      </c>
      <c r="Y382" s="21">
        <v>0</v>
      </c>
      <c r="Z382" s="34">
        <f t="shared" si="60"/>
        <v>0</v>
      </c>
      <c r="AA382" s="24">
        <f t="shared" si="61"/>
        <v>0</v>
      </c>
      <c r="AB382" s="24">
        <f t="shared" si="62"/>
        <v>0</v>
      </c>
      <c r="AC382" s="24">
        <f t="shared" si="63"/>
        <v>0</v>
      </c>
      <c r="AD382" s="24">
        <f t="shared" si="68"/>
        <v>0</v>
      </c>
      <c r="AE382" s="24">
        <f t="shared" si="68"/>
        <v>0</v>
      </c>
      <c r="AF382" s="24">
        <f t="shared" si="68"/>
        <v>0</v>
      </c>
      <c r="AG382" s="24">
        <f t="shared" si="68"/>
        <v>0</v>
      </c>
      <c r="AH382" s="24">
        <f t="shared" si="64"/>
        <v>0</v>
      </c>
      <c r="AI382" s="24">
        <f t="shared" si="65"/>
        <v>0</v>
      </c>
      <c r="AJ382" s="261">
        <f t="shared" si="66"/>
        <v>0</v>
      </c>
      <c r="AK382" s="13"/>
      <c r="AL382" s="100">
        <v>985</v>
      </c>
      <c r="AM382" s="202"/>
      <c r="AN382" s="200"/>
      <c r="AO382" s="200"/>
      <c r="AP382" s="284">
        <v>0.68620000000000003</v>
      </c>
      <c r="AR382" s="222">
        <v>96.814666661201628</v>
      </c>
      <c r="AS382" s="223">
        <v>96.786976780680916</v>
      </c>
      <c r="AT382" s="223">
        <v>94.167855217326334</v>
      </c>
      <c r="AU382" s="223">
        <v>94.388344943996742</v>
      </c>
      <c r="AV382" s="223">
        <v>98.238500000000002</v>
      </c>
      <c r="AW382" s="224">
        <v>92.246499999999997</v>
      </c>
      <c r="AX382" s="42"/>
      <c r="AY382" s="181"/>
      <c r="AZ382" s="197"/>
    </row>
    <row r="383" spans="12:52" ht="13" thickBot="1" x14ac:dyDescent="0.3">
      <c r="L383" s="55">
        <v>980</v>
      </c>
      <c r="M383" s="274">
        <f t="shared" ref="M383:N398" si="70">M932</f>
        <v>0</v>
      </c>
      <c r="N383" s="275">
        <f t="shared" si="70"/>
        <v>0</v>
      </c>
      <c r="O383" s="276" t="e">
        <f ca="1"/>
        <v>#N/A</v>
      </c>
      <c r="Q383" s="34">
        <v>0</v>
      </c>
      <c r="R383" s="24">
        <v>0</v>
      </c>
      <c r="S383" s="24">
        <v>0</v>
      </c>
      <c r="T383" s="24">
        <v>0</v>
      </c>
      <c r="U383" s="24">
        <f t="array" ref="U383">IF(U$77&gt;" ",(U$628:U$1078),"")</f>
        <v>0</v>
      </c>
      <c r="V383" s="24">
        <f t="array" ref="V383">IF(V$77&gt;" ",(V$628:V$1078),"")</f>
        <v>0</v>
      </c>
      <c r="W383" s="24">
        <f t="array" ref="W383">IF(W$77&gt;" ",(W$628:W$1078),"")</f>
        <v>0</v>
      </c>
      <c r="X383" s="24">
        <f t="array" ref="X383">IF(X$77&gt;" ",(X$628:X$1078),"")</f>
        <v>0</v>
      </c>
      <c r="Y383" s="21">
        <v>0</v>
      </c>
      <c r="Z383" s="34">
        <f t="shared" si="60"/>
        <v>0</v>
      </c>
      <c r="AA383" s="24">
        <f t="shared" si="61"/>
        <v>0</v>
      </c>
      <c r="AB383" s="24">
        <f t="shared" si="62"/>
        <v>0</v>
      </c>
      <c r="AC383" s="24">
        <f t="shared" si="63"/>
        <v>0</v>
      </c>
      <c r="AD383" s="24">
        <f t="shared" si="68"/>
        <v>0</v>
      </c>
      <c r="AE383" s="24">
        <f t="shared" si="68"/>
        <v>0</v>
      </c>
      <c r="AF383" s="24">
        <f t="shared" si="68"/>
        <v>0</v>
      </c>
      <c r="AG383" s="24">
        <f t="shared" si="68"/>
        <v>0</v>
      </c>
      <c r="AH383" s="24">
        <f t="shared" si="64"/>
        <v>0</v>
      </c>
      <c r="AI383" s="24">
        <f t="shared" si="65"/>
        <v>0</v>
      </c>
      <c r="AJ383" s="261">
        <f t="shared" si="66"/>
        <v>0</v>
      </c>
      <c r="AK383" s="13"/>
      <c r="AL383" s="100">
        <v>980</v>
      </c>
      <c r="AM383" s="202"/>
      <c r="AN383" s="200"/>
      <c r="AO383" s="200"/>
      <c r="AP383" s="283">
        <v>0.60289999999999999</v>
      </c>
      <c r="AR383" s="222">
        <v>96.795618184305326</v>
      </c>
      <c r="AS383" s="223">
        <v>96.786841461101702</v>
      </c>
      <c r="AT383" s="223">
        <v>94.161157464060196</v>
      </c>
      <c r="AU383" s="223">
        <v>94.372483420776902</v>
      </c>
      <c r="AV383" s="223">
        <v>98.247</v>
      </c>
      <c r="AW383" s="224">
        <v>92.05</v>
      </c>
      <c r="AX383" s="42"/>
      <c r="AY383" s="181"/>
      <c r="AZ383" s="197"/>
    </row>
    <row r="384" spans="12:52" ht="13" thickBot="1" x14ac:dyDescent="0.3">
      <c r="L384" s="55">
        <v>975</v>
      </c>
      <c r="M384" s="274">
        <f t="shared" si="70"/>
        <v>0</v>
      </c>
      <c r="N384" s="275">
        <f t="shared" si="70"/>
        <v>0</v>
      </c>
      <c r="O384" s="276" t="e">
        <f ca="1"/>
        <v>#N/A</v>
      </c>
      <c r="Q384" s="34">
        <v>0</v>
      </c>
      <c r="R384" s="24">
        <v>0</v>
      </c>
      <c r="S384" s="24">
        <v>0</v>
      </c>
      <c r="T384" s="24">
        <v>0</v>
      </c>
      <c r="U384" s="24">
        <f t="array" ref="U384">IF(U$77&gt;" ",(U$628:U$1078),"")</f>
        <v>0</v>
      </c>
      <c r="V384" s="24">
        <f t="array" ref="V384">IF(V$77&gt;" ",(V$628:V$1078),"")</f>
        <v>0</v>
      </c>
      <c r="W384" s="24">
        <f t="array" ref="W384">IF(W$77&gt;" ",(W$628:W$1078),"")</f>
        <v>0</v>
      </c>
      <c r="X384" s="24">
        <f t="array" ref="X384">IF(X$77&gt;" ",(X$628:X$1078),"")</f>
        <v>0</v>
      </c>
      <c r="Y384" s="21">
        <v>0</v>
      </c>
      <c r="Z384" s="34">
        <f t="shared" si="60"/>
        <v>0</v>
      </c>
      <c r="AA384" s="24">
        <f t="shared" si="61"/>
        <v>0</v>
      </c>
      <c r="AB384" s="24">
        <f t="shared" si="62"/>
        <v>0</v>
      </c>
      <c r="AC384" s="24">
        <f t="shared" si="63"/>
        <v>0</v>
      </c>
      <c r="AD384" s="24">
        <f t="shared" si="68"/>
        <v>0</v>
      </c>
      <c r="AE384" s="24">
        <f t="shared" si="68"/>
        <v>0</v>
      </c>
      <c r="AF384" s="24">
        <f t="shared" si="68"/>
        <v>0</v>
      </c>
      <c r="AG384" s="24">
        <f t="shared" si="68"/>
        <v>0</v>
      </c>
      <c r="AH384" s="24">
        <f t="shared" si="64"/>
        <v>0</v>
      </c>
      <c r="AI384" s="24">
        <f t="shared" si="65"/>
        <v>0</v>
      </c>
      <c r="AJ384" s="261">
        <f t="shared" si="66"/>
        <v>0</v>
      </c>
      <c r="AK384" s="13"/>
      <c r="AL384" s="100">
        <v>975</v>
      </c>
      <c r="AM384" s="202"/>
      <c r="AN384" s="200"/>
      <c r="AO384" s="200"/>
      <c r="AP384" s="284">
        <v>0.58819999999999995</v>
      </c>
      <c r="AR384" s="222">
        <v>96.798891522365366</v>
      </c>
      <c r="AS384" s="223">
        <v>96.799306061631526</v>
      </c>
      <c r="AT384" s="223">
        <v>94.162799358853931</v>
      </c>
      <c r="AU384" s="223">
        <v>94.386723153259936</v>
      </c>
      <c r="AV384" s="223">
        <v>98.257000000000005</v>
      </c>
      <c r="AW384" s="224">
        <v>91.828000000000003</v>
      </c>
      <c r="AX384" s="42"/>
      <c r="AY384" s="181"/>
      <c r="AZ384" s="197"/>
    </row>
    <row r="385" spans="12:52" ht="13" thickBot="1" x14ac:dyDescent="0.3">
      <c r="L385" s="55">
        <v>970</v>
      </c>
      <c r="M385" s="274">
        <f t="shared" si="70"/>
        <v>0</v>
      </c>
      <c r="N385" s="275">
        <f t="shared" si="70"/>
        <v>0</v>
      </c>
      <c r="O385" s="276" t="e">
        <f ca="1"/>
        <v>#N/A</v>
      </c>
      <c r="Q385" s="34">
        <v>0</v>
      </c>
      <c r="R385" s="24">
        <v>0</v>
      </c>
      <c r="S385" s="24">
        <v>0</v>
      </c>
      <c r="T385" s="24">
        <v>0</v>
      </c>
      <c r="U385" s="24">
        <f t="array" ref="U385">IF(U$77&gt;" ",(U$628:U$1078),"")</f>
        <v>0</v>
      </c>
      <c r="V385" s="24">
        <f t="array" ref="V385">IF(V$77&gt;" ",(V$628:V$1078),"")</f>
        <v>0</v>
      </c>
      <c r="W385" s="24">
        <f t="array" ref="W385">IF(W$77&gt;" ",(W$628:W$1078),"")</f>
        <v>0</v>
      </c>
      <c r="X385" s="24">
        <f t="array" ref="X385">IF(X$77&gt;" ",(X$628:X$1078),"")</f>
        <v>0</v>
      </c>
      <c r="Y385" s="21">
        <v>0</v>
      </c>
      <c r="Z385" s="34">
        <f t="shared" si="60"/>
        <v>0</v>
      </c>
      <c r="AA385" s="24">
        <f t="shared" si="61"/>
        <v>0</v>
      </c>
      <c r="AB385" s="24">
        <f t="shared" si="62"/>
        <v>0</v>
      </c>
      <c r="AC385" s="24">
        <f t="shared" si="63"/>
        <v>0</v>
      </c>
      <c r="AD385" s="24">
        <f t="shared" si="68"/>
        <v>0</v>
      </c>
      <c r="AE385" s="24">
        <f t="shared" si="68"/>
        <v>0</v>
      </c>
      <c r="AF385" s="24">
        <f t="shared" si="68"/>
        <v>0</v>
      </c>
      <c r="AG385" s="24">
        <f t="shared" si="68"/>
        <v>0</v>
      </c>
      <c r="AH385" s="24">
        <f t="shared" si="64"/>
        <v>0</v>
      </c>
      <c r="AI385" s="24">
        <f t="shared" si="65"/>
        <v>0</v>
      </c>
      <c r="AJ385" s="261">
        <f t="shared" si="66"/>
        <v>0</v>
      </c>
      <c r="AK385" s="13"/>
      <c r="AL385" s="100">
        <v>970</v>
      </c>
      <c r="AM385" s="202"/>
      <c r="AN385" s="200"/>
      <c r="AO385" s="200"/>
      <c r="AP385" s="283">
        <v>0.63280000000000003</v>
      </c>
      <c r="AR385" s="222">
        <v>96.795662664524343</v>
      </c>
      <c r="AS385" s="223">
        <v>96.785239533175243</v>
      </c>
      <c r="AT385" s="223">
        <v>94.181091289481898</v>
      </c>
      <c r="AU385" s="223">
        <v>94.400999719059527</v>
      </c>
      <c r="AV385" s="223">
        <v>98.26700000000001</v>
      </c>
      <c r="AW385" s="224">
        <v>91.605999999999995</v>
      </c>
      <c r="AX385" s="42"/>
      <c r="AY385" s="181"/>
      <c r="AZ385" s="197"/>
    </row>
    <row r="386" spans="12:52" ht="13" thickBot="1" x14ac:dyDescent="0.3">
      <c r="L386" s="55">
        <v>965</v>
      </c>
      <c r="M386" s="274">
        <f t="shared" si="70"/>
        <v>0</v>
      </c>
      <c r="N386" s="275">
        <f t="shared" si="70"/>
        <v>0</v>
      </c>
      <c r="O386" s="276" t="e">
        <f ca="1"/>
        <v>#N/A</v>
      </c>
      <c r="Q386" s="34">
        <v>0</v>
      </c>
      <c r="R386" s="24">
        <v>0</v>
      </c>
      <c r="S386" s="24">
        <v>0</v>
      </c>
      <c r="T386" s="24">
        <v>0</v>
      </c>
      <c r="U386" s="24">
        <f t="array" ref="U386">IF(U$77&gt;" ",(U$628:U$1078),"")</f>
        <v>0</v>
      </c>
      <c r="V386" s="24">
        <f t="array" ref="V386">IF(V$77&gt;" ",(V$628:V$1078),"")</f>
        <v>0</v>
      </c>
      <c r="W386" s="24">
        <f t="array" ref="W386">IF(W$77&gt;" ",(W$628:W$1078),"")</f>
        <v>0</v>
      </c>
      <c r="X386" s="24">
        <f t="array" ref="X386">IF(X$77&gt;" ",(X$628:X$1078),"")</f>
        <v>0</v>
      </c>
      <c r="Y386" s="21">
        <v>0</v>
      </c>
      <c r="Z386" s="34">
        <f t="shared" si="60"/>
        <v>0</v>
      </c>
      <c r="AA386" s="24">
        <f t="shared" si="61"/>
        <v>0</v>
      </c>
      <c r="AB386" s="24">
        <f t="shared" si="62"/>
        <v>0</v>
      </c>
      <c r="AC386" s="24">
        <f t="shared" si="63"/>
        <v>0</v>
      </c>
      <c r="AD386" s="24">
        <f t="shared" si="68"/>
        <v>0</v>
      </c>
      <c r="AE386" s="24">
        <f t="shared" si="68"/>
        <v>0</v>
      </c>
      <c r="AF386" s="24">
        <f t="shared" si="68"/>
        <v>0</v>
      </c>
      <c r="AG386" s="24">
        <f t="shared" si="68"/>
        <v>0</v>
      </c>
      <c r="AH386" s="24">
        <f t="shared" ref="AH386:AH436" si="71">Y386</f>
        <v>0</v>
      </c>
      <c r="AI386" s="24">
        <f t="shared" si="65"/>
        <v>0</v>
      </c>
      <c r="AJ386" s="261">
        <f t="shared" si="66"/>
        <v>0</v>
      </c>
      <c r="AK386" s="13"/>
      <c r="AL386" s="100">
        <v>965</v>
      </c>
      <c r="AM386" s="202"/>
      <c r="AN386" s="200"/>
      <c r="AO386" s="200"/>
      <c r="AP386" s="284">
        <v>0.50229999999999997</v>
      </c>
      <c r="AR386" s="222">
        <v>96.802777437458602</v>
      </c>
      <c r="AS386" s="223">
        <v>96.781760876790258</v>
      </c>
      <c r="AT386" s="223">
        <v>94.205456894687117</v>
      </c>
      <c r="AU386" s="223">
        <v>94.424627796181824</v>
      </c>
      <c r="AV386" s="223">
        <v>98.275500000000008</v>
      </c>
      <c r="AW386" s="224">
        <v>91.359500000000011</v>
      </c>
      <c r="AX386" s="42"/>
      <c r="AY386" s="181"/>
      <c r="AZ386" s="197"/>
    </row>
    <row r="387" spans="12:52" ht="13" thickBot="1" x14ac:dyDescent="0.3">
      <c r="L387" s="55">
        <v>960</v>
      </c>
      <c r="M387" s="274">
        <f t="shared" si="70"/>
        <v>0</v>
      </c>
      <c r="N387" s="275">
        <f t="shared" si="70"/>
        <v>0</v>
      </c>
      <c r="O387" s="276" t="e">
        <f ca="1"/>
        <v>#N/A</v>
      </c>
      <c r="Q387" s="34">
        <v>0</v>
      </c>
      <c r="R387" s="24">
        <v>0</v>
      </c>
      <c r="S387" s="24">
        <v>0</v>
      </c>
      <c r="T387" s="24">
        <v>0</v>
      </c>
      <c r="U387" s="24">
        <f t="array" ref="U387">IF(U$77&gt;" ",(U$628:U$1078),"")</f>
        <v>0</v>
      </c>
      <c r="V387" s="24">
        <f t="array" ref="V387">IF(V$77&gt;" ",(V$628:V$1078),"")</f>
        <v>0</v>
      </c>
      <c r="W387" s="24">
        <f t="array" ref="W387">IF(W$77&gt;" ",(W$628:W$1078),"")</f>
        <v>0</v>
      </c>
      <c r="X387" s="24">
        <f t="array" ref="X387">IF(X$77&gt;" ",(X$628:X$1078),"")</f>
        <v>0</v>
      </c>
      <c r="Y387" s="21">
        <v>0</v>
      </c>
      <c r="Z387" s="34">
        <f t="shared" si="60"/>
        <v>0</v>
      </c>
      <c r="AA387" s="24">
        <f t="shared" si="61"/>
        <v>0</v>
      </c>
      <c r="AB387" s="24">
        <f t="shared" si="62"/>
        <v>0</v>
      </c>
      <c r="AC387" s="24">
        <f t="shared" si="63"/>
        <v>0</v>
      </c>
      <c r="AD387" s="24">
        <f t="shared" si="68"/>
        <v>0</v>
      </c>
      <c r="AE387" s="24">
        <f t="shared" si="68"/>
        <v>0</v>
      </c>
      <c r="AF387" s="24">
        <f t="shared" si="68"/>
        <v>0</v>
      </c>
      <c r="AG387" s="24">
        <f t="shared" si="68"/>
        <v>0</v>
      </c>
      <c r="AH387" s="24">
        <f t="shared" si="71"/>
        <v>0</v>
      </c>
      <c r="AI387" s="24">
        <f t="shared" si="65"/>
        <v>0</v>
      </c>
      <c r="AJ387" s="261">
        <f t="shared" si="66"/>
        <v>0</v>
      </c>
      <c r="AK387" s="13"/>
      <c r="AL387" s="100">
        <v>960</v>
      </c>
      <c r="AM387" s="202"/>
      <c r="AN387" s="200"/>
      <c r="AO387" s="200"/>
      <c r="AP387" s="283">
        <v>0.4194</v>
      </c>
      <c r="AR387" s="222">
        <v>96.796121879397205</v>
      </c>
      <c r="AS387" s="223">
        <v>96.793006239207998</v>
      </c>
      <c r="AT387" s="223">
        <v>94.228784820443551</v>
      </c>
      <c r="AU387" s="223">
        <v>94.448881827620653</v>
      </c>
      <c r="AV387" s="223">
        <v>98.284000000000006</v>
      </c>
      <c r="AW387" s="224">
        <v>91.113</v>
      </c>
      <c r="AX387" s="42"/>
      <c r="AY387" s="181"/>
      <c r="AZ387" s="197"/>
    </row>
    <row r="388" spans="12:52" ht="13" thickBot="1" x14ac:dyDescent="0.3">
      <c r="L388" s="55">
        <v>955</v>
      </c>
      <c r="M388" s="274">
        <f t="shared" si="70"/>
        <v>0</v>
      </c>
      <c r="N388" s="275">
        <f t="shared" si="70"/>
        <v>0</v>
      </c>
      <c r="O388" s="276" t="e">
        <f ca="1"/>
        <v>#N/A</v>
      </c>
      <c r="Q388" s="34">
        <v>0</v>
      </c>
      <c r="R388" s="24">
        <v>0</v>
      </c>
      <c r="S388" s="24">
        <v>0</v>
      </c>
      <c r="T388" s="24">
        <v>0</v>
      </c>
      <c r="U388" s="24">
        <f t="array" ref="U388">IF(U$77&gt;" ",(U$628:U$1078),"")</f>
        <v>0</v>
      </c>
      <c r="V388" s="24">
        <f t="array" ref="V388">IF(V$77&gt;" ",(V$628:V$1078),"")</f>
        <v>0</v>
      </c>
      <c r="W388" s="24">
        <f t="array" ref="W388">IF(W$77&gt;" ",(W$628:W$1078),"")</f>
        <v>0</v>
      </c>
      <c r="X388" s="24">
        <f t="array" ref="X388">IF(X$77&gt;" ",(X$628:X$1078),"")</f>
        <v>0</v>
      </c>
      <c r="Y388" s="21">
        <v>0</v>
      </c>
      <c r="Z388" s="34">
        <f t="shared" si="60"/>
        <v>0</v>
      </c>
      <c r="AA388" s="24">
        <f t="shared" si="61"/>
        <v>0</v>
      </c>
      <c r="AB388" s="24">
        <f t="shared" si="62"/>
        <v>0</v>
      </c>
      <c r="AC388" s="24">
        <f t="shared" si="63"/>
        <v>0</v>
      </c>
      <c r="AD388" s="24">
        <f t="shared" si="68"/>
        <v>0</v>
      </c>
      <c r="AE388" s="24">
        <f t="shared" si="68"/>
        <v>0</v>
      </c>
      <c r="AF388" s="24">
        <f t="shared" si="68"/>
        <v>0</v>
      </c>
      <c r="AG388" s="24">
        <f t="shared" si="68"/>
        <v>0</v>
      </c>
      <c r="AH388" s="24">
        <f t="shared" si="71"/>
        <v>0</v>
      </c>
      <c r="AI388" s="24">
        <f t="shared" si="65"/>
        <v>0</v>
      </c>
      <c r="AJ388" s="261">
        <f t="shared" si="66"/>
        <v>0</v>
      </c>
      <c r="AK388" s="13"/>
      <c r="AL388" s="100">
        <v>955</v>
      </c>
      <c r="AM388" s="202"/>
      <c r="AN388" s="200"/>
      <c r="AO388" s="200"/>
      <c r="AP388" s="284">
        <v>0.3402</v>
      </c>
      <c r="AR388" s="222">
        <v>96.800557648181623</v>
      </c>
      <c r="AS388" s="223">
        <v>96.791621445347872</v>
      </c>
      <c r="AT388" s="223">
        <v>94.241277283185752</v>
      </c>
      <c r="AU388" s="223">
        <v>94.460412366214982</v>
      </c>
      <c r="AV388" s="223">
        <v>98.294499999999999</v>
      </c>
      <c r="AW388" s="224">
        <v>90.837000000000003</v>
      </c>
      <c r="AX388" s="42"/>
      <c r="AY388" s="181"/>
      <c r="AZ388" s="197"/>
    </row>
    <row r="389" spans="12:52" ht="13" thickBot="1" x14ac:dyDescent="0.3">
      <c r="L389" s="55">
        <v>950</v>
      </c>
      <c r="M389" s="274">
        <f t="shared" si="70"/>
        <v>0</v>
      </c>
      <c r="N389" s="275">
        <f t="shared" si="70"/>
        <v>0</v>
      </c>
      <c r="O389" s="276" t="e">
        <f ca="1"/>
        <v>#N/A</v>
      </c>
      <c r="Q389" s="34">
        <v>0</v>
      </c>
      <c r="R389" s="24">
        <v>0</v>
      </c>
      <c r="S389" s="24">
        <v>0</v>
      </c>
      <c r="T389" s="24">
        <v>0</v>
      </c>
      <c r="U389" s="24">
        <f t="array" ref="U389">IF(U$77&gt;" ",(U$628:U$1078),"")</f>
        <v>0</v>
      </c>
      <c r="V389" s="24">
        <f t="array" ref="V389">IF(V$77&gt;" ",(V$628:V$1078),"")</f>
        <v>0</v>
      </c>
      <c r="W389" s="24">
        <f t="array" ref="W389">IF(W$77&gt;" ",(W$628:W$1078),"")</f>
        <v>0</v>
      </c>
      <c r="X389" s="24">
        <f t="array" ref="X389">IF(X$77&gt;" ",(X$628:X$1078),"")</f>
        <v>0</v>
      </c>
      <c r="Y389" s="21">
        <v>0</v>
      </c>
      <c r="Z389" s="34">
        <f t="shared" si="60"/>
        <v>0</v>
      </c>
      <c r="AA389" s="24">
        <f t="shared" si="61"/>
        <v>0</v>
      </c>
      <c r="AB389" s="24">
        <f t="shared" si="62"/>
        <v>0</v>
      </c>
      <c r="AC389" s="24">
        <f t="shared" si="63"/>
        <v>0</v>
      </c>
      <c r="AD389" s="24">
        <f t="shared" si="68"/>
        <v>0</v>
      </c>
      <c r="AE389" s="24">
        <f t="shared" si="68"/>
        <v>0</v>
      </c>
      <c r="AF389" s="24">
        <f t="shared" si="68"/>
        <v>0</v>
      </c>
      <c r="AG389" s="24">
        <f t="shared" si="68"/>
        <v>0</v>
      </c>
      <c r="AH389" s="24">
        <f t="shared" si="71"/>
        <v>0</v>
      </c>
      <c r="AI389" s="24">
        <f t="shared" si="65"/>
        <v>0</v>
      </c>
      <c r="AJ389" s="261">
        <f t="shared" si="66"/>
        <v>0</v>
      </c>
      <c r="AK389" s="13"/>
      <c r="AL389" s="100">
        <v>950</v>
      </c>
      <c r="AM389" s="202"/>
      <c r="AN389" s="200"/>
      <c r="AO389" s="200"/>
      <c r="AP389" s="283">
        <v>0.14680000000000001</v>
      </c>
      <c r="AR389" s="222">
        <v>96.799560537054859</v>
      </c>
      <c r="AS389" s="223">
        <v>96.791298326548898</v>
      </c>
      <c r="AT389" s="223">
        <v>94.254807581137641</v>
      </c>
      <c r="AU389" s="223">
        <v>94.475104140389405</v>
      </c>
      <c r="AV389" s="223">
        <v>98.305000000000007</v>
      </c>
      <c r="AW389" s="224">
        <v>90.561000000000007</v>
      </c>
      <c r="AX389" s="42"/>
      <c r="AY389" s="181"/>
      <c r="AZ389" s="197"/>
    </row>
    <row r="390" spans="12:52" ht="13" thickBot="1" x14ac:dyDescent="0.3">
      <c r="L390" s="55">
        <v>945</v>
      </c>
      <c r="M390" s="274">
        <f t="shared" si="70"/>
        <v>0</v>
      </c>
      <c r="N390" s="275">
        <f t="shared" si="70"/>
        <v>0</v>
      </c>
      <c r="O390" s="276" t="e">
        <f ca="1"/>
        <v>#N/A</v>
      </c>
      <c r="Q390" s="34">
        <v>0</v>
      </c>
      <c r="R390" s="24">
        <v>0</v>
      </c>
      <c r="S390" s="24">
        <v>0</v>
      </c>
      <c r="T390" s="24">
        <v>0</v>
      </c>
      <c r="U390" s="24">
        <f t="array" ref="U390">IF(U$77&gt;" ",(U$628:U$1078),"")</f>
        <v>0</v>
      </c>
      <c r="V390" s="24">
        <f t="array" ref="V390">IF(V$77&gt;" ",(V$628:V$1078),"")</f>
        <v>0</v>
      </c>
      <c r="W390" s="24">
        <f t="array" ref="W390">IF(W$77&gt;" ",(W$628:W$1078),"")</f>
        <v>0</v>
      </c>
      <c r="X390" s="24">
        <f t="array" ref="X390">IF(X$77&gt;" ",(X$628:X$1078),"")</f>
        <v>0</v>
      </c>
      <c r="Y390" s="21">
        <v>0</v>
      </c>
      <c r="Z390" s="34">
        <f t="shared" si="60"/>
        <v>0</v>
      </c>
      <c r="AA390" s="24">
        <f t="shared" si="61"/>
        <v>0</v>
      </c>
      <c r="AB390" s="24">
        <f t="shared" si="62"/>
        <v>0</v>
      </c>
      <c r="AC390" s="24">
        <f t="shared" si="63"/>
        <v>0</v>
      </c>
      <c r="AD390" s="24">
        <f t="shared" si="68"/>
        <v>0</v>
      </c>
      <c r="AE390" s="24">
        <f t="shared" si="68"/>
        <v>0</v>
      </c>
      <c r="AF390" s="24">
        <f t="shared" si="68"/>
        <v>0</v>
      </c>
      <c r="AG390" s="24">
        <f t="shared" si="68"/>
        <v>0</v>
      </c>
      <c r="AH390" s="24">
        <f t="shared" si="71"/>
        <v>0</v>
      </c>
      <c r="AI390" s="24">
        <f t="shared" si="65"/>
        <v>0</v>
      </c>
      <c r="AJ390" s="261">
        <f t="shared" si="66"/>
        <v>0</v>
      </c>
      <c r="AK390" s="13"/>
      <c r="AL390" s="100">
        <v>945</v>
      </c>
      <c r="AM390" s="202"/>
      <c r="AN390" s="200"/>
      <c r="AO390" s="200"/>
      <c r="AP390" s="284">
        <v>0.36709999999999998</v>
      </c>
      <c r="AR390" s="222">
        <v>96.797278371279091</v>
      </c>
      <c r="AS390" s="223">
        <v>96.792742514728502</v>
      </c>
      <c r="AT390" s="223">
        <v>94.278942924487637</v>
      </c>
      <c r="AU390" s="223">
        <v>94.495508633837588</v>
      </c>
      <c r="AV390" s="223">
        <v>98.314000000000007</v>
      </c>
      <c r="AW390" s="224">
        <v>90.256</v>
      </c>
      <c r="AX390" s="42"/>
      <c r="AY390" s="181"/>
      <c r="AZ390" s="197"/>
    </row>
    <row r="391" spans="12:52" ht="13" thickBot="1" x14ac:dyDescent="0.3">
      <c r="L391" s="55">
        <v>940</v>
      </c>
      <c r="M391" s="274">
        <f t="shared" si="70"/>
        <v>0</v>
      </c>
      <c r="N391" s="275">
        <f t="shared" si="70"/>
        <v>0</v>
      </c>
      <c r="O391" s="276" t="e">
        <f ca="1"/>
        <v>#N/A</v>
      </c>
      <c r="Q391" s="34">
        <v>0</v>
      </c>
      <c r="R391" s="24">
        <v>0</v>
      </c>
      <c r="S391" s="24">
        <v>0</v>
      </c>
      <c r="T391" s="24">
        <v>0</v>
      </c>
      <c r="U391" s="24">
        <f t="array" ref="U391">IF(U$77&gt;" ",(U$628:U$1078),"")</f>
        <v>0</v>
      </c>
      <c r="V391" s="24">
        <f t="array" ref="V391">IF(V$77&gt;" ",(V$628:V$1078),"")</f>
        <v>0</v>
      </c>
      <c r="W391" s="24">
        <f t="array" ref="W391">IF(W$77&gt;" ",(W$628:W$1078),"")</f>
        <v>0</v>
      </c>
      <c r="X391" s="24">
        <f t="array" ref="X391">IF(X$77&gt;" ",(X$628:X$1078),"")</f>
        <v>0</v>
      </c>
      <c r="Y391" s="21">
        <v>0</v>
      </c>
      <c r="Z391" s="34">
        <f t="shared" si="60"/>
        <v>0</v>
      </c>
      <c r="AA391" s="24">
        <f t="shared" si="61"/>
        <v>0</v>
      </c>
      <c r="AB391" s="24">
        <f t="shared" si="62"/>
        <v>0</v>
      </c>
      <c r="AC391" s="24">
        <f t="shared" si="63"/>
        <v>0</v>
      </c>
      <c r="AD391" s="24">
        <f t="shared" si="68"/>
        <v>0</v>
      </c>
      <c r="AE391" s="24">
        <f t="shared" si="68"/>
        <v>0</v>
      </c>
      <c r="AF391" s="24">
        <f t="shared" si="68"/>
        <v>0</v>
      </c>
      <c r="AG391" s="24">
        <f t="shared" si="68"/>
        <v>0</v>
      </c>
      <c r="AH391" s="24">
        <f t="shared" si="71"/>
        <v>0</v>
      </c>
      <c r="AI391" s="24">
        <f t="shared" si="65"/>
        <v>0</v>
      </c>
      <c r="AJ391" s="261">
        <f t="shared" si="66"/>
        <v>0</v>
      </c>
      <c r="AK391" s="13"/>
      <c r="AL391" s="100">
        <v>940</v>
      </c>
      <c r="AM391" s="202"/>
      <c r="AN391" s="200"/>
      <c r="AO391" s="200"/>
      <c r="AP391" s="283">
        <v>0.47039999999999998</v>
      </c>
      <c r="AR391" s="222">
        <v>96.806381905871106</v>
      </c>
      <c r="AS391" s="223">
        <v>96.806225286335362</v>
      </c>
      <c r="AT391" s="223">
        <v>94.298627951865114</v>
      </c>
      <c r="AU391" s="223">
        <v>94.517972430689255</v>
      </c>
      <c r="AV391" s="223">
        <v>98.323000000000008</v>
      </c>
      <c r="AW391" s="224">
        <v>89.951000000000008</v>
      </c>
      <c r="AX391" s="42"/>
      <c r="AY391" s="181"/>
      <c r="AZ391" s="197"/>
    </row>
    <row r="392" spans="12:52" ht="13" thickBot="1" x14ac:dyDescent="0.3">
      <c r="L392" s="55">
        <v>935</v>
      </c>
      <c r="M392" s="274">
        <f t="shared" si="70"/>
        <v>0</v>
      </c>
      <c r="N392" s="275">
        <f t="shared" si="70"/>
        <v>0</v>
      </c>
      <c r="O392" s="276" t="e">
        <f ca="1"/>
        <v>#N/A</v>
      </c>
      <c r="Q392" s="34">
        <v>0</v>
      </c>
      <c r="R392" s="24">
        <v>0</v>
      </c>
      <c r="S392" s="24">
        <v>0</v>
      </c>
      <c r="T392" s="24">
        <v>0</v>
      </c>
      <c r="U392" s="24">
        <f t="array" ref="U392">IF(U$77&gt;" ",(U$628:U$1078),"")</f>
        <v>0</v>
      </c>
      <c r="V392" s="24">
        <f t="array" ref="V392">IF(V$77&gt;" ",(V$628:V$1078),"")</f>
        <v>0</v>
      </c>
      <c r="W392" s="24">
        <f t="array" ref="W392">IF(W$77&gt;" ",(W$628:W$1078),"")</f>
        <v>0</v>
      </c>
      <c r="X392" s="24">
        <f t="array" ref="X392">IF(X$77&gt;" ",(X$628:X$1078),"")</f>
        <v>0</v>
      </c>
      <c r="Y392" s="21">
        <v>0</v>
      </c>
      <c r="Z392" s="34">
        <f t="shared" si="60"/>
        <v>0</v>
      </c>
      <c r="AA392" s="24">
        <f t="shared" si="61"/>
        <v>0</v>
      </c>
      <c r="AB392" s="24">
        <f t="shared" si="62"/>
        <v>0</v>
      </c>
      <c r="AC392" s="24">
        <f t="shared" si="63"/>
        <v>0</v>
      </c>
      <c r="AD392" s="24">
        <f t="shared" si="68"/>
        <v>0</v>
      </c>
      <c r="AE392" s="24">
        <f t="shared" si="68"/>
        <v>0</v>
      </c>
      <c r="AF392" s="24">
        <f t="shared" si="68"/>
        <v>0</v>
      </c>
      <c r="AG392" s="24">
        <f t="shared" si="68"/>
        <v>0</v>
      </c>
      <c r="AH392" s="24">
        <f t="shared" si="71"/>
        <v>0</v>
      </c>
      <c r="AI392" s="24">
        <f t="shared" si="65"/>
        <v>0</v>
      </c>
      <c r="AJ392" s="261">
        <f t="shared" si="66"/>
        <v>0</v>
      </c>
      <c r="AK392" s="13"/>
      <c r="AL392" s="100">
        <v>935</v>
      </c>
      <c r="AM392" s="202"/>
      <c r="AN392" s="200"/>
      <c r="AO392" s="200"/>
      <c r="AP392" s="284">
        <v>0.25009999999999999</v>
      </c>
      <c r="AR392" s="222">
        <v>96.79054245027244</v>
      </c>
      <c r="AS392" s="223">
        <v>96.79955430040259</v>
      </c>
      <c r="AT392" s="223">
        <v>94.318459044150089</v>
      </c>
      <c r="AU392" s="223">
        <v>94.535421258044494</v>
      </c>
      <c r="AV392" s="223">
        <v>98.334000000000003</v>
      </c>
      <c r="AW392" s="224">
        <v>89.626499999999993</v>
      </c>
      <c r="AX392" s="42"/>
      <c r="AY392" s="181"/>
      <c r="AZ392" s="197"/>
    </row>
    <row r="393" spans="12:52" ht="13" thickBot="1" x14ac:dyDescent="0.3">
      <c r="L393" s="55">
        <v>930</v>
      </c>
      <c r="M393" s="274">
        <f t="shared" si="70"/>
        <v>0</v>
      </c>
      <c r="N393" s="275">
        <f t="shared" si="70"/>
        <v>0</v>
      </c>
      <c r="O393" s="276" t="e">
        <f ca="1"/>
        <v>#N/A</v>
      </c>
      <c r="Q393" s="34">
        <v>0</v>
      </c>
      <c r="R393" s="24">
        <v>0</v>
      </c>
      <c r="S393" s="24">
        <v>0</v>
      </c>
      <c r="T393" s="24">
        <v>0</v>
      </c>
      <c r="U393" s="24">
        <f t="array" ref="U393">IF(U$77&gt;" ",(U$628:U$1078),"")</f>
        <v>0</v>
      </c>
      <c r="V393" s="24">
        <f t="array" ref="V393">IF(V$77&gt;" ",(V$628:V$1078),"")</f>
        <v>0</v>
      </c>
      <c r="W393" s="24">
        <f t="array" ref="W393">IF(W$77&gt;" ",(W$628:W$1078),"")</f>
        <v>0</v>
      </c>
      <c r="X393" s="24">
        <f t="array" ref="X393">IF(X$77&gt;" ",(X$628:X$1078),"")</f>
        <v>0</v>
      </c>
      <c r="Y393" s="21">
        <v>0</v>
      </c>
      <c r="Z393" s="34">
        <f t="shared" si="60"/>
        <v>0</v>
      </c>
      <c r="AA393" s="24">
        <f t="shared" si="61"/>
        <v>0</v>
      </c>
      <c r="AB393" s="24">
        <f t="shared" si="62"/>
        <v>0</v>
      </c>
      <c r="AC393" s="24">
        <f t="shared" si="63"/>
        <v>0</v>
      </c>
      <c r="AD393" s="24">
        <f t="shared" si="68"/>
        <v>0</v>
      </c>
      <c r="AE393" s="24">
        <f t="shared" si="68"/>
        <v>0</v>
      </c>
      <c r="AF393" s="24">
        <f t="shared" si="68"/>
        <v>0</v>
      </c>
      <c r="AG393" s="24">
        <f t="shared" si="68"/>
        <v>0</v>
      </c>
      <c r="AH393" s="24">
        <f t="shared" si="71"/>
        <v>0</v>
      </c>
      <c r="AI393" s="24">
        <f t="shared" si="65"/>
        <v>0</v>
      </c>
      <c r="AJ393" s="261">
        <f t="shared" si="66"/>
        <v>0</v>
      </c>
      <c r="AK393" s="13"/>
      <c r="AL393" s="100">
        <v>930</v>
      </c>
      <c r="AM393" s="202"/>
      <c r="AN393" s="200"/>
      <c r="AO393" s="200"/>
      <c r="AP393" s="283">
        <v>0.43080000000000002</v>
      </c>
      <c r="AR393" s="222">
        <v>96.788674057499449</v>
      </c>
      <c r="AS393" s="223">
        <v>96.792385805268722</v>
      </c>
      <c r="AT393" s="223">
        <v>94.332105589348615</v>
      </c>
      <c r="AU393" s="223">
        <v>94.558565998978494</v>
      </c>
      <c r="AV393" s="223">
        <v>98.344999999999999</v>
      </c>
      <c r="AW393" s="224">
        <v>89.302000000000007</v>
      </c>
      <c r="AX393" s="42"/>
      <c r="AY393" s="181"/>
      <c r="AZ393" s="197"/>
    </row>
    <row r="394" spans="12:52" ht="13" thickBot="1" x14ac:dyDescent="0.3">
      <c r="L394" s="55">
        <v>925</v>
      </c>
      <c r="M394" s="274">
        <f t="shared" si="70"/>
        <v>0</v>
      </c>
      <c r="N394" s="275">
        <f t="shared" si="70"/>
        <v>0</v>
      </c>
      <c r="O394" s="276" t="e">
        <f ca="1"/>
        <v>#N/A</v>
      </c>
      <c r="Q394" s="34">
        <v>0</v>
      </c>
      <c r="R394" s="24">
        <v>0</v>
      </c>
      <c r="S394" s="24">
        <v>0</v>
      </c>
      <c r="T394" s="24">
        <v>0</v>
      </c>
      <c r="U394" s="24">
        <f t="array" ref="U394">IF(U$77&gt;" ",(U$628:U$1078),"")</f>
        <v>0</v>
      </c>
      <c r="V394" s="24">
        <f t="array" ref="V394">IF(V$77&gt;" ",(V$628:V$1078),"")</f>
        <v>0</v>
      </c>
      <c r="W394" s="24">
        <f t="array" ref="W394">IF(W$77&gt;" ",(W$628:W$1078),"")</f>
        <v>0</v>
      </c>
      <c r="X394" s="24">
        <f t="array" ref="X394">IF(X$77&gt;" ",(X$628:X$1078),"")</f>
        <v>0</v>
      </c>
      <c r="Y394" s="21">
        <v>0</v>
      </c>
      <c r="Z394" s="34">
        <f t="shared" si="60"/>
        <v>0</v>
      </c>
      <c r="AA394" s="24">
        <f t="shared" si="61"/>
        <v>0</v>
      </c>
      <c r="AB394" s="24">
        <f t="shared" si="62"/>
        <v>0</v>
      </c>
      <c r="AC394" s="24">
        <f t="shared" si="63"/>
        <v>0</v>
      </c>
      <c r="AD394" s="24">
        <f t="shared" si="68"/>
        <v>0</v>
      </c>
      <c r="AE394" s="24">
        <f t="shared" si="68"/>
        <v>0</v>
      </c>
      <c r="AF394" s="24">
        <f t="shared" si="68"/>
        <v>0</v>
      </c>
      <c r="AG394" s="24">
        <f t="shared" si="68"/>
        <v>0</v>
      </c>
      <c r="AH394" s="24">
        <f t="shared" si="71"/>
        <v>0</v>
      </c>
      <c r="AI394" s="24">
        <f t="shared" si="65"/>
        <v>0</v>
      </c>
      <c r="AJ394" s="261">
        <f t="shared" si="66"/>
        <v>0</v>
      </c>
      <c r="AK394" s="13"/>
      <c r="AL394" s="100">
        <v>925</v>
      </c>
      <c r="AM394" s="202"/>
      <c r="AN394" s="200"/>
      <c r="AO394" s="200"/>
      <c r="AP394" s="284">
        <v>0.70899999999999996</v>
      </c>
      <c r="AR394" s="222">
        <v>96.796606048555574</v>
      </c>
      <c r="AS394" s="223">
        <v>96.790645085863332</v>
      </c>
      <c r="AT394" s="223">
        <v>94.346528249210465</v>
      </c>
      <c r="AU394" s="223">
        <v>94.572651498194887</v>
      </c>
      <c r="AV394" s="223">
        <v>98.353999999999999</v>
      </c>
      <c r="AW394" s="224">
        <v>88.941999999999993</v>
      </c>
      <c r="AX394" s="42"/>
      <c r="AY394" s="181"/>
      <c r="AZ394" s="197"/>
    </row>
    <row r="395" spans="12:52" ht="13" thickBot="1" x14ac:dyDescent="0.3">
      <c r="L395" s="55">
        <v>920</v>
      </c>
      <c r="M395" s="274">
        <f t="shared" si="70"/>
        <v>0</v>
      </c>
      <c r="N395" s="275">
        <f t="shared" si="70"/>
        <v>0</v>
      </c>
      <c r="O395" s="276" t="e">
        <f ca="1"/>
        <v>#N/A</v>
      </c>
      <c r="Q395" s="34">
        <v>0</v>
      </c>
      <c r="R395" s="24">
        <v>0</v>
      </c>
      <c r="S395" s="24">
        <v>0</v>
      </c>
      <c r="T395" s="24">
        <v>0</v>
      </c>
      <c r="U395" s="24">
        <f t="array" ref="U395">IF(U$77&gt;" ",(U$628:U$1078),"")</f>
        <v>0</v>
      </c>
      <c r="V395" s="24">
        <f t="array" ref="V395">IF(V$77&gt;" ",(V$628:V$1078),"")</f>
        <v>0</v>
      </c>
      <c r="W395" s="24">
        <f t="array" ref="W395">IF(W$77&gt;" ",(W$628:W$1078),"")</f>
        <v>0</v>
      </c>
      <c r="X395" s="24">
        <f t="array" ref="X395">IF(X$77&gt;" ",(X$628:X$1078),"")</f>
        <v>0</v>
      </c>
      <c r="Y395" s="21">
        <v>0</v>
      </c>
      <c r="Z395" s="34">
        <f t="shared" si="60"/>
        <v>0</v>
      </c>
      <c r="AA395" s="24">
        <f t="shared" si="61"/>
        <v>0</v>
      </c>
      <c r="AB395" s="24">
        <f t="shared" si="62"/>
        <v>0</v>
      </c>
      <c r="AC395" s="24">
        <f t="shared" si="63"/>
        <v>0</v>
      </c>
      <c r="AD395" s="24">
        <f t="shared" si="68"/>
        <v>0</v>
      </c>
      <c r="AE395" s="24">
        <f t="shared" si="68"/>
        <v>0</v>
      </c>
      <c r="AF395" s="24">
        <f t="shared" si="68"/>
        <v>0</v>
      </c>
      <c r="AG395" s="24">
        <f t="shared" si="68"/>
        <v>0</v>
      </c>
      <c r="AH395" s="24">
        <f t="shared" si="71"/>
        <v>0</v>
      </c>
      <c r="AI395" s="24">
        <f t="shared" si="65"/>
        <v>0</v>
      </c>
      <c r="AJ395" s="261">
        <f t="shared" si="66"/>
        <v>0</v>
      </c>
      <c r="AK395" s="13"/>
      <c r="AL395" s="100">
        <v>920</v>
      </c>
      <c r="AM395" s="202"/>
      <c r="AN395" s="200"/>
      <c r="AO395" s="200"/>
      <c r="AP395" s="283">
        <v>0.74199999999999999</v>
      </c>
      <c r="AR395" s="222">
        <v>96.782155519701291</v>
      </c>
      <c r="AS395" s="223">
        <v>96.796199744615365</v>
      </c>
      <c r="AT395" s="223">
        <v>94.36242506003407</v>
      </c>
      <c r="AU395" s="223">
        <v>94.585432480899769</v>
      </c>
      <c r="AV395" s="223">
        <v>98.363</v>
      </c>
      <c r="AW395" s="224">
        <v>88.582000000000008</v>
      </c>
      <c r="AX395" s="42"/>
      <c r="AY395" s="181"/>
      <c r="AZ395" s="197"/>
    </row>
    <row r="396" spans="12:52" ht="13" thickBot="1" x14ac:dyDescent="0.3">
      <c r="L396" s="55">
        <v>915</v>
      </c>
      <c r="M396" s="274">
        <f t="shared" si="70"/>
        <v>0</v>
      </c>
      <c r="N396" s="275">
        <f t="shared" si="70"/>
        <v>0</v>
      </c>
      <c r="O396" s="276" t="e">
        <f ca="1"/>
        <v>#N/A</v>
      </c>
      <c r="Q396" s="34">
        <v>0</v>
      </c>
      <c r="R396" s="24">
        <v>0</v>
      </c>
      <c r="S396" s="24">
        <v>0</v>
      </c>
      <c r="T396" s="24">
        <v>0</v>
      </c>
      <c r="U396" s="24">
        <f t="array" ref="U396">IF(U$77&gt;" ",(U$628:U$1078),"")</f>
        <v>0</v>
      </c>
      <c r="V396" s="24">
        <f t="array" ref="V396">IF(V$77&gt;" ",(V$628:V$1078),"")</f>
        <v>0</v>
      </c>
      <c r="W396" s="24">
        <f t="array" ref="W396">IF(W$77&gt;" ",(W$628:W$1078),"")</f>
        <v>0</v>
      </c>
      <c r="X396" s="24">
        <f t="array" ref="X396">IF(X$77&gt;" ",(X$628:X$1078),"")</f>
        <v>0</v>
      </c>
      <c r="Y396" s="21">
        <v>0</v>
      </c>
      <c r="Z396" s="34">
        <f t="shared" si="60"/>
        <v>0</v>
      </c>
      <c r="AA396" s="24">
        <f t="shared" si="61"/>
        <v>0</v>
      </c>
      <c r="AB396" s="24">
        <f t="shared" si="62"/>
        <v>0</v>
      </c>
      <c r="AC396" s="24">
        <f t="shared" si="63"/>
        <v>0</v>
      </c>
      <c r="AD396" s="24">
        <f t="shared" si="68"/>
        <v>0</v>
      </c>
      <c r="AE396" s="24">
        <f t="shared" si="68"/>
        <v>0</v>
      </c>
      <c r="AF396" s="24">
        <f t="shared" si="68"/>
        <v>0</v>
      </c>
      <c r="AG396" s="24">
        <f t="shared" si="68"/>
        <v>0</v>
      </c>
      <c r="AH396" s="24">
        <f t="shared" si="71"/>
        <v>0</v>
      </c>
      <c r="AI396" s="24">
        <f t="shared" si="65"/>
        <v>0</v>
      </c>
      <c r="AJ396" s="261">
        <f t="shared" si="66"/>
        <v>0</v>
      </c>
      <c r="AK396" s="13"/>
      <c r="AL396" s="100">
        <v>915</v>
      </c>
      <c r="AM396" s="202"/>
      <c r="AN396" s="200"/>
      <c r="AO396" s="200"/>
      <c r="AP396" s="284">
        <v>0.6764</v>
      </c>
      <c r="AR396" s="222">
        <v>96.78447146278377</v>
      </c>
      <c r="AS396" s="223">
        <v>96.793544519122676</v>
      </c>
      <c r="AT396" s="223">
        <v>94.389529142227559</v>
      </c>
      <c r="AU396" s="223">
        <v>94.618080678062185</v>
      </c>
      <c r="AV396" s="223">
        <v>98.371499999999997</v>
      </c>
      <c r="AW396" s="224">
        <v>88.171500000000009</v>
      </c>
      <c r="AX396" s="42"/>
      <c r="AY396" s="181"/>
      <c r="AZ396" s="197"/>
    </row>
    <row r="397" spans="12:52" ht="13" thickBot="1" x14ac:dyDescent="0.3">
      <c r="L397" s="55">
        <v>910</v>
      </c>
      <c r="M397" s="274">
        <f t="shared" si="70"/>
        <v>0</v>
      </c>
      <c r="N397" s="275">
        <f t="shared" si="70"/>
        <v>0</v>
      </c>
      <c r="O397" s="276" t="e">
        <f ca="1"/>
        <v>#N/A</v>
      </c>
      <c r="Q397" s="34">
        <v>0</v>
      </c>
      <c r="R397" s="24">
        <v>0</v>
      </c>
      <c r="S397" s="24">
        <v>0</v>
      </c>
      <c r="T397" s="24">
        <v>0</v>
      </c>
      <c r="U397" s="24">
        <f t="array" ref="U397">IF(U$77&gt;" ",(U$628:U$1078),"")</f>
        <v>0</v>
      </c>
      <c r="V397" s="24">
        <f t="array" ref="V397">IF(V$77&gt;" ",(V$628:V$1078),"")</f>
        <v>0</v>
      </c>
      <c r="W397" s="24">
        <f t="array" ref="W397">IF(W$77&gt;" ",(W$628:W$1078),"")</f>
        <v>0</v>
      </c>
      <c r="X397" s="24">
        <f t="array" ref="X397">IF(X$77&gt;" ",(X$628:X$1078),"")</f>
        <v>0</v>
      </c>
      <c r="Y397" s="21">
        <v>0</v>
      </c>
      <c r="Z397" s="34">
        <f t="shared" si="60"/>
        <v>0</v>
      </c>
      <c r="AA397" s="24">
        <f t="shared" si="61"/>
        <v>0</v>
      </c>
      <c r="AB397" s="24">
        <f t="shared" si="62"/>
        <v>0</v>
      </c>
      <c r="AC397" s="24">
        <f t="shared" si="63"/>
        <v>0</v>
      </c>
      <c r="AD397" s="24">
        <f t="shared" si="68"/>
        <v>0</v>
      </c>
      <c r="AE397" s="24">
        <f t="shared" si="68"/>
        <v>0</v>
      </c>
      <c r="AF397" s="24">
        <f t="shared" si="68"/>
        <v>0</v>
      </c>
      <c r="AG397" s="24">
        <f t="shared" si="68"/>
        <v>0</v>
      </c>
      <c r="AH397" s="24">
        <f t="shared" si="71"/>
        <v>0</v>
      </c>
      <c r="AI397" s="24">
        <f t="shared" si="65"/>
        <v>0</v>
      </c>
      <c r="AJ397" s="261">
        <f t="shared" si="66"/>
        <v>0</v>
      </c>
      <c r="AK397" s="13"/>
      <c r="AL397" s="100">
        <v>910</v>
      </c>
      <c r="AM397" s="202"/>
      <c r="AN397" s="200"/>
      <c r="AO397" s="200"/>
      <c r="AP397" s="283">
        <v>0.62290000000000001</v>
      </c>
      <c r="AR397" s="222">
        <v>96.781664197759881</v>
      </c>
      <c r="AS397" s="223">
        <v>96.78991948785341</v>
      </c>
      <c r="AT397" s="223">
        <v>94.413411246497802</v>
      </c>
      <c r="AU397" s="223">
        <v>94.634405765216911</v>
      </c>
      <c r="AV397" s="223">
        <v>98.38</v>
      </c>
      <c r="AW397" s="224">
        <v>87.760999999999996</v>
      </c>
      <c r="AX397" s="42"/>
      <c r="AY397" s="181"/>
      <c r="AZ397" s="197"/>
    </row>
    <row r="398" spans="12:52" ht="13" thickBot="1" x14ac:dyDescent="0.3">
      <c r="L398" s="55">
        <v>905</v>
      </c>
      <c r="M398" s="274">
        <f t="shared" si="70"/>
        <v>0</v>
      </c>
      <c r="N398" s="275">
        <f t="shared" si="70"/>
        <v>0</v>
      </c>
      <c r="O398" s="276" t="e">
        <f ca="1"/>
        <v>#N/A</v>
      </c>
      <c r="Q398" s="34">
        <v>0</v>
      </c>
      <c r="R398" s="24">
        <v>0</v>
      </c>
      <c r="S398" s="24">
        <v>0</v>
      </c>
      <c r="T398" s="24">
        <v>0</v>
      </c>
      <c r="U398" s="24">
        <f t="array" ref="U398">IF(U$77&gt;" ",(U$628:U$1078),"")</f>
        <v>0</v>
      </c>
      <c r="V398" s="24">
        <f t="array" ref="V398">IF(V$77&gt;" ",(V$628:V$1078),"")</f>
        <v>0</v>
      </c>
      <c r="W398" s="24">
        <f t="array" ref="W398">IF(W$77&gt;" ",(W$628:W$1078),"")</f>
        <v>0</v>
      </c>
      <c r="X398" s="24">
        <f t="array" ref="X398">IF(X$77&gt;" ",(X$628:X$1078),"")</f>
        <v>0</v>
      </c>
      <c r="Y398" s="21">
        <v>0</v>
      </c>
      <c r="Z398" s="34">
        <f t="shared" si="60"/>
        <v>0</v>
      </c>
      <c r="AA398" s="24">
        <f t="shared" si="61"/>
        <v>0</v>
      </c>
      <c r="AB398" s="24">
        <f t="shared" si="62"/>
        <v>0</v>
      </c>
      <c r="AC398" s="24">
        <f t="shared" si="63"/>
        <v>0</v>
      </c>
      <c r="AD398" s="24">
        <f t="shared" si="68"/>
        <v>0</v>
      </c>
      <c r="AE398" s="24">
        <f t="shared" si="68"/>
        <v>0</v>
      </c>
      <c r="AF398" s="24">
        <f t="shared" si="68"/>
        <v>0</v>
      </c>
      <c r="AG398" s="24">
        <f t="shared" si="68"/>
        <v>0</v>
      </c>
      <c r="AH398" s="24">
        <f t="shared" si="71"/>
        <v>0</v>
      </c>
      <c r="AI398" s="24">
        <f t="shared" si="65"/>
        <v>0</v>
      </c>
      <c r="AJ398" s="261">
        <f t="shared" si="66"/>
        <v>0</v>
      </c>
      <c r="AK398" s="13"/>
      <c r="AL398" s="100">
        <v>905</v>
      </c>
      <c r="AM398" s="202"/>
      <c r="AN398" s="200"/>
      <c r="AO398" s="200"/>
      <c r="AP398" s="284">
        <v>0.81469999999999998</v>
      </c>
      <c r="AR398" s="222">
        <v>96.786913113555173</v>
      </c>
      <c r="AS398" s="223">
        <v>96.80179771484147</v>
      </c>
      <c r="AT398" s="223">
        <v>94.430207674806638</v>
      </c>
      <c r="AU398" s="223">
        <v>94.6574283060326</v>
      </c>
      <c r="AV398" s="223">
        <v>98.390500000000003</v>
      </c>
      <c r="AW398" s="224">
        <v>87.316000000000003</v>
      </c>
      <c r="AX398" s="42"/>
      <c r="AY398" s="181"/>
      <c r="AZ398" s="197"/>
    </row>
    <row r="399" spans="12:52" ht="13" thickBot="1" x14ac:dyDescent="0.3">
      <c r="L399" s="55">
        <v>900</v>
      </c>
      <c r="M399" s="274">
        <f t="shared" ref="M399:N414" si="72">M948</f>
        <v>0</v>
      </c>
      <c r="N399" s="275">
        <f t="shared" si="72"/>
        <v>0</v>
      </c>
      <c r="O399" s="276" t="e">
        <f ca="1"/>
        <v>#N/A</v>
      </c>
      <c r="Q399" s="34">
        <v>0</v>
      </c>
      <c r="R399" s="24">
        <v>0</v>
      </c>
      <c r="S399" s="24">
        <v>0</v>
      </c>
      <c r="T399" s="24">
        <v>0</v>
      </c>
      <c r="U399" s="24">
        <f t="array" ref="U399">IF(U$77&gt;" ",(U$628:U$1078),"")</f>
        <v>0</v>
      </c>
      <c r="V399" s="24">
        <f t="array" ref="V399">IF(V$77&gt;" ",(V$628:V$1078),"")</f>
        <v>0</v>
      </c>
      <c r="W399" s="24">
        <f t="array" ref="W399">IF(W$77&gt;" ",(W$628:W$1078),"")</f>
        <v>0</v>
      </c>
      <c r="X399" s="24">
        <f t="array" ref="X399">IF(X$77&gt;" ",(X$628:X$1078),"")</f>
        <v>0</v>
      </c>
      <c r="Y399" s="21">
        <v>0</v>
      </c>
      <c r="Z399" s="34">
        <f t="shared" ref="Z399:Z462" si="73">Q399</f>
        <v>0</v>
      </c>
      <c r="AA399" s="24">
        <f t="shared" ref="AA399:AA462" si="74">R399</f>
        <v>0</v>
      </c>
      <c r="AB399" s="24">
        <f t="shared" ref="AB399:AB462" si="75">S399</f>
        <v>0</v>
      </c>
      <c r="AC399" s="24">
        <f t="shared" ref="AC399:AC462" si="76">T399</f>
        <v>0</v>
      </c>
      <c r="AD399" s="24">
        <f t="shared" si="68"/>
        <v>0</v>
      </c>
      <c r="AE399" s="24">
        <f t="shared" si="68"/>
        <v>0</v>
      </c>
      <c r="AF399" s="24">
        <f t="shared" si="68"/>
        <v>0</v>
      </c>
      <c r="AG399" s="24">
        <f t="shared" si="68"/>
        <v>0</v>
      </c>
      <c r="AH399" s="24">
        <f t="shared" si="71"/>
        <v>0</v>
      </c>
      <c r="AI399" s="24">
        <f t="shared" si="65"/>
        <v>0</v>
      </c>
      <c r="AJ399" s="261">
        <f t="shared" si="66"/>
        <v>0</v>
      </c>
      <c r="AK399" s="13"/>
      <c r="AL399" s="100">
        <v>900</v>
      </c>
      <c r="AM399" s="202"/>
      <c r="AN399" s="200"/>
      <c r="AO399" s="200"/>
      <c r="AP399" s="283">
        <v>0.74039999999999995</v>
      </c>
      <c r="AR399" s="222">
        <v>96.791240092235498</v>
      </c>
      <c r="AS399" s="223">
        <v>96.812576366438108</v>
      </c>
      <c r="AT399" s="223">
        <v>94.448903788688725</v>
      </c>
      <c r="AU399" s="223">
        <v>94.674860558613389</v>
      </c>
      <c r="AV399" s="223">
        <v>98.40100000000001</v>
      </c>
      <c r="AW399" s="224">
        <v>86.870999999999995</v>
      </c>
      <c r="AX399" s="42"/>
      <c r="AY399" s="181"/>
      <c r="AZ399" s="197"/>
    </row>
    <row r="400" spans="12:52" ht="13" thickBot="1" x14ac:dyDescent="0.3">
      <c r="L400" s="55">
        <v>895</v>
      </c>
      <c r="M400" s="274">
        <f t="shared" si="72"/>
        <v>0</v>
      </c>
      <c r="N400" s="275">
        <f t="shared" si="72"/>
        <v>0</v>
      </c>
      <c r="O400" s="276" t="e">
        <f ca="1"/>
        <v>#N/A</v>
      </c>
      <c r="Q400" s="34">
        <v>0</v>
      </c>
      <c r="R400" s="24">
        <v>0</v>
      </c>
      <c r="S400" s="24">
        <v>0</v>
      </c>
      <c r="T400" s="24">
        <v>0</v>
      </c>
      <c r="U400" s="24">
        <f t="array" ref="U400">IF(U$77&gt;" ",(U$628:U$1078),"")</f>
        <v>0</v>
      </c>
      <c r="V400" s="24">
        <f t="array" ref="V400">IF(V$77&gt;" ",(V$628:V$1078),"")</f>
        <v>0</v>
      </c>
      <c r="W400" s="24">
        <f t="array" ref="W400">IF(W$77&gt;" ",(W$628:W$1078),"")</f>
        <v>0</v>
      </c>
      <c r="X400" s="24">
        <f t="array" ref="X400">IF(X$77&gt;" ",(X$628:X$1078),"")</f>
        <v>0</v>
      </c>
      <c r="Y400" s="21">
        <v>0</v>
      </c>
      <c r="Z400" s="34">
        <f t="shared" si="73"/>
        <v>0</v>
      </c>
      <c r="AA400" s="24">
        <f t="shared" si="74"/>
        <v>0</v>
      </c>
      <c r="AB400" s="24">
        <f t="shared" si="75"/>
        <v>0</v>
      </c>
      <c r="AC400" s="24">
        <f t="shared" si="76"/>
        <v>0</v>
      </c>
      <c r="AD400" s="24">
        <f t="shared" si="68"/>
        <v>0</v>
      </c>
      <c r="AE400" s="24">
        <f t="shared" si="68"/>
        <v>0</v>
      </c>
      <c r="AF400" s="24">
        <f t="shared" si="68"/>
        <v>0</v>
      </c>
      <c r="AG400" s="24">
        <f t="shared" si="68"/>
        <v>0</v>
      </c>
      <c r="AH400" s="24">
        <f t="shared" si="71"/>
        <v>0</v>
      </c>
      <c r="AI400" s="24">
        <f t="shared" ref="AI400:AI463" si="77">AVERAGE(Z400:AH400)</f>
        <v>0</v>
      </c>
      <c r="AJ400" s="261">
        <f t="shared" ref="AJ400:AJ463" si="78">AI400/100</f>
        <v>0</v>
      </c>
      <c r="AK400" s="13"/>
      <c r="AL400" s="100">
        <v>895</v>
      </c>
      <c r="AM400" s="202"/>
      <c r="AN400" s="200"/>
      <c r="AO400" s="200"/>
      <c r="AP400" s="284">
        <v>0.81120000000000003</v>
      </c>
      <c r="AR400" s="222">
        <v>96.784055882332268</v>
      </c>
      <c r="AS400" s="223">
        <v>96.80855092256229</v>
      </c>
      <c r="AT400" s="223">
        <v>94.482139675814096</v>
      </c>
      <c r="AU400" s="223">
        <v>94.700102545229413</v>
      </c>
      <c r="AV400" s="223">
        <v>98.412999999999997</v>
      </c>
      <c r="AW400" s="224">
        <v>86.38900000000001</v>
      </c>
      <c r="AX400" s="42"/>
      <c r="AY400" s="181"/>
      <c r="AZ400" s="197"/>
    </row>
    <row r="401" spans="12:52" ht="13" thickBot="1" x14ac:dyDescent="0.3">
      <c r="L401" s="55">
        <v>890</v>
      </c>
      <c r="M401" s="274">
        <f t="shared" si="72"/>
        <v>0</v>
      </c>
      <c r="N401" s="275">
        <f t="shared" si="72"/>
        <v>0</v>
      </c>
      <c r="O401" s="276" t="e">
        <f ca="1"/>
        <v>#N/A</v>
      </c>
      <c r="Q401" s="34">
        <v>0</v>
      </c>
      <c r="R401" s="24">
        <v>0</v>
      </c>
      <c r="S401" s="24">
        <v>0</v>
      </c>
      <c r="T401" s="24">
        <v>0</v>
      </c>
      <c r="U401" s="24">
        <f t="array" ref="U401">IF(U$77&gt;" ",(U$628:U$1078),"")</f>
        <v>0</v>
      </c>
      <c r="V401" s="24">
        <f t="array" ref="V401">IF(V$77&gt;" ",(V$628:V$1078),"")</f>
        <v>0</v>
      </c>
      <c r="W401" s="24">
        <f t="array" ref="W401">IF(W$77&gt;" ",(W$628:W$1078),"")</f>
        <v>0</v>
      </c>
      <c r="X401" s="24">
        <f t="array" ref="X401">IF(X$77&gt;" ",(X$628:X$1078),"")</f>
        <v>0</v>
      </c>
      <c r="Y401" s="21">
        <v>0</v>
      </c>
      <c r="Z401" s="34">
        <f t="shared" si="73"/>
        <v>0</v>
      </c>
      <c r="AA401" s="24">
        <f t="shared" si="74"/>
        <v>0</v>
      </c>
      <c r="AB401" s="24">
        <f t="shared" si="75"/>
        <v>0</v>
      </c>
      <c r="AC401" s="24">
        <f t="shared" si="76"/>
        <v>0</v>
      </c>
      <c r="AD401" s="24">
        <f t="shared" si="68"/>
        <v>0</v>
      </c>
      <c r="AE401" s="24">
        <f t="shared" si="68"/>
        <v>0</v>
      </c>
      <c r="AF401" s="24">
        <f t="shared" si="68"/>
        <v>0</v>
      </c>
      <c r="AG401" s="24">
        <f t="shared" si="68"/>
        <v>0</v>
      </c>
      <c r="AH401" s="24">
        <f t="shared" si="71"/>
        <v>0</v>
      </c>
      <c r="AI401" s="24">
        <f t="shared" si="77"/>
        <v>0</v>
      </c>
      <c r="AJ401" s="261">
        <f t="shared" si="78"/>
        <v>0</v>
      </c>
      <c r="AK401" s="13"/>
      <c r="AL401" s="100">
        <v>890</v>
      </c>
      <c r="AM401" s="202"/>
      <c r="AN401" s="200"/>
      <c r="AO401" s="200"/>
      <c r="AP401" s="283">
        <v>0.92120000000000002</v>
      </c>
      <c r="AR401" s="222">
        <v>96.772704841222449</v>
      </c>
      <c r="AS401" s="223">
        <v>96.794984614689966</v>
      </c>
      <c r="AT401" s="223">
        <v>94.497127021474057</v>
      </c>
      <c r="AU401" s="223">
        <v>94.721965876317697</v>
      </c>
      <c r="AV401" s="223">
        <v>98.424999999999997</v>
      </c>
      <c r="AW401" s="224">
        <v>85.906999999999996</v>
      </c>
      <c r="AX401" s="42"/>
      <c r="AY401" s="181"/>
      <c r="AZ401" s="197"/>
    </row>
    <row r="402" spans="12:52" ht="13" thickBot="1" x14ac:dyDescent="0.3">
      <c r="L402" s="55">
        <v>885</v>
      </c>
      <c r="M402" s="274">
        <f t="shared" si="72"/>
        <v>0</v>
      </c>
      <c r="N402" s="275">
        <f t="shared" si="72"/>
        <v>0</v>
      </c>
      <c r="O402" s="276" t="e">
        <f ca="1"/>
        <v>#N/A</v>
      </c>
      <c r="Q402" s="34">
        <v>0</v>
      </c>
      <c r="R402" s="24">
        <v>0</v>
      </c>
      <c r="S402" s="24">
        <v>0</v>
      </c>
      <c r="T402" s="24">
        <v>0</v>
      </c>
      <c r="U402" s="24">
        <f t="array" ref="U402">IF(U$77&gt;" ",(U$628:U$1078),"")</f>
        <v>0</v>
      </c>
      <c r="V402" s="24">
        <f t="array" ref="V402">IF(V$77&gt;" ",(V$628:V$1078),"")</f>
        <v>0</v>
      </c>
      <c r="W402" s="24">
        <f t="array" ref="W402">IF(W$77&gt;" ",(W$628:W$1078),"")</f>
        <v>0</v>
      </c>
      <c r="X402" s="24">
        <f t="array" ref="X402">IF(X$77&gt;" ",(X$628:X$1078),"")</f>
        <v>0</v>
      </c>
      <c r="Y402" s="21">
        <v>0</v>
      </c>
      <c r="Z402" s="34">
        <f t="shared" si="73"/>
        <v>0</v>
      </c>
      <c r="AA402" s="24">
        <f t="shared" si="74"/>
        <v>0</v>
      </c>
      <c r="AB402" s="24">
        <f t="shared" si="75"/>
        <v>0</v>
      </c>
      <c r="AC402" s="24">
        <f t="shared" si="76"/>
        <v>0</v>
      </c>
      <c r="AD402" s="24">
        <f t="shared" si="68"/>
        <v>0</v>
      </c>
      <c r="AE402" s="24">
        <f t="shared" si="68"/>
        <v>0</v>
      </c>
      <c r="AF402" s="24">
        <f t="shared" si="68"/>
        <v>0</v>
      </c>
      <c r="AG402" s="24">
        <f t="shared" si="68"/>
        <v>0</v>
      </c>
      <c r="AH402" s="24">
        <f t="shared" si="71"/>
        <v>0</v>
      </c>
      <c r="AI402" s="24">
        <f t="shared" si="77"/>
        <v>0</v>
      </c>
      <c r="AJ402" s="261">
        <f t="shared" si="78"/>
        <v>0</v>
      </c>
      <c r="AK402" s="13"/>
      <c r="AL402" s="100">
        <v>885</v>
      </c>
      <c r="AM402" s="202"/>
      <c r="AN402" s="200"/>
      <c r="AO402" s="200"/>
      <c r="AP402" s="284">
        <v>0.9415</v>
      </c>
      <c r="AR402" s="222">
        <v>96.775774517672303</v>
      </c>
      <c r="AS402" s="223">
        <v>96.801530065999316</v>
      </c>
      <c r="AT402" s="223">
        <v>94.512316526804298</v>
      </c>
      <c r="AU402" s="223">
        <v>94.733457838024378</v>
      </c>
      <c r="AV402" s="223">
        <v>98.435000000000002</v>
      </c>
      <c r="AW402" s="224">
        <v>85.426999999999992</v>
      </c>
      <c r="AX402" s="42"/>
      <c r="AY402" s="181"/>
      <c r="AZ402" s="197"/>
    </row>
    <row r="403" spans="12:52" ht="13" thickBot="1" x14ac:dyDescent="0.3">
      <c r="L403" s="55">
        <v>880</v>
      </c>
      <c r="M403" s="274">
        <f t="shared" si="72"/>
        <v>0</v>
      </c>
      <c r="N403" s="275">
        <f t="shared" si="72"/>
        <v>0</v>
      </c>
      <c r="O403" s="276" t="e">
        <f ca="1"/>
        <v>#N/A</v>
      </c>
      <c r="Q403" s="34">
        <v>0</v>
      </c>
      <c r="R403" s="24">
        <v>0</v>
      </c>
      <c r="S403" s="24">
        <v>0</v>
      </c>
      <c r="T403" s="24">
        <v>0</v>
      </c>
      <c r="U403" s="24">
        <f t="array" ref="U403">IF(U$77&gt;" ",(U$628:U$1078),"")</f>
        <v>0</v>
      </c>
      <c r="V403" s="24">
        <f t="array" ref="V403">IF(V$77&gt;" ",(V$628:V$1078),"")</f>
        <v>0</v>
      </c>
      <c r="W403" s="24">
        <f t="array" ref="W403">IF(W$77&gt;" ",(W$628:W$1078),"")</f>
        <v>0</v>
      </c>
      <c r="X403" s="24">
        <f t="array" ref="X403">IF(X$77&gt;" ",(X$628:X$1078),"")</f>
        <v>0</v>
      </c>
      <c r="Y403" s="21">
        <v>0</v>
      </c>
      <c r="Z403" s="34">
        <f t="shared" si="73"/>
        <v>0</v>
      </c>
      <c r="AA403" s="24">
        <f t="shared" si="74"/>
        <v>0</v>
      </c>
      <c r="AB403" s="24">
        <f t="shared" si="75"/>
        <v>0</v>
      </c>
      <c r="AC403" s="24">
        <f t="shared" si="76"/>
        <v>0</v>
      </c>
      <c r="AD403" s="24">
        <f t="shared" si="68"/>
        <v>0</v>
      </c>
      <c r="AE403" s="24">
        <f t="shared" si="68"/>
        <v>0</v>
      </c>
      <c r="AF403" s="24">
        <f t="shared" si="68"/>
        <v>0</v>
      </c>
      <c r="AG403" s="24">
        <f t="shared" si="68"/>
        <v>0</v>
      </c>
      <c r="AH403" s="24">
        <f t="shared" si="71"/>
        <v>0</v>
      </c>
      <c r="AI403" s="24">
        <f t="shared" si="77"/>
        <v>0</v>
      </c>
      <c r="AJ403" s="261">
        <f t="shared" si="78"/>
        <v>0</v>
      </c>
      <c r="AK403" s="13"/>
      <c r="AL403" s="100">
        <v>880</v>
      </c>
      <c r="AM403" s="202"/>
      <c r="AN403" s="200"/>
      <c r="AO403" s="200"/>
      <c r="AP403" s="283">
        <v>0.93679999999999997</v>
      </c>
      <c r="AR403" s="222">
        <v>96.777274573626372</v>
      </c>
      <c r="AS403" s="223">
        <v>96.81386961255113</v>
      </c>
      <c r="AT403" s="223">
        <v>94.528167335184619</v>
      </c>
      <c r="AU403" s="223">
        <v>94.752680701135731</v>
      </c>
      <c r="AV403" s="223">
        <v>98.444999999999993</v>
      </c>
      <c r="AW403" s="224">
        <v>84.946999999999989</v>
      </c>
      <c r="AX403" s="42"/>
      <c r="AY403" s="181"/>
      <c r="AZ403" s="197"/>
    </row>
    <row r="404" spans="12:52" ht="13" thickBot="1" x14ac:dyDescent="0.3">
      <c r="L404" s="55">
        <v>875</v>
      </c>
      <c r="M404" s="274">
        <f t="shared" si="72"/>
        <v>0</v>
      </c>
      <c r="N404" s="275">
        <f t="shared" si="72"/>
        <v>0</v>
      </c>
      <c r="O404" s="276" t="e">
        <f ca="1"/>
        <v>#N/A</v>
      </c>
      <c r="Q404" s="34">
        <v>0</v>
      </c>
      <c r="R404" s="24">
        <v>0</v>
      </c>
      <c r="S404" s="24">
        <v>0</v>
      </c>
      <c r="T404" s="24">
        <v>0</v>
      </c>
      <c r="U404" s="24">
        <f t="array" ref="U404">IF(U$77&gt;" ",(U$628:U$1078),"")</f>
        <v>0</v>
      </c>
      <c r="V404" s="24">
        <f t="array" ref="V404">IF(V$77&gt;" ",(V$628:V$1078),"")</f>
        <v>0</v>
      </c>
      <c r="W404" s="24">
        <f t="array" ref="W404">IF(W$77&gt;" ",(W$628:W$1078),"")</f>
        <v>0</v>
      </c>
      <c r="X404" s="24">
        <f t="array" ref="X404">IF(X$77&gt;" ",(X$628:X$1078),"")</f>
        <v>0</v>
      </c>
      <c r="Y404" s="21">
        <v>0</v>
      </c>
      <c r="Z404" s="34">
        <f t="shared" si="73"/>
        <v>0</v>
      </c>
      <c r="AA404" s="24">
        <f t="shared" si="74"/>
        <v>0</v>
      </c>
      <c r="AB404" s="24">
        <f t="shared" si="75"/>
        <v>0</v>
      </c>
      <c r="AC404" s="24">
        <f t="shared" si="76"/>
        <v>0</v>
      </c>
      <c r="AD404" s="24">
        <f t="shared" si="68"/>
        <v>0</v>
      </c>
      <c r="AE404" s="24">
        <f t="shared" si="68"/>
        <v>0</v>
      </c>
      <c r="AF404" s="24">
        <f t="shared" si="68"/>
        <v>0</v>
      </c>
      <c r="AG404" s="24">
        <f t="shared" si="68"/>
        <v>0</v>
      </c>
      <c r="AH404" s="24">
        <f t="shared" si="71"/>
        <v>0</v>
      </c>
      <c r="AI404" s="24">
        <f t="shared" si="77"/>
        <v>0</v>
      </c>
      <c r="AJ404" s="261">
        <f t="shared" si="78"/>
        <v>0</v>
      </c>
      <c r="AK404" s="13"/>
      <c r="AL404" s="100">
        <v>875</v>
      </c>
      <c r="AM404" s="202"/>
      <c r="AN404" s="200"/>
      <c r="AO404" s="200"/>
      <c r="AP404" s="284">
        <v>0.92420000000000002</v>
      </c>
      <c r="AR404" s="222">
        <v>96.768679323443848</v>
      </c>
      <c r="AS404" s="223">
        <v>96.798981035215618</v>
      </c>
      <c r="AT404" s="223">
        <v>94.536561621033073</v>
      </c>
      <c r="AU404" s="223">
        <v>94.762311538242315</v>
      </c>
      <c r="AV404" s="223">
        <v>98.456500000000005</v>
      </c>
      <c r="AW404" s="224">
        <v>84.463999999999999</v>
      </c>
      <c r="AX404" s="42"/>
      <c r="AY404" s="181"/>
      <c r="AZ404" s="197"/>
    </row>
    <row r="405" spans="12:52" ht="13" thickBot="1" x14ac:dyDescent="0.3">
      <c r="L405" s="55">
        <v>870</v>
      </c>
      <c r="M405" s="274">
        <f t="shared" si="72"/>
        <v>0</v>
      </c>
      <c r="N405" s="275">
        <f t="shared" si="72"/>
        <v>0</v>
      </c>
      <c r="O405" s="276" t="e">
        <f ca="1"/>
        <v>#N/A</v>
      </c>
      <c r="Q405" s="34">
        <v>0</v>
      </c>
      <c r="R405" s="24">
        <v>0</v>
      </c>
      <c r="S405" s="24">
        <v>0</v>
      </c>
      <c r="T405" s="24">
        <v>0</v>
      </c>
      <c r="U405" s="24">
        <f t="array" ref="U405">IF(U$77&gt;" ",(U$628:U$1078),"")</f>
        <v>0</v>
      </c>
      <c r="V405" s="24">
        <f t="array" ref="V405">IF(V$77&gt;" ",(V$628:V$1078),"")</f>
        <v>0</v>
      </c>
      <c r="W405" s="24">
        <f t="array" ref="W405">IF(W$77&gt;" ",(W$628:W$1078),"")</f>
        <v>0</v>
      </c>
      <c r="X405" s="24">
        <f t="array" ref="X405">IF(X$77&gt;" ",(X$628:X$1078),"")</f>
        <v>0</v>
      </c>
      <c r="Y405" s="21">
        <v>0</v>
      </c>
      <c r="Z405" s="34">
        <f t="shared" si="73"/>
        <v>0</v>
      </c>
      <c r="AA405" s="24">
        <f t="shared" si="74"/>
        <v>0</v>
      </c>
      <c r="AB405" s="24">
        <f t="shared" si="75"/>
        <v>0</v>
      </c>
      <c r="AC405" s="24">
        <f t="shared" si="76"/>
        <v>0</v>
      </c>
      <c r="AD405" s="24">
        <f t="shared" si="68"/>
        <v>0</v>
      </c>
      <c r="AE405" s="24">
        <f t="shared" si="68"/>
        <v>0</v>
      </c>
      <c r="AF405" s="24">
        <f t="shared" si="68"/>
        <v>0</v>
      </c>
      <c r="AG405" s="24">
        <f t="shared" si="68"/>
        <v>0</v>
      </c>
      <c r="AH405" s="24">
        <f t="shared" si="71"/>
        <v>0</v>
      </c>
      <c r="AI405" s="24">
        <f t="shared" si="77"/>
        <v>0</v>
      </c>
      <c r="AJ405" s="261">
        <f t="shared" si="78"/>
        <v>0</v>
      </c>
      <c r="AK405" s="13"/>
      <c r="AL405" s="100">
        <v>870</v>
      </c>
      <c r="AM405" s="202"/>
      <c r="AN405" s="200"/>
      <c r="AO405" s="200"/>
      <c r="AP405" s="283">
        <v>0.9647</v>
      </c>
      <c r="AR405" s="222">
        <v>96.752080914229865</v>
      </c>
      <c r="AS405" s="223">
        <v>96.786904087766246</v>
      </c>
      <c r="AT405" s="223">
        <v>94.557991702410561</v>
      </c>
      <c r="AU405" s="223">
        <v>94.781144921630968</v>
      </c>
      <c r="AV405" s="223">
        <v>98.468000000000004</v>
      </c>
      <c r="AW405" s="224">
        <v>83.980999999999995</v>
      </c>
      <c r="AX405" s="42"/>
      <c r="AY405" s="181"/>
      <c r="AZ405" s="197"/>
    </row>
    <row r="406" spans="12:52" ht="13" thickBot="1" x14ac:dyDescent="0.3">
      <c r="L406" s="55">
        <v>865</v>
      </c>
      <c r="M406" s="274">
        <f t="shared" si="72"/>
        <v>0</v>
      </c>
      <c r="N406" s="275">
        <f t="shared" si="72"/>
        <v>0</v>
      </c>
      <c r="O406" s="276" t="e">
        <f ca="1"/>
        <v>#N/A</v>
      </c>
      <c r="Q406" s="34">
        <v>0</v>
      </c>
      <c r="R406" s="24">
        <v>0</v>
      </c>
      <c r="S406" s="24">
        <v>0</v>
      </c>
      <c r="T406" s="24">
        <v>0</v>
      </c>
      <c r="U406" s="24">
        <f t="array" ref="U406">IF(U$77&gt;" ",(U$628:U$1078),"")</f>
        <v>0</v>
      </c>
      <c r="V406" s="24">
        <f t="array" ref="V406">IF(V$77&gt;" ",(V$628:V$1078),"")</f>
        <v>0</v>
      </c>
      <c r="W406" s="24">
        <f t="array" ref="W406">IF(W$77&gt;" ",(W$628:W$1078),"")</f>
        <v>0</v>
      </c>
      <c r="X406" s="24">
        <f t="array" ref="X406">IF(X$77&gt;" ",(X$628:X$1078),"")</f>
        <v>0</v>
      </c>
      <c r="Y406" s="21">
        <v>0</v>
      </c>
      <c r="Z406" s="34">
        <f t="shared" si="73"/>
        <v>0</v>
      </c>
      <c r="AA406" s="24">
        <f t="shared" si="74"/>
        <v>0</v>
      </c>
      <c r="AB406" s="24">
        <f t="shared" si="75"/>
        <v>0</v>
      </c>
      <c r="AC406" s="24">
        <f t="shared" si="76"/>
        <v>0</v>
      </c>
      <c r="AD406" s="24">
        <f t="shared" si="68"/>
        <v>0</v>
      </c>
      <c r="AE406" s="24">
        <f t="shared" si="68"/>
        <v>0</v>
      </c>
      <c r="AF406" s="24">
        <f t="shared" si="68"/>
        <v>0</v>
      </c>
      <c r="AG406" s="24">
        <f t="shared" si="68"/>
        <v>0</v>
      </c>
      <c r="AH406" s="24">
        <f t="shared" si="71"/>
        <v>0</v>
      </c>
      <c r="AI406" s="24">
        <f t="shared" si="77"/>
        <v>0</v>
      </c>
      <c r="AJ406" s="261">
        <f t="shared" si="78"/>
        <v>0</v>
      </c>
      <c r="AK406" s="13"/>
      <c r="AL406" s="100">
        <v>865</v>
      </c>
      <c r="AM406" s="202"/>
      <c r="AN406" s="200"/>
      <c r="AO406" s="200"/>
      <c r="AP406" s="284">
        <v>0.96040000000000003</v>
      </c>
      <c r="AR406" s="222">
        <v>96.745615538391917</v>
      </c>
      <c r="AS406" s="223">
        <v>96.775059704782095</v>
      </c>
      <c r="AT406" s="223">
        <v>94.570940302271595</v>
      </c>
      <c r="AU406" s="223">
        <v>94.789342080498116</v>
      </c>
      <c r="AV406" s="223">
        <v>98.478499999999997</v>
      </c>
      <c r="AW406" s="224">
        <v>83.5565</v>
      </c>
      <c r="AX406" s="42"/>
      <c r="AY406" s="181"/>
      <c r="AZ406" s="197"/>
    </row>
    <row r="407" spans="12:52" ht="13" thickBot="1" x14ac:dyDescent="0.3">
      <c r="L407" s="55">
        <v>860</v>
      </c>
      <c r="M407" s="274">
        <f t="shared" si="72"/>
        <v>0</v>
      </c>
      <c r="N407" s="275">
        <f t="shared" si="72"/>
        <v>0</v>
      </c>
      <c r="O407" s="276" t="e">
        <f ca="1"/>
        <v>#N/A</v>
      </c>
      <c r="Q407" s="34">
        <v>0</v>
      </c>
      <c r="R407" s="24">
        <v>0</v>
      </c>
      <c r="S407" s="24">
        <v>0</v>
      </c>
      <c r="T407" s="24">
        <v>0</v>
      </c>
      <c r="U407" s="24">
        <f t="array" ref="U407">IF(U$77&gt;" ",(U$628:U$1078),"")</f>
        <v>0</v>
      </c>
      <c r="V407" s="24">
        <f t="array" ref="V407">IF(V$77&gt;" ",(V$628:V$1078),"")</f>
        <v>0</v>
      </c>
      <c r="W407" s="24">
        <f t="array" ref="W407">IF(W$77&gt;" ",(W$628:W$1078),"")</f>
        <v>0</v>
      </c>
      <c r="X407" s="24">
        <f t="array" ref="X407">IF(X$77&gt;" ",(X$628:X$1078),"")</f>
        <v>0</v>
      </c>
      <c r="Y407" s="21">
        <v>0</v>
      </c>
      <c r="Z407" s="34">
        <f t="shared" si="73"/>
        <v>0</v>
      </c>
      <c r="AA407" s="24">
        <f t="shared" si="74"/>
        <v>0</v>
      </c>
      <c r="AB407" s="24">
        <f t="shared" si="75"/>
        <v>0</v>
      </c>
      <c r="AC407" s="24">
        <f t="shared" si="76"/>
        <v>0</v>
      </c>
      <c r="AD407" s="24">
        <f t="shared" si="68"/>
        <v>0</v>
      </c>
      <c r="AE407" s="24">
        <f t="shared" si="68"/>
        <v>0</v>
      </c>
      <c r="AF407" s="24">
        <f t="shared" si="68"/>
        <v>0</v>
      </c>
      <c r="AG407" s="24">
        <f t="shared" si="68"/>
        <v>0</v>
      </c>
      <c r="AH407" s="24">
        <f t="shared" si="71"/>
        <v>0</v>
      </c>
      <c r="AI407" s="24">
        <f t="shared" si="77"/>
        <v>0</v>
      </c>
      <c r="AJ407" s="261">
        <f t="shared" si="78"/>
        <v>0</v>
      </c>
      <c r="AK407" s="13"/>
      <c r="AL407" s="100">
        <v>860</v>
      </c>
      <c r="AM407" s="202"/>
      <c r="AN407" s="200"/>
      <c r="AO407" s="200"/>
      <c r="AP407" s="283">
        <v>0.98529999999999995</v>
      </c>
      <c r="AR407" s="222">
        <v>96.734214332506269</v>
      </c>
      <c r="AS407" s="223">
        <v>96.776481719685705</v>
      </c>
      <c r="AT407" s="223">
        <v>94.592849128538433</v>
      </c>
      <c r="AU407" s="223">
        <v>94.819112890141085</v>
      </c>
      <c r="AV407" s="223">
        <v>98.489000000000004</v>
      </c>
      <c r="AW407" s="224">
        <v>83.131999999999991</v>
      </c>
      <c r="AX407" s="42"/>
      <c r="AY407" s="181"/>
      <c r="AZ407" s="197"/>
    </row>
    <row r="408" spans="12:52" ht="13" thickBot="1" x14ac:dyDescent="0.3">
      <c r="L408" s="55">
        <v>855</v>
      </c>
      <c r="M408" s="274">
        <f t="shared" si="72"/>
        <v>0</v>
      </c>
      <c r="N408" s="275">
        <f t="shared" si="72"/>
        <v>0</v>
      </c>
      <c r="O408" s="276" t="e">
        <f ca="1"/>
        <v>#N/A</v>
      </c>
      <c r="Q408" s="34">
        <v>0</v>
      </c>
      <c r="R408" s="24">
        <v>0</v>
      </c>
      <c r="S408" s="24">
        <v>0</v>
      </c>
      <c r="T408" s="24">
        <v>0</v>
      </c>
      <c r="U408" s="24">
        <f t="array" ref="U408">IF(U$77&gt;" ",(U$628:U$1078),"")</f>
        <v>0</v>
      </c>
      <c r="V408" s="24">
        <f t="array" ref="V408">IF(V$77&gt;" ",(V$628:V$1078),"")</f>
        <v>0</v>
      </c>
      <c r="W408" s="24">
        <f t="array" ref="W408">IF(W$77&gt;" ",(W$628:W$1078),"")</f>
        <v>0</v>
      </c>
      <c r="X408" s="24">
        <f t="array" ref="X408">IF(X$77&gt;" ",(X$628:X$1078),"")</f>
        <v>0</v>
      </c>
      <c r="Y408" s="21">
        <v>0</v>
      </c>
      <c r="Z408" s="34">
        <f t="shared" si="73"/>
        <v>0</v>
      </c>
      <c r="AA408" s="24">
        <f t="shared" si="74"/>
        <v>0</v>
      </c>
      <c r="AB408" s="24">
        <f t="shared" si="75"/>
        <v>0</v>
      </c>
      <c r="AC408" s="24">
        <f t="shared" si="76"/>
        <v>0</v>
      </c>
      <c r="AD408" s="24">
        <f t="shared" si="68"/>
        <v>0</v>
      </c>
      <c r="AE408" s="24">
        <f t="shared" si="68"/>
        <v>0</v>
      </c>
      <c r="AF408" s="24">
        <f t="shared" si="68"/>
        <v>0</v>
      </c>
      <c r="AG408" s="24">
        <f t="shared" si="68"/>
        <v>0</v>
      </c>
      <c r="AH408" s="24">
        <f t="shared" si="71"/>
        <v>0</v>
      </c>
      <c r="AI408" s="24">
        <f t="shared" si="77"/>
        <v>0</v>
      </c>
      <c r="AJ408" s="261">
        <f t="shared" si="78"/>
        <v>0</v>
      </c>
      <c r="AK408" s="13"/>
      <c r="AL408" s="100">
        <v>855</v>
      </c>
      <c r="AM408" s="202"/>
      <c r="AN408" s="200"/>
      <c r="AO408" s="200"/>
      <c r="AP408" s="284">
        <v>0.9103</v>
      </c>
      <c r="AR408" s="222">
        <v>96.728463781737972</v>
      </c>
      <c r="AS408" s="223">
        <v>96.785263395063041</v>
      </c>
      <c r="AT408" s="223">
        <v>94.630293662508663</v>
      </c>
      <c r="AU408" s="223">
        <v>94.858120247570028</v>
      </c>
      <c r="AV408" s="223">
        <v>98.5</v>
      </c>
      <c r="AW408" s="224">
        <v>82.705500000000001</v>
      </c>
      <c r="AX408" s="42"/>
      <c r="AY408" s="181"/>
      <c r="AZ408" s="197"/>
    </row>
    <row r="409" spans="12:52" ht="13" thickBot="1" x14ac:dyDescent="0.3">
      <c r="L409" s="55">
        <v>850</v>
      </c>
      <c r="M409" s="274">
        <f t="shared" si="72"/>
        <v>0</v>
      </c>
      <c r="N409" s="275">
        <f t="shared" si="72"/>
        <v>0</v>
      </c>
      <c r="O409" s="276" t="e">
        <f ca="1"/>
        <v>#N/A</v>
      </c>
      <c r="Q409" s="34">
        <v>0</v>
      </c>
      <c r="R409" s="24">
        <v>0</v>
      </c>
      <c r="S409" s="24">
        <v>0</v>
      </c>
      <c r="T409" s="24">
        <v>0</v>
      </c>
      <c r="U409" s="24">
        <f t="array" ref="U409">IF(U$77&gt;" ",(U$628:U$1078),"")</f>
        <v>0</v>
      </c>
      <c r="V409" s="24">
        <f t="array" ref="V409">IF(V$77&gt;" ",(V$628:V$1078),"")</f>
        <v>0</v>
      </c>
      <c r="W409" s="24">
        <f t="array" ref="W409">IF(W$77&gt;" ",(W$628:W$1078),"")</f>
        <v>0</v>
      </c>
      <c r="X409" s="24">
        <f t="array" ref="X409">IF(X$77&gt;" ",(X$628:X$1078),"")</f>
        <v>0</v>
      </c>
      <c r="Y409" s="21">
        <v>0</v>
      </c>
      <c r="Z409" s="34">
        <f t="shared" si="73"/>
        <v>0</v>
      </c>
      <c r="AA409" s="24">
        <f t="shared" si="74"/>
        <v>0</v>
      </c>
      <c r="AB409" s="24">
        <f t="shared" si="75"/>
        <v>0</v>
      </c>
      <c r="AC409" s="24">
        <f t="shared" si="76"/>
        <v>0</v>
      </c>
      <c r="AD409" s="24">
        <f t="shared" si="68"/>
        <v>0</v>
      </c>
      <c r="AE409" s="24">
        <f t="shared" si="68"/>
        <v>0</v>
      </c>
      <c r="AF409" s="24">
        <f t="shared" si="68"/>
        <v>0</v>
      </c>
      <c r="AG409" s="24">
        <f t="shared" si="68"/>
        <v>0</v>
      </c>
      <c r="AH409" s="24">
        <f t="shared" si="71"/>
        <v>0</v>
      </c>
      <c r="AI409" s="24">
        <f t="shared" si="77"/>
        <v>0</v>
      </c>
      <c r="AJ409" s="261">
        <f t="shared" si="78"/>
        <v>0</v>
      </c>
      <c r="AK409" s="13"/>
      <c r="AL409" s="100">
        <v>850</v>
      </c>
      <c r="AM409" s="202"/>
      <c r="AN409" s="200"/>
      <c r="AO409" s="200"/>
      <c r="AP409" s="283">
        <v>0.8911</v>
      </c>
      <c r="AR409" s="222">
        <v>96.713643874128664</v>
      </c>
      <c r="AS409" s="223">
        <v>96.777263011018064</v>
      </c>
      <c r="AT409" s="223">
        <v>94.681967519117734</v>
      </c>
      <c r="AU409" s="223">
        <v>94.912185110924881</v>
      </c>
      <c r="AV409" s="223">
        <v>98.51100000000001</v>
      </c>
      <c r="AW409" s="224">
        <v>82.278999999999996</v>
      </c>
      <c r="AX409" s="42"/>
      <c r="AY409" s="181"/>
      <c r="AZ409" s="197"/>
    </row>
    <row r="410" spans="12:52" ht="13" thickBot="1" x14ac:dyDescent="0.3">
      <c r="L410" s="55">
        <v>845</v>
      </c>
      <c r="M410" s="274">
        <f t="shared" si="72"/>
        <v>0</v>
      </c>
      <c r="N410" s="275">
        <f t="shared" si="72"/>
        <v>0</v>
      </c>
      <c r="O410" s="276" t="e">
        <f ca="1"/>
        <v>#N/A</v>
      </c>
      <c r="Q410" s="34">
        <v>0</v>
      </c>
      <c r="R410" s="24">
        <v>0</v>
      </c>
      <c r="S410" s="24">
        <v>0</v>
      </c>
      <c r="T410" s="24">
        <v>0</v>
      </c>
      <c r="U410" s="24">
        <f t="array" ref="U410">IF(U$77&gt;" ",(U$628:U$1078),"")</f>
        <v>0</v>
      </c>
      <c r="V410" s="24">
        <f t="array" ref="V410">IF(V$77&gt;" ",(V$628:V$1078),"")</f>
        <v>0</v>
      </c>
      <c r="W410" s="24">
        <f t="array" ref="W410">IF(W$77&gt;" ",(W$628:W$1078),"")</f>
        <v>0</v>
      </c>
      <c r="X410" s="24">
        <f t="array" ref="X410">IF(X$77&gt;" ",(X$628:X$1078),"")</f>
        <v>0</v>
      </c>
      <c r="Y410" s="21">
        <v>0</v>
      </c>
      <c r="Z410" s="34">
        <f t="shared" si="73"/>
        <v>0</v>
      </c>
      <c r="AA410" s="24">
        <f t="shared" si="74"/>
        <v>0</v>
      </c>
      <c r="AB410" s="24">
        <f t="shared" si="75"/>
        <v>0</v>
      </c>
      <c r="AC410" s="24">
        <f t="shared" si="76"/>
        <v>0</v>
      </c>
      <c r="AD410" s="24">
        <f t="shared" si="68"/>
        <v>0</v>
      </c>
      <c r="AE410" s="24">
        <f t="shared" si="68"/>
        <v>0</v>
      </c>
      <c r="AF410" s="24">
        <f t="shared" si="68"/>
        <v>0</v>
      </c>
      <c r="AG410" s="24">
        <f t="shared" si="68"/>
        <v>0</v>
      </c>
      <c r="AH410" s="24">
        <f t="shared" si="71"/>
        <v>0</v>
      </c>
      <c r="AI410" s="24">
        <f t="shared" si="77"/>
        <v>0</v>
      </c>
      <c r="AJ410" s="261">
        <f t="shared" si="78"/>
        <v>0</v>
      </c>
      <c r="AK410" s="13"/>
      <c r="AL410" s="100">
        <v>845</v>
      </c>
      <c r="AM410" s="202"/>
      <c r="AN410" s="200"/>
      <c r="AO410" s="200"/>
      <c r="AP410" s="284">
        <v>1.014</v>
      </c>
      <c r="AR410" s="222">
        <v>96.718749893149933</v>
      </c>
      <c r="AS410" s="223">
        <v>96.779630474342738</v>
      </c>
      <c r="AT410" s="223">
        <v>94.637271024193907</v>
      </c>
      <c r="AU410" s="223">
        <v>94.884445488334379</v>
      </c>
      <c r="AV410" s="223">
        <v>98.514499999999998</v>
      </c>
      <c r="AW410" s="224">
        <v>82.021500000000003</v>
      </c>
      <c r="AX410" s="42"/>
      <c r="AY410" s="181"/>
      <c r="AZ410" s="197"/>
    </row>
    <row r="411" spans="12:52" ht="13" thickBot="1" x14ac:dyDescent="0.3">
      <c r="L411" s="55">
        <v>840</v>
      </c>
      <c r="M411" s="274">
        <f t="shared" si="72"/>
        <v>0</v>
      </c>
      <c r="N411" s="275">
        <f t="shared" si="72"/>
        <v>0</v>
      </c>
      <c r="O411" s="276" t="e">
        <f ca="1"/>
        <v>#N/A</v>
      </c>
      <c r="Q411" s="34">
        <v>0</v>
      </c>
      <c r="R411" s="24">
        <v>0</v>
      </c>
      <c r="S411" s="24">
        <v>0</v>
      </c>
      <c r="T411" s="24">
        <v>0</v>
      </c>
      <c r="U411" s="24">
        <f t="array" ref="U411">IF(U$77&gt;" ",(U$628:U$1078),"")</f>
        <v>0</v>
      </c>
      <c r="V411" s="24">
        <f t="array" ref="V411">IF(V$77&gt;" ",(V$628:V$1078),"")</f>
        <v>0</v>
      </c>
      <c r="W411" s="24">
        <f t="array" ref="W411">IF(W$77&gt;" ",(W$628:W$1078),"")</f>
        <v>0</v>
      </c>
      <c r="X411" s="24">
        <f t="array" ref="X411">IF(X$77&gt;" ",(X$628:X$1078),"")</f>
        <v>0</v>
      </c>
      <c r="Y411" s="21">
        <v>0</v>
      </c>
      <c r="Z411" s="34">
        <f t="shared" si="73"/>
        <v>0</v>
      </c>
      <c r="AA411" s="24">
        <f t="shared" si="74"/>
        <v>0</v>
      </c>
      <c r="AB411" s="24">
        <f t="shared" si="75"/>
        <v>0</v>
      </c>
      <c r="AC411" s="24">
        <f t="shared" si="76"/>
        <v>0</v>
      </c>
      <c r="AD411" s="24">
        <f t="shared" si="68"/>
        <v>0</v>
      </c>
      <c r="AE411" s="24">
        <f t="shared" si="68"/>
        <v>0</v>
      </c>
      <c r="AF411" s="24">
        <f t="shared" si="68"/>
        <v>0</v>
      </c>
      <c r="AG411" s="24">
        <f t="shared" si="68"/>
        <v>0</v>
      </c>
      <c r="AH411" s="24">
        <f t="shared" si="71"/>
        <v>0</v>
      </c>
      <c r="AI411" s="24">
        <f t="shared" si="77"/>
        <v>0</v>
      </c>
      <c r="AJ411" s="261">
        <f t="shared" si="78"/>
        <v>0</v>
      </c>
      <c r="AK411" s="13"/>
      <c r="AL411" s="100">
        <v>840</v>
      </c>
      <c r="AM411" s="202"/>
      <c r="AN411" s="200"/>
      <c r="AO411" s="200"/>
      <c r="AP411" s="283">
        <v>1.0129999999999999</v>
      </c>
      <c r="AR411" s="222">
        <v>96.706941059261581</v>
      </c>
      <c r="AS411" s="223">
        <v>96.821578545330908</v>
      </c>
      <c r="AT411" s="223">
        <v>94.635296048253736</v>
      </c>
      <c r="AU411" s="223">
        <v>94.870563305095814</v>
      </c>
      <c r="AV411" s="223">
        <v>98.518000000000001</v>
      </c>
      <c r="AW411" s="224">
        <v>81.76400000000001</v>
      </c>
      <c r="AX411" s="42"/>
      <c r="AY411" s="181"/>
      <c r="AZ411" s="197"/>
    </row>
    <row r="412" spans="12:52" ht="13" thickBot="1" x14ac:dyDescent="0.3">
      <c r="L412" s="55">
        <v>835</v>
      </c>
      <c r="M412" s="274">
        <f t="shared" si="72"/>
        <v>0</v>
      </c>
      <c r="N412" s="275">
        <f t="shared" si="72"/>
        <v>0</v>
      </c>
      <c r="O412" s="276" t="e">
        <f ca="1"/>
        <v>#N/A</v>
      </c>
      <c r="Q412" s="34">
        <v>0</v>
      </c>
      <c r="R412" s="24">
        <v>0</v>
      </c>
      <c r="S412" s="24">
        <v>0</v>
      </c>
      <c r="T412" s="24">
        <v>0</v>
      </c>
      <c r="U412" s="24">
        <f t="array" ref="U412">IF(U$77&gt;" ",(U$628:U$1078),"")</f>
        <v>0</v>
      </c>
      <c r="V412" s="24">
        <f t="array" ref="V412">IF(V$77&gt;" ",(V$628:V$1078),"")</f>
        <v>0</v>
      </c>
      <c r="W412" s="24">
        <f t="array" ref="W412">IF(W$77&gt;" ",(W$628:W$1078),"")</f>
        <v>0</v>
      </c>
      <c r="X412" s="24">
        <f t="array" ref="X412">IF(X$77&gt;" ",(X$628:X$1078),"")</f>
        <v>0</v>
      </c>
      <c r="Y412" s="21">
        <v>0</v>
      </c>
      <c r="Z412" s="34">
        <f t="shared" si="73"/>
        <v>0</v>
      </c>
      <c r="AA412" s="24">
        <f t="shared" si="74"/>
        <v>0</v>
      </c>
      <c r="AB412" s="24">
        <f t="shared" si="75"/>
        <v>0</v>
      </c>
      <c r="AC412" s="24">
        <f t="shared" si="76"/>
        <v>0</v>
      </c>
      <c r="AD412" s="24">
        <f t="shared" si="68"/>
        <v>0</v>
      </c>
      <c r="AE412" s="24">
        <f t="shared" si="68"/>
        <v>0</v>
      </c>
      <c r="AF412" s="24">
        <f t="shared" si="68"/>
        <v>0</v>
      </c>
      <c r="AG412" s="24">
        <f t="shared" si="68"/>
        <v>0</v>
      </c>
      <c r="AH412" s="24">
        <f t="shared" si="71"/>
        <v>0</v>
      </c>
      <c r="AI412" s="24">
        <f t="shared" si="77"/>
        <v>0</v>
      </c>
      <c r="AJ412" s="261">
        <f t="shared" si="78"/>
        <v>0</v>
      </c>
      <c r="AK412" s="13"/>
      <c r="AL412" s="100">
        <v>835</v>
      </c>
      <c r="AM412" s="202"/>
      <c r="AN412" s="200"/>
      <c r="AO412" s="200"/>
      <c r="AP412" s="284">
        <v>1</v>
      </c>
      <c r="AR412" s="222">
        <v>96.709496757028489</v>
      </c>
      <c r="AS412" s="223">
        <v>96.835562049718234</v>
      </c>
      <c r="AT412" s="223">
        <v>94.648939899571829</v>
      </c>
      <c r="AU412" s="223">
        <v>94.889230030655654</v>
      </c>
      <c r="AV412" s="223">
        <v>98.534500000000008</v>
      </c>
      <c r="AW412" s="224">
        <v>81.644000000000005</v>
      </c>
      <c r="AX412" s="42"/>
      <c r="AY412" s="181"/>
      <c r="AZ412" s="197"/>
    </row>
    <row r="413" spans="12:52" ht="13" thickBot="1" x14ac:dyDescent="0.3">
      <c r="L413" s="55">
        <v>830</v>
      </c>
      <c r="M413" s="274">
        <f t="shared" si="72"/>
        <v>0</v>
      </c>
      <c r="N413" s="275">
        <f t="shared" si="72"/>
        <v>0</v>
      </c>
      <c r="O413" s="276" t="e">
        <f ca="1"/>
        <v>#N/A</v>
      </c>
      <c r="Q413" s="34">
        <v>0</v>
      </c>
      <c r="R413" s="24">
        <v>0</v>
      </c>
      <c r="S413" s="24">
        <v>0</v>
      </c>
      <c r="T413" s="24">
        <v>0</v>
      </c>
      <c r="U413" s="24">
        <f t="array" ref="U413">IF(U$77&gt;" ",(U$628:U$1078),"")</f>
        <v>0</v>
      </c>
      <c r="V413" s="24">
        <f t="array" ref="V413">IF(V$77&gt;" ",(V$628:V$1078),"")</f>
        <v>0</v>
      </c>
      <c r="W413" s="24">
        <f t="array" ref="W413">IF(W$77&gt;" ",(W$628:W$1078),"")</f>
        <v>0</v>
      </c>
      <c r="X413" s="24">
        <f t="array" ref="X413">IF(X$77&gt;" ",(X$628:X$1078),"")</f>
        <v>0</v>
      </c>
      <c r="Y413" s="21">
        <v>0</v>
      </c>
      <c r="Z413" s="34">
        <f t="shared" si="73"/>
        <v>0</v>
      </c>
      <c r="AA413" s="24">
        <f t="shared" si="74"/>
        <v>0</v>
      </c>
      <c r="AB413" s="24">
        <f t="shared" si="75"/>
        <v>0</v>
      </c>
      <c r="AC413" s="24">
        <f t="shared" si="76"/>
        <v>0</v>
      </c>
      <c r="AD413" s="24">
        <f t="shared" si="68"/>
        <v>0</v>
      </c>
      <c r="AE413" s="24">
        <f t="shared" si="68"/>
        <v>0</v>
      </c>
      <c r="AF413" s="24">
        <f t="shared" si="68"/>
        <v>0</v>
      </c>
      <c r="AG413" s="24">
        <f t="shared" si="68"/>
        <v>0</v>
      </c>
      <c r="AH413" s="24">
        <f t="shared" si="71"/>
        <v>0</v>
      </c>
      <c r="AI413" s="24">
        <f t="shared" si="77"/>
        <v>0</v>
      </c>
      <c r="AJ413" s="261">
        <f t="shared" si="78"/>
        <v>0</v>
      </c>
      <c r="AK413" s="13"/>
      <c r="AL413" s="100">
        <v>830</v>
      </c>
      <c r="AM413" s="202"/>
      <c r="AN413" s="200"/>
      <c r="AO413" s="200"/>
      <c r="AP413" s="283">
        <v>0.9133</v>
      </c>
      <c r="AR413" s="222">
        <v>96.748109252742395</v>
      </c>
      <c r="AS413" s="223">
        <v>96.779312601034292</v>
      </c>
      <c r="AT413" s="223">
        <v>94.693170435674645</v>
      </c>
      <c r="AU413" s="223">
        <v>94.949546794926277</v>
      </c>
      <c r="AV413" s="223">
        <v>98.551000000000002</v>
      </c>
      <c r="AW413" s="224">
        <v>81.524000000000001</v>
      </c>
      <c r="AX413" s="42"/>
      <c r="AY413" s="181"/>
      <c r="AZ413" s="197"/>
    </row>
    <row r="414" spans="12:52" ht="13" thickBot="1" x14ac:dyDescent="0.3">
      <c r="L414" s="55">
        <v>825</v>
      </c>
      <c r="M414" s="274">
        <f t="shared" si="72"/>
        <v>0</v>
      </c>
      <c r="N414" s="275">
        <f t="shared" si="72"/>
        <v>0</v>
      </c>
      <c r="O414" s="276" t="e">
        <f ca="1"/>
        <v>#N/A</v>
      </c>
      <c r="Q414" s="34">
        <v>0</v>
      </c>
      <c r="R414" s="24">
        <v>0</v>
      </c>
      <c r="S414" s="24">
        <v>0</v>
      </c>
      <c r="T414" s="24">
        <v>0</v>
      </c>
      <c r="U414" s="24">
        <f t="array" ref="U414">IF(U$77&gt;" ",(U$628:U$1078),"")</f>
        <v>0</v>
      </c>
      <c r="V414" s="24">
        <f t="array" ref="V414">IF(V$77&gt;" ",(V$628:V$1078),"")</f>
        <v>0</v>
      </c>
      <c r="W414" s="24">
        <f t="array" ref="W414">IF(W$77&gt;" ",(W$628:W$1078),"")</f>
        <v>0</v>
      </c>
      <c r="X414" s="24">
        <f t="array" ref="X414">IF(X$77&gt;" ",(X$628:X$1078),"")</f>
        <v>0</v>
      </c>
      <c r="Y414" s="21">
        <v>0</v>
      </c>
      <c r="Z414" s="34">
        <f t="shared" si="73"/>
        <v>0</v>
      </c>
      <c r="AA414" s="24">
        <f t="shared" si="74"/>
        <v>0</v>
      </c>
      <c r="AB414" s="24">
        <f t="shared" si="75"/>
        <v>0</v>
      </c>
      <c r="AC414" s="24">
        <f t="shared" si="76"/>
        <v>0</v>
      </c>
      <c r="AD414" s="24">
        <f t="shared" si="68"/>
        <v>0</v>
      </c>
      <c r="AE414" s="24">
        <f t="shared" si="68"/>
        <v>0</v>
      </c>
      <c r="AF414" s="24">
        <f t="shared" si="68"/>
        <v>0</v>
      </c>
      <c r="AG414" s="24">
        <f t="shared" ref="AG414:AG477" si="79">X414</f>
        <v>0</v>
      </c>
      <c r="AH414" s="24">
        <f t="shared" si="71"/>
        <v>0</v>
      </c>
      <c r="AI414" s="24">
        <f t="shared" si="77"/>
        <v>0</v>
      </c>
      <c r="AJ414" s="261">
        <f t="shared" si="78"/>
        <v>0</v>
      </c>
      <c r="AK414" s="13"/>
      <c r="AL414" s="100">
        <v>825</v>
      </c>
      <c r="AM414" s="202"/>
      <c r="AN414" s="200"/>
      <c r="AO414" s="200"/>
      <c r="AP414" s="284">
        <v>0.96650000000000003</v>
      </c>
      <c r="AR414" s="222">
        <v>96.715126550846364</v>
      </c>
      <c r="AS414" s="223">
        <v>96.749740798638939</v>
      </c>
      <c r="AT414" s="223">
        <v>94.738748700578412</v>
      </c>
      <c r="AU414" s="223">
        <v>94.954890478841648</v>
      </c>
      <c r="AV414" s="223">
        <v>98.558000000000007</v>
      </c>
      <c r="AW414" s="224">
        <v>81.517499999999998</v>
      </c>
      <c r="AX414" s="42"/>
      <c r="AY414" s="181"/>
      <c r="AZ414" s="197"/>
    </row>
    <row r="415" spans="12:52" ht="13" thickBot="1" x14ac:dyDescent="0.3">
      <c r="L415" s="55">
        <v>820</v>
      </c>
      <c r="M415" s="274">
        <f t="shared" ref="M415:N430" si="80">M964</f>
        <v>0</v>
      </c>
      <c r="N415" s="275">
        <f t="shared" si="80"/>
        <v>0</v>
      </c>
      <c r="O415" s="276" t="e">
        <f ca="1"/>
        <v>#N/A</v>
      </c>
      <c r="Q415" s="34">
        <v>0</v>
      </c>
      <c r="R415" s="24">
        <v>0</v>
      </c>
      <c r="S415" s="24">
        <v>0</v>
      </c>
      <c r="T415" s="24">
        <v>0</v>
      </c>
      <c r="U415" s="24">
        <f t="array" ref="U415">IF(U$77&gt;" ",(U$628:U$1078),"")</f>
        <v>0</v>
      </c>
      <c r="V415" s="24">
        <f t="array" ref="V415">IF(V$77&gt;" ",(V$628:V$1078),"")</f>
        <v>0</v>
      </c>
      <c r="W415" s="24">
        <f t="array" ref="W415">IF(W$77&gt;" ",(W$628:W$1078),"")</f>
        <v>0</v>
      </c>
      <c r="X415" s="24">
        <f t="array" ref="X415">IF(X$77&gt;" ",(X$628:X$1078),"")</f>
        <v>0</v>
      </c>
      <c r="Y415" s="21">
        <v>0</v>
      </c>
      <c r="Z415" s="34">
        <f t="shared" si="73"/>
        <v>0</v>
      </c>
      <c r="AA415" s="24">
        <f t="shared" si="74"/>
        <v>0</v>
      </c>
      <c r="AB415" s="24">
        <f t="shared" si="75"/>
        <v>0</v>
      </c>
      <c r="AC415" s="24">
        <f t="shared" si="76"/>
        <v>0</v>
      </c>
      <c r="AD415" s="24">
        <f t="shared" ref="AD415:AG478" si="81">U415</f>
        <v>0</v>
      </c>
      <c r="AE415" s="24">
        <f t="shared" si="81"/>
        <v>0</v>
      </c>
      <c r="AF415" s="24">
        <f t="shared" si="81"/>
        <v>0</v>
      </c>
      <c r="AG415" s="24">
        <f t="shared" si="79"/>
        <v>0</v>
      </c>
      <c r="AH415" s="24">
        <f t="shared" si="71"/>
        <v>0</v>
      </c>
      <c r="AI415" s="24">
        <f t="shared" si="77"/>
        <v>0</v>
      </c>
      <c r="AJ415" s="261">
        <f t="shared" si="78"/>
        <v>0</v>
      </c>
      <c r="AK415" s="13"/>
      <c r="AL415" s="100">
        <v>820</v>
      </c>
      <c r="AM415" s="202"/>
      <c r="AN415" s="200"/>
      <c r="AO415" s="200"/>
      <c r="AP415" s="283">
        <v>0.85940000000000005</v>
      </c>
      <c r="AR415" s="222">
        <v>96.69138126999394</v>
      </c>
      <c r="AS415" s="223">
        <v>96.715323437590087</v>
      </c>
      <c r="AT415" s="223">
        <v>94.749604497382606</v>
      </c>
      <c r="AU415" s="223">
        <v>94.959771145488233</v>
      </c>
      <c r="AV415" s="223">
        <v>98.564999999999998</v>
      </c>
      <c r="AW415" s="224">
        <v>81.510999999999996</v>
      </c>
      <c r="AX415" s="42"/>
      <c r="AY415" s="181"/>
      <c r="AZ415" s="197"/>
    </row>
    <row r="416" spans="12:52" ht="13" thickBot="1" x14ac:dyDescent="0.3">
      <c r="L416" s="55">
        <v>815</v>
      </c>
      <c r="M416" s="274">
        <f t="shared" si="80"/>
        <v>0</v>
      </c>
      <c r="N416" s="275">
        <f t="shared" si="80"/>
        <v>0</v>
      </c>
      <c r="O416" s="276" t="e">
        <f ca="1"/>
        <v>#N/A</v>
      </c>
      <c r="Q416" s="34">
        <v>0</v>
      </c>
      <c r="R416" s="24">
        <v>0</v>
      </c>
      <c r="S416" s="24">
        <v>0</v>
      </c>
      <c r="T416" s="24">
        <v>0</v>
      </c>
      <c r="U416" s="24">
        <f t="array" ref="U416">IF(U$77&gt;" ",(U$628:U$1078),"")</f>
        <v>0</v>
      </c>
      <c r="V416" s="24">
        <f t="array" ref="V416">IF(V$77&gt;" ",(V$628:V$1078),"")</f>
        <v>0</v>
      </c>
      <c r="W416" s="24">
        <f t="array" ref="W416">IF(W$77&gt;" ",(W$628:W$1078),"")</f>
        <v>0</v>
      </c>
      <c r="X416" s="24">
        <f t="array" ref="X416">IF(X$77&gt;" ",(X$628:X$1078),"")</f>
        <v>0</v>
      </c>
      <c r="Y416" s="21">
        <v>0</v>
      </c>
      <c r="Z416" s="34">
        <f t="shared" si="73"/>
        <v>0</v>
      </c>
      <c r="AA416" s="24">
        <f t="shared" si="74"/>
        <v>0</v>
      </c>
      <c r="AB416" s="24">
        <f t="shared" si="75"/>
        <v>0</v>
      </c>
      <c r="AC416" s="24">
        <f t="shared" si="76"/>
        <v>0</v>
      </c>
      <c r="AD416" s="24">
        <f t="shared" si="81"/>
        <v>0</v>
      </c>
      <c r="AE416" s="24">
        <f t="shared" si="81"/>
        <v>0</v>
      </c>
      <c r="AF416" s="24">
        <f t="shared" si="81"/>
        <v>0</v>
      </c>
      <c r="AG416" s="24">
        <f t="shared" si="79"/>
        <v>0</v>
      </c>
      <c r="AH416" s="24">
        <f t="shared" si="71"/>
        <v>0</v>
      </c>
      <c r="AI416" s="24">
        <f t="shared" si="77"/>
        <v>0</v>
      </c>
      <c r="AJ416" s="261">
        <f t="shared" si="78"/>
        <v>0</v>
      </c>
      <c r="AK416" s="13"/>
      <c r="AL416" s="100">
        <v>815</v>
      </c>
      <c r="AM416" s="202"/>
      <c r="AN416" s="200"/>
      <c r="AO416" s="200"/>
      <c r="AP416" s="284">
        <v>0.89259999999999995</v>
      </c>
      <c r="AR416" s="222">
        <v>96.702204782024296</v>
      </c>
      <c r="AS416" s="223">
        <v>96.699015438454452</v>
      </c>
      <c r="AT416" s="223">
        <v>94.807495033576743</v>
      </c>
      <c r="AU416" s="223">
        <v>95.02318331344209</v>
      </c>
      <c r="AV416" s="223">
        <v>98.572000000000003</v>
      </c>
      <c r="AW416" s="224">
        <v>81.605000000000004</v>
      </c>
      <c r="AX416" s="42"/>
      <c r="AY416" s="181"/>
      <c r="AZ416" s="197"/>
    </row>
    <row r="417" spans="12:52" ht="13" thickBot="1" x14ac:dyDescent="0.3">
      <c r="L417" s="55">
        <v>810</v>
      </c>
      <c r="M417" s="274">
        <f t="shared" si="80"/>
        <v>0</v>
      </c>
      <c r="N417" s="275">
        <f t="shared" si="80"/>
        <v>0</v>
      </c>
      <c r="O417" s="276" t="e">
        <f ca="1"/>
        <v>#N/A</v>
      </c>
      <c r="Q417" s="34">
        <v>0</v>
      </c>
      <c r="R417" s="24">
        <v>0</v>
      </c>
      <c r="S417" s="24">
        <v>0</v>
      </c>
      <c r="T417" s="24">
        <v>0</v>
      </c>
      <c r="U417" s="24">
        <f t="array" ref="U417">IF(U$77&gt;" ",(U$628:U$1078),"")</f>
        <v>0</v>
      </c>
      <c r="V417" s="24">
        <f t="array" ref="V417">IF(V$77&gt;" ",(V$628:V$1078),"")</f>
        <v>0</v>
      </c>
      <c r="W417" s="24">
        <f t="array" ref="W417">IF(W$77&gt;" ",(W$628:W$1078),"")</f>
        <v>0</v>
      </c>
      <c r="X417" s="24">
        <f t="array" ref="X417">IF(X$77&gt;" ",(X$628:X$1078),"")</f>
        <v>0</v>
      </c>
      <c r="Y417" s="21">
        <v>0</v>
      </c>
      <c r="Z417" s="34">
        <f t="shared" si="73"/>
        <v>0</v>
      </c>
      <c r="AA417" s="24">
        <f t="shared" si="74"/>
        <v>0</v>
      </c>
      <c r="AB417" s="24">
        <f t="shared" si="75"/>
        <v>0</v>
      </c>
      <c r="AC417" s="24">
        <f t="shared" si="76"/>
        <v>0</v>
      </c>
      <c r="AD417" s="24">
        <f t="shared" si="81"/>
        <v>0</v>
      </c>
      <c r="AE417" s="24">
        <f t="shared" si="81"/>
        <v>0</v>
      </c>
      <c r="AF417" s="24">
        <f t="shared" si="81"/>
        <v>0</v>
      </c>
      <c r="AG417" s="24">
        <f t="shared" si="79"/>
        <v>0</v>
      </c>
      <c r="AH417" s="24">
        <f t="shared" si="71"/>
        <v>0</v>
      </c>
      <c r="AI417" s="24">
        <f t="shared" si="77"/>
        <v>0</v>
      </c>
      <c r="AJ417" s="261">
        <f t="shared" si="78"/>
        <v>0</v>
      </c>
      <c r="AK417" s="13"/>
      <c r="AL417" s="100">
        <v>810</v>
      </c>
      <c r="AM417" s="202"/>
      <c r="AN417" s="200"/>
      <c r="AO417" s="200"/>
      <c r="AP417" s="283">
        <v>1.0529999999999999</v>
      </c>
      <c r="AR417" s="222">
        <v>96.716850728099345</v>
      </c>
      <c r="AS417" s="223">
        <v>96.746103081753631</v>
      </c>
      <c r="AT417" s="223">
        <v>94.819803314222966</v>
      </c>
      <c r="AU417" s="223">
        <v>95.040319330438649</v>
      </c>
      <c r="AV417" s="223">
        <v>98.579000000000008</v>
      </c>
      <c r="AW417" s="224">
        <v>81.698999999999998</v>
      </c>
      <c r="AX417" s="42"/>
      <c r="AY417" s="181"/>
      <c r="AZ417" s="197"/>
    </row>
    <row r="418" spans="12:52" ht="13" thickBot="1" x14ac:dyDescent="0.3">
      <c r="L418" s="55">
        <v>805</v>
      </c>
      <c r="M418" s="274">
        <f t="shared" si="80"/>
        <v>0</v>
      </c>
      <c r="N418" s="275">
        <f t="shared" si="80"/>
        <v>0</v>
      </c>
      <c r="O418" s="276" t="e">
        <f ca="1"/>
        <v>#N/A</v>
      </c>
      <c r="Q418" s="34">
        <v>0</v>
      </c>
      <c r="R418" s="24">
        <v>0</v>
      </c>
      <c r="S418" s="24">
        <v>0</v>
      </c>
      <c r="T418" s="24">
        <v>0</v>
      </c>
      <c r="U418" s="24">
        <f t="array" ref="U418">IF(U$77&gt;" ",(U$628:U$1078),"")</f>
        <v>0</v>
      </c>
      <c r="V418" s="24">
        <f t="array" ref="V418">IF(V$77&gt;" ",(V$628:V$1078),"")</f>
        <v>0</v>
      </c>
      <c r="W418" s="24">
        <f t="array" ref="W418">IF(W$77&gt;" ",(W$628:W$1078),"")</f>
        <v>0</v>
      </c>
      <c r="X418" s="24">
        <f t="array" ref="X418">IF(X$77&gt;" ",(X$628:X$1078),"")</f>
        <v>0</v>
      </c>
      <c r="Y418" s="21">
        <v>0</v>
      </c>
      <c r="Z418" s="34">
        <f t="shared" si="73"/>
        <v>0</v>
      </c>
      <c r="AA418" s="24">
        <f t="shared" si="74"/>
        <v>0</v>
      </c>
      <c r="AB418" s="24">
        <f t="shared" si="75"/>
        <v>0</v>
      </c>
      <c r="AC418" s="24">
        <f t="shared" si="76"/>
        <v>0</v>
      </c>
      <c r="AD418" s="24">
        <f t="shared" si="81"/>
        <v>0</v>
      </c>
      <c r="AE418" s="24">
        <f t="shared" si="81"/>
        <v>0</v>
      </c>
      <c r="AF418" s="24">
        <f t="shared" si="81"/>
        <v>0</v>
      </c>
      <c r="AG418" s="24">
        <f t="shared" si="79"/>
        <v>0</v>
      </c>
      <c r="AH418" s="24">
        <f t="shared" si="71"/>
        <v>0</v>
      </c>
      <c r="AI418" s="24">
        <f t="shared" si="77"/>
        <v>0</v>
      </c>
      <c r="AJ418" s="261">
        <f t="shared" si="78"/>
        <v>0</v>
      </c>
      <c r="AK418" s="13"/>
      <c r="AL418" s="100">
        <v>805</v>
      </c>
      <c r="AM418" s="202"/>
      <c r="AN418" s="200"/>
      <c r="AO418" s="200"/>
      <c r="AP418" s="284">
        <v>1.0509999999999999</v>
      </c>
      <c r="AR418" s="222">
        <v>96.694710117979596</v>
      </c>
      <c r="AS418" s="223">
        <v>96.733601801657301</v>
      </c>
      <c r="AT418" s="223">
        <v>94.815150368152146</v>
      </c>
      <c r="AU418" s="223">
        <v>95.051086360102758</v>
      </c>
      <c r="AV418" s="223">
        <v>98.583500000000001</v>
      </c>
      <c r="AW418" s="224">
        <v>81.867999999999995</v>
      </c>
      <c r="AX418" s="42"/>
      <c r="AY418" s="181"/>
      <c r="AZ418" s="197"/>
    </row>
    <row r="419" spans="12:52" ht="13" thickBot="1" x14ac:dyDescent="0.3">
      <c r="L419" s="55">
        <v>800</v>
      </c>
      <c r="M419" s="274">
        <f t="shared" si="80"/>
        <v>0</v>
      </c>
      <c r="N419" s="275">
        <f t="shared" si="80"/>
        <v>0</v>
      </c>
      <c r="O419" s="276" t="e">
        <f ca="1"/>
        <v>#N/A</v>
      </c>
      <c r="Q419" s="34">
        <v>0</v>
      </c>
      <c r="R419" s="24">
        <v>0</v>
      </c>
      <c r="S419" s="24">
        <v>0</v>
      </c>
      <c r="T419" s="24">
        <v>0</v>
      </c>
      <c r="U419" s="24">
        <f t="array" ref="U419">IF(U$77&gt;" ",(U$628:U$1078),"")</f>
        <v>0</v>
      </c>
      <c r="V419" s="24">
        <f t="array" ref="V419">IF(V$77&gt;" ",(V$628:V$1078),"")</f>
        <v>0</v>
      </c>
      <c r="W419" s="24">
        <f t="array" ref="W419">IF(W$77&gt;" ",(W$628:W$1078),"")</f>
        <v>0</v>
      </c>
      <c r="X419" s="24">
        <f t="array" ref="X419">IF(X$77&gt;" ",(X$628:X$1078),"")</f>
        <v>0</v>
      </c>
      <c r="Y419" s="21">
        <v>0</v>
      </c>
      <c r="Z419" s="34">
        <f t="shared" si="73"/>
        <v>0</v>
      </c>
      <c r="AA419" s="24">
        <f t="shared" si="74"/>
        <v>0</v>
      </c>
      <c r="AB419" s="24">
        <f t="shared" si="75"/>
        <v>0</v>
      </c>
      <c r="AC419" s="24">
        <f t="shared" si="76"/>
        <v>0</v>
      </c>
      <c r="AD419" s="24">
        <f t="shared" si="81"/>
        <v>0</v>
      </c>
      <c r="AE419" s="24">
        <f t="shared" si="81"/>
        <v>0</v>
      </c>
      <c r="AF419" s="24">
        <f t="shared" si="81"/>
        <v>0</v>
      </c>
      <c r="AG419" s="24">
        <f t="shared" si="79"/>
        <v>0</v>
      </c>
      <c r="AH419" s="24">
        <f t="shared" si="71"/>
        <v>0</v>
      </c>
      <c r="AI419" s="24">
        <f t="shared" si="77"/>
        <v>0</v>
      </c>
      <c r="AJ419" s="261">
        <f t="shared" si="78"/>
        <v>0</v>
      </c>
      <c r="AK419" s="13"/>
      <c r="AL419" s="100">
        <v>800</v>
      </c>
      <c r="AM419" s="202"/>
      <c r="AN419" s="200"/>
      <c r="AO419" s="200"/>
      <c r="AP419" s="283">
        <v>1.069</v>
      </c>
      <c r="AR419" s="222">
        <v>96.692736895329674</v>
      </c>
      <c r="AS419" s="223">
        <v>96.72852896922889</v>
      </c>
      <c r="AT419" s="223">
        <v>94.854078601930382</v>
      </c>
      <c r="AU419" s="223">
        <v>95.112904453343432</v>
      </c>
      <c r="AV419" s="223">
        <v>98.587999999999994</v>
      </c>
      <c r="AW419" s="224">
        <v>82.037000000000006</v>
      </c>
      <c r="AX419" s="42"/>
      <c r="AY419" s="181"/>
      <c r="AZ419" s="197"/>
    </row>
    <row r="420" spans="12:52" ht="13" thickBot="1" x14ac:dyDescent="0.3">
      <c r="L420" s="55">
        <v>795</v>
      </c>
      <c r="M420" s="274">
        <f t="shared" si="80"/>
        <v>0</v>
      </c>
      <c r="N420" s="275">
        <f t="shared" si="80"/>
        <v>0</v>
      </c>
      <c r="O420" s="276" t="e">
        <f ca="1"/>
        <v>#N/A</v>
      </c>
      <c r="Q420" s="34">
        <v>0</v>
      </c>
      <c r="R420" s="24">
        <v>0</v>
      </c>
      <c r="S420" s="24">
        <v>0</v>
      </c>
      <c r="T420" s="24">
        <v>0</v>
      </c>
      <c r="U420" s="24">
        <f t="array" ref="U420">IF(U$77&gt;" ",(U$628:U$1078),"")</f>
        <v>0</v>
      </c>
      <c r="V420" s="24">
        <f t="array" ref="V420">IF(V$77&gt;" ",(V$628:V$1078),"")</f>
        <v>0</v>
      </c>
      <c r="W420" s="24">
        <f t="array" ref="W420">IF(W$77&gt;" ",(W$628:W$1078),"")</f>
        <v>0</v>
      </c>
      <c r="X420" s="24">
        <f t="array" ref="X420">IF(X$77&gt;" ",(X$628:X$1078),"")</f>
        <v>0</v>
      </c>
      <c r="Y420" s="21">
        <v>0</v>
      </c>
      <c r="Z420" s="34">
        <f t="shared" si="73"/>
        <v>0</v>
      </c>
      <c r="AA420" s="24">
        <f t="shared" si="74"/>
        <v>0</v>
      </c>
      <c r="AB420" s="24">
        <f t="shared" si="75"/>
        <v>0</v>
      </c>
      <c r="AC420" s="24">
        <f t="shared" si="76"/>
        <v>0</v>
      </c>
      <c r="AD420" s="24">
        <f t="shared" si="81"/>
        <v>0</v>
      </c>
      <c r="AE420" s="24">
        <f t="shared" si="81"/>
        <v>0</v>
      </c>
      <c r="AF420" s="24">
        <f t="shared" si="81"/>
        <v>0</v>
      </c>
      <c r="AG420" s="24">
        <f t="shared" si="79"/>
        <v>0</v>
      </c>
      <c r="AH420" s="24">
        <f t="shared" si="71"/>
        <v>0</v>
      </c>
      <c r="AI420" s="24">
        <f t="shared" si="77"/>
        <v>0</v>
      </c>
      <c r="AJ420" s="261">
        <f t="shared" si="78"/>
        <v>0</v>
      </c>
      <c r="AK420" s="13"/>
      <c r="AL420" s="100">
        <v>795</v>
      </c>
      <c r="AM420" s="202"/>
      <c r="AN420" s="200"/>
      <c r="AO420" s="200"/>
      <c r="AP420" s="284">
        <v>1.0900000000000001</v>
      </c>
      <c r="AR420" s="222">
        <v>96.706338602233942</v>
      </c>
      <c r="AS420" s="223">
        <v>96.735078617161165</v>
      </c>
      <c r="AT420" s="223">
        <v>94.900480059044114</v>
      </c>
      <c r="AU420" s="223">
        <v>95.141154747735797</v>
      </c>
      <c r="AV420" s="223">
        <v>98.58550000000001</v>
      </c>
      <c r="AW420" s="224">
        <v>82.25200000000001</v>
      </c>
      <c r="AX420" s="42"/>
      <c r="AY420" s="181"/>
      <c r="AZ420" s="197"/>
    </row>
    <row r="421" spans="12:52" ht="13" thickBot="1" x14ac:dyDescent="0.3">
      <c r="L421" s="55">
        <v>790</v>
      </c>
      <c r="M421" s="274">
        <f t="shared" si="80"/>
        <v>0</v>
      </c>
      <c r="N421" s="275">
        <f t="shared" si="80"/>
        <v>0</v>
      </c>
      <c r="O421" s="276" t="e">
        <f ca="1"/>
        <v>#N/A</v>
      </c>
      <c r="Q421" s="34">
        <v>0</v>
      </c>
      <c r="R421" s="24">
        <v>0</v>
      </c>
      <c r="S421" s="24">
        <v>0</v>
      </c>
      <c r="T421" s="24">
        <v>0</v>
      </c>
      <c r="U421" s="24">
        <f t="array" ref="U421">IF(U$77&gt;" ",(U$628:U$1078),"")</f>
        <v>0</v>
      </c>
      <c r="V421" s="24">
        <f t="array" ref="V421">IF(V$77&gt;" ",(V$628:V$1078),"")</f>
        <v>0</v>
      </c>
      <c r="W421" s="24">
        <f t="array" ref="W421">IF(W$77&gt;" ",(W$628:W$1078),"")</f>
        <v>0</v>
      </c>
      <c r="X421" s="24">
        <f t="array" ref="X421">IF(X$77&gt;" ",(X$628:X$1078),"")</f>
        <v>0</v>
      </c>
      <c r="Y421" s="21">
        <v>0</v>
      </c>
      <c r="Z421" s="34">
        <f t="shared" si="73"/>
        <v>0</v>
      </c>
      <c r="AA421" s="24">
        <f t="shared" si="74"/>
        <v>0</v>
      </c>
      <c r="AB421" s="24">
        <f t="shared" si="75"/>
        <v>0</v>
      </c>
      <c r="AC421" s="24">
        <f t="shared" si="76"/>
        <v>0</v>
      </c>
      <c r="AD421" s="24">
        <f t="shared" si="81"/>
        <v>0</v>
      </c>
      <c r="AE421" s="24">
        <f t="shared" si="81"/>
        <v>0</v>
      </c>
      <c r="AF421" s="24">
        <f t="shared" si="81"/>
        <v>0</v>
      </c>
      <c r="AG421" s="24">
        <f t="shared" si="79"/>
        <v>0</v>
      </c>
      <c r="AH421" s="24">
        <f t="shared" si="71"/>
        <v>0</v>
      </c>
      <c r="AI421" s="24">
        <f t="shared" si="77"/>
        <v>0</v>
      </c>
      <c r="AJ421" s="261">
        <f t="shared" si="78"/>
        <v>0</v>
      </c>
      <c r="AK421" s="13"/>
      <c r="AL421" s="100">
        <v>790</v>
      </c>
      <c r="AM421" s="202"/>
      <c r="AN421" s="200"/>
      <c r="AO421" s="200"/>
      <c r="AP421" s="283">
        <v>1.0880000000000001</v>
      </c>
      <c r="AR421" s="222">
        <v>96.686262471439065</v>
      </c>
      <c r="AS421" s="223">
        <v>96.716975031246861</v>
      </c>
      <c r="AT421" s="223">
        <v>94.963478861725093</v>
      </c>
      <c r="AU421" s="223">
        <v>95.209034980422231</v>
      </c>
      <c r="AV421" s="223">
        <v>98.582999999999998</v>
      </c>
      <c r="AW421" s="224">
        <v>82.466999999999999</v>
      </c>
      <c r="AX421" s="42"/>
      <c r="AY421" s="181"/>
      <c r="AZ421" s="197"/>
    </row>
    <row r="422" spans="12:52" ht="13" thickBot="1" x14ac:dyDescent="0.3">
      <c r="L422" s="55">
        <v>785</v>
      </c>
      <c r="M422" s="274">
        <f t="shared" si="80"/>
        <v>0</v>
      </c>
      <c r="N422" s="275">
        <f t="shared" si="80"/>
        <v>0</v>
      </c>
      <c r="O422" s="276" t="e">
        <f ca="1"/>
        <v>#N/A</v>
      </c>
      <c r="Q422" s="34">
        <v>0</v>
      </c>
      <c r="R422" s="24">
        <v>0</v>
      </c>
      <c r="S422" s="24">
        <v>0</v>
      </c>
      <c r="T422" s="24">
        <v>0</v>
      </c>
      <c r="U422" s="24">
        <f t="array" ref="U422">IF(U$77&gt;" ",(U$628:U$1078),"")</f>
        <v>0</v>
      </c>
      <c r="V422" s="24">
        <f t="array" ref="V422">IF(V$77&gt;" ",(V$628:V$1078),"")</f>
        <v>0</v>
      </c>
      <c r="W422" s="24">
        <f t="array" ref="W422">IF(W$77&gt;" ",(W$628:W$1078),"")</f>
        <v>0</v>
      </c>
      <c r="X422" s="24">
        <f t="array" ref="X422">IF(X$77&gt;" ",(X$628:X$1078),"")</f>
        <v>0</v>
      </c>
      <c r="Y422" s="21">
        <v>0</v>
      </c>
      <c r="Z422" s="34">
        <f t="shared" si="73"/>
        <v>0</v>
      </c>
      <c r="AA422" s="24">
        <f t="shared" si="74"/>
        <v>0</v>
      </c>
      <c r="AB422" s="24">
        <f t="shared" si="75"/>
        <v>0</v>
      </c>
      <c r="AC422" s="24">
        <f t="shared" si="76"/>
        <v>0</v>
      </c>
      <c r="AD422" s="24">
        <f t="shared" si="81"/>
        <v>0</v>
      </c>
      <c r="AE422" s="24">
        <f t="shared" si="81"/>
        <v>0</v>
      </c>
      <c r="AF422" s="24">
        <f t="shared" si="81"/>
        <v>0</v>
      </c>
      <c r="AG422" s="24">
        <f t="shared" si="79"/>
        <v>0</v>
      </c>
      <c r="AH422" s="24">
        <f t="shared" si="71"/>
        <v>0</v>
      </c>
      <c r="AI422" s="24">
        <f t="shared" si="77"/>
        <v>0</v>
      </c>
      <c r="AJ422" s="261">
        <f t="shared" si="78"/>
        <v>0</v>
      </c>
      <c r="AK422" s="13"/>
      <c r="AL422" s="100">
        <v>785</v>
      </c>
      <c r="AM422" s="202"/>
      <c r="AN422" s="200"/>
      <c r="AO422" s="200"/>
      <c r="AP422" s="284">
        <v>1.155</v>
      </c>
      <c r="AR422" s="222">
        <v>96.68306826237</v>
      </c>
      <c r="AS422" s="223">
        <v>96.756808969256141</v>
      </c>
      <c r="AT422" s="223">
        <v>94.947567645505231</v>
      </c>
      <c r="AU422" s="223">
        <v>95.202058712678436</v>
      </c>
      <c r="AV422" s="223">
        <v>98.584499999999991</v>
      </c>
      <c r="AW422" s="224">
        <v>82.6875</v>
      </c>
      <c r="AX422" s="42"/>
      <c r="AY422" s="181"/>
      <c r="AZ422" s="197"/>
    </row>
    <row r="423" spans="12:52" ht="13" thickBot="1" x14ac:dyDescent="0.3">
      <c r="L423" s="55">
        <v>780</v>
      </c>
      <c r="M423" s="274">
        <f t="shared" si="80"/>
        <v>0</v>
      </c>
      <c r="N423" s="275">
        <f t="shared" si="80"/>
        <v>0</v>
      </c>
      <c r="O423" s="276" t="e">
        <f ca="1"/>
        <v>#N/A</v>
      </c>
      <c r="Q423" s="34">
        <v>0</v>
      </c>
      <c r="R423" s="24">
        <v>0</v>
      </c>
      <c r="S423" s="24">
        <v>0</v>
      </c>
      <c r="T423" s="24">
        <v>0</v>
      </c>
      <c r="U423" s="24">
        <f t="array" ref="U423">IF(U$77&gt;" ",(U$628:U$1078),"")</f>
        <v>0</v>
      </c>
      <c r="V423" s="24">
        <f t="array" ref="V423">IF(V$77&gt;" ",(V$628:V$1078),"")</f>
        <v>0</v>
      </c>
      <c r="W423" s="24">
        <f t="array" ref="W423">IF(W$77&gt;" ",(W$628:W$1078),"")</f>
        <v>0</v>
      </c>
      <c r="X423" s="24">
        <f t="array" ref="X423">IF(X$77&gt;" ",(X$628:X$1078),"")</f>
        <v>0</v>
      </c>
      <c r="Y423" s="21">
        <v>0</v>
      </c>
      <c r="Z423" s="34">
        <f t="shared" si="73"/>
        <v>0</v>
      </c>
      <c r="AA423" s="24">
        <f t="shared" si="74"/>
        <v>0</v>
      </c>
      <c r="AB423" s="24">
        <f t="shared" si="75"/>
        <v>0</v>
      </c>
      <c r="AC423" s="24">
        <f t="shared" si="76"/>
        <v>0</v>
      </c>
      <c r="AD423" s="24">
        <f t="shared" si="81"/>
        <v>0</v>
      </c>
      <c r="AE423" s="24">
        <f t="shared" si="81"/>
        <v>0</v>
      </c>
      <c r="AF423" s="24">
        <f t="shared" si="81"/>
        <v>0</v>
      </c>
      <c r="AG423" s="24">
        <f t="shared" si="79"/>
        <v>0</v>
      </c>
      <c r="AH423" s="24">
        <f t="shared" si="71"/>
        <v>0</v>
      </c>
      <c r="AI423" s="24">
        <f t="shared" si="77"/>
        <v>0</v>
      </c>
      <c r="AJ423" s="261">
        <f t="shared" si="78"/>
        <v>0</v>
      </c>
      <c r="AK423" s="13"/>
      <c r="AL423" s="100">
        <v>780</v>
      </c>
      <c r="AM423" s="202"/>
      <c r="AN423" s="200"/>
      <c r="AO423" s="200"/>
      <c r="AP423" s="283">
        <v>1.1599999999999999</v>
      </c>
      <c r="AR423" s="222">
        <v>96.693456373099295</v>
      </c>
      <c r="AS423" s="223">
        <v>96.791404746683725</v>
      </c>
      <c r="AT423" s="223">
        <v>94.934118782713767</v>
      </c>
      <c r="AU423" s="223">
        <v>95.192054100844089</v>
      </c>
      <c r="AV423" s="223">
        <v>98.585999999999999</v>
      </c>
      <c r="AW423" s="224">
        <v>82.908000000000001</v>
      </c>
      <c r="AX423" s="42"/>
      <c r="AY423" s="181"/>
      <c r="AZ423" s="197"/>
    </row>
    <row r="424" spans="12:52" ht="13" thickBot="1" x14ac:dyDescent="0.3">
      <c r="L424" s="55">
        <v>775</v>
      </c>
      <c r="M424" s="274">
        <f t="shared" si="80"/>
        <v>0</v>
      </c>
      <c r="N424" s="275">
        <f t="shared" si="80"/>
        <v>0</v>
      </c>
      <c r="O424" s="276" t="e">
        <f ca="1"/>
        <v>#N/A</v>
      </c>
      <c r="Q424" s="34">
        <v>0</v>
      </c>
      <c r="R424" s="24">
        <v>0</v>
      </c>
      <c r="S424" s="24">
        <v>0</v>
      </c>
      <c r="T424" s="24">
        <v>0</v>
      </c>
      <c r="U424" s="24">
        <f t="array" ref="U424">IF(U$77&gt;" ",(U$628:U$1078),"")</f>
        <v>0</v>
      </c>
      <c r="V424" s="24">
        <f t="array" ref="V424">IF(V$77&gt;" ",(V$628:V$1078),"")</f>
        <v>0</v>
      </c>
      <c r="W424" s="24">
        <f t="array" ref="W424">IF(W$77&gt;" ",(W$628:W$1078),"")</f>
        <v>0</v>
      </c>
      <c r="X424" s="24">
        <f t="array" ref="X424">IF(X$77&gt;" ",(X$628:X$1078),"")</f>
        <v>0</v>
      </c>
      <c r="Y424" s="21">
        <v>0</v>
      </c>
      <c r="Z424" s="34">
        <f t="shared" si="73"/>
        <v>0</v>
      </c>
      <c r="AA424" s="24">
        <f t="shared" si="74"/>
        <v>0</v>
      </c>
      <c r="AB424" s="24">
        <f t="shared" si="75"/>
        <v>0</v>
      </c>
      <c r="AC424" s="24">
        <f t="shared" si="76"/>
        <v>0</v>
      </c>
      <c r="AD424" s="24">
        <f t="shared" si="81"/>
        <v>0</v>
      </c>
      <c r="AE424" s="24">
        <f t="shared" si="81"/>
        <v>0</v>
      </c>
      <c r="AF424" s="24">
        <f t="shared" si="81"/>
        <v>0</v>
      </c>
      <c r="AG424" s="24">
        <f t="shared" si="79"/>
        <v>0</v>
      </c>
      <c r="AH424" s="24">
        <f t="shared" si="71"/>
        <v>0</v>
      </c>
      <c r="AI424" s="24">
        <f t="shared" si="77"/>
        <v>0</v>
      </c>
      <c r="AJ424" s="261">
        <f t="shared" si="78"/>
        <v>0</v>
      </c>
      <c r="AK424" s="13"/>
      <c r="AL424" s="100">
        <v>775</v>
      </c>
      <c r="AM424" s="202"/>
      <c r="AN424" s="200"/>
      <c r="AO424" s="200"/>
      <c r="AP424" s="284">
        <v>1.1739999999999999</v>
      </c>
      <c r="AR424" s="222">
        <v>96.677145401428234</v>
      </c>
      <c r="AS424" s="223">
        <v>96.737718079260659</v>
      </c>
      <c r="AT424" s="223">
        <v>95.037507359366472</v>
      </c>
      <c r="AU424" s="223">
        <v>95.2805373465484</v>
      </c>
      <c r="AV424" s="223">
        <v>98.584499999999991</v>
      </c>
      <c r="AW424" s="224">
        <v>83.121499999999997</v>
      </c>
      <c r="AX424" s="42"/>
      <c r="AY424" s="181"/>
      <c r="AZ424" s="197"/>
    </row>
    <row r="425" spans="12:52" ht="13" thickBot="1" x14ac:dyDescent="0.3">
      <c r="L425" s="55">
        <v>770</v>
      </c>
      <c r="M425" s="274">
        <f t="shared" si="80"/>
        <v>0</v>
      </c>
      <c r="N425" s="275">
        <f t="shared" si="80"/>
        <v>0</v>
      </c>
      <c r="O425" s="276" t="e">
        <f ca="1"/>
        <v>#N/A</v>
      </c>
      <c r="Q425" s="34">
        <v>0</v>
      </c>
      <c r="R425" s="24">
        <v>0</v>
      </c>
      <c r="S425" s="24">
        <v>0</v>
      </c>
      <c r="T425" s="24">
        <v>0</v>
      </c>
      <c r="U425" s="24">
        <f t="array" ref="U425">IF(U$77&gt;" ",(U$628:U$1078),"")</f>
        <v>0</v>
      </c>
      <c r="V425" s="24">
        <f t="array" ref="V425">IF(V$77&gt;" ",(V$628:V$1078),"")</f>
        <v>0</v>
      </c>
      <c r="W425" s="24">
        <f t="array" ref="W425">IF(W$77&gt;" ",(W$628:W$1078),"")</f>
        <v>0</v>
      </c>
      <c r="X425" s="24">
        <f t="array" ref="X425">IF(X$77&gt;" ",(X$628:X$1078),"")</f>
        <v>0</v>
      </c>
      <c r="Y425" s="21">
        <v>0</v>
      </c>
      <c r="Z425" s="34">
        <f t="shared" si="73"/>
        <v>0</v>
      </c>
      <c r="AA425" s="24">
        <f t="shared" si="74"/>
        <v>0</v>
      </c>
      <c r="AB425" s="24">
        <f t="shared" si="75"/>
        <v>0</v>
      </c>
      <c r="AC425" s="24">
        <f t="shared" si="76"/>
        <v>0</v>
      </c>
      <c r="AD425" s="24">
        <f t="shared" si="81"/>
        <v>0</v>
      </c>
      <c r="AE425" s="24">
        <f t="shared" si="81"/>
        <v>0</v>
      </c>
      <c r="AF425" s="24">
        <f t="shared" si="81"/>
        <v>0</v>
      </c>
      <c r="AG425" s="24">
        <f t="shared" si="79"/>
        <v>0</v>
      </c>
      <c r="AH425" s="24">
        <f t="shared" si="71"/>
        <v>0</v>
      </c>
      <c r="AI425" s="24">
        <f t="shared" si="77"/>
        <v>0</v>
      </c>
      <c r="AJ425" s="261">
        <f t="shared" si="78"/>
        <v>0</v>
      </c>
      <c r="AK425" s="13"/>
      <c r="AL425" s="100">
        <v>770</v>
      </c>
      <c r="AM425" s="202"/>
      <c r="AN425" s="200"/>
      <c r="AO425" s="200"/>
      <c r="AP425" s="283">
        <v>1.157</v>
      </c>
      <c r="AR425" s="222">
        <v>96.68443860826018</v>
      </c>
      <c r="AS425" s="223">
        <v>96.736544689681651</v>
      </c>
      <c r="AT425" s="223">
        <v>95.126180161566708</v>
      </c>
      <c r="AU425" s="223">
        <v>95.370549317599583</v>
      </c>
      <c r="AV425" s="223">
        <v>98.582999999999998</v>
      </c>
      <c r="AW425" s="224">
        <v>83.334999999999994</v>
      </c>
      <c r="AX425" s="42"/>
      <c r="AY425" s="181"/>
      <c r="AZ425" s="197"/>
    </row>
    <row r="426" spans="12:52" ht="13" thickBot="1" x14ac:dyDescent="0.3">
      <c r="L426" s="55">
        <v>765</v>
      </c>
      <c r="M426" s="274">
        <f t="shared" si="80"/>
        <v>0</v>
      </c>
      <c r="N426" s="275">
        <f t="shared" si="80"/>
        <v>0</v>
      </c>
      <c r="O426" s="276" t="e">
        <f ca="1"/>
        <v>#N/A</v>
      </c>
      <c r="Q426" s="34">
        <v>0</v>
      </c>
      <c r="R426" s="24">
        <v>0</v>
      </c>
      <c r="S426" s="24">
        <v>0</v>
      </c>
      <c r="T426" s="24">
        <v>0</v>
      </c>
      <c r="U426" s="24">
        <f t="array" ref="U426">IF(U$77&gt;" ",(U$628:U$1078),"")</f>
        <v>0</v>
      </c>
      <c r="V426" s="24">
        <f t="array" ref="V426">IF(V$77&gt;" ",(V$628:V$1078),"")</f>
        <v>0</v>
      </c>
      <c r="W426" s="24">
        <f t="array" ref="W426">IF(W$77&gt;" ",(W$628:W$1078),"")</f>
        <v>0</v>
      </c>
      <c r="X426" s="24">
        <f t="array" ref="X426">IF(X$77&gt;" ",(X$628:X$1078),"")</f>
        <v>0</v>
      </c>
      <c r="Y426" s="21">
        <v>0</v>
      </c>
      <c r="Z426" s="34">
        <f t="shared" si="73"/>
        <v>0</v>
      </c>
      <c r="AA426" s="24">
        <f t="shared" si="74"/>
        <v>0</v>
      </c>
      <c r="AB426" s="24">
        <f t="shared" si="75"/>
        <v>0</v>
      </c>
      <c r="AC426" s="24">
        <f t="shared" si="76"/>
        <v>0</v>
      </c>
      <c r="AD426" s="24">
        <f t="shared" si="81"/>
        <v>0</v>
      </c>
      <c r="AE426" s="24">
        <f t="shared" si="81"/>
        <v>0</v>
      </c>
      <c r="AF426" s="24">
        <f t="shared" si="81"/>
        <v>0</v>
      </c>
      <c r="AG426" s="24">
        <f t="shared" si="79"/>
        <v>0</v>
      </c>
      <c r="AH426" s="24">
        <f t="shared" si="71"/>
        <v>0</v>
      </c>
      <c r="AI426" s="24">
        <f t="shared" si="77"/>
        <v>0</v>
      </c>
      <c r="AJ426" s="261">
        <f t="shared" si="78"/>
        <v>0</v>
      </c>
      <c r="AK426" s="13"/>
      <c r="AL426" s="100">
        <v>765</v>
      </c>
      <c r="AM426" s="202"/>
      <c r="AN426" s="200"/>
      <c r="AO426" s="200"/>
      <c r="AP426" s="284">
        <v>0.68400000000000005</v>
      </c>
      <c r="AR426" s="222">
        <v>96.632031383361053</v>
      </c>
      <c r="AS426" s="223">
        <v>96.729896514263785</v>
      </c>
      <c r="AT426" s="223">
        <v>95.122160947276825</v>
      </c>
      <c r="AU426" s="223">
        <v>95.36827594217975</v>
      </c>
      <c r="AV426" s="223">
        <v>98.582000000000008</v>
      </c>
      <c r="AW426" s="224">
        <v>83.533500000000004</v>
      </c>
      <c r="AX426" s="42"/>
      <c r="AY426" s="181"/>
      <c r="AZ426" s="197"/>
    </row>
    <row r="427" spans="12:52" ht="13" thickBot="1" x14ac:dyDescent="0.3">
      <c r="L427" s="55">
        <v>760</v>
      </c>
      <c r="M427" s="274">
        <f t="shared" si="80"/>
        <v>0</v>
      </c>
      <c r="N427" s="275">
        <f t="shared" si="80"/>
        <v>0</v>
      </c>
      <c r="O427" s="276" t="e">
        <f ca="1"/>
        <v>#N/A</v>
      </c>
      <c r="Q427" s="34">
        <v>0</v>
      </c>
      <c r="R427" s="24">
        <v>0</v>
      </c>
      <c r="S427" s="24">
        <v>0</v>
      </c>
      <c r="T427" s="24">
        <v>0</v>
      </c>
      <c r="U427" s="24">
        <f t="array" ref="U427">IF(U$77&gt;" ",(U$628:U$1078),"")</f>
        <v>0</v>
      </c>
      <c r="V427" s="24">
        <f t="array" ref="V427">IF(V$77&gt;" ",(V$628:V$1078),"")</f>
        <v>0</v>
      </c>
      <c r="W427" s="24">
        <f t="array" ref="W427">IF(W$77&gt;" ",(W$628:W$1078),"")</f>
        <v>0</v>
      </c>
      <c r="X427" s="24">
        <f t="array" ref="X427">IF(X$77&gt;" ",(X$628:X$1078),"")</f>
        <v>0</v>
      </c>
      <c r="Y427" s="21">
        <v>0</v>
      </c>
      <c r="Z427" s="34">
        <f t="shared" si="73"/>
        <v>0</v>
      </c>
      <c r="AA427" s="24">
        <f t="shared" si="74"/>
        <v>0</v>
      </c>
      <c r="AB427" s="24">
        <f t="shared" si="75"/>
        <v>0</v>
      </c>
      <c r="AC427" s="24">
        <f t="shared" si="76"/>
        <v>0</v>
      </c>
      <c r="AD427" s="24">
        <f t="shared" si="81"/>
        <v>0</v>
      </c>
      <c r="AE427" s="24">
        <f t="shared" si="81"/>
        <v>0</v>
      </c>
      <c r="AF427" s="24">
        <f t="shared" si="81"/>
        <v>0</v>
      </c>
      <c r="AG427" s="24">
        <f t="shared" si="79"/>
        <v>0</v>
      </c>
      <c r="AH427" s="24">
        <f t="shared" si="71"/>
        <v>0</v>
      </c>
      <c r="AI427" s="24">
        <f t="shared" si="77"/>
        <v>0</v>
      </c>
      <c r="AJ427" s="261">
        <f t="shared" si="78"/>
        <v>0</v>
      </c>
      <c r="AK427" s="13"/>
      <c r="AL427" s="100">
        <v>760</v>
      </c>
      <c r="AM427" s="202"/>
      <c r="AN427" s="200"/>
      <c r="AO427" s="200"/>
      <c r="AP427" s="283">
        <v>0.26529999999999998</v>
      </c>
      <c r="AR427" s="222">
        <v>96.638507862152267</v>
      </c>
      <c r="AS427" s="223">
        <v>96.710805026072137</v>
      </c>
      <c r="AT427" s="223">
        <v>95.131360861483486</v>
      </c>
      <c r="AU427" s="223">
        <v>95.390753811110429</v>
      </c>
      <c r="AV427" s="223">
        <v>98.581000000000003</v>
      </c>
      <c r="AW427" s="224">
        <v>83.731999999999999</v>
      </c>
      <c r="AX427" s="42"/>
      <c r="AY427" s="181"/>
      <c r="AZ427" s="197"/>
    </row>
    <row r="428" spans="12:52" ht="13" thickBot="1" x14ac:dyDescent="0.3">
      <c r="L428" s="55">
        <v>755</v>
      </c>
      <c r="M428" s="274">
        <f t="shared" si="80"/>
        <v>0</v>
      </c>
      <c r="N428" s="275">
        <f t="shared" si="80"/>
        <v>0</v>
      </c>
      <c r="O428" s="276" t="e">
        <f ca="1"/>
        <v>#N/A</v>
      </c>
      <c r="Q428" s="34">
        <v>0</v>
      </c>
      <c r="R428" s="24">
        <v>0</v>
      </c>
      <c r="S428" s="24">
        <v>0</v>
      </c>
      <c r="T428" s="24">
        <v>0</v>
      </c>
      <c r="U428" s="24">
        <f t="array" ref="U428">IF(U$77&gt;" ",(U$628:U$1078),"")</f>
        <v>0</v>
      </c>
      <c r="V428" s="24">
        <f t="array" ref="V428">IF(V$77&gt;" ",(V$628:V$1078),"")</f>
        <v>0</v>
      </c>
      <c r="W428" s="24">
        <f t="array" ref="W428">IF(W$77&gt;" ",(W$628:W$1078),"")</f>
        <v>0</v>
      </c>
      <c r="X428" s="24">
        <f t="array" ref="X428">IF(X$77&gt;" ",(X$628:X$1078),"")</f>
        <v>0</v>
      </c>
      <c r="Y428" s="21">
        <v>0</v>
      </c>
      <c r="Z428" s="34">
        <f t="shared" si="73"/>
        <v>0</v>
      </c>
      <c r="AA428" s="24">
        <f t="shared" si="74"/>
        <v>0</v>
      </c>
      <c r="AB428" s="24">
        <f t="shared" si="75"/>
        <v>0</v>
      </c>
      <c r="AC428" s="24">
        <f t="shared" si="76"/>
        <v>0</v>
      </c>
      <c r="AD428" s="24">
        <f t="shared" si="81"/>
        <v>0</v>
      </c>
      <c r="AE428" s="24">
        <f t="shared" si="81"/>
        <v>0</v>
      </c>
      <c r="AF428" s="24">
        <f t="shared" si="81"/>
        <v>0</v>
      </c>
      <c r="AG428" s="24">
        <f t="shared" si="79"/>
        <v>0</v>
      </c>
      <c r="AH428" s="24">
        <f t="shared" si="71"/>
        <v>0</v>
      </c>
      <c r="AI428" s="24">
        <f t="shared" si="77"/>
        <v>0</v>
      </c>
      <c r="AJ428" s="261">
        <f t="shared" si="78"/>
        <v>0</v>
      </c>
      <c r="AK428" s="13"/>
      <c r="AL428" s="100">
        <v>755</v>
      </c>
      <c r="AM428" s="202"/>
      <c r="AN428" s="200"/>
      <c r="AO428" s="200"/>
      <c r="AP428" s="284">
        <v>1.2350000000000001</v>
      </c>
      <c r="AR428" s="222">
        <v>96.642062968993585</v>
      </c>
      <c r="AS428" s="223">
        <v>96.67218753258264</v>
      </c>
      <c r="AT428" s="223">
        <v>95.16512333634337</v>
      </c>
      <c r="AU428" s="223">
        <v>95.428173557215132</v>
      </c>
      <c r="AV428" s="223">
        <v>98.578000000000003</v>
      </c>
      <c r="AW428" s="224">
        <v>83.917000000000002</v>
      </c>
      <c r="AX428" s="42"/>
      <c r="AY428" s="181"/>
      <c r="AZ428" s="197"/>
    </row>
    <row r="429" spans="12:52" ht="13" thickBot="1" x14ac:dyDescent="0.3">
      <c r="L429" s="55">
        <v>750</v>
      </c>
      <c r="M429" s="274">
        <f t="shared" si="80"/>
        <v>0</v>
      </c>
      <c r="N429" s="275">
        <f t="shared" si="80"/>
        <v>0</v>
      </c>
      <c r="O429" s="276" t="e">
        <f ca="1"/>
        <v>#N/A</v>
      </c>
      <c r="Q429" s="34">
        <v>0</v>
      </c>
      <c r="R429" s="24">
        <v>0</v>
      </c>
      <c r="S429" s="24">
        <v>0</v>
      </c>
      <c r="T429" s="24">
        <v>0</v>
      </c>
      <c r="U429" s="24">
        <f t="array" ref="U429">IF(U$77&gt;" ",(U$628:U$1078),"")</f>
        <v>0</v>
      </c>
      <c r="V429" s="24">
        <f t="array" ref="V429">IF(V$77&gt;" ",(V$628:V$1078),"")</f>
        <v>0</v>
      </c>
      <c r="W429" s="24">
        <f t="array" ref="W429">IF(W$77&gt;" ",(W$628:W$1078),"")</f>
        <v>0</v>
      </c>
      <c r="X429" s="24">
        <f t="array" ref="X429">IF(X$77&gt;" ",(X$628:X$1078),"")</f>
        <v>0</v>
      </c>
      <c r="Y429" s="21">
        <v>0</v>
      </c>
      <c r="Z429" s="34">
        <f t="shared" si="73"/>
        <v>0</v>
      </c>
      <c r="AA429" s="24">
        <f t="shared" si="74"/>
        <v>0</v>
      </c>
      <c r="AB429" s="24">
        <f t="shared" si="75"/>
        <v>0</v>
      </c>
      <c r="AC429" s="24">
        <f t="shared" si="76"/>
        <v>0</v>
      </c>
      <c r="AD429" s="24">
        <f t="shared" si="81"/>
        <v>0</v>
      </c>
      <c r="AE429" s="24">
        <f t="shared" si="81"/>
        <v>0</v>
      </c>
      <c r="AF429" s="24">
        <f t="shared" si="81"/>
        <v>0</v>
      </c>
      <c r="AG429" s="24">
        <f t="shared" si="79"/>
        <v>0</v>
      </c>
      <c r="AH429" s="24">
        <f t="shared" si="71"/>
        <v>0</v>
      </c>
      <c r="AI429" s="24">
        <f t="shared" si="77"/>
        <v>0</v>
      </c>
      <c r="AJ429" s="261">
        <f t="shared" si="78"/>
        <v>0</v>
      </c>
      <c r="AK429" s="13"/>
      <c r="AL429" s="100">
        <v>750</v>
      </c>
      <c r="AM429" s="202"/>
      <c r="AN429" s="200"/>
      <c r="AO429" s="200"/>
      <c r="AP429" s="283">
        <v>1.2310000000000001</v>
      </c>
      <c r="AR429" s="222">
        <v>96.601545066247354</v>
      </c>
      <c r="AS429" s="223">
        <v>96.643766092047599</v>
      </c>
      <c r="AT429" s="223">
        <v>95.218458981059811</v>
      </c>
      <c r="AU429" s="223">
        <v>95.471316327510991</v>
      </c>
      <c r="AV429" s="223">
        <v>98.575000000000003</v>
      </c>
      <c r="AW429" s="224">
        <v>84.102000000000004</v>
      </c>
      <c r="AX429" s="42"/>
      <c r="AY429" s="181"/>
      <c r="AZ429" s="197"/>
    </row>
    <row r="430" spans="12:52" ht="13" thickBot="1" x14ac:dyDescent="0.3">
      <c r="L430" s="55">
        <v>745</v>
      </c>
      <c r="M430" s="274">
        <f t="shared" si="80"/>
        <v>0</v>
      </c>
      <c r="N430" s="275">
        <f t="shared" si="80"/>
        <v>0</v>
      </c>
      <c r="O430" s="276" t="e">
        <f ca="1"/>
        <v>#N/A</v>
      </c>
      <c r="Q430" s="34">
        <v>0</v>
      </c>
      <c r="R430" s="24">
        <v>0</v>
      </c>
      <c r="S430" s="24">
        <v>0</v>
      </c>
      <c r="T430" s="24">
        <v>0</v>
      </c>
      <c r="U430" s="24">
        <f t="array" ref="U430">IF(U$77&gt;" ",(U$628:U$1078),"")</f>
        <v>0</v>
      </c>
      <c r="V430" s="24">
        <f t="array" ref="V430">IF(V$77&gt;" ",(V$628:V$1078),"")</f>
        <v>0</v>
      </c>
      <c r="W430" s="24">
        <f t="array" ref="W430">IF(W$77&gt;" ",(W$628:W$1078),"")</f>
        <v>0</v>
      </c>
      <c r="X430" s="24">
        <f t="array" ref="X430">IF(X$77&gt;" ",(X$628:X$1078),"")</f>
        <v>0</v>
      </c>
      <c r="Y430" s="21">
        <v>0</v>
      </c>
      <c r="Z430" s="34">
        <f t="shared" si="73"/>
        <v>0</v>
      </c>
      <c r="AA430" s="24">
        <f t="shared" si="74"/>
        <v>0</v>
      </c>
      <c r="AB430" s="24">
        <f t="shared" si="75"/>
        <v>0</v>
      </c>
      <c r="AC430" s="24">
        <f t="shared" si="76"/>
        <v>0</v>
      </c>
      <c r="AD430" s="24">
        <f t="shared" si="81"/>
        <v>0</v>
      </c>
      <c r="AE430" s="24">
        <f t="shared" si="81"/>
        <v>0</v>
      </c>
      <c r="AF430" s="24">
        <f t="shared" si="81"/>
        <v>0</v>
      </c>
      <c r="AG430" s="24">
        <f t="shared" si="79"/>
        <v>0</v>
      </c>
      <c r="AH430" s="24">
        <f t="shared" si="71"/>
        <v>0</v>
      </c>
      <c r="AI430" s="24">
        <f t="shared" si="77"/>
        <v>0</v>
      </c>
      <c r="AJ430" s="261">
        <f t="shared" si="78"/>
        <v>0</v>
      </c>
      <c r="AK430" s="13"/>
      <c r="AL430" s="100">
        <v>745</v>
      </c>
      <c r="AM430" s="202"/>
      <c r="AN430" s="200"/>
      <c r="AO430" s="200"/>
      <c r="AP430" s="284">
        <v>1.246</v>
      </c>
      <c r="AR430" s="222">
        <v>96.586356197017892</v>
      </c>
      <c r="AS430" s="223">
        <v>96.70445064984898</v>
      </c>
      <c r="AT430" s="223">
        <v>95.224401067677604</v>
      </c>
      <c r="AU430" s="223">
        <v>95.48843916054507</v>
      </c>
      <c r="AV430" s="223">
        <v>98.572500000000005</v>
      </c>
      <c r="AW430" s="224">
        <v>84.260999999999996</v>
      </c>
      <c r="AX430" s="42"/>
      <c r="AY430" s="181"/>
      <c r="AZ430" s="197"/>
    </row>
    <row r="431" spans="12:52" ht="13" thickBot="1" x14ac:dyDescent="0.3">
      <c r="L431" s="55">
        <v>740</v>
      </c>
      <c r="M431" s="274">
        <f t="shared" ref="M431:N446" si="82">M980</f>
        <v>0</v>
      </c>
      <c r="N431" s="275">
        <f t="shared" si="82"/>
        <v>0</v>
      </c>
      <c r="O431" s="276" t="e">
        <f ca="1"/>
        <v>#N/A</v>
      </c>
      <c r="Q431" s="34">
        <v>0</v>
      </c>
      <c r="R431" s="24">
        <v>0</v>
      </c>
      <c r="S431" s="24">
        <v>0</v>
      </c>
      <c r="T431" s="24">
        <v>0</v>
      </c>
      <c r="U431" s="24">
        <f t="array" ref="U431">IF(U$77&gt;" ",(U$628:U$1078),"")</f>
        <v>0</v>
      </c>
      <c r="V431" s="24">
        <f t="array" ref="V431">IF(V$77&gt;" ",(V$628:V$1078),"")</f>
        <v>0</v>
      </c>
      <c r="W431" s="24">
        <f t="array" ref="W431">IF(W$77&gt;" ",(W$628:W$1078),"")</f>
        <v>0</v>
      </c>
      <c r="X431" s="24">
        <f t="array" ref="X431">IF(X$77&gt;" ",(X$628:X$1078),"")</f>
        <v>0</v>
      </c>
      <c r="Y431" s="21">
        <v>0</v>
      </c>
      <c r="Z431" s="34">
        <f t="shared" si="73"/>
        <v>0</v>
      </c>
      <c r="AA431" s="24">
        <f t="shared" si="74"/>
        <v>0</v>
      </c>
      <c r="AB431" s="24">
        <f t="shared" si="75"/>
        <v>0</v>
      </c>
      <c r="AC431" s="24">
        <f t="shared" si="76"/>
        <v>0</v>
      </c>
      <c r="AD431" s="24">
        <f t="shared" si="81"/>
        <v>0</v>
      </c>
      <c r="AE431" s="24">
        <f t="shared" si="81"/>
        <v>0</v>
      </c>
      <c r="AF431" s="24">
        <f t="shared" si="81"/>
        <v>0</v>
      </c>
      <c r="AG431" s="24">
        <f t="shared" si="79"/>
        <v>0</v>
      </c>
      <c r="AH431" s="24">
        <f t="shared" si="71"/>
        <v>0</v>
      </c>
      <c r="AI431" s="24">
        <f t="shared" si="77"/>
        <v>0</v>
      </c>
      <c r="AJ431" s="261">
        <f t="shared" si="78"/>
        <v>0</v>
      </c>
      <c r="AK431" s="13"/>
      <c r="AL431" s="100">
        <v>740</v>
      </c>
      <c r="AM431" s="202"/>
      <c r="AN431" s="200"/>
      <c r="AO431" s="200"/>
      <c r="AP431" s="283">
        <v>1.216</v>
      </c>
      <c r="AR431" s="222">
        <v>96.590261454331127</v>
      </c>
      <c r="AS431" s="223">
        <v>96.690758227896296</v>
      </c>
      <c r="AT431" s="223">
        <v>95.213974144682538</v>
      </c>
      <c r="AU431" s="223">
        <v>95.467608974460049</v>
      </c>
      <c r="AV431" s="223">
        <v>98.57</v>
      </c>
      <c r="AW431" s="224">
        <v>84.42</v>
      </c>
      <c r="AX431" s="42"/>
      <c r="AY431" s="181"/>
      <c r="AZ431" s="197"/>
    </row>
    <row r="432" spans="12:52" ht="13" thickBot="1" x14ac:dyDescent="0.3">
      <c r="L432" s="55">
        <v>735</v>
      </c>
      <c r="M432" s="274">
        <f t="shared" si="82"/>
        <v>0</v>
      </c>
      <c r="N432" s="275">
        <f t="shared" si="82"/>
        <v>0</v>
      </c>
      <c r="O432" s="276" t="e">
        <f ca="1"/>
        <v>#N/A</v>
      </c>
      <c r="Q432" s="34">
        <v>0</v>
      </c>
      <c r="R432" s="24">
        <v>0</v>
      </c>
      <c r="S432" s="24">
        <v>0</v>
      </c>
      <c r="T432" s="24">
        <v>0</v>
      </c>
      <c r="U432" s="24">
        <f t="array" ref="U432">IF(U$77&gt;" ",(U$628:U$1078),"")</f>
        <v>0</v>
      </c>
      <c r="V432" s="24">
        <f t="array" ref="V432">IF(V$77&gt;" ",(V$628:V$1078),"")</f>
        <v>0</v>
      </c>
      <c r="W432" s="24">
        <f t="array" ref="W432">IF(W$77&gt;" ",(W$628:W$1078),"")</f>
        <v>0</v>
      </c>
      <c r="X432" s="24">
        <f t="array" ref="X432">IF(X$77&gt;" ",(X$628:X$1078),"")</f>
        <v>0</v>
      </c>
      <c r="Y432" s="21">
        <v>0</v>
      </c>
      <c r="Z432" s="34">
        <f t="shared" si="73"/>
        <v>0</v>
      </c>
      <c r="AA432" s="24">
        <f t="shared" si="74"/>
        <v>0</v>
      </c>
      <c r="AB432" s="24">
        <f t="shared" si="75"/>
        <v>0</v>
      </c>
      <c r="AC432" s="24">
        <f t="shared" si="76"/>
        <v>0</v>
      </c>
      <c r="AD432" s="24">
        <f t="shared" si="81"/>
        <v>0</v>
      </c>
      <c r="AE432" s="24">
        <f t="shared" si="81"/>
        <v>0</v>
      </c>
      <c r="AF432" s="24">
        <f t="shared" si="81"/>
        <v>0</v>
      </c>
      <c r="AG432" s="24">
        <f t="shared" si="79"/>
        <v>0</v>
      </c>
      <c r="AH432" s="24">
        <f t="shared" si="71"/>
        <v>0</v>
      </c>
      <c r="AI432" s="24">
        <f t="shared" si="77"/>
        <v>0</v>
      </c>
      <c r="AJ432" s="261">
        <f t="shared" si="78"/>
        <v>0</v>
      </c>
      <c r="AK432" s="13"/>
      <c r="AL432" s="100">
        <v>735</v>
      </c>
      <c r="AM432" s="202"/>
      <c r="AN432" s="200"/>
      <c r="AO432" s="200"/>
      <c r="AP432" s="284">
        <v>1.214</v>
      </c>
      <c r="AR432" s="222">
        <v>96.592787592704497</v>
      </c>
      <c r="AS432" s="223">
        <v>96.645125851875719</v>
      </c>
      <c r="AT432" s="223">
        <v>95.236085143288676</v>
      </c>
      <c r="AU432" s="223">
        <v>95.489489014061675</v>
      </c>
      <c r="AV432" s="223">
        <v>98.564499999999995</v>
      </c>
      <c r="AW432" s="224">
        <v>84.557500000000005</v>
      </c>
      <c r="AX432" s="42"/>
      <c r="AY432" s="181"/>
      <c r="AZ432" s="197"/>
    </row>
    <row r="433" spans="4:52" ht="13" thickBot="1" x14ac:dyDescent="0.3">
      <c r="L433" s="55">
        <v>730</v>
      </c>
      <c r="M433" s="274">
        <f t="shared" si="82"/>
        <v>0</v>
      </c>
      <c r="N433" s="275">
        <f t="shared" si="82"/>
        <v>0</v>
      </c>
      <c r="O433" s="276" t="e">
        <f ca="1"/>
        <v>#N/A</v>
      </c>
      <c r="Q433" s="34">
        <v>0</v>
      </c>
      <c r="R433" s="24">
        <v>0</v>
      </c>
      <c r="S433" s="24">
        <v>0</v>
      </c>
      <c r="T433" s="24">
        <v>0</v>
      </c>
      <c r="U433" s="24">
        <f t="array" ref="U433">IF(U$77&gt;" ",(U$628:U$1078),"")</f>
        <v>0</v>
      </c>
      <c r="V433" s="24">
        <f t="array" ref="V433">IF(V$77&gt;" ",(V$628:V$1078),"")</f>
        <v>0</v>
      </c>
      <c r="W433" s="24">
        <f t="array" ref="W433">IF(W$77&gt;" ",(W$628:W$1078),"")</f>
        <v>0</v>
      </c>
      <c r="X433" s="24">
        <f t="array" ref="X433">IF(X$77&gt;" ",(X$628:X$1078),"")</f>
        <v>0</v>
      </c>
      <c r="Y433" s="21">
        <v>0</v>
      </c>
      <c r="Z433" s="34">
        <f t="shared" si="73"/>
        <v>0</v>
      </c>
      <c r="AA433" s="24">
        <f t="shared" si="74"/>
        <v>0</v>
      </c>
      <c r="AB433" s="24">
        <f t="shared" si="75"/>
        <v>0</v>
      </c>
      <c r="AC433" s="24">
        <f t="shared" si="76"/>
        <v>0</v>
      </c>
      <c r="AD433" s="24">
        <f t="shared" si="81"/>
        <v>0</v>
      </c>
      <c r="AE433" s="24">
        <f t="shared" si="81"/>
        <v>0</v>
      </c>
      <c r="AF433" s="24">
        <f t="shared" si="81"/>
        <v>0</v>
      </c>
      <c r="AG433" s="24">
        <f t="shared" si="79"/>
        <v>0</v>
      </c>
      <c r="AH433" s="24">
        <f t="shared" si="71"/>
        <v>0</v>
      </c>
      <c r="AI433" s="24">
        <f t="shared" si="77"/>
        <v>0</v>
      </c>
      <c r="AJ433" s="261">
        <f t="shared" si="78"/>
        <v>0</v>
      </c>
      <c r="AK433" s="13"/>
      <c r="AL433" s="100">
        <v>730</v>
      </c>
      <c r="AM433" s="202"/>
      <c r="AN433" s="200"/>
      <c r="AO433" s="200"/>
      <c r="AP433" s="283">
        <v>1.125</v>
      </c>
      <c r="AR433" s="222">
        <v>96.572739688257954</v>
      </c>
      <c r="AS433" s="223">
        <v>96.629374210283004</v>
      </c>
      <c r="AT433" s="223">
        <v>95.272510359313287</v>
      </c>
      <c r="AU433" s="223">
        <v>95.528556979665154</v>
      </c>
      <c r="AV433" s="223">
        <v>98.558999999999997</v>
      </c>
      <c r="AW433" s="224">
        <v>84.694999999999993</v>
      </c>
      <c r="AX433" s="42"/>
      <c r="AY433" s="181"/>
      <c r="AZ433" s="197"/>
    </row>
    <row r="434" spans="4:52" ht="13" thickBot="1" x14ac:dyDescent="0.3">
      <c r="L434" s="55">
        <v>725</v>
      </c>
      <c r="M434" s="274">
        <f t="shared" si="82"/>
        <v>0</v>
      </c>
      <c r="N434" s="275">
        <f t="shared" si="82"/>
        <v>0</v>
      </c>
      <c r="O434" s="276" t="e">
        <f ca="1"/>
        <v>#N/A</v>
      </c>
      <c r="Q434" s="34">
        <v>0</v>
      </c>
      <c r="R434" s="24">
        <v>0</v>
      </c>
      <c r="S434" s="24">
        <v>0</v>
      </c>
      <c r="T434" s="24">
        <v>0</v>
      </c>
      <c r="U434" s="24">
        <f t="array" ref="U434">IF(U$77&gt;" ",(U$628:U$1078),"")</f>
        <v>0</v>
      </c>
      <c r="V434" s="24">
        <f t="array" ref="V434">IF(V$77&gt;" ",(V$628:V$1078),"")</f>
        <v>0</v>
      </c>
      <c r="W434" s="24">
        <f t="array" ref="W434">IF(W$77&gt;" ",(W$628:W$1078),"")</f>
        <v>0</v>
      </c>
      <c r="X434" s="24">
        <f t="array" ref="X434">IF(X$77&gt;" ",(X$628:X$1078),"")</f>
        <v>0</v>
      </c>
      <c r="Y434" s="21">
        <v>0</v>
      </c>
      <c r="Z434" s="34">
        <f t="shared" si="73"/>
        <v>0</v>
      </c>
      <c r="AA434" s="24">
        <f t="shared" si="74"/>
        <v>0</v>
      </c>
      <c r="AB434" s="24">
        <f t="shared" si="75"/>
        <v>0</v>
      </c>
      <c r="AC434" s="24">
        <f t="shared" si="76"/>
        <v>0</v>
      </c>
      <c r="AD434" s="24">
        <f t="shared" si="81"/>
        <v>0</v>
      </c>
      <c r="AE434" s="24">
        <f t="shared" si="81"/>
        <v>0</v>
      </c>
      <c r="AF434" s="24">
        <f t="shared" si="81"/>
        <v>0</v>
      </c>
      <c r="AG434" s="24">
        <f t="shared" si="79"/>
        <v>0</v>
      </c>
      <c r="AH434" s="24">
        <f t="shared" si="71"/>
        <v>0</v>
      </c>
      <c r="AI434" s="24">
        <f t="shared" si="77"/>
        <v>0</v>
      </c>
      <c r="AJ434" s="261">
        <f t="shared" si="78"/>
        <v>0</v>
      </c>
      <c r="AK434" s="13"/>
      <c r="AL434" s="100">
        <v>725</v>
      </c>
      <c r="AM434" s="202"/>
      <c r="AN434" s="200"/>
      <c r="AO434" s="200"/>
      <c r="AP434" s="284">
        <v>1.0349999999999999</v>
      </c>
      <c r="AR434" s="222">
        <v>96.573363462925371</v>
      </c>
      <c r="AS434" s="223">
        <v>96.586851585830416</v>
      </c>
      <c r="AT434" s="223">
        <v>95.29347658919778</v>
      </c>
      <c r="AU434" s="223">
        <v>95.543089097594404</v>
      </c>
      <c r="AV434" s="223">
        <v>98.554000000000002</v>
      </c>
      <c r="AW434" s="224">
        <v>84.82</v>
      </c>
      <c r="AX434" s="42"/>
      <c r="AY434" s="181"/>
      <c r="AZ434" s="197"/>
    </row>
    <row r="435" spans="4:52" ht="13" thickBot="1" x14ac:dyDescent="0.3">
      <c r="L435" s="55">
        <v>720</v>
      </c>
      <c r="M435" s="274">
        <f t="shared" si="82"/>
        <v>0</v>
      </c>
      <c r="N435" s="275">
        <f t="shared" si="82"/>
        <v>0</v>
      </c>
      <c r="O435" s="276" t="e">
        <f ca="1"/>
        <v>#N/A</v>
      </c>
      <c r="Q435" s="34">
        <v>0</v>
      </c>
      <c r="R435" s="24">
        <v>0</v>
      </c>
      <c r="S435" s="24">
        <v>0</v>
      </c>
      <c r="T435" s="24">
        <v>0</v>
      </c>
      <c r="U435" s="24">
        <f t="array" ref="U435">IF(U$77&gt;" ",(U$628:U$1078),"")</f>
        <v>0</v>
      </c>
      <c r="V435" s="24">
        <f t="array" ref="V435">IF(V$77&gt;" ",(V$628:V$1078),"")</f>
        <v>0</v>
      </c>
      <c r="W435" s="24">
        <f t="array" ref="W435">IF(W$77&gt;" ",(W$628:W$1078),"")</f>
        <v>0</v>
      </c>
      <c r="X435" s="24">
        <f t="array" ref="X435">IF(X$77&gt;" ",(X$628:X$1078),"")</f>
        <v>0</v>
      </c>
      <c r="Y435" s="21">
        <v>0</v>
      </c>
      <c r="Z435" s="34">
        <f t="shared" si="73"/>
        <v>0</v>
      </c>
      <c r="AA435" s="24">
        <f t="shared" si="74"/>
        <v>0</v>
      </c>
      <c r="AB435" s="24">
        <f t="shared" si="75"/>
        <v>0</v>
      </c>
      <c r="AC435" s="24">
        <f t="shared" si="76"/>
        <v>0</v>
      </c>
      <c r="AD435" s="24">
        <f t="shared" si="81"/>
        <v>0</v>
      </c>
      <c r="AE435" s="24">
        <f t="shared" si="81"/>
        <v>0</v>
      </c>
      <c r="AF435" s="24">
        <f t="shared" si="81"/>
        <v>0</v>
      </c>
      <c r="AG435" s="24">
        <f t="shared" si="79"/>
        <v>0</v>
      </c>
      <c r="AH435" s="24">
        <f t="shared" si="71"/>
        <v>0</v>
      </c>
      <c r="AI435" s="24">
        <f t="shared" si="77"/>
        <v>0</v>
      </c>
      <c r="AJ435" s="261">
        <f t="shared" si="78"/>
        <v>0</v>
      </c>
      <c r="AK435" s="13"/>
      <c r="AL435" s="100">
        <v>720</v>
      </c>
      <c r="AM435" s="202"/>
      <c r="AN435" s="200"/>
      <c r="AO435" s="200"/>
      <c r="AP435" s="283">
        <v>0.98260000000000003</v>
      </c>
      <c r="AR435" s="222">
        <v>96.540888378931811</v>
      </c>
      <c r="AS435" s="223">
        <v>96.584486063860297</v>
      </c>
      <c r="AT435" s="223">
        <v>95.299657764695823</v>
      </c>
      <c r="AU435" s="223">
        <v>95.551277096418104</v>
      </c>
      <c r="AV435" s="223">
        <v>98.548999999999992</v>
      </c>
      <c r="AW435" s="224">
        <v>84.944999999999993</v>
      </c>
      <c r="AX435" s="42"/>
      <c r="AY435" s="181"/>
      <c r="AZ435" s="197"/>
    </row>
    <row r="436" spans="4:52" ht="13" thickBot="1" x14ac:dyDescent="0.3">
      <c r="L436" s="55">
        <v>715</v>
      </c>
      <c r="M436" s="274">
        <f t="shared" si="82"/>
        <v>0</v>
      </c>
      <c r="N436" s="275">
        <f t="shared" si="82"/>
        <v>0</v>
      </c>
      <c r="O436" s="276" t="e">
        <f ca="1"/>
        <v>#N/A</v>
      </c>
      <c r="Q436" s="34">
        <v>0</v>
      </c>
      <c r="R436" s="24">
        <v>0</v>
      </c>
      <c r="S436" s="24">
        <v>0</v>
      </c>
      <c r="T436" s="24">
        <v>0</v>
      </c>
      <c r="U436" s="24">
        <f t="array" ref="U436">IF(U$77&gt;" ",(U$628:U$1078),"")</f>
        <v>0</v>
      </c>
      <c r="V436" s="24">
        <f t="array" ref="V436">IF(V$77&gt;" ",(V$628:V$1078),"")</f>
        <v>0</v>
      </c>
      <c r="W436" s="24">
        <f t="array" ref="W436">IF(W$77&gt;" ",(W$628:W$1078),"")</f>
        <v>0</v>
      </c>
      <c r="X436" s="24">
        <f t="array" ref="X436">IF(X$77&gt;" ",(X$628:X$1078),"")</f>
        <v>0</v>
      </c>
      <c r="Y436" s="21">
        <v>0</v>
      </c>
      <c r="Z436" s="34">
        <f t="shared" si="73"/>
        <v>0</v>
      </c>
      <c r="AA436" s="24">
        <f t="shared" si="74"/>
        <v>0</v>
      </c>
      <c r="AB436" s="24">
        <f t="shared" si="75"/>
        <v>0</v>
      </c>
      <c r="AC436" s="24">
        <f t="shared" si="76"/>
        <v>0</v>
      </c>
      <c r="AD436" s="24">
        <f t="shared" si="81"/>
        <v>0</v>
      </c>
      <c r="AE436" s="24">
        <f t="shared" si="81"/>
        <v>0</v>
      </c>
      <c r="AF436" s="24">
        <f t="shared" si="81"/>
        <v>0</v>
      </c>
      <c r="AG436" s="24">
        <f t="shared" si="79"/>
        <v>0</v>
      </c>
      <c r="AH436" s="24">
        <f t="shared" si="71"/>
        <v>0</v>
      </c>
      <c r="AI436" s="24">
        <f t="shared" si="77"/>
        <v>0</v>
      </c>
      <c r="AJ436" s="261">
        <f t="shared" si="78"/>
        <v>0</v>
      </c>
      <c r="AK436" s="13"/>
      <c r="AL436" s="100">
        <v>715</v>
      </c>
      <c r="AM436" s="202"/>
      <c r="AN436" s="200"/>
      <c r="AO436" s="200"/>
      <c r="AP436" s="284">
        <v>1.2549999999999999</v>
      </c>
      <c r="AR436" s="222">
        <v>96.517685374572579</v>
      </c>
      <c r="AS436" s="223">
        <v>96.590086509059617</v>
      </c>
      <c r="AT436" s="223">
        <v>95.322136879873071</v>
      </c>
      <c r="AU436" s="223">
        <v>95.575273404539359</v>
      </c>
      <c r="AV436" s="223">
        <v>98.541499999999999</v>
      </c>
      <c r="AW436" s="224">
        <v>85.06</v>
      </c>
      <c r="AX436" s="42"/>
      <c r="AY436" s="181"/>
      <c r="AZ436" s="197"/>
    </row>
    <row r="437" spans="4:52" ht="13" thickBot="1" x14ac:dyDescent="0.3">
      <c r="L437" s="55">
        <v>710</v>
      </c>
      <c r="M437" s="274">
        <f t="shared" si="82"/>
        <v>0</v>
      </c>
      <c r="N437" s="275">
        <f t="shared" si="82"/>
        <v>0</v>
      </c>
      <c r="O437" s="276" t="e">
        <f ca="1"/>
        <v>#N/A</v>
      </c>
      <c r="Q437" s="34">
        <v>0</v>
      </c>
      <c r="R437" s="24">
        <v>0</v>
      </c>
      <c r="S437" s="24">
        <v>0</v>
      </c>
      <c r="T437" s="24">
        <v>0</v>
      </c>
      <c r="U437" s="24">
        <f t="array" ref="U437">IF(U$77&gt;" ",(U$628:U$1078),"")</f>
        <v>0</v>
      </c>
      <c r="V437" s="24">
        <f t="array" ref="V437">IF(V$77&gt;" ",(V$628:V$1078),"")</f>
        <v>0</v>
      </c>
      <c r="W437" s="24">
        <f t="array" ref="W437">IF(W$77&gt;" ",(W$628:W$1078),"")</f>
        <v>0</v>
      </c>
      <c r="X437" s="24">
        <f t="array" ref="X437">IF(X$77&gt;" ",(X$628:X$1078),"")</f>
        <v>0</v>
      </c>
      <c r="Y437" s="21">
        <v>0</v>
      </c>
      <c r="Z437" s="34">
        <f t="shared" si="73"/>
        <v>0</v>
      </c>
      <c r="AA437" s="24">
        <f t="shared" si="74"/>
        <v>0</v>
      </c>
      <c r="AB437" s="24">
        <f t="shared" si="75"/>
        <v>0</v>
      </c>
      <c r="AC437" s="24">
        <f t="shared" si="76"/>
        <v>0</v>
      </c>
      <c r="AD437" s="24">
        <f t="shared" si="81"/>
        <v>0</v>
      </c>
      <c r="AE437" s="24">
        <f t="shared" si="81"/>
        <v>0</v>
      </c>
      <c r="AF437" s="24">
        <f t="shared" si="81"/>
        <v>0</v>
      </c>
      <c r="AG437" s="24">
        <f t="shared" si="79"/>
        <v>0</v>
      </c>
      <c r="AH437" s="24">
        <f t="shared" ref="AH437:AH487" si="83">Y437</f>
        <v>0</v>
      </c>
      <c r="AI437" s="24">
        <f t="shared" si="77"/>
        <v>0</v>
      </c>
      <c r="AJ437" s="261">
        <f t="shared" si="78"/>
        <v>0</v>
      </c>
      <c r="AK437" s="13"/>
      <c r="AL437" s="100">
        <v>710</v>
      </c>
      <c r="AM437" s="202"/>
      <c r="AN437" s="200"/>
      <c r="AO437" s="200"/>
      <c r="AP437" s="283">
        <v>1.3140000000000001</v>
      </c>
      <c r="AR437" s="222">
        <v>96.513013280452697</v>
      </c>
      <c r="AS437" s="223">
        <v>96.572079121734944</v>
      </c>
      <c r="AT437" s="223">
        <v>95.348206057742132</v>
      </c>
      <c r="AU437" s="223">
        <v>95.602413112693128</v>
      </c>
      <c r="AV437" s="223">
        <v>98.534000000000006</v>
      </c>
      <c r="AW437" s="224">
        <v>85.174999999999997</v>
      </c>
      <c r="AX437" s="42"/>
      <c r="AY437" s="181"/>
      <c r="AZ437" s="197"/>
    </row>
    <row r="438" spans="4:52" ht="13" thickBot="1" x14ac:dyDescent="0.3">
      <c r="L438" s="55">
        <v>705</v>
      </c>
      <c r="M438" s="274">
        <f t="shared" si="82"/>
        <v>0</v>
      </c>
      <c r="N438" s="275">
        <f t="shared" si="82"/>
        <v>0</v>
      </c>
      <c r="O438" s="276" t="e">
        <f ca="1"/>
        <v>#N/A</v>
      </c>
      <c r="Q438" s="34">
        <v>0</v>
      </c>
      <c r="R438" s="24">
        <v>0</v>
      </c>
      <c r="S438" s="24">
        <v>0</v>
      </c>
      <c r="T438" s="24">
        <v>0</v>
      </c>
      <c r="U438" s="24">
        <f t="array" ref="U438">IF(U$77&gt;" ",(U$628:U$1078),"")</f>
        <v>0</v>
      </c>
      <c r="V438" s="24">
        <f t="array" ref="V438">IF(V$77&gt;" ",(V$628:V$1078),"")</f>
        <v>0</v>
      </c>
      <c r="W438" s="24">
        <f t="array" ref="W438">IF(W$77&gt;" ",(W$628:W$1078),"")</f>
        <v>0</v>
      </c>
      <c r="X438" s="24">
        <f t="array" ref="X438">IF(X$77&gt;" ",(X$628:X$1078),"")</f>
        <v>0</v>
      </c>
      <c r="Y438" s="21">
        <v>0</v>
      </c>
      <c r="Z438" s="34">
        <f t="shared" si="73"/>
        <v>0</v>
      </c>
      <c r="AA438" s="24">
        <f t="shared" si="74"/>
        <v>0</v>
      </c>
      <c r="AB438" s="24">
        <f t="shared" si="75"/>
        <v>0</v>
      </c>
      <c r="AC438" s="24">
        <f t="shared" si="76"/>
        <v>0</v>
      </c>
      <c r="AD438" s="24">
        <f t="shared" si="81"/>
        <v>0</v>
      </c>
      <c r="AE438" s="24">
        <f t="shared" si="81"/>
        <v>0</v>
      </c>
      <c r="AF438" s="24">
        <f t="shared" si="81"/>
        <v>0</v>
      </c>
      <c r="AG438" s="24">
        <f t="shared" si="79"/>
        <v>0</v>
      </c>
      <c r="AH438" s="24">
        <f t="shared" si="83"/>
        <v>0</v>
      </c>
      <c r="AI438" s="24">
        <f t="shared" si="77"/>
        <v>0</v>
      </c>
      <c r="AJ438" s="261">
        <f t="shared" si="78"/>
        <v>0</v>
      </c>
      <c r="AK438" s="13"/>
      <c r="AL438" s="100">
        <v>705</v>
      </c>
      <c r="AM438" s="202"/>
      <c r="AN438" s="200"/>
      <c r="AO438" s="200"/>
      <c r="AP438" s="284">
        <v>1.3180000000000001</v>
      </c>
      <c r="AR438" s="222">
        <v>96.472066720497978</v>
      </c>
      <c r="AS438" s="223">
        <v>96.524560549928879</v>
      </c>
      <c r="AT438" s="223">
        <v>95.352653670700263</v>
      </c>
      <c r="AU438" s="223">
        <v>95.606487641423087</v>
      </c>
      <c r="AV438" s="223">
        <v>98.528499999999994</v>
      </c>
      <c r="AW438" s="224">
        <v>85.267499999999998</v>
      </c>
      <c r="AX438" s="42"/>
      <c r="AY438" s="181"/>
      <c r="AZ438" s="197"/>
    </row>
    <row r="439" spans="4:52" ht="13" thickBot="1" x14ac:dyDescent="0.3">
      <c r="L439" s="55">
        <v>700</v>
      </c>
      <c r="M439" s="274">
        <f t="shared" si="82"/>
        <v>0</v>
      </c>
      <c r="N439" s="275">
        <f t="shared" si="82"/>
        <v>0</v>
      </c>
      <c r="O439" s="276" t="e">
        <f ca="1"/>
        <v>#N/A</v>
      </c>
      <c r="Q439" s="34">
        <v>0</v>
      </c>
      <c r="R439" s="24">
        <v>0</v>
      </c>
      <c r="S439" s="24">
        <v>0</v>
      </c>
      <c r="T439" s="24">
        <v>0</v>
      </c>
      <c r="U439" s="24">
        <f t="array" ref="U439">IF(U$77&gt;" ",(U$628:U$1078),"")</f>
        <v>0</v>
      </c>
      <c r="V439" s="24">
        <f t="array" ref="V439">IF(V$77&gt;" ",(V$628:V$1078),"")</f>
        <v>0</v>
      </c>
      <c r="W439" s="24">
        <f t="array" ref="W439">IF(W$77&gt;" ",(W$628:W$1078),"")</f>
        <v>0</v>
      </c>
      <c r="X439" s="24">
        <f t="array" ref="X439">IF(X$77&gt;" ",(X$628:X$1078),"")</f>
        <v>0</v>
      </c>
      <c r="Y439" s="21">
        <v>0</v>
      </c>
      <c r="Z439" s="34">
        <f t="shared" si="73"/>
        <v>0</v>
      </c>
      <c r="AA439" s="24">
        <f t="shared" si="74"/>
        <v>0</v>
      </c>
      <c r="AB439" s="24">
        <f t="shared" si="75"/>
        <v>0</v>
      </c>
      <c r="AC439" s="24">
        <f t="shared" si="76"/>
        <v>0</v>
      </c>
      <c r="AD439" s="24">
        <f t="shared" si="81"/>
        <v>0</v>
      </c>
      <c r="AE439" s="24">
        <f t="shared" si="81"/>
        <v>0</v>
      </c>
      <c r="AF439" s="24">
        <f t="shared" si="81"/>
        <v>0</v>
      </c>
      <c r="AG439" s="24">
        <f t="shared" si="79"/>
        <v>0</v>
      </c>
      <c r="AH439" s="24">
        <f t="shared" si="83"/>
        <v>0</v>
      </c>
      <c r="AI439" s="24">
        <f t="shared" si="77"/>
        <v>0</v>
      </c>
      <c r="AJ439" s="261">
        <f t="shared" si="78"/>
        <v>0</v>
      </c>
      <c r="AK439" s="13"/>
      <c r="AL439" s="100">
        <v>700</v>
      </c>
      <c r="AM439" s="202"/>
      <c r="AN439" s="200"/>
      <c r="AO439" s="200"/>
      <c r="AP439" s="283">
        <v>1.2789999999999999</v>
      </c>
      <c r="AR439" s="222">
        <v>96.468555232259305</v>
      </c>
      <c r="AS439" s="223">
        <v>96.488324375645831</v>
      </c>
      <c r="AT439" s="223">
        <v>95.374402489603298</v>
      </c>
      <c r="AU439" s="223">
        <v>95.631870263934175</v>
      </c>
      <c r="AV439" s="223">
        <v>98.52300000000001</v>
      </c>
      <c r="AW439" s="224">
        <v>85.36</v>
      </c>
      <c r="AX439" s="42"/>
      <c r="AY439" s="181"/>
      <c r="AZ439" s="197"/>
    </row>
    <row r="440" spans="4:52" ht="13" thickBot="1" x14ac:dyDescent="0.3">
      <c r="L440" s="55">
        <v>695</v>
      </c>
      <c r="M440" s="274">
        <f t="shared" si="82"/>
        <v>0</v>
      </c>
      <c r="N440" s="275">
        <f t="shared" si="82"/>
        <v>0</v>
      </c>
      <c r="O440" s="276" t="e">
        <f ca="1"/>
        <v>#N/A</v>
      </c>
      <c r="Q440" s="34">
        <v>0</v>
      </c>
      <c r="R440" s="24">
        <v>0</v>
      </c>
      <c r="S440" s="24">
        <v>0</v>
      </c>
      <c r="T440" s="24">
        <v>0</v>
      </c>
      <c r="U440" s="24">
        <f t="array" ref="U440">IF(U$77&gt;" ",(U$628:U$1078),"")</f>
        <v>0</v>
      </c>
      <c r="V440" s="24">
        <f t="array" ref="V440">IF(V$77&gt;" ",(V$628:V$1078),"")</f>
        <v>0</v>
      </c>
      <c r="W440" s="24">
        <f t="array" ref="W440">IF(W$77&gt;" ",(W$628:W$1078),"")</f>
        <v>0</v>
      </c>
      <c r="X440" s="24">
        <f t="array" ref="X440">IF(X$77&gt;" ",(X$628:X$1078),"")</f>
        <v>0</v>
      </c>
      <c r="Y440" s="21">
        <v>0</v>
      </c>
      <c r="Z440" s="34">
        <f t="shared" si="73"/>
        <v>0</v>
      </c>
      <c r="AA440" s="24">
        <f t="shared" si="74"/>
        <v>0</v>
      </c>
      <c r="AB440" s="24">
        <f t="shared" si="75"/>
        <v>0</v>
      </c>
      <c r="AC440" s="24">
        <f t="shared" si="76"/>
        <v>0</v>
      </c>
      <c r="AD440" s="24">
        <f t="shared" si="81"/>
        <v>0</v>
      </c>
      <c r="AE440" s="24">
        <f t="shared" si="81"/>
        <v>0</v>
      </c>
      <c r="AF440" s="24">
        <f t="shared" si="81"/>
        <v>0</v>
      </c>
      <c r="AG440" s="24">
        <f t="shared" si="79"/>
        <v>0</v>
      </c>
      <c r="AH440" s="24">
        <f t="shared" si="83"/>
        <v>0</v>
      </c>
      <c r="AI440" s="24">
        <f t="shared" si="77"/>
        <v>0</v>
      </c>
      <c r="AJ440" s="261">
        <f t="shared" si="78"/>
        <v>0</v>
      </c>
      <c r="AK440" s="13"/>
      <c r="AL440" s="100">
        <v>695</v>
      </c>
      <c r="AM440" s="202"/>
      <c r="AN440" s="200"/>
      <c r="AO440" s="200"/>
      <c r="AP440" s="284">
        <v>1.268</v>
      </c>
      <c r="AR440" s="222">
        <v>96.467134073369564</v>
      </c>
      <c r="AS440" s="223">
        <v>96.491510729811225</v>
      </c>
      <c r="AT440" s="223">
        <v>95.408083468814496</v>
      </c>
      <c r="AU440" s="223">
        <v>95.676926497990394</v>
      </c>
      <c r="AV440" s="223">
        <v>98.513499999999993</v>
      </c>
      <c r="AW440" s="224">
        <v>85.4465</v>
      </c>
      <c r="AX440" s="42"/>
      <c r="AY440" s="181"/>
      <c r="AZ440" s="197"/>
    </row>
    <row r="441" spans="4:52" ht="13" thickBot="1" x14ac:dyDescent="0.3">
      <c r="L441" s="55">
        <v>690</v>
      </c>
      <c r="M441" s="274">
        <f t="shared" si="82"/>
        <v>0</v>
      </c>
      <c r="N441" s="275">
        <f t="shared" si="82"/>
        <v>0</v>
      </c>
      <c r="O441" s="276" t="e">
        <f ca="1"/>
        <v>#N/A</v>
      </c>
      <c r="Q441" s="34">
        <v>0</v>
      </c>
      <c r="R441" s="24">
        <v>0</v>
      </c>
      <c r="S441" s="24">
        <v>0</v>
      </c>
      <c r="T441" s="24">
        <v>0</v>
      </c>
      <c r="U441" s="24">
        <f t="array" ref="U441">IF(U$77&gt;" ",(U$628:U$1078),"")</f>
        <v>0</v>
      </c>
      <c r="V441" s="24">
        <f t="array" ref="V441">IF(V$77&gt;" ",(V$628:V$1078),"")</f>
        <v>0</v>
      </c>
      <c r="W441" s="24">
        <f t="array" ref="W441">IF(W$77&gt;" ",(W$628:W$1078),"")</f>
        <v>0</v>
      </c>
      <c r="X441" s="24">
        <f t="array" ref="X441">IF(X$77&gt;" ",(X$628:X$1078),"")</f>
        <v>0</v>
      </c>
      <c r="Y441" s="21">
        <v>0</v>
      </c>
      <c r="Z441" s="34">
        <f t="shared" si="73"/>
        <v>0</v>
      </c>
      <c r="AA441" s="24">
        <f t="shared" si="74"/>
        <v>0</v>
      </c>
      <c r="AB441" s="24">
        <f t="shared" si="75"/>
        <v>0</v>
      </c>
      <c r="AC441" s="24">
        <f t="shared" si="76"/>
        <v>0</v>
      </c>
      <c r="AD441" s="24">
        <f t="shared" si="81"/>
        <v>0</v>
      </c>
      <c r="AE441" s="24">
        <f t="shared" si="81"/>
        <v>0</v>
      </c>
      <c r="AF441" s="24">
        <f t="shared" si="81"/>
        <v>0</v>
      </c>
      <c r="AG441" s="24">
        <f t="shared" si="79"/>
        <v>0</v>
      </c>
      <c r="AH441" s="24">
        <f t="shared" si="83"/>
        <v>0</v>
      </c>
      <c r="AI441" s="24">
        <f t="shared" si="77"/>
        <v>0</v>
      </c>
      <c r="AJ441" s="261">
        <f t="shared" si="78"/>
        <v>0</v>
      </c>
      <c r="AK441" s="13"/>
      <c r="AL441" s="100">
        <v>690</v>
      </c>
      <c r="AM441" s="202"/>
      <c r="AN441" s="200"/>
      <c r="AO441" s="200"/>
      <c r="AP441" s="283">
        <v>1.179</v>
      </c>
      <c r="AR441" s="222">
        <v>96.445698874009395</v>
      </c>
      <c r="AS441" s="223">
        <v>96.479992149237049</v>
      </c>
      <c r="AT441" s="223">
        <v>95.422435971491552</v>
      </c>
      <c r="AU441" s="223">
        <v>95.687699222101642</v>
      </c>
      <c r="AV441" s="223">
        <v>98.504000000000005</v>
      </c>
      <c r="AW441" s="224">
        <v>85.533000000000001</v>
      </c>
      <c r="AX441" s="42"/>
      <c r="AY441" s="181"/>
      <c r="AZ441" s="197"/>
    </row>
    <row r="442" spans="4:52" ht="13" thickBot="1" x14ac:dyDescent="0.3">
      <c r="L442" s="55">
        <v>685</v>
      </c>
      <c r="M442" s="274">
        <f t="shared" si="82"/>
        <v>0</v>
      </c>
      <c r="N442" s="275">
        <f t="shared" si="82"/>
        <v>0</v>
      </c>
      <c r="O442" s="276" t="e">
        <f ca="1"/>
        <v>#N/A</v>
      </c>
      <c r="Q442" s="34">
        <v>0</v>
      </c>
      <c r="R442" s="24">
        <v>0</v>
      </c>
      <c r="S442" s="24">
        <v>0</v>
      </c>
      <c r="T442" s="24">
        <v>0</v>
      </c>
      <c r="U442" s="24">
        <f t="array" ref="U442">IF(U$77&gt;" ",(U$628:U$1078),"")</f>
        <v>0</v>
      </c>
      <c r="V442" s="24">
        <f t="array" ref="V442">IF(V$77&gt;" ",(V$628:V$1078),"")</f>
        <v>0</v>
      </c>
      <c r="W442" s="24">
        <f t="array" ref="W442">IF(W$77&gt;" ",(W$628:W$1078),"")</f>
        <v>0</v>
      </c>
      <c r="X442" s="24">
        <f t="array" ref="X442">IF(X$77&gt;" ",(X$628:X$1078),"")</f>
        <v>0</v>
      </c>
      <c r="Y442" s="21">
        <v>0</v>
      </c>
      <c r="Z442" s="34">
        <f t="shared" si="73"/>
        <v>0</v>
      </c>
      <c r="AA442" s="24">
        <f t="shared" si="74"/>
        <v>0</v>
      </c>
      <c r="AB442" s="24">
        <f t="shared" si="75"/>
        <v>0</v>
      </c>
      <c r="AC442" s="24">
        <f t="shared" si="76"/>
        <v>0</v>
      </c>
      <c r="AD442" s="24">
        <f t="shared" si="81"/>
        <v>0</v>
      </c>
      <c r="AE442" s="24">
        <f t="shared" si="81"/>
        <v>0</v>
      </c>
      <c r="AF442" s="24">
        <f t="shared" si="81"/>
        <v>0</v>
      </c>
      <c r="AG442" s="24">
        <f t="shared" si="79"/>
        <v>0</v>
      </c>
      <c r="AH442" s="24">
        <f t="shared" si="83"/>
        <v>0</v>
      </c>
      <c r="AI442" s="24">
        <f t="shared" si="77"/>
        <v>0</v>
      </c>
      <c r="AJ442" s="261">
        <f t="shared" si="78"/>
        <v>0</v>
      </c>
      <c r="AK442" s="13"/>
      <c r="AL442" s="100">
        <v>685</v>
      </c>
      <c r="AM442" s="202"/>
      <c r="AN442" s="200"/>
      <c r="AO442" s="200"/>
      <c r="AP442" s="284">
        <v>1.371</v>
      </c>
      <c r="AR442" s="222">
        <v>96.416038830495339</v>
      </c>
      <c r="AS442" s="223">
        <v>96.46781305243853</v>
      </c>
      <c r="AT442" s="223">
        <v>95.431449422876426</v>
      </c>
      <c r="AU442" s="223">
        <v>95.707104699219073</v>
      </c>
      <c r="AV442" s="223">
        <v>98.492500000000007</v>
      </c>
      <c r="AW442" s="224">
        <v>85.608499999999992</v>
      </c>
      <c r="AX442" s="42"/>
      <c r="AY442" s="181"/>
      <c r="AZ442" s="197"/>
    </row>
    <row r="443" spans="4:52" ht="13" thickBot="1" x14ac:dyDescent="0.3">
      <c r="L443" s="55">
        <v>680</v>
      </c>
      <c r="M443" s="274">
        <f t="shared" si="82"/>
        <v>0</v>
      </c>
      <c r="N443" s="275">
        <f t="shared" si="82"/>
        <v>0</v>
      </c>
      <c r="O443" s="276" t="e">
        <f ca="1"/>
        <v>#N/A</v>
      </c>
      <c r="Q443" s="34">
        <v>0</v>
      </c>
      <c r="R443" s="24">
        <v>0</v>
      </c>
      <c r="S443" s="24">
        <v>0</v>
      </c>
      <c r="T443" s="24">
        <v>0</v>
      </c>
      <c r="U443" s="24">
        <f t="array" ref="U443">IF(U$77&gt;" ",(U$628:U$1078),"")</f>
        <v>0</v>
      </c>
      <c r="V443" s="24">
        <f t="array" ref="V443">IF(V$77&gt;" ",(V$628:V$1078),"")</f>
        <v>0</v>
      </c>
      <c r="W443" s="24">
        <f t="array" ref="W443">IF(W$77&gt;" ",(W$628:W$1078),"")</f>
        <v>0</v>
      </c>
      <c r="X443" s="24">
        <f t="array" ref="X443">IF(X$77&gt;" ",(X$628:X$1078),"")</f>
        <v>0</v>
      </c>
      <c r="Y443" s="21">
        <v>0</v>
      </c>
      <c r="Z443" s="34">
        <f t="shared" si="73"/>
        <v>0</v>
      </c>
      <c r="AA443" s="24">
        <f t="shared" si="74"/>
        <v>0</v>
      </c>
      <c r="AB443" s="24">
        <f t="shared" si="75"/>
        <v>0</v>
      </c>
      <c r="AC443" s="24">
        <f t="shared" si="76"/>
        <v>0</v>
      </c>
      <c r="AD443" s="24">
        <f t="shared" si="81"/>
        <v>0</v>
      </c>
      <c r="AE443" s="24">
        <f t="shared" si="81"/>
        <v>0</v>
      </c>
      <c r="AF443" s="24">
        <f t="shared" si="81"/>
        <v>0</v>
      </c>
      <c r="AG443" s="24">
        <f t="shared" si="79"/>
        <v>0</v>
      </c>
      <c r="AH443" s="24">
        <f t="shared" si="83"/>
        <v>0</v>
      </c>
      <c r="AI443" s="24">
        <f t="shared" si="77"/>
        <v>0</v>
      </c>
      <c r="AJ443" s="261">
        <f t="shared" si="78"/>
        <v>0</v>
      </c>
      <c r="AK443" s="13"/>
      <c r="AL443" s="100">
        <v>680</v>
      </c>
      <c r="AM443" s="202"/>
      <c r="AN443" s="200"/>
      <c r="AO443" s="200"/>
      <c r="AP443" s="283">
        <v>1.393</v>
      </c>
      <c r="AR443" s="222">
        <v>96.397712733978878</v>
      </c>
      <c r="AS443" s="223">
        <v>96.456647366498558</v>
      </c>
      <c r="AT443" s="223">
        <v>95.434320706792406</v>
      </c>
      <c r="AU443" s="223">
        <v>95.721886194345984</v>
      </c>
      <c r="AV443" s="223">
        <v>98.480999999999995</v>
      </c>
      <c r="AW443" s="224">
        <v>85.683999999999997</v>
      </c>
      <c r="AX443" s="42"/>
      <c r="AY443" s="181"/>
      <c r="AZ443" s="197"/>
    </row>
    <row r="444" spans="4:52" ht="13" thickBot="1" x14ac:dyDescent="0.3">
      <c r="L444" s="55">
        <v>675</v>
      </c>
      <c r="M444" s="274">
        <f t="shared" si="82"/>
        <v>0</v>
      </c>
      <c r="N444" s="275">
        <f t="shared" si="82"/>
        <v>0</v>
      </c>
      <c r="O444" s="276" t="e">
        <f ca="1"/>
        <v>#N/A</v>
      </c>
      <c r="Q444" s="34">
        <v>0</v>
      </c>
      <c r="R444" s="24">
        <v>0</v>
      </c>
      <c r="S444" s="24">
        <v>0</v>
      </c>
      <c r="T444" s="24">
        <v>0</v>
      </c>
      <c r="U444" s="24">
        <f t="array" ref="U444">IF(U$77&gt;" ",(U$628:U$1078),"")</f>
        <v>0</v>
      </c>
      <c r="V444" s="24">
        <f t="array" ref="V444">IF(V$77&gt;" ",(V$628:V$1078),"")</f>
        <v>0</v>
      </c>
      <c r="W444" s="24">
        <f t="array" ref="W444">IF(W$77&gt;" ",(W$628:W$1078),"")</f>
        <v>0</v>
      </c>
      <c r="X444" s="24">
        <f t="array" ref="X444">IF(X$77&gt;" ",(X$628:X$1078),"")</f>
        <v>0</v>
      </c>
      <c r="Y444" s="21">
        <v>0</v>
      </c>
      <c r="Z444" s="34">
        <f t="shared" si="73"/>
        <v>0</v>
      </c>
      <c r="AA444" s="24">
        <f t="shared" si="74"/>
        <v>0</v>
      </c>
      <c r="AB444" s="24">
        <f t="shared" si="75"/>
        <v>0</v>
      </c>
      <c r="AC444" s="24">
        <f t="shared" si="76"/>
        <v>0</v>
      </c>
      <c r="AD444" s="24">
        <f t="shared" si="81"/>
        <v>0</v>
      </c>
      <c r="AE444" s="24">
        <f t="shared" si="81"/>
        <v>0</v>
      </c>
      <c r="AF444" s="24">
        <f t="shared" si="81"/>
        <v>0</v>
      </c>
      <c r="AG444" s="24">
        <f t="shared" si="79"/>
        <v>0</v>
      </c>
      <c r="AH444" s="24">
        <f t="shared" si="83"/>
        <v>0</v>
      </c>
      <c r="AI444" s="24">
        <f t="shared" si="77"/>
        <v>0</v>
      </c>
      <c r="AJ444" s="261">
        <f t="shared" si="78"/>
        <v>0</v>
      </c>
      <c r="AK444" s="13"/>
      <c r="AL444" s="100">
        <v>675</v>
      </c>
      <c r="AM444" s="202"/>
      <c r="AN444" s="200"/>
      <c r="AO444" s="200"/>
      <c r="AP444" s="284">
        <v>1.3919999999999999</v>
      </c>
      <c r="AR444" s="222">
        <v>96.36020030113184</v>
      </c>
      <c r="AS444" s="223">
        <v>96.427235593930092</v>
      </c>
      <c r="AT444" s="223">
        <v>95.416909811920235</v>
      </c>
      <c r="AU444" s="223">
        <v>95.705316696488595</v>
      </c>
      <c r="AV444" s="223">
        <v>98.465000000000003</v>
      </c>
      <c r="AW444" s="224">
        <v>85.748000000000005</v>
      </c>
      <c r="AX444" s="42"/>
      <c r="AY444" s="181"/>
      <c r="AZ444" s="197"/>
    </row>
    <row r="445" spans="4:52" ht="13" thickBot="1" x14ac:dyDescent="0.3">
      <c r="L445" s="55">
        <v>670</v>
      </c>
      <c r="M445" s="274">
        <f t="shared" si="82"/>
        <v>0</v>
      </c>
      <c r="N445" s="275">
        <f t="shared" si="82"/>
        <v>0</v>
      </c>
      <c r="O445" s="276" t="e">
        <f ca="1"/>
        <v>#N/A</v>
      </c>
      <c r="Q445" s="34">
        <v>0</v>
      </c>
      <c r="R445" s="24">
        <v>0</v>
      </c>
      <c r="S445" s="24">
        <v>0</v>
      </c>
      <c r="T445" s="24">
        <v>0</v>
      </c>
      <c r="U445" s="24">
        <f t="array" ref="U445">IF(U$77&gt;" ",(U$628:U$1078),"")</f>
        <v>0</v>
      </c>
      <c r="V445" s="24">
        <f t="array" ref="V445">IF(V$77&gt;" ",(V$628:V$1078),"")</f>
        <v>0</v>
      </c>
      <c r="W445" s="24">
        <f t="array" ref="W445">IF(W$77&gt;" ",(W$628:W$1078),"")</f>
        <v>0</v>
      </c>
      <c r="X445" s="24">
        <f t="array" ref="X445">IF(X$77&gt;" ",(X$628:X$1078),"")</f>
        <v>0</v>
      </c>
      <c r="Y445" s="21">
        <v>0</v>
      </c>
      <c r="Z445" s="34">
        <f t="shared" si="73"/>
        <v>0</v>
      </c>
      <c r="AA445" s="24">
        <f t="shared" si="74"/>
        <v>0</v>
      </c>
      <c r="AB445" s="24">
        <f t="shared" si="75"/>
        <v>0</v>
      </c>
      <c r="AC445" s="24">
        <f t="shared" si="76"/>
        <v>0</v>
      </c>
      <c r="AD445" s="24">
        <f t="shared" si="81"/>
        <v>0</v>
      </c>
      <c r="AE445" s="24">
        <f t="shared" si="81"/>
        <v>0</v>
      </c>
      <c r="AF445" s="24">
        <f t="shared" si="81"/>
        <v>0</v>
      </c>
      <c r="AG445" s="24">
        <f t="shared" si="79"/>
        <v>0</v>
      </c>
      <c r="AH445" s="24">
        <f t="shared" si="83"/>
        <v>0</v>
      </c>
      <c r="AI445" s="24">
        <f t="shared" si="77"/>
        <v>0</v>
      </c>
      <c r="AJ445" s="261">
        <f t="shared" si="78"/>
        <v>0</v>
      </c>
      <c r="AK445" s="13"/>
      <c r="AL445" s="100">
        <v>670</v>
      </c>
      <c r="AM445" s="202"/>
      <c r="AN445" s="200"/>
      <c r="AO445" s="200"/>
      <c r="AP445" s="283">
        <v>1.4159999999999999</v>
      </c>
      <c r="AR445" s="222">
        <v>96.322518476577514</v>
      </c>
      <c r="AS445" s="223">
        <v>96.397180832828795</v>
      </c>
      <c r="AT445" s="223">
        <v>95.429266720257658</v>
      </c>
      <c r="AU445" s="223">
        <v>95.721251483322249</v>
      </c>
      <c r="AV445" s="223">
        <v>98.448999999999998</v>
      </c>
      <c r="AW445" s="224">
        <v>85.811999999999998</v>
      </c>
      <c r="AX445" s="42"/>
      <c r="AY445" s="181"/>
      <c r="AZ445" s="197"/>
    </row>
    <row r="446" spans="4:52" ht="13" thickBot="1" x14ac:dyDescent="0.3">
      <c r="L446" s="55">
        <v>665</v>
      </c>
      <c r="M446" s="274">
        <f t="shared" si="82"/>
        <v>0</v>
      </c>
      <c r="N446" s="275">
        <f t="shared" si="82"/>
        <v>0</v>
      </c>
      <c r="O446" s="276" t="e">
        <f ca="1"/>
        <v>#N/A</v>
      </c>
      <c r="Q446" s="34">
        <v>0</v>
      </c>
      <c r="R446" s="24">
        <v>0</v>
      </c>
      <c r="S446" s="24">
        <v>0</v>
      </c>
      <c r="T446" s="24">
        <v>0</v>
      </c>
      <c r="U446" s="24">
        <f t="array" ref="U446">IF(U$77&gt;" ",(U$628:U$1078),"")</f>
        <v>0</v>
      </c>
      <c r="V446" s="24">
        <f t="array" ref="V446">IF(V$77&gt;" ",(V$628:V$1078),"")</f>
        <v>0</v>
      </c>
      <c r="W446" s="24">
        <f t="array" ref="W446">IF(W$77&gt;" ",(W$628:W$1078),"")</f>
        <v>0</v>
      </c>
      <c r="X446" s="24">
        <f t="array" ref="X446">IF(X$77&gt;" ",(X$628:X$1078),"")</f>
        <v>0</v>
      </c>
      <c r="Y446" s="21">
        <v>0</v>
      </c>
      <c r="Z446" s="34">
        <f t="shared" si="73"/>
        <v>0</v>
      </c>
      <c r="AA446" s="24">
        <f t="shared" si="74"/>
        <v>0</v>
      </c>
      <c r="AB446" s="24">
        <f t="shared" si="75"/>
        <v>0</v>
      </c>
      <c r="AC446" s="24">
        <f t="shared" si="76"/>
        <v>0</v>
      </c>
      <c r="AD446" s="24">
        <f t="shared" si="81"/>
        <v>0</v>
      </c>
      <c r="AE446" s="24">
        <f t="shared" si="81"/>
        <v>0</v>
      </c>
      <c r="AF446" s="24">
        <f t="shared" si="81"/>
        <v>0</v>
      </c>
      <c r="AG446" s="24">
        <f t="shared" si="79"/>
        <v>0</v>
      </c>
      <c r="AH446" s="24">
        <f t="shared" si="83"/>
        <v>0</v>
      </c>
      <c r="AI446" s="24">
        <f t="shared" si="77"/>
        <v>0</v>
      </c>
      <c r="AJ446" s="261">
        <f t="shared" si="78"/>
        <v>0</v>
      </c>
      <c r="AK446" s="13"/>
      <c r="AL446" s="100">
        <v>665</v>
      </c>
      <c r="AM446" s="202"/>
      <c r="AN446" s="200"/>
      <c r="AO446" s="200"/>
      <c r="AP446" s="284">
        <v>1.417</v>
      </c>
      <c r="AR446" s="222">
        <v>96.296150671995449</v>
      </c>
      <c r="AS446" s="223">
        <v>96.373077174341987</v>
      </c>
      <c r="AT446" s="223">
        <v>95.426632501826987</v>
      </c>
      <c r="AU446" s="223">
        <v>95.717223287970342</v>
      </c>
      <c r="AV446" s="223">
        <v>98.43</v>
      </c>
      <c r="AW446" s="224">
        <v>85.872</v>
      </c>
      <c r="AX446" s="42"/>
      <c r="AY446" s="181"/>
      <c r="AZ446" s="197"/>
    </row>
    <row r="447" spans="4:52" s="8" customFormat="1" ht="13.5" thickBot="1" x14ac:dyDescent="0.35">
      <c r="D447" s="122"/>
      <c r="E447" s="123"/>
      <c r="F447" s="61"/>
      <c r="G447" s="61"/>
      <c r="H447" s="61"/>
      <c r="I447" s="61"/>
      <c r="L447" s="53">
        <v>660</v>
      </c>
      <c r="M447" s="277">
        <f t="shared" ref="M447:N462" si="84">M996</f>
        <v>0</v>
      </c>
      <c r="N447" s="278">
        <f t="shared" si="84"/>
        <v>0</v>
      </c>
      <c r="O447" s="279" t="e">
        <f ca="1"/>
        <v>#N/A</v>
      </c>
      <c r="Q447" s="58">
        <v>0</v>
      </c>
      <c r="R447" s="59">
        <v>0</v>
      </c>
      <c r="S447" s="59">
        <v>0</v>
      </c>
      <c r="T447" s="59">
        <v>0</v>
      </c>
      <c r="U447" s="24">
        <f t="array" ref="U447">IF(U$77&gt;" ",(U$628:U$1078),"")</f>
        <v>0</v>
      </c>
      <c r="V447" s="24">
        <f t="array" ref="V447">IF(V$77&gt;" ",(V$628:V$1078),"")</f>
        <v>0</v>
      </c>
      <c r="W447" s="24">
        <f t="array" ref="W447">IF(W$77&gt;" ",(W$628:W$1078),"")</f>
        <v>0</v>
      </c>
      <c r="X447" s="24">
        <f t="array" ref="X447">IF(X$77&gt;" ",(X$628:X$1078),"")</f>
        <v>0</v>
      </c>
      <c r="Y447" s="60">
        <v>0</v>
      </c>
      <c r="Z447" s="34">
        <f t="shared" si="73"/>
        <v>0</v>
      </c>
      <c r="AA447" s="24">
        <f t="shared" si="74"/>
        <v>0</v>
      </c>
      <c r="AB447" s="24">
        <f t="shared" si="75"/>
        <v>0</v>
      </c>
      <c r="AC447" s="24">
        <f t="shared" si="76"/>
        <v>0</v>
      </c>
      <c r="AD447" s="24">
        <f t="shared" si="81"/>
        <v>0</v>
      </c>
      <c r="AE447" s="24">
        <f t="shared" si="81"/>
        <v>0</v>
      </c>
      <c r="AF447" s="24">
        <f t="shared" si="81"/>
        <v>0</v>
      </c>
      <c r="AG447" s="24">
        <f t="shared" si="79"/>
        <v>0</v>
      </c>
      <c r="AH447" s="24">
        <f t="shared" si="83"/>
        <v>0</v>
      </c>
      <c r="AI447" s="59">
        <f t="shared" si="77"/>
        <v>0</v>
      </c>
      <c r="AJ447" s="261">
        <f t="shared" si="78"/>
        <v>0</v>
      </c>
      <c r="AK447" s="61"/>
      <c r="AL447" s="107">
        <v>660</v>
      </c>
      <c r="AM447" s="203"/>
      <c r="AN447" s="204"/>
      <c r="AO447" s="204"/>
      <c r="AP447" s="283">
        <v>1.395</v>
      </c>
      <c r="AR447" s="225">
        <v>96.268358522197545</v>
      </c>
      <c r="AS447" s="226">
        <v>96.358620111166076</v>
      </c>
      <c r="AT447" s="223">
        <v>95.412689804359971</v>
      </c>
      <c r="AU447" s="223">
        <v>95.695869201263761</v>
      </c>
      <c r="AV447" s="226">
        <v>98.411000000000001</v>
      </c>
      <c r="AW447" s="227">
        <v>85.932000000000002</v>
      </c>
      <c r="AX447" s="108"/>
      <c r="AY447" s="182"/>
      <c r="AZ447" s="197"/>
    </row>
    <row r="448" spans="4:52" ht="13" thickBot="1" x14ac:dyDescent="0.3">
      <c r="L448" s="55">
        <v>655</v>
      </c>
      <c r="M448" s="274">
        <f t="shared" si="84"/>
        <v>0</v>
      </c>
      <c r="N448" s="275">
        <f t="shared" si="84"/>
        <v>0</v>
      </c>
      <c r="O448" s="276" t="e">
        <f ca="1"/>
        <v>#N/A</v>
      </c>
      <c r="Q448" s="34">
        <v>0</v>
      </c>
      <c r="R448" s="24">
        <v>0</v>
      </c>
      <c r="S448" s="24">
        <v>0</v>
      </c>
      <c r="T448" s="24">
        <v>0</v>
      </c>
      <c r="U448" s="24">
        <f t="array" ref="U448">IF(U$77&gt;" ",(U$628:U$1078),"")</f>
        <v>0</v>
      </c>
      <c r="V448" s="24">
        <f t="array" ref="V448">IF(V$77&gt;" ",(V$628:V$1078),"")</f>
        <v>0</v>
      </c>
      <c r="W448" s="24">
        <f t="array" ref="W448">IF(W$77&gt;" ",(W$628:W$1078),"")</f>
        <v>0</v>
      </c>
      <c r="X448" s="24">
        <f t="array" ref="X448">IF(X$77&gt;" ",(X$628:X$1078),"")</f>
        <v>0</v>
      </c>
      <c r="Y448" s="21">
        <v>0</v>
      </c>
      <c r="Z448" s="34">
        <f t="shared" si="73"/>
        <v>0</v>
      </c>
      <c r="AA448" s="24">
        <f t="shared" si="74"/>
        <v>0</v>
      </c>
      <c r="AB448" s="24">
        <f t="shared" si="75"/>
        <v>0</v>
      </c>
      <c r="AC448" s="24">
        <f t="shared" si="76"/>
        <v>0</v>
      </c>
      <c r="AD448" s="24">
        <f t="shared" si="81"/>
        <v>0</v>
      </c>
      <c r="AE448" s="24">
        <f t="shared" si="81"/>
        <v>0</v>
      </c>
      <c r="AF448" s="24">
        <f t="shared" si="81"/>
        <v>0</v>
      </c>
      <c r="AG448" s="24">
        <f t="shared" si="79"/>
        <v>0</v>
      </c>
      <c r="AH448" s="24">
        <f t="shared" si="83"/>
        <v>0</v>
      </c>
      <c r="AI448" s="24">
        <f t="shared" si="77"/>
        <v>0</v>
      </c>
      <c r="AJ448" s="261">
        <f t="shared" si="78"/>
        <v>0</v>
      </c>
      <c r="AK448" s="13"/>
      <c r="AL448" s="100">
        <v>655</v>
      </c>
      <c r="AM448" s="202"/>
      <c r="AN448" s="200"/>
      <c r="AO448" s="200"/>
      <c r="AP448" s="284">
        <v>1.3460000000000001</v>
      </c>
      <c r="AR448" s="222">
        <v>96.24259062873567</v>
      </c>
      <c r="AS448" s="223">
        <v>96.315611530487104</v>
      </c>
      <c r="AT448" s="223">
        <v>95.391149914387441</v>
      </c>
      <c r="AU448" s="223">
        <v>95.68611766565823</v>
      </c>
      <c r="AV448" s="223">
        <v>98.390500000000003</v>
      </c>
      <c r="AW448" s="224">
        <v>85.983000000000004</v>
      </c>
      <c r="AX448" s="42"/>
      <c r="AY448" s="181"/>
      <c r="AZ448" s="197"/>
    </row>
    <row r="449" spans="12:52" ht="13" thickBot="1" x14ac:dyDescent="0.3">
      <c r="L449" s="55">
        <v>650</v>
      </c>
      <c r="M449" s="274">
        <f t="shared" si="84"/>
        <v>0</v>
      </c>
      <c r="N449" s="275">
        <f t="shared" si="84"/>
        <v>0</v>
      </c>
      <c r="O449" s="276" t="e">
        <f ca="1"/>
        <v>#N/A</v>
      </c>
      <c r="Q449" s="34">
        <v>0</v>
      </c>
      <c r="R449" s="24">
        <v>0</v>
      </c>
      <c r="S449" s="24">
        <v>0</v>
      </c>
      <c r="T449" s="24">
        <v>0</v>
      </c>
      <c r="U449" s="24">
        <f t="array" ref="U449">IF(U$77&gt;" ",(U$628:U$1078),"")</f>
        <v>0</v>
      </c>
      <c r="V449" s="24">
        <f t="array" ref="V449">IF(V$77&gt;" ",(V$628:V$1078),"")</f>
        <v>0</v>
      </c>
      <c r="W449" s="24">
        <f t="array" ref="W449">IF(W$77&gt;" ",(W$628:W$1078),"")</f>
        <v>0</v>
      </c>
      <c r="X449" s="24">
        <f t="array" ref="X449">IF(X$77&gt;" ",(X$628:X$1078),"")</f>
        <v>0</v>
      </c>
      <c r="Y449" s="21">
        <v>0</v>
      </c>
      <c r="Z449" s="34">
        <f t="shared" si="73"/>
        <v>0</v>
      </c>
      <c r="AA449" s="24">
        <f t="shared" si="74"/>
        <v>0</v>
      </c>
      <c r="AB449" s="24">
        <f t="shared" si="75"/>
        <v>0</v>
      </c>
      <c r="AC449" s="24">
        <f t="shared" si="76"/>
        <v>0</v>
      </c>
      <c r="AD449" s="24">
        <f t="shared" si="81"/>
        <v>0</v>
      </c>
      <c r="AE449" s="24">
        <f t="shared" si="81"/>
        <v>0</v>
      </c>
      <c r="AF449" s="24">
        <f t="shared" si="81"/>
        <v>0</v>
      </c>
      <c r="AG449" s="24">
        <f t="shared" si="79"/>
        <v>0</v>
      </c>
      <c r="AH449" s="24">
        <f t="shared" si="83"/>
        <v>0</v>
      </c>
      <c r="AI449" s="24">
        <f t="shared" si="77"/>
        <v>0</v>
      </c>
      <c r="AJ449" s="261">
        <f t="shared" si="78"/>
        <v>0</v>
      </c>
      <c r="AK449" s="13"/>
      <c r="AL449" s="100">
        <v>650</v>
      </c>
      <c r="AM449" s="202"/>
      <c r="AN449" s="200"/>
      <c r="AO449" s="200"/>
      <c r="AP449" s="283">
        <v>1.355</v>
      </c>
      <c r="AR449" s="222">
        <v>96.239801859746493</v>
      </c>
      <c r="AS449" s="223">
        <v>96.283383934853987</v>
      </c>
      <c r="AT449" s="223">
        <v>95.362353916909001</v>
      </c>
      <c r="AU449" s="223">
        <v>95.66974973769301</v>
      </c>
      <c r="AV449" s="223">
        <v>98.37</v>
      </c>
      <c r="AW449" s="224">
        <v>86.034000000000006</v>
      </c>
      <c r="AX449" s="42"/>
      <c r="AY449" s="181"/>
      <c r="AZ449" s="197"/>
    </row>
    <row r="450" spans="12:52" ht="13" thickBot="1" x14ac:dyDescent="0.3">
      <c r="L450" s="55">
        <v>645</v>
      </c>
      <c r="M450" s="274">
        <f t="shared" si="84"/>
        <v>0</v>
      </c>
      <c r="N450" s="275">
        <f t="shared" si="84"/>
        <v>0</v>
      </c>
      <c r="O450" s="276" t="e">
        <f ca="1"/>
        <v>#N/A</v>
      </c>
      <c r="Q450" s="34">
        <v>0</v>
      </c>
      <c r="R450" s="24">
        <v>0</v>
      </c>
      <c r="S450" s="24">
        <v>0</v>
      </c>
      <c r="T450" s="24">
        <v>0</v>
      </c>
      <c r="U450" s="24">
        <f t="array" ref="U450">IF(U$77&gt;" ",(U$628:U$1078),"")</f>
        <v>0</v>
      </c>
      <c r="V450" s="24">
        <f t="array" ref="V450">IF(V$77&gt;" ",(V$628:V$1078),"")</f>
        <v>0</v>
      </c>
      <c r="W450" s="24">
        <f t="array" ref="W450">IF(W$77&gt;" ",(W$628:W$1078),"")</f>
        <v>0</v>
      </c>
      <c r="X450" s="24">
        <f t="array" ref="X450">IF(X$77&gt;" ",(X$628:X$1078),"")</f>
        <v>0</v>
      </c>
      <c r="Y450" s="21">
        <v>0</v>
      </c>
      <c r="Z450" s="34">
        <f t="shared" si="73"/>
        <v>0</v>
      </c>
      <c r="AA450" s="24">
        <f t="shared" si="74"/>
        <v>0</v>
      </c>
      <c r="AB450" s="24">
        <f t="shared" si="75"/>
        <v>0</v>
      </c>
      <c r="AC450" s="24">
        <f t="shared" si="76"/>
        <v>0</v>
      </c>
      <c r="AD450" s="24">
        <f t="shared" si="81"/>
        <v>0</v>
      </c>
      <c r="AE450" s="24">
        <f t="shared" si="81"/>
        <v>0</v>
      </c>
      <c r="AF450" s="24">
        <f t="shared" si="81"/>
        <v>0</v>
      </c>
      <c r="AG450" s="24">
        <f t="shared" si="79"/>
        <v>0</v>
      </c>
      <c r="AH450" s="24">
        <f t="shared" si="83"/>
        <v>0</v>
      </c>
      <c r="AI450" s="24">
        <f t="shared" si="77"/>
        <v>0</v>
      </c>
      <c r="AJ450" s="261">
        <f t="shared" si="78"/>
        <v>0</v>
      </c>
      <c r="AK450" s="13"/>
      <c r="AL450" s="100">
        <v>645</v>
      </c>
      <c r="AM450" s="202"/>
      <c r="AN450" s="200"/>
      <c r="AO450" s="200"/>
      <c r="AP450" s="284">
        <v>1.4530000000000001</v>
      </c>
      <c r="AR450" s="222">
        <v>96.200797470421733</v>
      </c>
      <c r="AS450" s="223">
        <v>96.291847114255177</v>
      </c>
      <c r="AT450" s="223">
        <v>95.418858771221082</v>
      </c>
      <c r="AU450" s="223">
        <v>95.717842360113067</v>
      </c>
      <c r="AV450" s="223">
        <v>98.351500000000001</v>
      </c>
      <c r="AW450" s="224">
        <v>86.0595</v>
      </c>
      <c r="AX450" s="42"/>
      <c r="AY450" s="181"/>
      <c r="AZ450" s="197"/>
    </row>
    <row r="451" spans="12:52" ht="13" thickBot="1" x14ac:dyDescent="0.3">
      <c r="L451" s="55">
        <v>640</v>
      </c>
      <c r="M451" s="274">
        <f t="shared" si="84"/>
        <v>0</v>
      </c>
      <c r="N451" s="275">
        <f t="shared" si="84"/>
        <v>0</v>
      </c>
      <c r="O451" s="276" t="e">
        <f ca="1"/>
        <v>#N/A</v>
      </c>
      <c r="Q451" s="34">
        <v>0</v>
      </c>
      <c r="R451" s="24">
        <v>0</v>
      </c>
      <c r="S451" s="24">
        <v>0</v>
      </c>
      <c r="T451" s="24">
        <v>0</v>
      </c>
      <c r="U451" s="24">
        <f t="array" ref="U451">IF(U$77&gt;" ",(U$628:U$1078),"")</f>
        <v>0</v>
      </c>
      <c r="V451" s="24">
        <f t="array" ref="V451">IF(V$77&gt;" ",(V$628:V$1078),"")</f>
        <v>0</v>
      </c>
      <c r="W451" s="24">
        <f t="array" ref="W451">IF(W$77&gt;" ",(W$628:W$1078),"")</f>
        <v>0</v>
      </c>
      <c r="X451" s="24">
        <f t="array" ref="X451">IF(X$77&gt;" ",(X$628:X$1078),"")</f>
        <v>0</v>
      </c>
      <c r="Y451" s="21">
        <v>0</v>
      </c>
      <c r="Z451" s="34">
        <f t="shared" si="73"/>
        <v>0</v>
      </c>
      <c r="AA451" s="24">
        <f t="shared" si="74"/>
        <v>0</v>
      </c>
      <c r="AB451" s="24">
        <f t="shared" si="75"/>
        <v>0</v>
      </c>
      <c r="AC451" s="24">
        <f t="shared" si="76"/>
        <v>0</v>
      </c>
      <c r="AD451" s="24">
        <f t="shared" si="81"/>
        <v>0</v>
      </c>
      <c r="AE451" s="24">
        <f t="shared" si="81"/>
        <v>0</v>
      </c>
      <c r="AF451" s="24">
        <f t="shared" si="81"/>
        <v>0</v>
      </c>
      <c r="AG451" s="24">
        <f t="shared" si="79"/>
        <v>0</v>
      </c>
      <c r="AH451" s="24">
        <f t="shared" si="83"/>
        <v>0</v>
      </c>
      <c r="AI451" s="24">
        <f t="shared" si="77"/>
        <v>0</v>
      </c>
      <c r="AJ451" s="261">
        <f t="shared" si="78"/>
        <v>0</v>
      </c>
      <c r="AK451" s="13"/>
      <c r="AL451" s="100">
        <v>640</v>
      </c>
      <c r="AM451" s="202"/>
      <c r="AN451" s="200"/>
      <c r="AO451" s="200"/>
      <c r="AP451" s="283">
        <v>1.43</v>
      </c>
      <c r="AR451" s="222">
        <v>96.182003850078331</v>
      </c>
      <c r="AS451" s="223">
        <v>96.265904423417808</v>
      </c>
      <c r="AT451" s="223">
        <v>95.480598746851271</v>
      </c>
      <c r="AU451" s="223">
        <v>95.779502524803263</v>
      </c>
      <c r="AV451" s="223">
        <v>98.332999999999998</v>
      </c>
      <c r="AW451" s="224">
        <v>86.084999999999994</v>
      </c>
      <c r="AX451" s="42"/>
      <c r="AY451" s="181"/>
      <c r="AZ451" s="197"/>
    </row>
    <row r="452" spans="12:52" ht="13" thickBot="1" x14ac:dyDescent="0.3">
      <c r="L452" s="55">
        <v>635</v>
      </c>
      <c r="M452" s="274">
        <f t="shared" si="84"/>
        <v>0</v>
      </c>
      <c r="N452" s="275">
        <f t="shared" si="84"/>
        <v>0</v>
      </c>
      <c r="O452" s="276" t="e">
        <f ca="1"/>
        <v>#N/A</v>
      </c>
      <c r="Q452" s="34">
        <v>0</v>
      </c>
      <c r="R452" s="24">
        <v>0</v>
      </c>
      <c r="S452" s="24">
        <v>0</v>
      </c>
      <c r="T452" s="24">
        <v>0</v>
      </c>
      <c r="U452" s="24">
        <f t="array" ref="U452">IF(U$77&gt;" ",(U$628:U$1078),"")</f>
        <v>0</v>
      </c>
      <c r="V452" s="24">
        <f t="array" ref="V452">IF(V$77&gt;" ",(V$628:V$1078),"")</f>
        <v>0</v>
      </c>
      <c r="W452" s="24">
        <f t="array" ref="W452">IF(W$77&gt;" ",(W$628:W$1078),"")</f>
        <v>0</v>
      </c>
      <c r="X452" s="24">
        <f t="array" ref="X452">IF(X$77&gt;" ",(X$628:X$1078),"")</f>
        <v>0</v>
      </c>
      <c r="Y452" s="21">
        <v>0</v>
      </c>
      <c r="Z452" s="34">
        <f t="shared" si="73"/>
        <v>0</v>
      </c>
      <c r="AA452" s="24">
        <f t="shared" si="74"/>
        <v>0</v>
      </c>
      <c r="AB452" s="24">
        <f t="shared" si="75"/>
        <v>0</v>
      </c>
      <c r="AC452" s="24">
        <f t="shared" si="76"/>
        <v>0</v>
      </c>
      <c r="AD452" s="24">
        <f t="shared" si="81"/>
        <v>0</v>
      </c>
      <c r="AE452" s="24">
        <f t="shared" si="81"/>
        <v>0</v>
      </c>
      <c r="AF452" s="24">
        <f t="shared" si="81"/>
        <v>0</v>
      </c>
      <c r="AG452" s="24">
        <f t="shared" si="79"/>
        <v>0</v>
      </c>
      <c r="AH452" s="24">
        <f t="shared" si="83"/>
        <v>0</v>
      </c>
      <c r="AI452" s="24">
        <f t="shared" si="77"/>
        <v>0</v>
      </c>
      <c r="AJ452" s="261">
        <f t="shared" si="78"/>
        <v>0</v>
      </c>
      <c r="AK452" s="13"/>
      <c r="AL452" s="100">
        <v>635</v>
      </c>
      <c r="AM452" s="202"/>
      <c r="AN452" s="200"/>
      <c r="AO452" s="200"/>
      <c r="AP452" s="284">
        <v>1.4419999999999999</v>
      </c>
      <c r="AR452" s="222">
        <v>96.18657106075905</v>
      </c>
      <c r="AS452" s="223">
        <v>96.250936468182374</v>
      </c>
      <c r="AT452" s="223">
        <v>95.496450259825735</v>
      </c>
      <c r="AU452" s="223">
        <v>95.79566297254695</v>
      </c>
      <c r="AV452" s="223">
        <v>98.3065</v>
      </c>
      <c r="AW452" s="224">
        <v>86.125</v>
      </c>
      <c r="AX452" s="42"/>
      <c r="AY452" s="181"/>
      <c r="AZ452" s="197"/>
    </row>
    <row r="453" spans="12:52" ht="13" thickBot="1" x14ac:dyDescent="0.3">
      <c r="L453" s="55">
        <v>630</v>
      </c>
      <c r="M453" s="274">
        <f t="shared" si="84"/>
        <v>0</v>
      </c>
      <c r="N453" s="275">
        <f t="shared" si="84"/>
        <v>0</v>
      </c>
      <c r="O453" s="276" t="e">
        <f ca="1"/>
        <v>#N/A</v>
      </c>
      <c r="Q453" s="34">
        <v>0</v>
      </c>
      <c r="R453" s="24">
        <v>0</v>
      </c>
      <c r="S453" s="24">
        <v>0</v>
      </c>
      <c r="T453" s="24">
        <v>0</v>
      </c>
      <c r="U453" s="24">
        <f t="array" ref="U453">IF(U$77&gt;" ",(U$628:U$1078),"")</f>
        <v>0</v>
      </c>
      <c r="V453" s="24">
        <f t="array" ref="V453">IF(V$77&gt;" ",(V$628:V$1078),"")</f>
        <v>0</v>
      </c>
      <c r="W453" s="24">
        <f t="array" ref="W453">IF(W$77&gt;" ",(W$628:W$1078),"")</f>
        <v>0</v>
      </c>
      <c r="X453" s="24">
        <f t="array" ref="X453">IF(X$77&gt;" ",(X$628:X$1078),"")</f>
        <v>0</v>
      </c>
      <c r="Y453" s="21">
        <v>0</v>
      </c>
      <c r="Z453" s="34">
        <f t="shared" si="73"/>
        <v>0</v>
      </c>
      <c r="AA453" s="24">
        <f t="shared" si="74"/>
        <v>0</v>
      </c>
      <c r="AB453" s="24">
        <f t="shared" si="75"/>
        <v>0</v>
      </c>
      <c r="AC453" s="24">
        <f t="shared" si="76"/>
        <v>0</v>
      </c>
      <c r="AD453" s="24">
        <f t="shared" si="81"/>
        <v>0</v>
      </c>
      <c r="AE453" s="24">
        <f t="shared" si="81"/>
        <v>0</v>
      </c>
      <c r="AF453" s="24">
        <f t="shared" si="81"/>
        <v>0</v>
      </c>
      <c r="AG453" s="24">
        <f t="shared" si="79"/>
        <v>0</v>
      </c>
      <c r="AH453" s="24">
        <f t="shared" si="83"/>
        <v>0</v>
      </c>
      <c r="AI453" s="24">
        <f t="shared" si="77"/>
        <v>0</v>
      </c>
      <c r="AJ453" s="261">
        <f t="shared" si="78"/>
        <v>0</v>
      </c>
      <c r="AK453" s="13"/>
      <c r="AL453" s="100">
        <v>630</v>
      </c>
      <c r="AM453" s="202"/>
      <c r="AN453" s="200"/>
      <c r="AO453" s="200"/>
      <c r="AP453" s="283">
        <v>1.3879999999999999</v>
      </c>
      <c r="AR453" s="222">
        <v>96.178727992661493</v>
      </c>
      <c r="AS453" s="223">
        <v>96.227859166658547</v>
      </c>
      <c r="AT453" s="223">
        <v>95.493713239241515</v>
      </c>
      <c r="AU453" s="223">
        <v>95.78978689765502</v>
      </c>
      <c r="AV453" s="223">
        <v>98.28</v>
      </c>
      <c r="AW453" s="224">
        <v>86.165000000000006</v>
      </c>
      <c r="AX453" s="42"/>
      <c r="AY453" s="181"/>
      <c r="AZ453" s="197"/>
    </row>
    <row r="454" spans="12:52" ht="13" thickBot="1" x14ac:dyDescent="0.3">
      <c r="L454" s="55">
        <v>625</v>
      </c>
      <c r="M454" s="274">
        <f t="shared" si="84"/>
        <v>0</v>
      </c>
      <c r="N454" s="275">
        <f t="shared" si="84"/>
        <v>0</v>
      </c>
      <c r="O454" s="276" t="e">
        <f ca="1"/>
        <v>#N/A</v>
      </c>
      <c r="Q454" s="34">
        <v>0</v>
      </c>
      <c r="R454" s="24">
        <v>0</v>
      </c>
      <c r="S454" s="24">
        <v>0</v>
      </c>
      <c r="T454" s="24">
        <v>0</v>
      </c>
      <c r="U454" s="24">
        <f t="array" ref="U454">IF(U$77&gt;" ",(U$628:U$1078),"")</f>
        <v>0</v>
      </c>
      <c r="V454" s="24">
        <f t="array" ref="V454">IF(V$77&gt;" ",(V$628:V$1078),"")</f>
        <v>0</v>
      </c>
      <c r="W454" s="24">
        <f t="array" ref="W454">IF(W$77&gt;" ",(W$628:W$1078),"")</f>
        <v>0</v>
      </c>
      <c r="X454" s="24">
        <f t="array" ref="X454">IF(X$77&gt;" ",(X$628:X$1078),"")</f>
        <v>0</v>
      </c>
      <c r="Y454" s="21">
        <v>0</v>
      </c>
      <c r="Z454" s="34">
        <f t="shared" si="73"/>
        <v>0</v>
      </c>
      <c r="AA454" s="24">
        <f t="shared" si="74"/>
        <v>0</v>
      </c>
      <c r="AB454" s="24">
        <f t="shared" si="75"/>
        <v>0</v>
      </c>
      <c r="AC454" s="24">
        <f t="shared" si="76"/>
        <v>0</v>
      </c>
      <c r="AD454" s="24">
        <f t="shared" si="81"/>
        <v>0</v>
      </c>
      <c r="AE454" s="24">
        <f t="shared" si="81"/>
        <v>0</v>
      </c>
      <c r="AF454" s="24">
        <f t="shared" si="81"/>
        <v>0</v>
      </c>
      <c r="AG454" s="24">
        <f t="shared" si="79"/>
        <v>0</v>
      </c>
      <c r="AH454" s="24">
        <f t="shared" si="83"/>
        <v>0</v>
      </c>
      <c r="AI454" s="24">
        <f t="shared" si="77"/>
        <v>0</v>
      </c>
      <c r="AJ454" s="261">
        <f t="shared" si="78"/>
        <v>0</v>
      </c>
      <c r="AK454" s="13"/>
      <c r="AL454" s="100">
        <v>625</v>
      </c>
      <c r="AM454" s="202"/>
      <c r="AN454" s="200"/>
      <c r="AO454" s="200"/>
      <c r="AP454" s="284">
        <v>1.399</v>
      </c>
      <c r="AR454" s="222">
        <v>96.146978048956043</v>
      </c>
      <c r="AS454" s="223">
        <v>96.199356227241154</v>
      </c>
      <c r="AT454" s="223">
        <v>95.494033362689905</v>
      </c>
      <c r="AU454" s="223">
        <v>95.787975176974896</v>
      </c>
      <c r="AV454" s="223">
        <v>98.248000000000005</v>
      </c>
      <c r="AW454" s="224">
        <v>86.194000000000003</v>
      </c>
      <c r="AX454" s="42"/>
      <c r="AY454" s="181"/>
      <c r="AZ454" s="197"/>
    </row>
    <row r="455" spans="12:52" ht="13" thickBot="1" x14ac:dyDescent="0.3">
      <c r="L455" s="55">
        <v>620</v>
      </c>
      <c r="M455" s="274">
        <f t="shared" si="84"/>
        <v>0</v>
      </c>
      <c r="N455" s="275">
        <f t="shared" si="84"/>
        <v>0</v>
      </c>
      <c r="O455" s="276" t="e">
        <f ca="1"/>
        <v>#N/A</v>
      </c>
      <c r="Q455" s="34">
        <v>0</v>
      </c>
      <c r="R455" s="24">
        <v>0</v>
      </c>
      <c r="S455" s="24">
        <v>0</v>
      </c>
      <c r="T455" s="24">
        <v>0</v>
      </c>
      <c r="U455" s="24">
        <f t="array" ref="U455">IF(U$77&gt;" ",(U$628:U$1078),"")</f>
        <v>0</v>
      </c>
      <c r="V455" s="24">
        <f t="array" ref="V455">IF(V$77&gt;" ",(V$628:V$1078),"")</f>
        <v>0</v>
      </c>
      <c r="W455" s="24">
        <f t="array" ref="W455">IF(W$77&gt;" ",(W$628:W$1078),"")</f>
        <v>0</v>
      </c>
      <c r="X455" s="24">
        <f t="array" ref="X455">IF(X$77&gt;" ",(X$628:X$1078),"")</f>
        <v>0</v>
      </c>
      <c r="Y455" s="21">
        <v>0</v>
      </c>
      <c r="Z455" s="34">
        <f t="shared" si="73"/>
        <v>0</v>
      </c>
      <c r="AA455" s="24">
        <f t="shared" si="74"/>
        <v>0</v>
      </c>
      <c r="AB455" s="24">
        <f t="shared" si="75"/>
        <v>0</v>
      </c>
      <c r="AC455" s="24">
        <f t="shared" si="76"/>
        <v>0</v>
      </c>
      <c r="AD455" s="24">
        <f t="shared" si="81"/>
        <v>0</v>
      </c>
      <c r="AE455" s="24">
        <f t="shared" si="81"/>
        <v>0</v>
      </c>
      <c r="AF455" s="24">
        <f t="shared" si="81"/>
        <v>0</v>
      </c>
      <c r="AG455" s="24">
        <f t="shared" si="79"/>
        <v>0</v>
      </c>
      <c r="AH455" s="24">
        <f t="shared" si="83"/>
        <v>0</v>
      </c>
      <c r="AI455" s="24">
        <f t="shared" si="77"/>
        <v>0</v>
      </c>
      <c r="AJ455" s="261">
        <f t="shared" si="78"/>
        <v>0</v>
      </c>
      <c r="AK455" s="13"/>
      <c r="AL455" s="100">
        <v>620</v>
      </c>
      <c r="AM455" s="202"/>
      <c r="AN455" s="200"/>
      <c r="AO455" s="200"/>
      <c r="AP455" s="283">
        <v>1.47</v>
      </c>
      <c r="AR455" s="222">
        <v>96.135742271882137</v>
      </c>
      <c r="AS455" s="223">
        <v>96.197703161218712</v>
      </c>
      <c r="AT455" s="223">
        <v>95.516438901917681</v>
      </c>
      <c r="AU455" s="223">
        <v>95.817854349058294</v>
      </c>
      <c r="AV455" s="223">
        <v>98.216000000000008</v>
      </c>
      <c r="AW455" s="224">
        <v>86.222999999999999</v>
      </c>
      <c r="AX455" s="42"/>
      <c r="AY455" s="181"/>
      <c r="AZ455" s="197"/>
    </row>
    <row r="456" spans="12:52" ht="13" thickBot="1" x14ac:dyDescent="0.3">
      <c r="L456" s="55">
        <v>615</v>
      </c>
      <c r="M456" s="274">
        <f t="shared" si="84"/>
        <v>0</v>
      </c>
      <c r="N456" s="275">
        <f t="shared" si="84"/>
        <v>0</v>
      </c>
      <c r="O456" s="276" t="e">
        <f ca="1"/>
        <v>#N/A</v>
      </c>
      <c r="Q456" s="34">
        <v>0</v>
      </c>
      <c r="R456" s="24">
        <v>0</v>
      </c>
      <c r="S456" s="24">
        <v>0</v>
      </c>
      <c r="T456" s="24">
        <v>0</v>
      </c>
      <c r="U456" s="24">
        <f t="array" ref="U456">IF(U$77&gt;" ",(U$628:U$1078),"")</f>
        <v>0</v>
      </c>
      <c r="V456" s="24">
        <f t="array" ref="V456">IF(V$77&gt;" ",(V$628:V$1078),"")</f>
        <v>0</v>
      </c>
      <c r="W456" s="24">
        <f t="array" ref="W456">IF(W$77&gt;" ",(W$628:W$1078),"")</f>
        <v>0</v>
      </c>
      <c r="X456" s="24">
        <f t="array" ref="X456">IF(X$77&gt;" ",(X$628:X$1078),"")</f>
        <v>0</v>
      </c>
      <c r="Y456" s="21">
        <v>0</v>
      </c>
      <c r="Z456" s="34">
        <f t="shared" si="73"/>
        <v>0</v>
      </c>
      <c r="AA456" s="24">
        <f t="shared" si="74"/>
        <v>0</v>
      </c>
      <c r="AB456" s="24">
        <f t="shared" si="75"/>
        <v>0</v>
      </c>
      <c r="AC456" s="24">
        <f t="shared" si="76"/>
        <v>0</v>
      </c>
      <c r="AD456" s="24">
        <f t="shared" si="81"/>
        <v>0</v>
      </c>
      <c r="AE456" s="24">
        <f t="shared" si="81"/>
        <v>0</v>
      </c>
      <c r="AF456" s="24">
        <f t="shared" si="81"/>
        <v>0</v>
      </c>
      <c r="AG456" s="24">
        <f t="shared" si="79"/>
        <v>0</v>
      </c>
      <c r="AH456" s="24">
        <f t="shared" si="83"/>
        <v>0</v>
      </c>
      <c r="AI456" s="24">
        <f t="shared" si="77"/>
        <v>0</v>
      </c>
      <c r="AJ456" s="261">
        <f t="shared" si="78"/>
        <v>0</v>
      </c>
      <c r="AK456" s="13"/>
      <c r="AL456" s="100">
        <v>615</v>
      </c>
      <c r="AM456" s="202"/>
      <c r="AN456" s="200"/>
      <c r="AO456" s="200"/>
      <c r="AP456" s="284">
        <v>1.4650000000000001</v>
      </c>
      <c r="AR456" s="222">
        <v>96.111967258438611</v>
      </c>
      <c r="AS456" s="223">
        <v>96.172636193575457</v>
      </c>
      <c r="AT456" s="223">
        <v>95.529890110374097</v>
      </c>
      <c r="AU456" s="223">
        <v>95.838074334926318</v>
      </c>
      <c r="AV456" s="223">
        <v>98.182000000000002</v>
      </c>
      <c r="AW456" s="224">
        <v>86.245999999999995</v>
      </c>
      <c r="AX456" s="42"/>
      <c r="AY456" s="181"/>
      <c r="AZ456" s="197"/>
    </row>
    <row r="457" spans="12:52" ht="13" thickBot="1" x14ac:dyDescent="0.3">
      <c r="L457" s="55">
        <v>610</v>
      </c>
      <c r="M457" s="274">
        <f t="shared" si="84"/>
        <v>0</v>
      </c>
      <c r="N457" s="275">
        <f t="shared" si="84"/>
        <v>0</v>
      </c>
      <c r="O457" s="276" t="e">
        <f ca="1"/>
        <v>#N/A</v>
      </c>
      <c r="Q457" s="34">
        <v>0</v>
      </c>
      <c r="R457" s="24">
        <v>0</v>
      </c>
      <c r="S457" s="24">
        <v>0</v>
      </c>
      <c r="T457" s="24">
        <v>0</v>
      </c>
      <c r="U457" s="24">
        <f t="array" ref="U457">IF(U$77&gt;" ",(U$628:U$1078),"")</f>
        <v>0</v>
      </c>
      <c r="V457" s="24">
        <f t="array" ref="V457">IF(V$77&gt;" ",(V$628:V$1078),"")</f>
        <v>0</v>
      </c>
      <c r="W457" s="24">
        <f t="array" ref="W457">IF(W$77&gt;" ",(W$628:W$1078),"")</f>
        <v>0</v>
      </c>
      <c r="X457" s="24">
        <f t="array" ref="X457">IF(X$77&gt;" ",(X$628:X$1078),"")</f>
        <v>0</v>
      </c>
      <c r="Y457" s="21">
        <v>0</v>
      </c>
      <c r="Z457" s="34">
        <f t="shared" si="73"/>
        <v>0</v>
      </c>
      <c r="AA457" s="24">
        <f t="shared" si="74"/>
        <v>0</v>
      </c>
      <c r="AB457" s="24">
        <f t="shared" si="75"/>
        <v>0</v>
      </c>
      <c r="AC457" s="24">
        <f t="shared" si="76"/>
        <v>0</v>
      </c>
      <c r="AD457" s="24">
        <f t="shared" si="81"/>
        <v>0</v>
      </c>
      <c r="AE457" s="24">
        <f t="shared" si="81"/>
        <v>0</v>
      </c>
      <c r="AF457" s="24">
        <f t="shared" si="81"/>
        <v>0</v>
      </c>
      <c r="AG457" s="24">
        <f t="shared" si="79"/>
        <v>0</v>
      </c>
      <c r="AH457" s="24">
        <f t="shared" si="83"/>
        <v>0</v>
      </c>
      <c r="AI457" s="24">
        <f t="shared" si="77"/>
        <v>0</v>
      </c>
      <c r="AJ457" s="261">
        <f t="shared" si="78"/>
        <v>0</v>
      </c>
      <c r="AK457" s="13"/>
      <c r="AL457" s="100">
        <v>610</v>
      </c>
      <c r="AM457" s="202"/>
      <c r="AN457" s="200"/>
      <c r="AO457" s="200"/>
      <c r="AP457" s="283">
        <v>1.464</v>
      </c>
      <c r="AR457" s="222">
        <v>96.077378968363476</v>
      </c>
      <c r="AS457" s="223">
        <v>96.154956887036064</v>
      </c>
      <c r="AT457" s="223">
        <v>95.53286982248521</v>
      </c>
      <c r="AU457" s="223">
        <v>95.849278597514854</v>
      </c>
      <c r="AV457" s="223">
        <v>98.147999999999996</v>
      </c>
      <c r="AW457" s="224">
        <v>86.268999999999991</v>
      </c>
      <c r="AX457" s="42"/>
      <c r="AY457" s="181"/>
      <c r="AZ457" s="197"/>
    </row>
    <row r="458" spans="12:52" ht="13" thickBot="1" x14ac:dyDescent="0.3">
      <c r="L458" s="55">
        <v>605</v>
      </c>
      <c r="M458" s="274">
        <f t="shared" si="84"/>
        <v>0</v>
      </c>
      <c r="N458" s="275">
        <f t="shared" si="84"/>
        <v>0</v>
      </c>
      <c r="O458" s="276" t="e">
        <f ca="1"/>
        <v>#N/A</v>
      </c>
      <c r="Q458" s="34">
        <v>0</v>
      </c>
      <c r="R458" s="24">
        <v>0</v>
      </c>
      <c r="S458" s="24">
        <v>0</v>
      </c>
      <c r="T458" s="24">
        <v>0</v>
      </c>
      <c r="U458" s="24">
        <f t="array" ref="U458">IF(U$77&gt;" ",(U$628:U$1078),"")</f>
        <v>0</v>
      </c>
      <c r="V458" s="24">
        <f t="array" ref="V458">IF(V$77&gt;" ",(V$628:V$1078),"")</f>
        <v>0</v>
      </c>
      <c r="W458" s="24">
        <f t="array" ref="W458">IF(W$77&gt;" ",(W$628:W$1078),"")</f>
        <v>0</v>
      </c>
      <c r="X458" s="24">
        <f t="array" ref="X458">IF(X$77&gt;" ",(X$628:X$1078),"")</f>
        <v>0</v>
      </c>
      <c r="Y458" s="21">
        <v>0</v>
      </c>
      <c r="Z458" s="34">
        <f t="shared" si="73"/>
        <v>0</v>
      </c>
      <c r="AA458" s="24">
        <f t="shared" si="74"/>
        <v>0</v>
      </c>
      <c r="AB458" s="24">
        <f t="shared" si="75"/>
        <v>0</v>
      </c>
      <c r="AC458" s="24">
        <f t="shared" si="76"/>
        <v>0</v>
      </c>
      <c r="AD458" s="24">
        <f t="shared" si="81"/>
        <v>0</v>
      </c>
      <c r="AE458" s="24">
        <f t="shared" si="81"/>
        <v>0</v>
      </c>
      <c r="AF458" s="24">
        <f t="shared" si="81"/>
        <v>0</v>
      </c>
      <c r="AG458" s="24">
        <f t="shared" si="79"/>
        <v>0</v>
      </c>
      <c r="AH458" s="24">
        <f t="shared" si="83"/>
        <v>0</v>
      </c>
      <c r="AI458" s="24">
        <f t="shared" si="77"/>
        <v>0</v>
      </c>
      <c r="AJ458" s="261">
        <f t="shared" si="78"/>
        <v>0</v>
      </c>
      <c r="AK458" s="13"/>
      <c r="AL458" s="100">
        <v>605</v>
      </c>
      <c r="AM458" s="202"/>
      <c r="AN458" s="200"/>
      <c r="AO458" s="200"/>
      <c r="AP458" s="284">
        <v>1.4850000000000001</v>
      </c>
      <c r="AR458" s="222">
        <v>96.052212478221904</v>
      </c>
      <c r="AS458" s="223">
        <v>96.125384349609945</v>
      </c>
      <c r="AT458" s="223">
        <v>95.534040526123476</v>
      </c>
      <c r="AU458" s="223">
        <v>95.858207849309224</v>
      </c>
      <c r="AV458" s="223">
        <v>98.106499999999997</v>
      </c>
      <c r="AW458" s="224">
        <v>86.286500000000004</v>
      </c>
      <c r="AX458" s="42"/>
      <c r="AY458" s="181"/>
      <c r="AZ458" s="197"/>
    </row>
    <row r="459" spans="12:52" ht="13" thickBot="1" x14ac:dyDescent="0.3">
      <c r="L459" s="55">
        <v>600</v>
      </c>
      <c r="M459" s="274">
        <f t="shared" si="84"/>
        <v>0</v>
      </c>
      <c r="N459" s="275">
        <f t="shared" si="84"/>
        <v>0</v>
      </c>
      <c r="O459" s="276" t="e">
        <f ca="1"/>
        <v>#N/A</v>
      </c>
      <c r="Q459" s="34">
        <v>0</v>
      </c>
      <c r="R459" s="24">
        <v>0</v>
      </c>
      <c r="S459" s="24">
        <v>0</v>
      </c>
      <c r="T459" s="24">
        <v>0</v>
      </c>
      <c r="U459" s="24">
        <f t="array" ref="U459">IF(U$77&gt;" ",(U$628:U$1078),"")</f>
        <v>0</v>
      </c>
      <c r="V459" s="24">
        <f t="array" ref="V459">IF(V$77&gt;" ",(V$628:V$1078),"")</f>
        <v>0</v>
      </c>
      <c r="W459" s="24">
        <f t="array" ref="W459">IF(W$77&gt;" ",(W$628:W$1078),"")</f>
        <v>0</v>
      </c>
      <c r="X459" s="24">
        <f t="array" ref="X459">IF(X$77&gt;" ",(X$628:X$1078),"")</f>
        <v>0</v>
      </c>
      <c r="Y459" s="21">
        <v>0</v>
      </c>
      <c r="Z459" s="34">
        <f t="shared" si="73"/>
        <v>0</v>
      </c>
      <c r="AA459" s="24">
        <f t="shared" si="74"/>
        <v>0</v>
      </c>
      <c r="AB459" s="24">
        <f t="shared" si="75"/>
        <v>0</v>
      </c>
      <c r="AC459" s="24">
        <f t="shared" si="76"/>
        <v>0</v>
      </c>
      <c r="AD459" s="24">
        <f t="shared" si="81"/>
        <v>0</v>
      </c>
      <c r="AE459" s="24">
        <f t="shared" si="81"/>
        <v>0</v>
      </c>
      <c r="AF459" s="24">
        <f t="shared" si="81"/>
        <v>0</v>
      </c>
      <c r="AG459" s="24">
        <f t="shared" si="79"/>
        <v>0</v>
      </c>
      <c r="AH459" s="24">
        <f t="shared" si="83"/>
        <v>0</v>
      </c>
      <c r="AI459" s="24">
        <f t="shared" si="77"/>
        <v>0</v>
      </c>
      <c r="AJ459" s="261">
        <f t="shared" si="78"/>
        <v>0</v>
      </c>
      <c r="AK459" s="13"/>
      <c r="AL459" s="100">
        <v>600</v>
      </c>
      <c r="AM459" s="202"/>
      <c r="AN459" s="200"/>
      <c r="AO459" s="200"/>
      <c r="AP459" s="283">
        <v>1.4710000000000001</v>
      </c>
      <c r="AR459" s="222">
        <v>96.028002370175003</v>
      </c>
      <c r="AS459" s="223">
        <v>96.103477921948411</v>
      </c>
      <c r="AT459" s="223">
        <v>95.519878846826188</v>
      </c>
      <c r="AU459" s="223">
        <v>95.850283013455467</v>
      </c>
      <c r="AV459" s="223">
        <v>98.064999999999998</v>
      </c>
      <c r="AW459" s="224">
        <v>86.304000000000002</v>
      </c>
      <c r="AX459" s="42"/>
      <c r="AY459" s="181"/>
      <c r="AZ459" s="197"/>
    </row>
    <row r="460" spans="12:52" ht="13" thickBot="1" x14ac:dyDescent="0.3">
      <c r="L460" s="55">
        <v>595</v>
      </c>
      <c r="M460" s="274">
        <f t="shared" si="84"/>
        <v>0</v>
      </c>
      <c r="N460" s="275">
        <f t="shared" si="84"/>
        <v>0</v>
      </c>
      <c r="O460" s="276" t="e">
        <f ca="1"/>
        <v>#N/A</v>
      </c>
      <c r="Q460" s="34">
        <v>0</v>
      </c>
      <c r="R460" s="24">
        <v>0</v>
      </c>
      <c r="S460" s="24">
        <v>0</v>
      </c>
      <c r="T460" s="24">
        <v>0</v>
      </c>
      <c r="U460" s="24">
        <f t="array" ref="U460">IF(U$77&gt;" ",(U$628:U$1078),"")</f>
        <v>0</v>
      </c>
      <c r="V460" s="24">
        <f t="array" ref="V460">IF(V$77&gt;" ",(V$628:V$1078),"")</f>
        <v>0</v>
      </c>
      <c r="W460" s="24">
        <f t="array" ref="W460">IF(W$77&gt;" ",(W$628:W$1078),"")</f>
        <v>0</v>
      </c>
      <c r="X460" s="24">
        <f t="array" ref="X460">IF(X$77&gt;" ",(X$628:X$1078),"")</f>
        <v>0</v>
      </c>
      <c r="Y460" s="21">
        <v>0</v>
      </c>
      <c r="Z460" s="34">
        <f t="shared" si="73"/>
        <v>0</v>
      </c>
      <c r="AA460" s="24">
        <f t="shared" si="74"/>
        <v>0</v>
      </c>
      <c r="AB460" s="24">
        <f t="shared" si="75"/>
        <v>0</v>
      </c>
      <c r="AC460" s="24">
        <f t="shared" si="76"/>
        <v>0</v>
      </c>
      <c r="AD460" s="24">
        <f t="shared" si="81"/>
        <v>0</v>
      </c>
      <c r="AE460" s="24">
        <f t="shared" si="81"/>
        <v>0</v>
      </c>
      <c r="AF460" s="24">
        <f t="shared" si="81"/>
        <v>0</v>
      </c>
      <c r="AG460" s="24">
        <f t="shared" si="79"/>
        <v>0</v>
      </c>
      <c r="AH460" s="24">
        <f t="shared" si="83"/>
        <v>0</v>
      </c>
      <c r="AI460" s="24">
        <f t="shared" si="77"/>
        <v>0</v>
      </c>
      <c r="AJ460" s="261">
        <f t="shared" si="78"/>
        <v>0</v>
      </c>
      <c r="AK460" s="13"/>
      <c r="AL460" s="100">
        <v>595</v>
      </c>
      <c r="AM460" s="202"/>
      <c r="AN460" s="200"/>
      <c r="AO460" s="200"/>
      <c r="AP460" s="284">
        <v>1.427</v>
      </c>
      <c r="AR460" s="222">
        <v>95.985164560307808</v>
      </c>
      <c r="AS460" s="223">
        <v>96.090674873134446</v>
      </c>
      <c r="AT460" s="223">
        <v>95.505152392719012</v>
      </c>
      <c r="AU460" s="223">
        <v>95.833858308333546</v>
      </c>
      <c r="AV460" s="223">
        <v>98.014499999999998</v>
      </c>
      <c r="AW460" s="224">
        <v>86.314000000000007</v>
      </c>
      <c r="AX460" s="42"/>
      <c r="AY460" s="181"/>
      <c r="AZ460" s="197"/>
    </row>
    <row r="461" spans="12:52" ht="13" thickBot="1" x14ac:dyDescent="0.3">
      <c r="L461" s="55">
        <v>590</v>
      </c>
      <c r="M461" s="274">
        <f t="shared" si="84"/>
        <v>0</v>
      </c>
      <c r="N461" s="275">
        <f t="shared" si="84"/>
        <v>0</v>
      </c>
      <c r="O461" s="276" t="e">
        <f ca="1"/>
        <v>#N/A</v>
      </c>
      <c r="Q461" s="34">
        <v>0</v>
      </c>
      <c r="R461" s="24">
        <v>0</v>
      </c>
      <c r="S461" s="24">
        <v>0</v>
      </c>
      <c r="T461" s="24">
        <v>0</v>
      </c>
      <c r="U461" s="24">
        <f t="array" ref="U461">IF(U$77&gt;" ",(U$628:U$1078),"")</f>
        <v>0</v>
      </c>
      <c r="V461" s="24">
        <f t="array" ref="V461">IF(V$77&gt;" ",(V$628:V$1078),"")</f>
        <v>0</v>
      </c>
      <c r="W461" s="24">
        <f t="array" ref="W461">IF(W$77&gt;" ",(W$628:W$1078),"")</f>
        <v>0</v>
      </c>
      <c r="X461" s="24">
        <f t="array" ref="X461">IF(X$77&gt;" ",(X$628:X$1078),"")</f>
        <v>0</v>
      </c>
      <c r="Y461" s="21">
        <v>0</v>
      </c>
      <c r="Z461" s="34">
        <f t="shared" si="73"/>
        <v>0</v>
      </c>
      <c r="AA461" s="24">
        <f t="shared" si="74"/>
        <v>0</v>
      </c>
      <c r="AB461" s="24">
        <f t="shared" si="75"/>
        <v>0</v>
      </c>
      <c r="AC461" s="24">
        <f t="shared" si="76"/>
        <v>0</v>
      </c>
      <c r="AD461" s="24">
        <f t="shared" si="81"/>
        <v>0</v>
      </c>
      <c r="AE461" s="24">
        <f t="shared" si="81"/>
        <v>0</v>
      </c>
      <c r="AF461" s="24">
        <f t="shared" si="81"/>
        <v>0</v>
      </c>
      <c r="AG461" s="24">
        <f t="shared" si="79"/>
        <v>0</v>
      </c>
      <c r="AH461" s="24">
        <f t="shared" si="83"/>
        <v>0</v>
      </c>
      <c r="AI461" s="24">
        <f t="shared" si="77"/>
        <v>0</v>
      </c>
      <c r="AJ461" s="261">
        <f t="shared" si="78"/>
        <v>0</v>
      </c>
      <c r="AK461" s="13"/>
      <c r="AL461" s="100">
        <v>590</v>
      </c>
      <c r="AM461" s="202"/>
      <c r="AN461" s="200"/>
      <c r="AO461" s="200"/>
      <c r="AP461" s="283">
        <v>1.367</v>
      </c>
      <c r="AR461" s="222">
        <v>95.949196091773828</v>
      </c>
      <c r="AS461" s="223">
        <v>96.072233309830992</v>
      </c>
      <c r="AT461" s="223">
        <v>95.510354655469598</v>
      </c>
      <c r="AU461" s="223">
        <v>95.837505197057723</v>
      </c>
      <c r="AV461" s="223">
        <v>97.963999999999999</v>
      </c>
      <c r="AW461" s="224">
        <v>86.323999999999998</v>
      </c>
      <c r="AX461" s="42"/>
      <c r="AY461" s="181"/>
      <c r="AZ461" s="197"/>
    </row>
    <row r="462" spans="12:52" ht="13" thickBot="1" x14ac:dyDescent="0.3">
      <c r="L462" s="55">
        <v>585</v>
      </c>
      <c r="M462" s="274">
        <f t="shared" si="84"/>
        <v>0</v>
      </c>
      <c r="N462" s="275">
        <f t="shared" si="84"/>
        <v>0</v>
      </c>
      <c r="O462" s="276" t="e">
        <f ca="1"/>
        <v>#N/A</v>
      </c>
      <c r="Q462" s="34">
        <v>0</v>
      </c>
      <c r="R462" s="24">
        <v>0</v>
      </c>
      <c r="S462" s="24">
        <v>0</v>
      </c>
      <c r="T462" s="24">
        <v>0</v>
      </c>
      <c r="U462" s="24">
        <f t="array" ref="U462">IF(U$77&gt;" ",(U$628:U$1078),"")</f>
        <v>0</v>
      </c>
      <c r="V462" s="24">
        <f t="array" ref="V462">IF(V$77&gt;" ",(V$628:V$1078),"")</f>
        <v>0</v>
      </c>
      <c r="W462" s="24">
        <f t="array" ref="W462">IF(W$77&gt;" ",(W$628:W$1078),"")</f>
        <v>0</v>
      </c>
      <c r="X462" s="24">
        <f t="array" ref="X462">IF(X$77&gt;" ",(X$628:X$1078),"")</f>
        <v>0</v>
      </c>
      <c r="Y462" s="21">
        <v>0</v>
      </c>
      <c r="Z462" s="34">
        <f t="shared" si="73"/>
        <v>0</v>
      </c>
      <c r="AA462" s="24">
        <f t="shared" si="74"/>
        <v>0</v>
      </c>
      <c r="AB462" s="24">
        <f t="shared" si="75"/>
        <v>0</v>
      </c>
      <c r="AC462" s="24">
        <f t="shared" si="76"/>
        <v>0</v>
      </c>
      <c r="AD462" s="24">
        <f t="shared" si="81"/>
        <v>0</v>
      </c>
      <c r="AE462" s="24">
        <f t="shared" si="81"/>
        <v>0</v>
      </c>
      <c r="AF462" s="24">
        <f t="shared" si="81"/>
        <v>0</v>
      </c>
      <c r="AG462" s="24">
        <f t="shared" si="79"/>
        <v>0</v>
      </c>
      <c r="AH462" s="24">
        <f t="shared" si="83"/>
        <v>0</v>
      </c>
      <c r="AI462" s="24">
        <f t="shared" si="77"/>
        <v>0</v>
      </c>
      <c r="AJ462" s="261">
        <f t="shared" si="78"/>
        <v>0</v>
      </c>
      <c r="AK462" s="13"/>
      <c r="AL462" s="100">
        <v>585</v>
      </c>
      <c r="AM462" s="202"/>
      <c r="AN462" s="200"/>
      <c r="AO462" s="200"/>
      <c r="AP462" s="284">
        <v>1.528</v>
      </c>
      <c r="AR462" s="222">
        <v>95.931173519630661</v>
      </c>
      <c r="AS462" s="223">
        <v>96.029065753995084</v>
      </c>
      <c r="AT462" s="223">
        <v>95.504099951173032</v>
      </c>
      <c r="AU462" s="223">
        <v>95.828152695365432</v>
      </c>
      <c r="AV462" s="223">
        <v>97.914500000000004</v>
      </c>
      <c r="AW462" s="224">
        <v>86.328499999999991</v>
      </c>
      <c r="AX462" s="42"/>
      <c r="AY462" s="181"/>
      <c r="AZ462" s="197"/>
    </row>
    <row r="463" spans="12:52" ht="13" thickBot="1" x14ac:dyDescent="0.3">
      <c r="L463" s="55">
        <v>580</v>
      </c>
      <c r="M463" s="274">
        <f t="shared" ref="M463:N478" si="85">M1012</f>
        <v>0</v>
      </c>
      <c r="N463" s="275">
        <f t="shared" si="85"/>
        <v>0</v>
      </c>
      <c r="O463" s="276" t="e">
        <f ca="1"/>
        <v>#N/A</v>
      </c>
      <c r="Q463" s="34">
        <v>0</v>
      </c>
      <c r="R463" s="24">
        <v>0</v>
      </c>
      <c r="S463" s="24">
        <v>0</v>
      </c>
      <c r="T463" s="24">
        <v>0</v>
      </c>
      <c r="U463" s="24">
        <f t="array" ref="U463">IF(U$77&gt;" ",(U$628:U$1078),"")</f>
        <v>0</v>
      </c>
      <c r="V463" s="24">
        <f t="array" ref="V463">IF(V$77&gt;" ",(V$628:V$1078),"")</f>
        <v>0</v>
      </c>
      <c r="W463" s="24">
        <f t="array" ref="W463">IF(W$77&gt;" ",(W$628:W$1078),"")</f>
        <v>0</v>
      </c>
      <c r="X463" s="24">
        <f t="array" ref="X463">IF(X$77&gt;" ",(X$628:X$1078),"")</f>
        <v>0</v>
      </c>
      <c r="Y463" s="21">
        <v>0</v>
      </c>
      <c r="Z463" s="34">
        <f t="shared" ref="Z463:Z529" si="86">Q463</f>
        <v>0</v>
      </c>
      <c r="AA463" s="24">
        <f t="shared" ref="AA463:AA529" si="87">R463</f>
        <v>0</v>
      </c>
      <c r="AB463" s="24">
        <f t="shared" ref="AB463:AB529" si="88">S463</f>
        <v>0</v>
      </c>
      <c r="AC463" s="24">
        <f t="shared" ref="AC463:AC529" si="89">T463</f>
        <v>0</v>
      </c>
      <c r="AD463" s="24">
        <f t="shared" si="81"/>
        <v>0</v>
      </c>
      <c r="AE463" s="24">
        <f t="shared" si="81"/>
        <v>0</v>
      </c>
      <c r="AF463" s="24">
        <f t="shared" si="81"/>
        <v>0</v>
      </c>
      <c r="AG463" s="24">
        <f t="shared" si="79"/>
        <v>0</v>
      </c>
      <c r="AH463" s="24">
        <f t="shared" si="83"/>
        <v>0</v>
      </c>
      <c r="AI463" s="24">
        <f t="shared" si="77"/>
        <v>0</v>
      </c>
      <c r="AJ463" s="261">
        <f t="shared" si="78"/>
        <v>0</v>
      </c>
      <c r="AK463" s="13"/>
      <c r="AL463" s="100">
        <v>580</v>
      </c>
      <c r="AM463" s="202"/>
      <c r="AN463" s="200"/>
      <c r="AO463" s="200"/>
      <c r="AP463" s="283">
        <v>1.498</v>
      </c>
      <c r="AR463" s="222">
        <v>95.920901654026849</v>
      </c>
      <c r="AS463" s="223">
        <v>96.002362939153102</v>
      </c>
      <c r="AT463" s="223">
        <v>95.507262723814279</v>
      </c>
      <c r="AU463" s="223">
        <v>95.84040684857176</v>
      </c>
      <c r="AV463" s="223">
        <v>97.864999999999995</v>
      </c>
      <c r="AW463" s="224">
        <v>86.332999999999998</v>
      </c>
      <c r="AX463" s="42"/>
      <c r="AY463" s="181"/>
      <c r="AZ463" s="197"/>
    </row>
    <row r="464" spans="12:52" ht="13" thickBot="1" x14ac:dyDescent="0.3">
      <c r="L464" s="55">
        <v>575</v>
      </c>
      <c r="M464" s="274">
        <f t="shared" si="85"/>
        <v>0</v>
      </c>
      <c r="N464" s="275">
        <f t="shared" si="85"/>
        <v>0</v>
      </c>
      <c r="O464" s="276" t="e">
        <f ca="1"/>
        <v>#N/A</v>
      </c>
      <c r="Q464" s="34">
        <v>0</v>
      </c>
      <c r="R464" s="24">
        <v>0</v>
      </c>
      <c r="S464" s="24">
        <v>0</v>
      </c>
      <c r="T464" s="24">
        <v>0</v>
      </c>
      <c r="U464" s="24">
        <f t="array" ref="U464">IF(U$77&gt;" ",(U$628:U$1078),"")</f>
        <v>0</v>
      </c>
      <c r="V464" s="24">
        <f t="array" ref="V464">IF(V$77&gt;" ",(V$628:V$1078),"")</f>
        <v>0</v>
      </c>
      <c r="W464" s="24">
        <f t="array" ref="W464">IF(W$77&gt;" ",(W$628:W$1078),"")</f>
        <v>0</v>
      </c>
      <c r="X464" s="24">
        <f t="array" ref="X464">IF(X$77&gt;" ",(X$628:X$1078),"")</f>
        <v>0</v>
      </c>
      <c r="Y464" s="21">
        <v>0</v>
      </c>
      <c r="Z464" s="34">
        <f t="shared" si="86"/>
        <v>0</v>
      </c>
      <c r="AA464" s="24">
        <f t="shared" si="87"/>
        <v>0</v>
      </c>
      <c r="AB464" s="24">
        <f t="shared" si="88"/>
        <v>0</v>
      </c>
      <c r="AC464" s="24">
        <f t="shared" si="89"/>
        <v>0</v>
      </c>
      <c r="AD464" s="24">
        <f t="shared" si="81"/>
        <v>0</v>
      </c>
      <c r="AE464" s="24">
        <f t="shared" si="81"/>
        <v>0</v>
      </c>
      <c r="AF464" s="24">
        <f t="shared" si="81"/>
        <v>0</v>
      </c>
      <c r="AG464" s="24">
        <f t="shared" si="79"/>
        <v>0</v>
      </c>
      <c r="AH464" s="24">
        <f t="shared" si="83"/>
        <v>0</v>
      </c>
      <c r="AI464" s="24">
        <f t="shared" ref="AI464:AI527" si="90">AVERAGE(Z464:AH464)</f>
        <v>0</v>
      </c>
      <c r="AJ464" s="261">
        <f t="shared" ref="AJ464:AJ527" si="91">AI464/100</f>
        <v>0</v>
      </c>
      <c r="AK464" s="13"/>
      <c r="AL464" s="100">
        <v>575</v>
      </c>
      <c r="AM464" s="202"/>
      <c r="AN464" s="200"/>
      <c r="AO464" s="200"/>
      <c r="AP464" s="284">
        <v>1.4730000000000001</v>
      </c>
      <c r="AR464" s="222">
        <v>95.884241225244992</v>
      </c>
      <c r="AS464" s="223">
        <v>95.978769999000235</v>
      </c>
      <c r="AT464" s="223">
        <v>95.48840723510942</v>
      </c>
      <c r="AU464" s="223">
        <v>95.828572570568383</v>
      </c>
      <c r="AV464" s="223">
        <v>97.80149999999999</v>
      </c>
      <c r="AW464" s="224">
        <v>86.331500000000005</v>
      </c>
      <c r="AX464" s="42"/>
      <c r="AY464" s="181"/>
      <c r="AZ464" s="197"/>
    </row>
    <row r="465" spans="12:52" ht="13" thickBot="1" x14ac:dyDescent="0.3">
      <c r="L465" s="55">
        <v>570</v>
      </c>
      <c r="M465" s="274">
        <f t="shared" si="85"/>
        <v>0</v>
      </c>
      <c r="N465" s="275">
        <f t="shared" si="85"/>
        <v>0</v>
      </c>
      <c r="O465" s="276" t="e">
        <f ca="1"/>
        <v>#N/A</v>
      </c>
      <c r="Q465" s="34">
        <v>0</v>
      </c>
      <c r="R465" s="24">
        <v>0</v>
      </c>
      <c r="S465" s="24">
        <v>0</v>
      </c>
      <c r="T465" s="24">
        <v>0</v>
      </c>
      <c r="U465" s="24">
        <f t="array" ref="U465">IF(U$77&gt;" ",(U$628:U$1078),"")</f>
        <v>0</v>
      </c>
      <c r="V465" s="24">
        <f t="array" ref="V465">IF(V$77&gt;" ",(V$628:V$1078),"")</f>
        <v>0</v>
      </c>
      <c r="W465" s="24">
        <f t="array" ref="W465">IF(W$77&gt;" ",(W$628:W$1078),"")</f>
        <v>0</v>
      </c>
      <c r="X465" s="24">
        <f t="array" ref="X465">IF(X$77&gt;" ",(X$628:X$1078),"")</f>
        <v>0</v>
      </c>
      <c r="Y465" s="21">
        <v>0</v>
      </c>
      <c r="Z465" s="34">
        <f t="shared" si="86"/>
        <v>0</v>
      </c>
      <c r="AA465" s="24">
        <f t="shared" si="87"/>
        <v>0</v>
      </c>
      <c r="AB465" s="24">
        <f t="shared" si="88"/>
        <v>0</v>
      </c>
      <c r="AC465" s="24">
        <f t="shared" si="89"/>
        <v>0</v>
      </c>
      <c r="AD465" s="24">
        <f t="shared" si="81"/>
        <v>0</v>
      </c>
      <c r="AE465" s="24">
        <f t="shared" si="81"/>
        <v>0</v>
      </c>
      <c r="AF465" s="24">
        <f t="shared" si="81"/>
        <v>0</v>
      </c>
      <c r="AG465" s="24">
        <f t="shared" si="79"/>
        <v>0</v>
      </c>
      <c r="AH465" s="24">
        <f t="shared" si="83"/>
        <v>0</v>
      </c>
      <c r="AI465" s="24">
        <f t="shared" si="90"/>
        <v>0</v>
      </c>
      <c r="AJ465" s="261">
        <f t="shared" si="91"/>
        <v>0</v>
      </c>
      <c r="AK465" s="13"/>
      <c r="AL465" s="100">
        <v>570</v>
      </c>
      <c r="AM465" s="202"/>
      <c r="AN465" s="200"/>
      <c r="AO465" s="200"/>
      <c r="AP465" s="283">
        <v>1.4770000000000001</v>
      </c>
      <c r="AR465" s="222">
        <v>95.851371382207432</v>
      </c>
      <c r="AS465" s="223">
        <v>95.92641120184787</v>
      </c>
      <c r="AT465" s="223">
        <v>95.458123794680375</v>
      </c>
      <c r="AU465" s="223">
        <v>95.794285330929668</v>
      </c>
      <c r="AV465" s="223">
        <v>97.738</v>
      </c>
      <c r="AW465" s="224">
        <v>86.33</v>
      </c>
      <c r="AX465" s="42"/>
      <c r="AY465" s="181"/>
      <c r="AZ465" s="197"/>
    </row>
    <row r="466" spans="12:52" ht="13" thickBot="1" x14ac:dyDescent="0.3">
      <c r="L466" s="55">
        <v>565</v>
      </c>
      <c r="M466" s="274">
        <f t="shared" si="85"/>
        <v>0</v>
      </c>
      <c r="N466" s="275">
        <f t="shared" si="85"/>
        <v>0</v>
      </c>
      <c r="O466" s="276" t="e">
        <f ca="1"/>
        <v>#N/A</v>
      </c>
      <c r="Q466" s="34">
        <v>0</v>
      </c>
      <c r="R466" s="24">
        <v>0</v>
      </c>
      <c r="S466" s="24">
        <v>0</v>
      </c>
      <c r="T466" s="24">
        <v>0</v>
      </c>
      <c r="U466" s="24">
        <f t="array" ref="U466">IF(U$77&gt;" ",(U$628:U$1078),"")</f>
        <v>0</v>
      </c>
      <c r="V466" s="24">
        <f t="array" ref="V466">IF(V$77&gt;" ",(V$628:V$1078),"")</f>
        <v>0</v>
      </c>
      <c r="W466" s="24">
        <f t="array" ref="W466">IF(W$77&gt;" ",(W$628:W$1078),"")</f>
        <v>0</v>
      </c>
      <c r="X466" s="24">
        <f t="array" ref="X466">IF(X$77&gt;" ",(X$628:X$1078),"")</f>
        <v>0</v>
      </c>
      <c r="Y466" s="21">
        <v>0</v>
      </c>
      <c r="Z466" s="34">
        <f t="shared" si="86"/>
        <v>0</v>
      </c>
      <c r="AA466" s="24">
        <f t="shared" si="87"/>
        <v>0</v>
      </c>
      <c r="AB466" s="24">
        <f t="shared" si="88"/>
        <v>0</v>
      </c>
      <c r="AC466" s="24">
        <f t="shared" si="89"/>
        <v>0</v>
      </c>
      <c r="AD466" s="24">
        <f t="shared" si="81"/>
        <v>0</v>
      </c>
      <c r="AE466" s="24">
        <f t="shared" si="81"/>
        <v>0</v>
      </c>
      <c r="AF466" s="24">
        <f t="shared" si="81"/>
        <v>0</v>
      </c>
      <c r="AG466" s="24">
        <f t="shared" si="79"/>
        <v>0</v>
      </c>
      <c r="AH466" s="24">
        <f t="shared" si="83"/>
        <v>0</v>
      </c>
      <c r="AI466" s="24">
        <f t="shared" si="90"/>
        <v>0</v>
      </c>
      <c r="AJ466" s="261">
        <f t="shared" si="91"/>
        <v>0</v>
      </c>
      <c r="AK466" s="13"/>
      <c r="AL466" s="100">
        <v>565</v>
      </c>
      <c r="AM466" s="202"/>
      <c r="AN466" s="200"/>
      <c r="AO466" s="200"/>
      <c r="AP466" s="284">
        <v>1.516</v>
      </c>
      <c r="AR466" s="222">
        <v>95.80845944404841</v>
      </c>
      <c r="AS466" s="223">
        <v>95.886775045368083</v>
      </c>
      <c r="AT466" s="223">
        <v>95.428337768532529</v>
      </c>
      <c r="AU466" s="223">
        <v>95.757682257227188</v>
      </c>
      <c r="AV466" s="223">
        <v>97.660499999999999</v>
      </c>
      <c r="AW466" s="224">
        <v>86.326999999999998</v>
      </c>
      <c r="AX466" s="42"/>
      <c r="AY466" s="181"/>
      <c r="AZ466" s="197"/>
    </row>
    <row r="467" spans="12:52" ht="13" thickBot="1" x14ac:dyDescent="0.3">
      <c r="L467" s="55">
        <v>560</v>
      </c>
      <c r="M467" s="274">
        <f t="shared" si="85"/>
        <v>0</v>
      </c>
      <c r="N467" s="275">
        <f t="shared" si="85"/>
        <v>0</v>
      </c>
      <c r="O467" s="276" t="e">
        <f ca="1"/>
        <v>#N/A</v>
      </c>
      <c r="Q467" s="34">
        <v>0</v>
      </c>
      <c r="R467" s="24">
        <v>0</v>
      </c>
      <c r="S467" s="24">
        <v>0</v>
      </c>
      <c r="T467" s="24">
        <v>0</v>
      </c>
      <c r="U467" s="24">
        <f t="array" ref="U467">IF(U$77&gt;" ",(U$628:U$1078),"")</f>
        <v>0</v>
      </c>
      <c r="V467" s="24">
        <f t="array" ref="V467">IF(V$77&gt;" ",(V$628:V$1078),"")</f>
        <v>0</v>
      </c>
      <c r="W467" s="24">
        <f t="array" ref="W467">IF(W$77&gt;" ",(W$628:W$1078),"")</f>
        <v>0</v>
      </c>
      <c r="X467" s="24">
        <f t="array" ref="X467">IF(X$77&gt;" ",(X$628:X$1078),"")</f>
        <v>0</v>
      </c>
      <c r="Y467" s="21">
        <v>0</v>
      </c>
      <c r="Z467" s="34">
        <f t="shared" si="86"/>
        <v>0</v>
      </c>
      <c r="AA467" s="24">
        <f t="shared" si="87"/>
        <v>0</v>
      </c>
      <c r="AB467" s="24">
        <f t="shared" si="88"/>
        <v>0</v>
      </c>
      <c r="AC467" s="24">
        <f t="shared" si="89"/>
        <v>0</v>
      </c>
      <c r="AD467" s="24">
        <f t="shared" si="81"/>
        <v>0</v>
      </c>
      <c r="AE467" s="24">
        <f t="shared" si="81"/>
        <v>0</v>
      </c>
      <c r="AF467" s="24">
        <f t="shared" si="81"/>
        <v>0</v>
      </c>
      <c r="AG467" s="24">
        <f t="shared" si="79"/>
        <v>0</v>
      </c>
      <c r="AH467" s="24">
        <f t="shared" si="83"/>
        <v>0</v>
      </c>
      <c r="AI467" s="24">
        <f t="shared" si="90"/>
        <v>0</v>
      </c>
      <c r="AJ467" s="261">
        <f t="shared" si="91"/>
        <v>0</v>
      </c>
      <c r="AK467" s="13"/>
      <c r="AL467" s="100">
        <v>560</v>
      </c>
      <c r="AM467" s="202"/>
      <c r="AN467" s="200"/>
      <c r="AO467" s="200"/>
      <c r="AP467" s="283">
        <v>1.47</v>
      </c>
      <c r="AR467" s="222">
        <v>95.739704646673246</v>
      </c>
      <c r="AS467" s="223">
        <v>95.856169526605356</v>
      </c>
      <c r="AT467" s="223">
        <v>95.405520842787993</v>
      </c>
      <c r="AU467" s="223">
        <v>95.744014086806445</v>
      </c>
      <c r="AV467" s="223">
        <v>97.582999999999998</v>
      </c>
      <c r="AW467" s="224">
        <v>86.323999999999998</v>
      </c>
      <c r="AX467" s="42"/>
      <c r="AY467" s="181"/>
      <c r="AZ467" s="197"/>
    </row>
    <row r="468" spans="12:52" ht="13" thickBot="1" x14ac:dyDescent="0.3">
      <c r="L468" s="55">
        <v>555</v>
      </c>
      <c r="M468" s="274">
        <f t="shared" si="85"/>
        <v>0</v>
      </c>
      <c r="N468" s="275">
        <f t="shared" si="85"/>
        <v>0</v>
      </c>
      <c r="O468" s="276" t="e">
        <f ca="1"/>
        <v>#N/A</v>
      </c>
      <c r="Q468" s="34">
        <v>0</v>
      </c>
      <c r="R468" s="24">
        <v>0</v>
      </c>
      <c r="S468" s="24">
        <v>0</v>
      </c>
      <c r="T468" s="24">
        <v>0</v>
      </c>
      <c r="U468" s="24">
        <f t="array" ref="U468">IF(U$77&gt;" ",(U$628:U$1078),"")</f>
        <v>0</v>
      </c>
      <c r="V468" s="24">
        <f t="array" ref="V468">IF(V$77&gt;" ",(V$628:V$1078),"")</f>
        <v>0</v>
      </c>
      <c r="W468" s="24">
        <f t="array" ref="W468">IF(W$77&gt;" ",(W$628:W$1078),"")</f>
        <v>0</v>
      </c>
      <c r="X468" s="24">
        <f t="array" ref="X468">IF(X$77&gt;" ",(X$628:X$1078),"")</f>
        <v>0</v>
      </c>
      <c r="Y468" s="21">
        <v>0</v>
      </c>
      <c r="Z468" s="34">
        <f t="shared" si="86"/>
        <v>0</v>
      </c>
      <c r="AA468" s="24">
        <f t="shared" si="87"/>
        <v>0</v>
      </c>
      <c r="AB468" s="24">
        <f t="shared" si="88"/>
        <v>0</v>
      </c>
      <c r="AC468" s="24">
        <f t="shared" si="89"/>
        <v>0</v>
      </c>
      <c r="AD468" s="24">
        <f t="shared" si="81"/>
        <v>0</v>
      </c>
      <c r="AE468" s="24">
        <f t="shared" si="81"/>
        <v>0</v>
      </c>
      <c r="AF468" s="24">
        <f t="shared" si="81"/>
        <v>0</v>
      </c>
      <c r="AG468" s="24">
        <f t="shared" si="79"/>
        <v>0</v>
      </c>
      <c r="AH468" s="24">
        <f t="shared" si="83"/>
        <v>0</v>
      </c>
      <c r="AI468" s="24">
        <f t="shared" si="90"/>
        <v>0</v>
      </c>
      <c r="AJ468" s="261">
        <f t="shared" si="91"/>
        <v>0</v>
      </c>
      <c r="AK468" s="13"/>
      <c r="AL468" s="100">
        <v>555</v>
      </c>
      <c r="AM468" s="202"/>
      <c r="AN468" s="200"/>
      <c r="AO468" s="200"/>
      <c r="AP468" s="284">
        <v>1.5589999999999999</v>
      </c>
      <c r="AR468" s="222">
        <v>95.671415332940185</v>
      </c>
      <c r="AS468" s="223">
        <v>95.811457005748721</v>
      </c>
      <c r="AT468" s="223">
        <v>95.347883833036107</v>
      </c>
      <c r="AU468" s="223">
        <v>95.702657903890966</v>
      </c>
      <c r="AV468" s="223">
        <v>97.495000000000005</v>
      </c>
      <c r="AW468" s="224">
        <v>86.311000000000007</v>
      </c>
      <c r="AX468" s="42"/>
      <c r="AY468" s="181"/>
      <c r="AZ468" s="197"/>
    </row>
    <row r="469" spans="12:52" ht="13" thickBot="1" x14ac:dyDescent="0.3">
      <c r="L469" s="55">
        <v>550</v>
      </c>
      <c r="M469" s="274">
        <f t="shared" si="85"/>
        <v>0</v>
      </c>
      <c r="N469" s="275">
        <f t="shared" si="85"/>
        <v>0</v>
      </c>
      <c r="O469" s="276" t="e">
        <f ca="1"/>
        <v>#N/A</v>
      </c>
      <c r="Q469" s="34">
        <v>0</v>
      </c>
      <c r="R469" s="24">
        <v>0</v>
      </c>
      <c r="S469" s="24">
        <v>0</v>
      </c>
      <c r="T469" s="24">
        <v>0</v>
      </c>
      <c r="U469" s="24">
        <f t="array" ref="U469">IF(U$77&gt;" ",(U$628:U$1078),"")</f>
        <v>0</v>
      </c>
      <c r="V469" s="24">
        <f t="array" ref="V469">IF(V$77&gt;" ",(V$628:V$1078),"")</f>
        <v>0</v>
      </c>
      <c r="W469" s="24">
        <f t="array" ref="W469">IF(W$77&gt;" ",(W$628:W$1078),"")</f>
        <v>0</v>
      </c>
      <c r="X469" s="24">
        <f t="array" ref="X469">IF(X$77&gt;" ",(X$628:X$1078),"")</f>
        <v>0</v>
      </c>
      <c r="Y469" s="21">
        <v>0</v>
      </c>
      <c r="Z469" s="34">
        <f t="shared" si="86"/>
        <v>0</v>
      </c>
      <c r="AA469" s="24">
        <f t="shared" si="87"/>
        <v>0</v>
      </c>
      <c r="AB469" s="24">
        <f t="shared" si="88"/>
        <v>0</v>
      </c>
      <c r="AC469" s="24">
        <f t="shared" si="89"/>
        <v>0</v>
      </c>
      <c r="AD469" s="24">
        <f t="shared" si="81"/>
        <v>0</v>
      </c>
      <c r="AE469" s="24">
        <f t="shared" si="81"/>
        <v>0</v>
      </c>
      <c r="AF469" s="24">
        <f t="shared" si="81"/>
        <v>0</v>
      </c>
      <c r="AG469" s="24">
        <f t="shared" si="79"/>
        <v>0</v>
      </c>
      <c r="AH469" s="24">
        <f t="shared" si="83"/>
        <v>0</v>
      </c>
      <c r="AI469" s="24">
        <f t="shared" si="90"/>
        <v>0</v>
      </c>
      <c r="AJ469" s="261">
        <f t="shared" si="91"/>
        <v>0</v>
      </c>
      <c r="AK469" s="13"/>
      <c r="AL469" s="100">
        <v>550</v>
      </c>
      <c r="AM469" s="202"/>
      <c r="AN469" s="200"/>
      <c r="AO469" s="200"/>
      <c r="AP469" s="283">
        <v>1.5349999999999999</v>
      </c>
      <c r="AR469" s="222">
        <v>95.620561079788743</v>
      </c>
      <c r="AS469" s="223">
        <v>95.770699468518885</v>
      </c>
      <c r="AT469" s="223">
        <v>95.309688283865924</v>
      </c>
      <c r="AU469" s="223">
        <v>95.682360467929456</v>
      </c>
      <c r="AV469" s="223">
        <v>97.406999999999996</v>
      </c>
      <c r="AW469" s="224">
        <v>86.298000000000002</v>
      </c>
      <c r="AX469" s="42"/>
      <c r="AY469" s="181"/>
      <c r="AZ469" s="197"/>
    </row>
    <row r="470" spans="12:52" ht="13" thickBot="1" x14ac:dyDescent="0.3">
      <c r="L470" s="55">
        <v>545</v>
      </c>
      <c r="M470" s="274">
        <f t="shared" si="85"/>
        <v>0</v>
      </c>
      <c r="N470" s="275">
        <f t="shared" si="85"/>
        <v>0</v>
      </c>
      <c r="O470" s="276" t="e">
        <f ca="1"/>
        <v>#N/A</v>
      </c>
      <c r="Q470" s="34">
        <v>0</v>
      </c>
      <c r="R470" s="24">
        <v>0</v>
      </c>
      <c r="S470" s="24">
        <v>0</v>
      </c>
      <c r="T470" s="24">
        <v>0</v>
      </c>
      <c r="U470" s="24">
        <f t="array" ref="U470">IF(U$77&gt;" ",(U$628:U$1078),"")</f>
        <v>0</v>
      </c>
      <c r="V470" s="24">
        <f t="array" ref="V470">IF(V$77&gt;" ",(V$628:V$1078),"")</f>
        <v>0</v>
      </c>
      <c r="W470" s="24">
        <f t="array" ref="W470">IF(W$77&gt;" ",(W$628:W$1078),"")</f>
        <v>0</v>
      </c>
      <c r="X470" s="24">
        <f t="array" ref="X470">IF(X$77&gt;" ",(X$628:X$1078),"")</f>
        <v>0</v>
      </c>
      <c r="Y470" s="21">
        <v>0</v>
      </c>
      <c r="Z470" s="34">
        <f t="shared" si="86"/>
        <v>0</v>
      </c>
      <c r="AA470" s="24">
        <f t="shared" si="87"/>
        <v>0</v>
      </c>
      <c r="AB470" s="24">
        <f t="shared" si="88"/>
        <v>0</v>
      </c>
      <c r="AC470" s="24">
        <f t="shared" si="89"/>
        <v>0</v>
      </c>
      <c r="AD470" s="24">
        <f t="shared" si="81"/>
        <v>0</v>
      </c>
      <c r="AE470" s="24">
        <f t="shared" si="81"/>
        <v>0</v>
      </c>
      <c r="AF470" s="24">
        <f t="shared" si="81"/>
        <v>0</v>
      </c>
      <c r="AG470" s="24">
        <f t="shared" si="79"/>
        <v>0</v>
      </c>
      <c r="AH470" s="24">
        <f t="shared" si="83"/>
        <v>0</v>
      </c>
      <c r="AI470" s="24">
        <f t="shared" si="90"/>
        <v>0</v>
      </c>
      <c r="AJ470" s="261">
        <f t="shared" si="91"/>
        <v>0</v>
      </c>
      <c r="AK470" s="13"/>
      <c r="AL470" s="100">
        <v>545</v>
      </c>
      <c r="AM470" s="202"/>
      <c r="AN470" s="200"/>
      <c r="AO470" s="200"/>
      <c r="AP470" s="284">
        <v>1.5389999999999999</v>
      </c>
      <c r="AR470" s="222">
        <v>95.576470496975091</v>
      </c>
      <c r="AS470" s="223">
        <v>95.717121235688467</v>
      </c>
      <c r="AT470" s="223">
        <v>95.252315290166507</v>
      </c>
      <c r="AU470" s="223">
        <v>95.649529232629959</v>
      </c>
      <c r="AV470" s="223">
        <v>97.310500000000005</v>
      </c>
      <c r="AW470" s="224">
        <v>86.280500000000004</v>
      </c>
      <c r="AX470" s="42"/>
      <c r="AY470" s="181"/>
      <c r="AZ470" s="197"/>
    </row>
    <row r="471" spans="12:52" ht="13" thickBot="1" x14ac:dyDescent="0.3">
      <c r="L471" s="55">
        <v>540</v>
      </c>
      <c r="M471" s="274">
        <f t="shared" si="85"/>
        <v>0</v>
      </c>
      <c r="N471" s="275">
        <f t="shared" si="85"/>
        <v>0</v>
      </c>
      <c r="O471" s="276" t="e">
        <f ca="1"/>
        <v>#N/A</v>
      </c>
      <c r="Q471" s="34">
        <v>0</v>
      </c>
      <c r="R471" s="24">
        <v>0</v>
      </c>
      <c r="S471" s="24">
        <v>0</v>
      </c>
      <c r="T471" s="24">
        <v>0</v>
      </c>
      <c r="U471" s="24">
        <f t="array" ref="U471">IF(U$77&gt;" ",(U$628:U$1078),"")</f>
        <v>0</v>
      </c>
      <c r="V471" s="24">
        <f t="array" ref="V471">IF(V$77&gt;" ",(V$628:V$1078),"")</f>
        <v>0</v>
      </c>
      <c r="W471" s="24">
        <f t="array" ref="W471">IF(W$77&gt;" ",(W$628:W$1078),"")</f>
        <v>0</v>
      </c>
      <c r="X471" s="24">
        <f t="array" ref="X471">IF(X$77&gt;" ",(X$628:X$1078),"")</f>
        <v>0</v>
      </c>
      <c r="Y471" s="21">
        <v>0</v>
      </c>
      <c r="Z471" s="34">
        <f t="shared" si="86"/>
        <v>0</v>
      </c>
      <c r="AA471" s="24">
        <f t="shared" si="87"/>
        <v>0</v>
      </c>
      <c r="AB471" s="24">
        <f t="shared" si="88"/>
        <v>0</v>
      </c>
      <c r="AC471" s="24">
        <f t="shared" si="89"/>
        <v>0</v>
      </c>
      <c r="AD471" s="24">
        <f t="shared" si="81"/>
        <v>0</v>
      </c>
      <c r="AE471" s="24">
        <f t="shared" si="81"/>
        <v>0</v>
      </c>
      <c r="AF471" s="24">
        <f t="shared" si="81"/>
        <v>0</v>
      </c>
      <c r="AG471" s="24">
        <f t="shared" si="79"/>
        <v>0</v>
      </c>
      <c r="AH471" s="24">
        <f t="shared" si="83"/>
        <v>0</v>
      </c>
      <c r="AI471" s="24">
        <f t="shared" si="90"/>
        <v>0</v>
      </c>
      <c r="AJ471" s="261">
        <f t="shared" si="91"/>
        <v>0</v>
      </c>
      <c r="AK471" s="13"/>
      <c r="AL471" s="100">
        <v>540</v>
      </c>
      <c r="AM471" s="202"/>
      <c r="AN471" s="200"/>
      <c r="AO471" s="200"/>
      <c r="AP471" s="283">
        <v>1.478</v>
      </c>
      <c r="AR471" s="222">
        <v>95.525009110210704</v>
      </c>
      <c r="AS471" s="223">
        <v>95.667117312172834</v>
      </c>
      <c r="AT471" s="223">
        <v>95.186449548105998</v>
      </c>
      <c r="AU471" s="223">
        <v>95.597965198761358</v>
      </c>
      <c r="AV471" s="223">
        <v>97.213999999999999</v>
      </c>
      <c r="AW471" s="224">
        <v>86.263000000000005</v>
      </c>
      <c r="AX471" s="42"/>
      <c r="AY471" s="181"/>
      <c r="AZ471" s="197"/>
    </row>
    <row r="472" spans="12:52" ht="13" thickBot="1" x14ac:dyDescent="0.3">
      <c r="L472" s="55">
        <v>535</v>
      </c>
      <c r="M472" s="274">
        <f t="shared" si="85"/>
        <v>0</v>
      </c>
      <c r="N472" s="275">
        <f t="shared" si="85"/>
        <v>0</v>
      </c>
      <c r="O472" s="276" t="e">
        <f ca="1"/>
        <v>#N/A</v>
      </c>
      <c r="Q472" s="34">
        <v>0</v>
      </c>
      <c r="R472" s="24">
        <v>0</v>
      </c>
      <c r="S472" s="24">
        <v>0</v>
      </c>
      <c r="T472" s="24">
        <v>0</v>
      </c>
      <c r="U472" s="24">
        <f t="array" ref="U472">IF(U$77&gt;" ",(U$628:U$1078),"")</f>
        <v>0</v>
      </c>
      <c r="V472" s="24">
        <f t="array" ref="V472">IF(V$77&gt;" ",(V$628:V$1078),"")</f>
        <v>0</v>
      </c>
      <c r="W472" s="24">
        <f t="array" ref="W472">IF(W$77&gt;" ",(W$628:W$1078),"")</f>
        <v>0</v>
      </c>
      <c r="X472" s="24">
        <f t="array" ref="X472">IF(X$77&gt;" ",(X$628:X$1078),"")</f>
        <v>0</v>
      </c>
      <c r="Y472" s="21">
        <v>0</v>
      </c>
      <c r="Z472" s="34">
        <f t="shared" si="86"/>
        <v>0</v>
      </c>
      <c r="AA472" s="24">
        <f t="shared" si="87"/>
        <v>0</v>
      </c>
      <c r="AB472" s="24">
        <f t="shared" si="88"/>
        <v>0</v>
      </c>
      <c r="AC472" s="24">
        <f t="shared" si="89"/>
        <v>0</v>
      </c>
      <c r="AD472" s="24">
        <f t="shared" si="81"/>
        <v>0</v>
      </c>
      <c r="AE472" s="24">
        <f t="shared" si="81"/>
        <v>0</v>
      </c>
      <c r="AF472" s="24">
        <f t="shared" si="81"/>
        <v>0</v>
      </c>
      <c r="AG472" s="24">
        <f t="shared" si="79"/>
        <v>0</v>
      </c>
      <c r="AH472" s="24">
        <f t="shared" si="83"/>
        <v>0</v>
      </c>
      <c r="AI472" s="24">
        <f t="shared" si="90"/>
        <v>0</v>
      </c>
      <c r="AJ472" s="261">
        <f t="shared" si="91"/>
        <v>0</v>
      </c>
      <c r="AK472" s="13"/>
      <c r="AL472" s="100">
        <v>535</v>
      </c>
      <c r="AM472" s="202"/>
      <c r="AN472" s="200"/>
      <c r="AO472" s="200"/>
      <c r="AP472" s="284">
        <v>1.5489999999999999</v>
      </c>
      <c r="AR472" s="222">
        <v>95.44061300720125</v>
      </c>
      <c r="AS472" s="223">
        <v>95.580553667730669</v>
      </c>
      <c r="AT472" s="223">
        <v>95.078625196870277</v>
      </c>
      <c r="AU472" s="223">
        <v>95.495793677266121</v>
      </c>
      <c r="AV472" s="223">
        <v>97.097999999999999</v>
      </c>
      <c r="AW472" s="224">
        <v>86.236999999999995</v>
      </c>
      <c r="AX472" s="42"/>
      <c r="AY472" s="181"/>
      <c r="AZ472" s="197"/>
    </row>
    <row r="473" spans="12:52" ht="13" thickBot="1" x14ac:dyDescent="0.3">
      <c r="L473" s="55">
        <v>530</v>
      </c>
      <c r="M473" s="274">
        <f t="shared" si="85"/>
        <v>0</v>
      </c>
      <c r="N473" s="275">
        <f t="shared" si="85"/>
        <v>0</v>
      </c>
      <c r="O473" s="276" t="e">
        <f ca="1"/>
        <v>#N/A</v>
      </c>
      <c r="Q473" s="34">
        <v>0</v>
      </c>
      <c r="R473" s="24">
        <v>0</v>
      </c>
      <c r="S473" s="24">
        <v>0</v>
      </c>
      <c r="T473" s="24">
        <v>0</v>
      </c>
      <c r="U473" s="24">
        <f t="array" ref="U473">IF(U$77&gt;" ",(U$628:U$1078),"")</f>
        <v>0</v>
      </c>
      <c r="V473" s="24">
        <f t="array" ref="V473">IF(V$77&gt;" ",(V$628:V$1078),"")</f>
        <v>0</v>
      </c>
      <c r="W473" s="24">
        <f t="array" ref="W473">IF(W$77&gt;" ",(W$628:W$1078),"")</f>
        <v>0</v>
      </c>
      <c r="X473" s="24">
        <f t="array" ref="X473">IF(X$77&gt;" ",(X$628:X$1078),"")</f>
        <v>0</v>
      </c>
      <c r="Y473" s="21">
        <v>0</v>
      </c>
      <c r="Z473" s="34">
        <f t="shared" si="86"/>
        <v>0</v>
      </c>
      <c r="AA473" s="24">
        <f t="shared" si="87"/>
        <v>0</v>
      </c>
      <c r="AB473" s="24">
        <f t="shared" si="88"/>
        <v>0</v>
      </c>
      <c r="AC473" s="24">
        <f t="shared" si="89"/>
        <v>0</v>
      </c>
      <c r="AD473" s="24">
        <f t="shared" si="81"/>
        <v>0</v>
      </c>
      <c r="AE473" s="24">
        <f t="shared" si="81"/>
        <v>0</v>
      </c>
      <c r="AF473" s="24">
        <f t="shared" si="81"/>
        <v>0</v>
      </c>
      <c r="AG473" s="24">
        <f t="shared" si="79"/>
        <v>0</v>
      </c>
      <c r="AH473" s="24">
        <f t="shared" si="83"/>
        <v>0</v>
      </c>
      <c r="AI473" s="24">
        <f t="shared" si="90"/>
        <v>0</v>
      </c>
      <c r="AJ473" s="261">
        <f t="shared" si="91"/>
        <v>0</v>
      </c>
      <c r="AK473" s="13"/>
      <c r="AL473" s="100">
        <v>530</v>
      </c>
      <c r="AM473" s="202"/>
      <c r="AN473" s="200"/>
      <c r="AO473" s="200"/>
      <c r="AP473" s="283">
        <v>1.54</v>
      </c>
      <c r="AR473" s="222">
        <v>95.358220076865493</v>
      </c>
      <c r="AS473" s="223">
        <v>95.495188898004074</v>
      </c>
      <c r="AT473" s="223">
        <v>94.97375582385699</v>
      </c>
      <c r="AU473" s="223">
        <v>95.397043127217216</v>
      </c>
      <c r="AV473" s="223">
        <v>96.981999999999999</v>
      </c>
      <c r="AW473" s="224">
        <v>86.210999999999999</v>
      </c>
      <c r="AX473" s="42"/>
      <c r="AY473" s="181"/>
      <c r="AZ473" s="197"/>
    </row>
    <row r="474" spans="12:52" ht="13" thickBot="1" x14ac:dyDescent="0.3">
      <c r="L474" s="55">
        <v>525</v>
      </c>
      <c r="M474" s="274">
        <f t="shared" si="85"/>
        <v>0</v>
      </c>
      <c r="N474" s="275">
        <f t="shared" si="85"/>
        <v>0</v>
      </c>
      <c r="O474" s="276" t="e">
        <f ca="1"/>
        <v>#N/A</v>
      </c>
      <c r="Q474" s="34">
        <v>0</v>
      </c>
      <c r="R474" s="24">
        <v>0</v>
      </c>
      <c r="S474" s="24">
        <v>0</v>
      </c>
      <c r="T474" s="24">
        <v>0</v>
      </c>
      <c r="U474" s="24">
        <f t="array" ref="U474">IF(U$77&gt;" ",(U$628:U$1078),"")</f>
        <v>0</v>
      </c>
      <c r="V474" s="24">
        <f t="array" ref="V474">IF(V$77&gt;" ",(V$628:V$1078),"")</f>
        <v>0</v>
      </c>
      <c r="W474" s="24">
        <f t="array" ref="W474">IF(W$77&gt;" ",(W$628:W$1078),"")</f>
        <v>0</v>
      </c>
      <c r="X474" s="24">
        <f t="array" ref="X474">IF(X$77&gt;" ",(X$628:X$1078),"")</f>
        <v>0</v>
      </c>
      <c r="Y474" s="21">
        <v>0</v>
      </c>
      <c r="Z474" s="34">
        <f t="shared" si="86"/>
        <v>0</v>
      </c>
      <c r="AA474" s="24">
        <f t="shared" si="87"/>
        <v>0</v>
      </c>
      <c r="AB474" s="24">
        <f t="shared" si="88"/>
        <v>0</v>
      </c>
      <c r="AC474" s="24">
        <f t="shared" si="89"/>
        <v>0</v>
      </c>
      <c r="AD474" s="24">
        <f t="shared" si="81"/>
        <v>0</v>
      </c>
      <c r="AE474" s="24">
        <f t="shared" si="81"/>
        <v>0</v>
      </c>
      <c r="AF474" s="24">
        <f t="shared" si="81"/>
        <v>0</v>
      </c>
      <c r="AG474" s="24">
        <f t="shared" si="79"/>
        <v>0</v>
      </c>
      <c r="AH474" s="24">
        <f t="shared" si="83"/>
        <v>0</v>
      </c>
      <c r="AI474" s="24">
        <f t="shared" si="90"/>
        <v>0</v>
      </c>
      <c r="AJ474" s="261">
        <f t="shared" si="91"/>
        <v>0</v>
      </c>
      <c r="AK474" s="13"/>
      <c r="AL474" s="100">
        <v>525</v>
      </c>
      <c r="AM474" s="202"/>
      <c r="AN474" s="200"/>
      <c r="AO474" s="200"/>
      <c r="AP474" s="284">
        <v>1.5740000000000001</v>
      </c>
      <c r="AR474" s="222">
        <v>95.158337045490725</v>
      </c>
      <c r="AS474" s="223">
        <v>95.306022964224397</v>
      </c>
      <c r="AT474" s="223">
        <v>94.504584982357642</v>
      </c>
      <c r="AU474" s="223">
        <v>94.929202880424654</v>
      </c>
      <c r="AV474" s="223">
        <v>96.84899999999999</v>
      </c>
      <c r="AW474" s="224">
        <v>86.19</v>
      </c>
      <c r="AX474" s="42"/>
      <c r="AY474" s="181"/>
      <c r="AZ474" s="197"/>
    </row>
    <row r="475" spans="12:52" ht="13" thickBot="1" x14ac:dyDescent="0.3">
      <c r="L475" s="55">
        <v>520</v>
      </c>
      <c r="M475" s="274">
        <f t="shared" si="85"/>
        <v>0</v>
      </c>
      <c r="N475" s="275">
        <f t="shared" si="85"/>
        <v>0</v>
      </c>
      <c r="O475" s="276" t="e">
        <f ca="1"/>
        <v>#N/A</v>
      </c>
      <c r="Q475" s="34">
        <v>0</v>
      </c>
      <c r="R475" s="24">
        <v>0</v>
      </c>
      <c r="S475" s="24">
        <v>0</v>
      </c>
      <c r="T475" s="24">
        <v>0</v>
      </c>
      <c r="U475" s="24">
        <f t="array" ref="U475">IF(U$77&gt;" ",(U$628:U$1078),"")</f>
        <v>0</v>
      </c>
      <c r="V475" s="24">
        <f t="array" ref="V475">IF(V$77&gt;" ",(V$628:V$1078),"")</f>
        <v>0</v>
      </c>
      <c r="W475" s="24">
        <f t="array" ref="W475">IF(W$77&gt;" ",(W$628:W$1078),"")</f>
        <v>0</v>
      </c>
      <c r="X475" s="24">
        <f t="array" ref="X475">IF(X$77&gt;" ",(X$628:X$1078),"")</f>
        <v>0</v>
      </c>
      <c r="Y475" s="21">
        <v>0</v>
      </c>
      <c r="Z475" s="34">
        <f t="shared" si="86"/>
        <v>0</v>
      </c>
      <c r="AA475" s="24">
        <f t="shared" si="87"/>
        <v>0</v>
      </c>
      <c r="AB475" s="24">
        <f t="shared" si="88"/>
        <v>0</v>
      </c>
      <c r="AC475" s="24">
        <f t="shared" si="89"/>
        <v>0</v>
      </c>
      <c r="AD475" s="24">
        <f t="shared" si="81"/>
        <v>0</v>
      </c>
      <c r="AE475" s="24">
        <f t="shared" si="81"/>
        <v>0</v>
      </c>
      <c r="AF475" s="24">
        <f t="shared" si="81"/>
        <v>0</v>
      </c>
      <c r="AG475" s="24">
        <f t="shared" si="79"/>
        <v>0</v>
      </c>
      <c r="AH475" s="24">
        <f t="shared" si="83"/>
        <v>0</v>
      </c>
      <c r="AI475" s="24">
        <f t="shared" si="90"/>
        <v>0</v>
      </c>
      <c r="AJ475" s="261">
        <f t="shared" si="91"/>
        <v>0</v>
      </c>
      <c r="AK475" s="13"/>
      <c r="AL475" s="100">
        <v>520</v>
      </c>
      <c r="AM475" s="202"/>
      <c r="AN475" s="200"/>
      <c r="AO475" s="200"/>
      <c r="AP475" s="283">
        <v>1.5189999999999999</v>
      </c>
      <c r="AR475" s="222">
        <v>94.965949839596547</v>
      </c>
      <c r="AS475" s="223">
        <v>95.125576108510018</v>
      </c>
      <c r="AT475" s="223">
        <v>94.037488067774518</v>
      </c>
      <c r="AU475" s="223">
        <v>94.461656357119594</v>
      </c>
      <c r="AV475" s="223">
        <v>96.716000000000008</v>
      </c>
      <c r="AW475" s="224">
        <v>86.168999999999997</v>
      </c>
      <c r="AX475" s="42"/>
      <c r="AY475" s="181"/>
      <c r="AZ475" s="197"/>
    </row>
    <row r="476" spans="12:52" ht="13" thickBot="1" x14ac:dyDescent="0.3">
      <c r="L476" s="55">
        <v>515</v>
      </c>
      <c r="M476" s="274">
        <f t="shared" si="85"/>
        <v>0</v>
      </c>
      <c r="N476" s="275">
        <f t="shared" si="85"/>
        <v>0</v>
      </c>
      <c r="O476" s="276" t="e">
        <f ca="1"/>
        <v>#N/A</v>
      </c>
      <c r="Q476" s="34">
        <v>0</v>
      </c>
      <c r="R476" s="24">
        <v>0</v>
      </c>
      <c r="S476" s="24">
        <v>0</v>
      </c>
      <c r="T476" s="24">
        <v>0</v>
      </c>
      <c r="U476" s="24">
        <f t="array" ref="U476">IF(U$77&gt;" ",(U$628:U$1078),"")</f>
        <v>0</v>
      </c>
      <c r="V476" s="24">
        <f t="array" ref="V476">IF(V$77&gt;" ",(V$628:V$1078),"")</f>
        <v>0</v>
      </c>
      <c r="W476" s="24">
        <f t="array" ref="W476">IF(W$77&gt;" ",(W$628:W$1078),"")</f>
        <v>0</v>
      </c>
      <c r="X476" s="24">
        <f t="array" ref="X476">IF(X$77&gt;" ",(X$628:X$1078),"")</f>
        <v>0</v>
      </c>
      <c r="Y476" s="21">
        <v>0</v>
      </c>
      <c r="Z476" s="34">
        <f t="shared" si="86"/>
        <v>0</v>
      </c>
      <c r="AA476" s="24">
        <f t="shared" si="87"/>
        <v>0</v>
      </c>
      <c r="AB476" s="24">
        <f t="shared" si="88"/>
        <v>0</v>
      </c>
      <c r="AC476" s="24">
        <f t="shared" si="89"/>
        <v>0</v>
      </c>
      <c r="AD476" s="24">
        <f t="shared" si="81"/>
        <v>0</v>
      </c>
      <c r="AE476" s="24">
        <f t="shared" si="81"/>
        <v>0</v>
      </c>
      <c r="AF476" s="24">
        <f t="shared" si="81"/>
        <v>0</v>
      </c>
      <c r="AG476" s="24">
        <f t="shared" si="79"/>
        <v>0</v>
      </c>
      <c r="AH476" s="24">
        <f t="shared" si="83"/>
        <v>0</v>
      </c>
      <c r="AI476" s="24">
        <f t="shared" si="90"/>
        <v>0</v>
      </c>
      <c r="AJ476" s="261">
        <f t="shared" si="91"/>
        <v>0</v>
      </c>
      <c r="AK476" s="13"/>
      <c r="AL476" s="100">
        <v>515</v>
      </c>
      <c r="AM476" s="202"/>
      <c r="AN476" s="200"/>
      <c r="AO476" s="200"/>
      <c r="AP476" s="284">
        <v>1.5269999999999999</v>
      </c>
      <c r="AR476" s="222">
        <v>95.043185304781801</v>
      </c>
      <c r="AS476" s="223">
        <v>95.192688891927219</v>
      </c>
      <c r="AT476" s="223">
        <v>94.403818230613069</v>
      </c>
      <c r="AU476" s="223">
        <v>94.830497574226129</v>
      </c>
      <c r="AV476" s="223">
        <v>96.5685</v>
      </c>
      <c r="AW476" s="224">
        <v>86.149500000000003</v>
      </c>
      <c r="AX476" s="42"/>
      <c r="AY476" s="181"/>
      <c r="AZ476" s="197"/>
    </row>
    <row r="477" spans="12:52" ht="13" thickBot="1" x14ac:dyDescent="0.3">
      <c r="L477" s="55">
        <v>510</v>
      </c>
      <c r="M477" s="274">
        <f t="shared" si="85"/>
        <v>0</v>
      </c>
      <c r="N477" s="275">
        <f t="shared" si="85"/>
        <v>0</v>
      </c>
      <c r="O477" s="276" t="e">
        <f ca="1"/>
        <v>#N/A</v>
      </c>
      <c r="Q477" s="34">
        <v>0</v>
      </c>
      <c r="R477" s="24">
        <v>0</v>
      </c>
      <c r="S477" s="24">
        <v>0</v>
      </c>
      <c r="T477" s="24">
        <v>0</v>
      </c>
      <c r="U477" s="24">
        <f t="array" ref="U477">IF(U$77&gt;" ",(U$628:U$1078),"")</f>
        <v>0</v>
      </c>
      <c r="V477" s="24">
        <f t="array" ref="V477">IF(V$77&gt;" ",(V$628:V$1078),"")</f>
        <v>0</v>
      </c>
      <c r="W477" s="24">
        <f t="array" ref="W477">IF(W$77&gt;" ",(W$628:W$1078),"")</f>
        <v>0</v>
      </c>
      <c r="X477" s="24">
        <f t="array" ref="X477">IF(X$77&gt;" ",(X$628:X$1078),"")</f>
        <v>0</v>
      </c>
      <c r="Y477" s="21">
        <v>0</v>
      </c>
      <c r="Z477" s="34">
        <f t="shared" si="86"/>
        <v>0</v>
      </c>
      <c r="AA477" s="24">
        <f t="shared" si="87"/>
        <v>0</v>
      </c>
      <c r="AB477" s="24">
        <f t="shared" si="88"/>
        <v>0</v>
      </c>
      <c r="AC477" s="24">
        <f t="shared" si="89"/>
        <v>0</v>
      </c>
      <c r="AD477" s="24">
        <f t="shared" si="81"/>
        <v>0</v>
      </c>
      <c r="AE477" s="24">
        <f t="shared" si="81"/>
        <v>0</v>
      </c>
      <c r="AF477" s="24">
        <f t="shared" si="81"/>
        <v>0</v>
      </c>
      <c r="AG477" s="24">
        <f t="shared" si="79"/>
        <v>0</v>
      </c>
      <c r="AH477" s="24">
        <f t="shared" si="83"/>
        <v>0</v>
      </c>
      <c r="AI477" s="24">
        <f t="shared" si="90"/>
        <v>0</v>
      </c>
      <c r="AJ477" s="261">
        <f t="shared" si="91"/>
        <v>0</v>
      </c>
      <c r="AK477" s="13"/>
      <c r="AL477" s="100">
        <v>510</v>
      </c>
      <c r="AM477" s="202"/>
      <c r="AN477" s="200"/>
      <c r="AO477" s="200"/>
      <c r="AP477" s="283">
        <v>1.544</v>
      </c>
      <c r="AR477" s="222">
        <v>95.106559458400042</v>
      </c>
      <c r="AS477" s="223">
        <v>95.253785428487205</v>
      </c>
      <c r="AT477" s="223">
        <v>94.770277528491036</v>
      </c>
      <c r="AU477" s="223">
        <v>95.190425682603333</v>
      </c>
      <c r="AV477" s="223">
        <v>96.421000000000006</v>
      </c>
      <c r="AW477" s="224">
        <v>86.13</v>
      </c>
      <c r="AX477" s="42"/>
      <c r="AY477" s="181"/>
      <c r="AZ477" s="197"/>
    </row>
    <row r="478" spans="12:52" ht="13" thickBot="1" x14ac:dyDescent="0.3">
      <c r="L478" s="55">
        <v>505</v>
      </c>
      <c r="M478" s="274">
        <f t="shared" si="85"/>
        <v>0</v>
      </c>
      <c r="N478" s="275">
        <f t="shared" si="85"/>
        <v>0</v>
      </c>
      <c r="O478" s="276" t="e">
        <f ca="1"/>
        <v>#N/A</v>
      </c>
      <c r="Q478" s="34">
        <v>0</v>
      </c>
      <c r="R478" s="24">
        <v>0</v>
      </c>
      <c r="S478" s="24">
        <v>0</v>
      </c>
      <c r="T478" s="24">
        <v>0</v>
      </c>
      <c r="U478" s="24">
        <f t="array" ref="U478">IF(U$77&gt;" ",(U$628:U$1078),"")</f>
        <v>0</v>
      </c>
      <c r="V478" s="24">
        <f t="array" ref="V478">IF(V$77&gt;" ",(V$628:V$1078),"")</f>
        <v>0</v>
      </c>
      <c r="W478" s="24">
        <f t="array" ref="W478">IF(W$77&gt;" ",(W$628:W$1078),"")</f>
        <v>0</v>
      </c>
      <c r="X478" s="24">
        <f t="array" ref="X478">IF(X$77&gt;" ",(X$628:X$1078),"")</f>
        <v>0</v>
      </c>
      <c r="Y478" s="21">
        <v>0</v>
      </c>
      <c r="Z478" s="34">
        <f t="shared" si="86"/>
        <v>0</v>
      </c>
      <c r="AA478" s="24">
        <f t="shared" si="87"/>
        <v>0</v>
      </c>
      <c r="AB478" s="24">
        <f t="shared" si="88"/>
        <v>0</v>
      </c>
      <c r="AC478" s="24">
        <f t="shared" si="89"/>
        <v>0</v>
      </c>
      <c r="AD478" s="24">
        <f t="shared" si="81"/>
        <v>0</v>
      </c>
      <c r="AE478" s="24">
        <f t="shared" si="81"/>
        <v>0</v>
      </c>
      <c r="AF478" s="24">
        <f t="shared" si="81"/>
        <v>0</v>
      </c>
      <c r="AG478" s="24">
        <f t="shared" si="81"/>
        <v>0</v>
      </c>
      <c r="AH478" s="24">
        <f t="shared" si="83"/>
        <v>0</v>
      </c>
      <c r="AI478" s="24">
        <f t="shared" si="90"/>
        <v>0</v>
      </c>
      <c r="AJ478" s="261">
        <f t="shared" si="91"/>
        <v>0</v>
      </c>
      <c r="AK478" s="13"/>
      <c r="AL478" s="100">
        <v>505</v>
      </c>
      <c r="AM478" s="202"/>
      <c r="AN478" s="200"/>
      <c r="AO478" s="200"/>
      <c r="AP478" s="284">
        <v>1.5589999999999999</v>
      </c>
      <c r="AR478" s="222">
        <v>95.025956051073322</v>
      </c>
      <c r="AS478" s="223">
        <v>95.16988040441278</v>
      </c>
      <c r="AT478" s="223">
        <v>94.684160319000227</v>
      </c>
      <c r="AU478" s="223">
        <v>95.08776793130842</v>
      </c>
      <c r="AV478" s="223">
        <v>96.267499999999998</v>
      </c>
      <c r="AW478" s="224">
        <v>86.111499999999992</v>
      </c>
      <c r="AX478" s="42"/>
      <c r="AY478" s="181"/>
      <c r="AZ478" s="197"/>
    </row>
    <row r="479" spans="12:52" ht="13" thickBot="1" x14ac:dyDescent="0.3">
      <c r="L479" s="55">
        <v>500</v>
      </c>
      <c r="M479" s="274">
        <f t="shared" ref="M479:N494" si="92">M1028</f>
        <v>0</v>
      </c>
      <c r="N479" s="275">
        <f t="shared" si="92"/>
        <v>0</v>
      </c>
      <c r="O479" s="276" t="e">
        <f ca="1"/>
        <v>#N/A</v>
      </c>
      <c r="Q479" s="34">
        <v>0</v>
      </c>
      <c r="R479" s="24">
        <v>0</v>
      </c>
      <c r="S479" s="24">
        <v>0</v>
      </c>
      <c r="T479" s="24">
        <v>0</v>
      </c>
      <c r="U479" s="24">
        <f t="array" ref="U479">IF(U$77&gt;" ",(U$628:U$1078),"")</f>
        <v>0</v>
      </c>
      <c r="V479" s="24">
        <f t="array" ref="V479">IF(V$77&gt;" ",(V$628:V$1078),"")</f>
        <v>0</v>
      </c>
      <c r="W479" s="24">
        <f t="array" ref="W479">IF(W$77&gt;" ",(W$628:W$1078),"")</f>
        <v>0</v>
      </c>
      <c r="X479" s="24">
        <f t="array" ref="X479">IF(X$77&gt;" ",(X$628:X$1078),"")</f>
        <v>0</v>
      </c>
      <c r="Y479" s="21">
        <v>0</v>
      </c>
      <c r="Z479" s="34">
        <f t="shared" si="86"/>
        <v>0</v>
      </c>
      <c r="AA479" s="24">
        <f t="shared" si="87"/>
        <v>0</v>
      </c>
      <c r="AB479" s="24">
        <f t="shared" si="88"/>
        <v>0</v>
      </c>
      <c r="AC479" s="24">
        <f t="shared" si="89"/>
        <v>0</v>
      </c>
      <c r="AD479" s="24">
        <f t="shared" ref="AD479:AG529" si="93">U479</f>
        <v>0</v>
      </c>
      <c r="AE479" s="24">
        <f t="shared" si="93"/>
        <v>0</v>
      </c>
      <c r="AF479" s="24">
        <f t="shared" si="93"/>
        <v>0</v>
      </c>
      <c r="AG479" s="24">
        <f t="shared" si="93"/>
        <v>0</v>
      </c>
      <c r="AH479" s="24">
        <f t="shared" si="83"/>
        <v>0</v>
      </c>
      <c r="AI479" s="24">
        <f t="shared" si="90"/>
        <v>0</v>
      </c>
      <c r="AJ479" s="261">
        <f t="shared" si="91"/>
        <v>0</v>
      </c>
      <c r="AK479" s="13"/>
      <c r="AL479" s="100">
        <v>500</v>
      </c>
      <c r="AM479" s="202"/>
      <c r="AN479" s="200"/>
      <c r="AO479" s="200"/>
      <c r="AP479" s="283">
        <v>1.5409999999999999</v>
      </c>
      <c r="AR479" s="222">
        <v>94.946946453701912</v>
      </c>
      <c r="AS479" s="223">
        <v>95.080025472053805</v>
      </c>
      <c r="AT479" s="223">
        <v>94.606658122294164</v>
      </c>
      <c r="AU479" s="223">
        <v>95.00263023712462</v>
      </c>
      <c r="AV479" s="223">
        <v>96.114000000000004</v>
      </c>
      <c r="AW479" s="224">
        <v>86.093000000000004</v>
      </c>
      <c r="AX479" s="42"/>
      <c r="AY479" s="181"/>
      <c r="AZ479" s="197"/>
    </row>
    <row r="480" spans="12:52" ht="13" thickBot="1" x14ac:dyDescent="0.3">
      <c r="L480" s="55">
        <v>495</v>
      </c>
      <c r="M480" s="274">
        <f t="shared" si="92"/>
        <v>0</v>
      </c>
      <c r="N480" s="275">
        <f t="shared" si="92"/>
        <v>0</v>
      </c>
      <c r="O480" s="276" t="e">
        <f ca="1"/>
        <v>#N/A</v>
      </c>
      <c r="Q480" s="34">
        <v>0</v>
      </c>
      <c r="R480" s="24">
        <v>0</v>
      </c>
      <c r="S480" s="24">
        <v>0</v>
      </c>
      <c r="T480" s="24">
        <v>0</v>
      </c>
      <c r="U480" s="24">
        <f t="array" ref="U480">IF(U$77&gt;" ",(U$628:U$1078),"")</f>
        <v>0</v>
      </c>
      <c r="V480" s="24">
        <f t="array" ref="V480">IF(V$77&gt;" ",(V$628:V$1078),"")</f>
        <v>0</v>
      </c>
      <c r="W480" s="24">
        <f t="array" ref="W480">IF(W$77&gt;" ",(W$628:W$1078),"")</f>
        <v>0</v>
      </c>
      <c r="X480" s="24">
        <f t="array" ref="X480">IF(X$77&gt;" ",(X$628:X$1078),"")</f>
        <v>0</v>
      </c>
      <c r="Y480" s="21">
        <v>0</v>
      </c>
      <c r="Z480" s="34">
        <f t="shared" si="86"/>
        <v>0</v>
      </c>
      <c r="AA480" s="24">
        <f t="shared" si="87"/>
        <v>0</v>
      </c>
      <c r="AB480" s="24">
        <f t="shared" si="88"/>
        <v>0</v>
      </c>
      <c r="AC480" s="24">
        <f t="shared" si="89"/>
        <v>0</v>
      </c>
      <c r="AD480" s="24">
        <f t="shared" si="93"/>
        <v>0</v>
      </c>
      <c r="AE480" s="24">
        <f t="shared" si="93"/>
        <v>0</v>
      </c>
      <c r="AF480" s="24">
        <f t="shared" si="93"/>
        <v>0</v>
      </c>
      <c r="AG480" s="24">
        <f t="shared" si="93"/>
        <v>0</v>
      </c>
      <c r="AH480" s="24">
        <f t="shared" si="83"/>
        <v>0</v>
      </c>
      <c r="AI480" s="24">
        <f t="shared" si="90"/>
        <v>0</v>
      </c>
      <c r="AJ480" s="261">
        <f t="shared" si="91"/>
        <v>0</v>
      </c>
      <c r="AK480" s="13"/>
      <c r="AL480" s="100">
        <v>495</v>
      </c>
      <c r="AM480" s="202"/>
      <c r="AN480" s="200"/>
      <c r="AO480" s="200"/>
      <c r="AP480" s="284">
        <v>1.6439999999999999</v>
      </c>
      <c r="AR480" s="222">
        <v>94.822035800568074</v>
      </c>
      <c r="AS480" s="223">
        <v>94.967478149752139</v>
      </c>
      <c r="AT480" s="223">
        <v>94.469214266905439</v>
      </c>
      <c r="AU480" s="223">
        <v>94.881045787690482</v>
      </c>
      <c r="AV480" s="223">
        <v>95.9405</v>
      </c>
      <c r="AW480" s="224">
        <v>86.079000000000008</v>
      </c>
      <c r="AX480" s="42"/>
      <c r="AY480" s="181"/>
      <c r="AZ480" s="197"/>
    </row>
    <row r="481" spans="4:52" ht="13" thickBot="1" x14ac:dyDescent="0.3">
      <c r="L481" s="55">
        <v>490</v>
      </c>
      <c r="M481" s="274">
        <f t="shared" si="92"/>
        <v>0</v>
      </c>
      <c r="N481" s="275">
        <f t="shared" si="92"/>
        <v>0</v>
      </c>
      <c r="O481" s="276" t="e">
        <f ca="1"/>
        <v>#N/A</v>
      </c>
      <c r="Q481" s="34">
        <v>0</v>
      </c>
      <c r="R481" s="24">
        <v>0</v>
      </c>
      <c r="S481" s="24">
        <v>0</v>
      </c>
      <c r="T481" s="24">
        <v>0</v>
      </c>
      <c r="U481" s="24">
        <f t="array" ref="U481">IF(U$77&gt;" ",(U$628:U$1078),"")</f>
        <v>0</v>
      </c>
      <c r="V481" s="24">
        <f t="array" ref="V481">IF(V$77&gt;" ",(V$628:V$1078),"")</f>
        <v>0</v>
      </c>
      <c r="W481" s="24">
        <f t="array" ref="W481">IF(W$77&gt;" ",(W$628:W$1078),"")</f>
        <v>0</v>
      </c>
      <c r="X481" s="24">
        <f t="array" ref="X481">IF(X$77&gt;" ",(X$628:X$1078),"")</f>
        <v>0</v>
      </c>
      <c r="Y481" s="21">
        <v>0</v>
      </c>
      <c r="Z481" s="34">
        <f t="shared" si="86"/>
        <v>0</v>
      </c>
      <c r="AA481" s="24">
        <f t="shared" si="87"/>
        <v>0</v>
      </c>
      <c r="AB481" s="24">
        <f t="shared" si="88"/>
        <v>0</v>
      </c>
      <c r="AC481" s="24">
        <f t="shared" si="89"/>
        <v>0</v>
      </c>
      <c r="AD481" s="24">
        <f t="shared" si="93"/>
        <v>0</v>
      </c>
      <c r="AE481" s="24">
        <f t="shared" si="93"/>
        <v>0</v>
      </c>
      <c r="AF481" s="24">
        <f t="shared" si="93"/>
        <v>0</v>
      </c>
      <c r="AG481" s="24">
        <f t="shared" si="93"/>
        <v>0</v>
      </c>
      <c r="AH481" s="24">
        <f t="shared" si="83"/>
        <v>0</v>
      </c>
      <c r="AI481" s="24">
        <f t="shared" si="90"/>
        <v>0</v>
      </c>
      <c r="AJ481" s="261">
        <f t="shared" si="91"/>
        <v>0</v>
      </c>
      <c r="AK481" s="13"/>
      <c r="AL481" s="100">
        <v>490</v>
      </c>
      <c r="AM481" s="202"/>
      <c r="AN481" s="200"/>
      <c r="AO481" s="200"/>
      <c r="AP481" s="283">
        <v>1.6180000000000001</v>
      </c>
      <c r="AR481" s="222">
        <v>94.690384578910425</v>
      </c>
      <c r="AS481" s="223">
        <v>94.865871022097551</v>
      </c>
      <c r="AT481" s="223">
        <v>94.333338305718073</v>
      </c>
      <c r="AU481" s="223">
        <v>94.779739057633762</v>
      </c>
      <c r="AV481" s="223">
        <v>95.766999999999996</v>
      </c>
      <c r="AW481" s="224">
        <v>86.064999999999998</v>
      </c>
      <c r="AX481" s="42"/>
      <c r="AY481" s="181"/>
      <c r="AZ481" s="197"/>
    </row>
    <row r="482" spans="4:52" ht="13" thickBot="1" x14ac:dyDescent="0.3">
      <c r="L482" s="55">
        <v>485</v>
      </c>
      <c r="M482" s="274">
        <f t="shared" si="92"/>
        <v>0</v>
      </c>
      <c r="N482" s="275">
        <f t="shared" si="92"/>
        <v>0</v>
      </c>
      <c r="O482" s="276" t="e">
        <f ca="1"/>
        <v>#N/A</v>
      </c>
      <c r="Q482" s="34">
        <v>0</v>
      </c>
      <c r="R482" s="24">
        <v>0</v>
      </c>
      <c r="S482" s="24">
        <v>0</v>
      </c>
      <c r="T482" s="24">
        <v>0</v>
      </c>
      <c r="U482" s="24">
        <f t="array" ref="U482">IF(U$77&gt;" ",(U$628:U$1078),"")</f>
        <v>0</v>
      </c>
      <c r="V482" s="24">
        <f t="array" ref="V482">IF(V$77&gt;" ",(V$628:V$1078),"")</f>
        <v>0</v>
      </c>
      <c r="W482" s="24">
        <f t="array" ref="W482">IF(W$77&gt;" ",(W$628:W$1078),"")</f>
        <v>0</v>
      </c>
      <c r="X482" s="24">
        <f t="array" ref="X482">IF(X$77&gt;" ",(X$628:X$1078),"")</f>
        <v>0</v>
      </c>
      <c r="Y482" s="21">
        <v>0</v>
      </c>
      <c r="Z482" s="34">
        <f t="shared" si="86"/>
        <v>0</v>
      </c>
      <c r="AA482" s="24">
        <f t="shared" si="87"/>
        <v>0</v>
      </c>
      <c r="AB482" s="24">
        <f t="shared" si="88"/>
        <v>0</v>
      </c>
      <c r="AC482" s="24">
        <f t="shared" si="89"/>
        <v>0</v>
      </c>
      <c r="AD482" s="24">
        <f t="shared" si="93"/>
        <v>0</v>
      </c>
      <c r="AE482" s="24">
        <f t="shared" si="93"/>
        <v>0</v>
      </c>
      <c r="AF482" s="24">
        <f t="shared" si="93"/>
        <v>0</v>
      </c>
      <c r="AG482" s="24">
        <f t="shared" si="93"/>
        <v>0</v>
      </c>
      <c r="AH482" s="24">
        <f t="shared" si="83"/>
        <v>0</v>
      </c>
      <c r="AI482" s="24">
        <f t="shared" si="90"/>
        <v>0</v>
      </c>
      <c r="AJ482" s="261">
        <f t="shared" si="91"/>
        <v>0</v>
      </c>
      <c r="AK482" s="13"/>
      <c r="AL482" s="100">
        <v>485</v>
      </c>
      <c r="AM482" s="202"/>
      <c r="AN482" s="200"/>
      <c r="AO482" s="200"/>
      <c r="AP482" s="284">
        <v>1.5640000000000001</v>
      </c>
      <c r="AR482" s="222">
        <v>94.562216951366608</v>
      </c>
      <c r="AS482" s="223">
        <v>94.769614867767856</v>
      </c>
      <c r="AT482" s="223">
        <v>94.235488338397261</v>
      </c>
      <c r="AU482" s="223">
        <v>94.721837357834076</v>
      </c>
      <c r="AV482" s="223">
        <v>95.597999999999999</v>
      </c>
      <c r="AW482" s="224">
        <v>86.045500000000004</v>
      </c>
      <c r="AX482" s="42"/>
      <c r="AY482" s="181"/>
      <c r="AZ482" s="197"/>
    </row>
    <row r="483" spans="4:52" ht="13" thickBot="1" x14ac:dyDescent="0.3">
      <c r="L483" s="55">
        <v>480</v>
      </c>
      <c r="M483" s="274">
        <f t="shared" si="92"/>
        <v>0</v>
      </c>
      <c r="N483" s="275">
        <f t="shared" si="92"/>
        <v>0</v>
      </c>
      <c r="O483" s="276" t="e">
        <f ca="1"/>
        <v>#N/A</v>
      </c>
      <c r="Q483" s="34">
        <v>0</v>
      </c>
      <c r="R483" s="24">
        <v>0</v>
      </c>
      <c r="S483" s="24">
        <v>0</v>
      </c>
      <c r="T483" s="24">
        <v>0</v>
      </c>
      <c r="U483" s="24">
        <f t="array" ref="U483">IF(U$77&gt;" ",(U$628:U$1078),"")</f>
        <v>0</v>
      </c>
      <c r="V483" s="24">
        <f t="array" ref="V483">IF(V$77&gt;" ",(V$628:V$1078),"")</f>
        <v>0</v>
      </c>
      <c r="W483" s="24">
        <f t="array" ref="W483">IF(W$77&gt;" ",(W$628:W$1078),"")</f>
        <v>0</v>
      </c>
      <c r="X483" s="24">
        <f t="array" ref="X483">IF(X$77&gt;" ",(X$628:X$1078),"")</f>
        <v>0</v>
      </c>
      <c r="Y483" s="21">
        <v>0</v>
      </c>
      <c r="Z483" s="34">
        <f t="shared" si="86"/>
        <v>0</v>
      </c>
      <c r="AA483" s="24">
        <f t="shared" si="87"/>
        <v>0</v>
      </c>
      <c r="AB483" s="24">
        <f t="shared" si="88"/>
        <v>0</v>
      </c>
      <c r="AC483" s="24">
        <f t="shared" si="89"/>
        <v>0</v>
      </c>
      <c r="AD483" s="24">
        <f t="shared" si="93"/>
        <v>0</v>
      </c>
      <c r="AE483" s="24">
        <f t="shared" si="93"/>
        <v>0</v>
      </c>
      <c r="AF483" s="24">
        <f t="shared" si="93"/>
        <v>0</v>
      </c>
      <c r="AG483" s="24">
        <f t="shared" si="93"/>
        <v>0</v>
      </c>
      <c r="AH483" s="24">
        <f t="shared" si="83"/>
        <v>0</v>
      </c>
      <c r="AI483" s="24">
        <f t="shared" si="90"/>
        <v>0</v>
      </c>
      <c r="AJ483" s="261">
        <f t="shared" si="91"/>
        <v>0</v>
      </c>
      <c r="AK483" s="13"/>
      <c r="AL483" s="100">
        <v>480</v>
      </c>
      <c r="AM483" s="202"/>
      <c r="AN483" s="200"/>
      <c r="AO483" s="200"/>
      <c r="AP483" s="283">
        <v>1.613</v>
      </c>
      <c r="AR483" s="222">
        <v>94.452136693846128</v>
      </c>
      <c r="AS483" s="223">
        <v>94.639724188527154</v>
      </c>
      <c r="AT483" s="223">
        <v>94.131557920077228</v>
      </c>
      <c r="AU483" s="223">
        <v>94.617699386670324</v>
      </c>
      <c r="AV483" s="223">
        <v>95.429000000000002</v>
      </c>
      <c r="AW483" s="224">
        <v>86.025999999999996</v>
      </c>
      <c r="AX483" s="42"/>
      <c r="AY483" s="181"/>
      <c r="AZ483" s="197"/>
    </row>
    <row r="484" spans="4:52" ht="13" thickBot="1" x14ac:dyDescent="0.3">
      <c r="L484" s="55">
        <v>475</v>
      </c>
      <c r="M484" s="274">
        <f t="shared" si="92"/>
        <v>0</v>
      </c>
      <c r="N484" s="275">
        <f t="shared" si="92"/>
        <v>0</v>
      </c>
      <c r="O484" s="276" t="e">
        <f ca="1"/>
        <v>#N/A</v>
      </c>
      <c r="Q484" s="34">
        <v>0</v>
      </c>
      <c r="R484" s="24">
        <v>0</v>
      </c>
      <c r="S484" s="24">
        <v>0</v>
      </c>
      <c r="T484" s="24">
        <v>0</v>
      </c>
      <c r="U484" s="24">
        <f t="array" ref="U484">IF(U$77&gt;" ",(U$628:U$1078),"")</f>
        <v>0</v>
      </c>
      <c r="V484" s="24">
        <f t="array" ref="V484">IF(V$77&gt;" ",(V$628:V$1078),"")</f>
        <v>0</v>
      </c>
      <c r="W484" s="24">
        <f t="array" ref="W484">IF(W$77&gt;" ",(W$628:W$1078),"")</f>
        <v>0</v>
      </c>
      <c r="X484" s="24">
        <f t="array" ref="X484">IF(X$77&gt;" ",(X$628:X$1078),"")</f>
        <v>0</v>
      </c>
      <c r="Y484" s="21">
        <v>0</v>
      </c>
      <c r="Z484" s="34">
        <f t="shared" si="86"/>
        <v>0</v>
      </c>
      <c r="AA484" s="24">
        <f t="shared" si="87"/>
        <v>0</v>
      </c>
      <c r="AB484" s="24">
        <f t="shared" si="88"/>
        <v>0</v>
      </c>
      <c r="AC484" s="24">
        <f t="shared" si="89"/>
        <v>0</v>
      </c>
      <c r="AD484" s="24">
        <f t="shared" si="93"/>
        <v>0</v>
      </c>
      <c r="AE484" s="24">
        <f t="shared" si="93"/>
        <v>0</v>
      </c>
      <c r="AF484" s="24">
        <f t="shared" si="93"/>
        <v>0</v>
      </c>
      <c r="AG484" s="24">
        <f t="shared" si="93"/>
        <v>0</v>
      </c>
      <c r="AH484" s="24">
        <f t="shared" si="83"/>
        <v>0</v>
      </c>
      <c r="AI484" s="24">
        <f t="shared" si="90"/>
        <v>0</v>
      </c>
      <c r="AJ484" s="261">
        <f t="shared" si="91"/>
        <v>0</v>
      </c>
      <c r="AK484" s="13"/>
      <c r="AL484" s="100">
        <v>475</v>
      </c>
      <c r="AM484" s="202"/>
      <c r="AN484" s="200"/>
      <c r="AO484" s="200"/>
      <c r="AP484" s="284">
        <v>1.6140000000000001</v>
      </c>
      <c r="AR484" s="222">
        <v>94.323521093328807</v>
      </c>
      <c r="AS484" s="223">
        <v>94.49438436731846</v>
      </c>
      <c r="AT484" s="223">
        <v>93.977634143810178</v>
      </c>
      <c r="AU484" s="223">
        <v>94.458987313312363</v>
      </c>
      <c r="AV484" s="223">
        <v>95.263500000000008</v>
      </c>
      <c r="AW484" s="224">
        <v>86.013499999999993</v>
      </c>
      <c r="AX484" s="42"/>
      <c r="AY484" s="181"/>
      <c r="AZ484" s="197"/>
    </row>
    <row r="485" spans="4:52" ht="13" thickBot="1" x14ac:dyDescent="0.3">
      <c r="L485" s="55">
        <v>470</v>
      </c>
      <c r="M485" s="274">
        <f t="shared" si="92"/>
        <v>0</v>
      </c>
      <c r="N485" s="275">
        <f t="shared" si="92"/>
        <v>0</v>
      </c>
      <c r="O485" s="276" t="e">
        <f ca="1"/>
        <v>#N/A</v>
      </c>
      <c r="Q485" s="34">
        <v>0</v>
      </c>
      <c r="R485" s="24">
        <v>0</v>
      </c>
      <c r="S485" s="24">
        <v>0</v>
      </c>
      <c r="T485" s="24">
        <v>0</v>
      </c>
      <c r="U485" s="24">
        <f t="array" ref="U485">IF(U$77&gt;" ",(U$628:U$1078),"")</f>
        <v>0</v>
      </c>
      <c r="V485" s="24">
        <f t="array" ref="V485">IF(V$77&gt;" ",(V$628:V$1078),"")</f>
        <v>0</v>
      </c>
      <c r="W485" s="24">
        <f t="array" ref="W485">IF(W$77&gt;" ",(W$628:W$1078),"")</f>
        <v>0</v>
      </c>
      <c r="X485" s="24">
        <f t="array" ref="X485">IF(X$77&gt;" ",(X$628:X$1078),"")</f>
        <v>0</v>
      </c>
      <c r="Y485" s="21">
        <v>0</v>
      </c>
      <c r="Z485" s="34">
        <f t="shared" si="86"/>
        <v>0</v>
      </c>
      <c r="AA485" s="24">
        <f t="shared" si="87"/>
        <v>0</v>
      </c>
      <c r="AB485" s="24">
        <f t="shared" si="88"/>
        <v>0</v>
      </c>
      <c r="AC485" s="24">
        <f t="shared" si="89"/>
        <v>0</v>
      </c>
      <c r="AD485" s="24">
        <f t="shared" si="93"/>
        <v>0</v>
      </c>
      <c r="AE485" s="24">
        <f t="shared" si="93"/>
        <v>0</v>
      </c>
      <c r="AF485" s="24">
        <f t="shared" si="93"/>
        <v>0</v>
      </c>
      <c r="AG485" s="24">
        <f t="shared" si="93"/>
        <v>0</v>
      </c>
      <c r="AH485" s="24">
        <f t="shared" si="83"/>
        <v>0</v>
      </c>
      <c r="AI485" s="24">
        <f t="shared" si="90"/>
        <v>0</v>
      </c>
      <c r="AJ485" s="261">
        <f t="shared" si="91"/>
        <v>0</v>
      </c>
      <c r="AK485" s="13"/>
      <c r="AL485" s="100">
        <v>470</v>
      </c>
      <c r="AM485" s="202"/>
      <c r="AN485" s="200"/>
      <c r="AO485" s="200"/>
      <c r="AP485" s="283">
        <v>1.5029999999999999</v>
      </c>
      <c r="AR485" s="222">
        <v>94.183802713477789</v>
      </c>
      <c r="AS485" s="223">
        <v>94.382884661709511</v>
      </c>
      <c r="AT485" s="223">
        <v>93.830468781787161</v>
      </c>
      <c r="AU485" s="223">
        <v>94.322298349454528</v>
      </c>
      <c r="AV485" s="223">
        <v>95.097999999999999</v>
      </c>
      <c r="AW485" s="224">
        <v>86.001000000000005</v>
      </c>
      <c r="AX485" s="42"/>
      <c r="AY485" s="181"/>
      <c r="AZ485" s="197"/>
    </row>
    <row r="486" spans="4:52" ht="13" thickBot="1" x14ac:dyDescent="0.3">
      <c r="L486" s="55">
        <v>465</v>
      </c>
      <c r="M486" s="274">
        <f t="shared" si="92"/>
        <v>0</v>
      </c>
      <c r="N486" s="275">
        <f t="shared" si="92"/>
        <v>0</v>
      </c>
      <c r="O486" s="276" t="e">
        <f ca="1"/>
        <v>#N/A</v>
      </c>
      <c r="Q486" s="34">
        <v>0</v>
      </c>
      <c r="R486" s="24">
        <v>0</v>
      </c>
      <c r="S486" s="24">
        <v>0</v>
      </c>
      <c r="T486" s="24">
        <v>0</v>
      </c>
      <c r="U486" s="24">
        <f t="array" ref="U486">IF(U$77&gt;" ",(U$628:U$1078),"")</f>
        <v>0</v>
      </c>
      <c r="V486" s="24">
        <f t="array" ref="V486">IF(V$77&gt;" ",(V$628:V$1078),"")</f>
        <v>0</v>
      </c>
      <c r="W486" s="24">
        <f t="array" ref="W486">IF(W$77&gt;" ",(W$628:W$1078),"")</f>
        <v>0</v>
      </c>
      <c r="X486" s="24">
        <f t="array" ref="X486">IF(X$77&gt;" ",(X$628:X$1078),"")</f>
        <v>0</v>
      </c>
      <c r="Y486" s="21">
        <v>0</v>
      </c>
      <c r="Z486" s="34">
        <f t="shared" si="86"/>
        <v>0</v>
      </c>
      <c r="AA486" s="24">
        <f t="shared" si="87"/>
        <v>0</v>
      </c>
      <c r="AB486" s="24">
        <f t="shared" si="88"/>
        <v>0</v>
      </c>
      <c r="AC486" s="24">
        <f t="shared" si="89"/>
        <v>0</v>
      </c>
      <c r="AD486" s="24">
        <f t="shared" si="93"/>
        <v>0</v>
      </c>
      <c r="AE486" s="24">
        <f t="shared" si="93"/>
        <v>0</v>
      </c>
      <c r="AF486" s="24">
        <f t="shared" si="93"/>
        <v>0</v>
      </c>
      <c r="AG486" s="24">
        <f t="shared" si="93"/>
        <v>0</v>
      </c>
      <c r="AH486" s="24">
        <f t="shared" si="83"/>
        <v>0</v>
      </c>
      <c r="AI486" s="24">
        <f t="shared" si="90"/>
        <v>0</v>
      </c>
      <c r="AJ486" s="261">
        <f t="shared" si="91"/>
        <v>0</v>
      </c>
      <c r="AK486" s="13"/>
      <c r="AL486" s="100">
        <v>465</v>
      </c>
      <c r="AM486" s="202"/>
      <c r="AN486" s="200"/>
      <c r="AO486" s="200"/>
      <c r="AP486" s="284">
        <v>1.5309999999999999</v>
      </c>
      <c r="AR486" s="222">
        <v>94.013179748995654</v>
      </c>
      <c r="AS486" s="223">
        <v>94.231024658552272</v>
      </c>
      <c r="AT486" s="223">
        <v>93.645684381802539</v>
      </c>
      <c r="AU486" s="223">
        <v>94.155672927507339</v>
      </c>
      <c r="AV486" s="223">
        <v>94.950999999999993</v>
      </c>
      <c r="AW486" s="224">
        <v>85.992000000000004</v>
      </c>
      <c r="AX486" s="42"/>
      <c r="AY486" s="181"/>
      <c r="AZ486" s="197"/>
    </row>
    <row r="487" spans="4:52" ht="13" thickBot="1" x14ac:dyDescent="0.3">
      <c r="L487" s="55">
        <v>460</v>
      </c>
      <c r="M487" s="274">
        <f t="shared" si="92"/>
        <v>0</v>
      </c>
      <c r="N487" s="275">
        <f t="shared" si="92"/>
        <v>0</v>
      </c>
      <c r="O487" s="276" t="e">
        <f ca="1"/>
        <v>#N/A</v>
      </c>
      <c r="Q487" s="34">
        <v>0</v>
      </c>
      <c r="R487" s="24">
        <v>0</v>
      </c>
      <c r="S487" s="24">
        <v>0</v>
      </c>
      <c r="T487" s="24">
        <v>0</v>
      </c>
      <c r="U487" s="24">
        <f t="array" ref="U487">IF(U$77&gt;" ",(U$628:U$1078),"")</f>
        <v>0</v>
      </c>
      <c r="V487" s="24">
        <f t="array" ref="V487">IF(V$77&gt;" ",(V$628:V$1078),"")</f>
        <v>0</v>
      </c>
      <c r="W487" s="24">
        <f t="array" ref="W487">IF(W$77&gt;" ",(W$628:W$1078),"")</f>
        <v>0</v>
      </c>
      <c r="X487" s="24">
        <f t="array" ref="X487">IF(X$77&gt;" ",(X$628:X$1078),"")</f>
        <v>0</v>
      </c>
      <c r="Y487" s="21">
        <v>0</v>
      </c>
      <c r="Z487" s="34">
        <f t="shared" si="86"/>
        <v>0</v>
      </c>
      <c r="AA487" s="24">
        <f t="shared" si="87"/>
        <v>0</v>
      </c>
      <c r="AB487" s="24">
        <f t="shared" si="88"/>
        <v>0</v>
      </c>
      <c r="AC487" s="24">
        <f t="shared" si="89"/>
        <v>0</v>
      </c>
      <c r="AD487" s="24">
        <f t="shared" si="93"/>
        <v>0</v>
      </c>
      <c r="AE487" s="24">
        <f t="shared" si="93"/>
        <v>0</v>
      </c>
      <c r="AF487" s="24">
        <f t="shared" si="93"/>
        <v>0</v>
      </c>
      <c r="AG487" s="24">
        <f t="shared" si="93"/>
        <v>0</v>
      </c>
      <c r="AH487" s="24">
        <f t="shared" si="83"/>
        <v>0</v>
      </c>
      <c r="AI487" s="24">
        <f t="shared" si="90"/>
        <v>0</v>
      </c>
      <c r="AJ487" s="261">
        <f t="shared" si="91"/>
        <v>0</v>
      </c>
      <c r="AK487" s="13"/>
      <c r="AL487" s="100">
        <v>460</v>
      </c>
      <c r="AM487" s="202"/>
      <c r="AN487" s="200"/>
      <c r="AO487" s="200"/>
      <c r="AP487" s="283">
        <v>1.5249999999999999</v>
      </c>
      <c r="AR487" s="222">
        <v>93.843107773699046</v>
      </c>
      <c r="AS487" s="223">
        <v>94.06608051606834</v>
      </c>
      <c r="AT487" s="223">
        <v>93.469015807004851</v>
      </c>
      <c r="AU487" s="223">
        <v>93.998929102824448</v>
      </c>
      <c r="AV487" s="223">
        <v>94.804000000000002</v>
      </c>
      <c r="AW487" s="224">
        <v>85.983000000000004</v>
      </c>
      <c r="AX487" s="42"/>
      <c r="AY487" s="181"/>
      <c r="AZ487" s="197"/>
    </row>
    <row r="488" spans="4:52" ht="13" thickBot="1" x14ac:dyDescent="0.3">
      <c r="L488" s="55">
        <v>455</v>
      </c>
      <c r="M488" s="274">
        <f t="shared" si="92"/>
        <v>0</v>
      </c>
      <c r="N488" s="275">
        <f t="shared" si="92"/>
        <v>0</v>
      </c>
      <c r="O488" s="276" t="e">
        <f ca="1"/>
        <v>#N/A</v>
      </c>
      <c r="Q488" s="34">
        <v>0</v>
      </c>
      <c r="R488" s="24">
        <v>0</v>
      </c>
      <c r="S488" s="24">
        <v>0</v>
      </c>
      <c r="T488" s="24">
        <v>0</v>
      </c>
      <c r="U488" s="24">
        <f t="array" ref="U488">IF(U$77&gt;" ",(U$628:U$1078),"")</f>
        <v>0</v>
      </c>
      <c r="V488" s="24">
        <f t="array" ref="V488">IF(V$77&gt;" ",(V$628:V$1078),"")</f>
        <v>0</v>
      </c>
      <c r="W488" s="24">
        <f t="array" ref="W488">IF(W$77&gt;" ",(W$628:W$1078),"")</f>
        <v>0</v>
      </c>
      <c r="X488" s="24">
        <f t="array" ref="X488">IF(X$77&gt;" ",(X$628:X$1078),"")</f>
        <v>0</v>
      </c>
      <c r="Y488" s="21">
        <v>0</v>
      </c>
      <c r="Z488" s="34">
        <f t="shared" si="86"/>
        <v>0</v>
      </c>
      <c r="AA488" s="24">
        <f t="shared" si="87"/>
        <v>0</v>
      </c>
      <c r="AB488" s="24">
        <f t="shared" si="88"/>
        <v>0</v>
      </c>
      <c r="AC488" s="24">
        <f t="shared" si="89"/>
        <v>0</v>
      </c>
      <c r="AD488" s="24">
        <f t="shared" si="93"/>
        <v>0</v>
      </c>
      <c r="AE488" s="24">
        <f t="shared" si="93"/>
        <v>0</v>
      </c>
      <c r="AF488" s="24">
        <f t="shared" si="93"/>
        <v>0</v>
      </c>
      <c r="AG488" s="24">
        <f t="shared" si="93"/>
        <v>0</v>
      </c>
      <c r="AH488" s="24">
        <f t="shared" ref="AH488:AH529" si="94">Y488</f>
        <v>0</v>
      </c>
      <c r="AI488" s="24">
        <f t="shared" si="90"/>
        <v>0</v>
      </c>
      <c r="AJ488" s="261">
        <f t="shared" si="91"/>
        <v>0</v>
      </c>
      <c r="AK488" s="13"/>
      <c r="AL488" s="100">
        <v>455</v>
      </c>
      <c r="AM488" s="202"/>
      <c r="AN488" s="200"/>
      <c r="AO488" s="200"/>
      <c r="AP488" s="284">
        <v>1.518</v>
      </c>
      <c r="AR488" s="222">
        <v>93.658818062400655</v>
      </c>
      <c r="AS488" s="223">
        <v>93.863531708076948</v>
      </c>
      <c r="AT488" s="223">
        <v>93.252864758484819</v>
      </c>
      <c r="AU488" s="223">
        <v>93.794352909301097</v>
      </c>
      <c r="AV488" s="223">
        <v>94.665000000000006</v>
      </c>
      <c r="AW488" s="224">
        <v>85.981999999999999</v>
      </c>
      <c r="AX488" s="42"/>
      <c r="AY488" s="181"/>
      <c r="AZ488" s="197"/>
    </row>
    <row r="489" spans="4:52" s="105" customFormat="1" ht="13" thickBot="1" x14ac:dyDescent="0.3">
      <c r="D489" s="135"/>
      <c r="E489" s="136"/>
      <c r="F489" s="106"/>
      <c r="G489" s="106"/>
      <c r="H489" s="106"/>
      <c r="I489" s="106"/>
      <c r="L489" s="104">
        <v>450</v>
      </c>
      <c r="M489" s="274">
        <f t="shared" si="92"/>
        <v>0</v>
      </c>
      <c r="N489" s="275">
        <f t="shared" si="92"/>
        <v>0</v>
      </c>
      <c r="O489" s="276" t="e">
        <f ca="1"/>
        <v>#N/A</v>
      </c>
      <c r="Q489" s="101">
        <v>0</v>
      </c>
      <c r="R489" s="102">
        <v>0</v>
      </c>
      <c r="S489" s="102">
        <v>0</v>
      </c>
      <c r="T489" s="102">
        <v>0</v>
      </c>
      <c r="U489" s="24">
        <f t="array" ref="U489">IF(U$77&gt;" ",(U$628:U$1078),"")</f>
        <v>0</v>
      </c>
      <c r="V489" s="24">
        <f t="array" ref="V489">IF(V$77&gt;" ",(V$628:V$1078),"")</f>
        <v>0</v>
      </c>
      <c r="W489" s="24">
        <f t="array" ref="W489">IF(W$77&gt;" ",(W$628:W$1078),"")</f>
        <v>0</v>
      </c>
      <c r="X489" s="24">
        <f t="array" ref="X489">IF(X$77&gt;" ",(X$628:X$1078),"")</f>
        <v>0</v>
      </c>
      <c r="Y489" s="103">
        <v>0</v>
      </c>
      <c r="Z489" s="34">
        <f t="shared" si="86"/>
        <v>0</v>
      </c>
      <c r="AA489" s="24">
        <f t="shared" si="87"/>
        <v>0</v>
      </c>
      <c r="AB489" s="24">
        <f t="shared" si="88"/>
        <v>0</v>
      </c>
      <c r="AC489" s="24">
        <f t="shared" si="89"/>
        <v>0</v>
      </c>
      <c r="AD489" s="24">
        <f t="shared" si="93"/>
        <v>0</v>
      </c>
      <c r="AE489" s="24">
        <f t="shared" si="93"/>
        <v>0</v>
      </c>
      <c r="AF489" s="24">
        <f t="shared" si="93"/>
        <v>0</v>
      </c>
      <c r="AG489" s="24">
        <f t="shared" si="93"/>
        <v>0</v>
      </c>
      <c r="AH489" s="24">
        <f t="shared" si="94"/>
        <v>0</v>
      </c>
      <c r="AI489" s="102">
        <f t="shared" si="90"/>
        <v>0</v>
      </c>
      <c r="AJ489" s="261">
        <f t="shared" si="91"/>
        <v>0</v>
      </c>
      <c r="AK489" s="106"/>
      <c r="AL489" s="100">
        <v>450</v>
      </c>
      <c r="AM489" s="202"/>
      <c r="AN489" s="200"/>
      <c r="AO489" s="200"/>
      <c r="AP489" s="283">
        <v>1.5549999999999999</v>
      </c>
      <c r="AR489" s="222">
        <v>93.462446131468823</v>
      </c>
      <c r="AS489" s="223">
        <v>93.679749203771891</v>
      </c>
      <c r="AT489" s="223">
        <v>93.031202304652382</v>
      </c>
      <c r="AU489" s="223">
        <v>93.595789406873834</v>
      </c>
      <c r="AV489" s="223">
        <v>94.525999999999996</v>
      </c>
      <c r="AW489" s="224">
        <v>85.980999999999995</v>
      </c>
      <c r="AX489" s="80"/>
      <c r="AY489" s="181"/>
      <c r="AZ489" s="197"/>
    </row>
    <row r="490" spans="4:52" ht="13" thickBot="1" x14ac:dyDescent="0.3">
      <c r="L490" s="55">
        <v>445</v>
      </c>
      <c r="M490" s="274">
        <f t="shared" si="92"/>
        <v>0</v>
      </c>
      <c r="N490" s="275">
        <f t="shared" si="92"/>
        <v>0</v>
      </c>
      <c r="O490" s="276" t="e">
        <f ca="1"/>
        <v>#N/A</v>
      </c>
      <c r="Q490" s="34">
        <v>0</v>
      </c>
      <c r="R490" s="24">
        <v>0</v>
      </c>
      <c r="S490" s="24">
        <v>0</v>
      </c>
      <c r="T490" s="24">
        <v>0</v>
      </c>
      <c r="U490" s="24">
        <f t="array" ref="U490">IF(U$77&gt;" ",(U$628:U$1078),"")</f>
        <v>0</v>
      </c>
      <c r="V490" s="24">
        <f t="array" ref="V490">IF(V$77&gt;" ",(V$628:V$1078),"")</f>
        <v>0</v>
      </c>
      <c r="W490" s="24">
        <f t="array" ref="W490">IF(W$77&gt;" ",(W$628:W$1078),"")</f>
        <v>0</v>
      </c>
      <c r="X490" s="24">
        <f t="array" ref="X490">IF(X$77&gt;" ",(X$628:X$1078),"")</f>
        <v>0</v>
      </c>
      <c r="Y490" s="21">
        <v>0</v>
      </c>
      <c r="Z490" s="34">
        <f t="shared" si="86"/>
        <v>0</v>
      </c>
      <c r="AA490" s="24">
        <f t="shared" si="87"/>
        <v>0</v>
      </c>
      <c r="AB490" s="24">
        <f t="shared" si="88"/>
        <v>0</v>
      </c>
      <c r="AC490" s="24">
        <f t="shared" si="89"/>
        <v>0</v>
      </c>
      <c r="AD490" s="24">
        <f t="shared" si="93"/>
        <v>0</v>
      </c>
      <c r="AE490" s="24">
        <f t="shared" si="93"/>
        <v>0</v>
      </c>
      <c r="AF490" s="24">
        <f t="shared" si="93"/>
        <v>0</v>
      </c>
      <c r="AG490" s="24">
        <f t="shared" si="93"/>
        <v>0</v>
      </c>
      <c r="AH490" s="24">
        <f t="shared" si="94"/>
        <v>0</v>
      </c>
      <c r="AI490" s="24">
        <f t="shared" si="90"/>
        <v>0</v>
      </c>
      <c r="AJ490" s="261">
        <f t="shared" si="91"/>
        <v>0</v>
      </c>
      <c r="AK490" s="13"/>
      <c r="AL490" s="100">
        <v>445</v>
      </c>
      <c r="AM490" s="202"/>
      <c r="AN490" s="200"/>
      <c r="AO490" s="200"/>
      <c r="AP490" s="284">
        <v>1.458</v>
      </c>
      <c r="AR490" s="222">
        <v>93.243768396785512</v>
      </c>
      <c r="AS490" s="223">
        <v>93.496837149855992</v>
      </c>
      <c r="AT490" s="223">
        <v>92.813845322757501</v>
      </c>
      <c r="AU490" s="223">
        <v>93.393933990272956</v>
      </c>
      <c r="AV490" s="223">
        <v>94.375</v>
      </c>
      <c r="AW490" s="224">
        <v>85.983000000000004</v>
      </c>
      <c r="AX490" s="42"/>
      <c r="AY490" s="181"/>
      <c r="AZ490" s="197"/>
    </row>
    <row r="491" spans="4:52" ht="13" thickBot="1" x14ac:dyDescent="0.3">
      <c r="L491" s="55">
        <v>440</v>
      </c>
      <c r="M491" s="274">
        <f t="shared" si="92"/>
        <v>0</v>
      </c>
      <c r="N491" s="275">
        <f t="shared" si="92"/>
        <v>0</v>
      </c>
      <c r="O491" s="276" t="e">
        <f ca="1"/>
        <v>#N/A</v>
      </c>
      <c r="Q491" s="34">
        <v>0</v>
      </c>
      <c r="R491" s="24">
        <v>0</v>
      </c>
      <c r="S491" s="24">
        <v>0</v>
      </c>
      <c r="T491" s="24">
        <v>0</v>
      </c>
      <c r="U491" s="24">
        <f t="array" ref="U491">IF(U$77&gt;" ",(U$628:U$1078),"")</f>
        <v>0</v>
      </c>
      <c r="V491" s="24">
        <f t="array" ref="V491">IF(V$77&gt;" ",(V$628:V$1078),"")</f>
        <v>0</v>
      </c>
      <c r="W491" s="24">
        <f t="array" ref="W491">IF(W$77&gt;" ",(W$628:W$1078),"")</f>
        <v>0</v>
      </c>
      <c r="X491" s="24">
        <f t="array" ref="X491">IF(X$77&gt;" ",(X$628:X$1078),"")</f>
        <v>0</v>
      </c>
      <c r="Y491" s="21">
        <v>0</v>
      </c>
      <c r="Z491" s="34">
        <f t="shared" si="86"/>
        <v>0</v>
      </c>
      <c r="AA491" s="24">
        <f t="shared" si="87"/>
        <v>0</v>
      </c>
      <c r="AB491" s="24">
        <f t="shared" si="88"/>
        <v>0</v>
      </c>
      <c r="AC491" s="24">
        <f t="shared" si="89"/>
        <v>0</v>
      </c>
      <c r="AD491" s="24">
        <f t="shared" si="93"/>
        <v>0</v>
      </c>
      <c r="AE491" s="24">
        <f t="shared" si="93"/>
        <v>0</v>
      </c>
      <c r="AF491" s="24">
        <f t="shared" si="93"/>
        <v>0</v>
      </c>
      <c r="AG491" s="24">
        <f t="shared" si="93"/>
        <v>0</v>
      </c>
      <c r="AH491" s="24">
        <f t="shared" si="94"/>
        <v>0</v>
      </c>
      <c r="AI491" s="24">
        <f t="shared" si="90"/>
        <v>0</v>
      </c>
      <c r="AJ491" s="261">
        <f t="shared" si="91"/>
        <v>0</v>
      </c>
      <c r="AK491" s="13"/>
      <c r="AL491" s="100">
        <v>440</v>
      </c>
      <c r="AM491" s="202"/>
      <c r="AN491" s="200"/>
      <c r="AO491" s="200"/>
      <c r="AP491" s="283">
        <v>1.3460000000000001</v>
      </c>
      <c r="AR491" s="222">
        <v>93.022302838184942</v>
      </c>
      <c r="AS491" s="223">
        <v>93.300144650260748</v>
      </c>
      <c r="AT491" s="223">
        <v>92.58176343602166</v>
      </c>
      <c r="AU491" s="223">
        <v>93.186128919047761</v>
      </c>
      <c r="AV491" s="223">
        <v>94.22399999999999</v>
      </c>
      <c r="AW491" s="224">
        <v>85.984999999999999</v>
      </c>
      <c r="AX491" s="42"/>
      <c r="AY491" s="181"/>
      <c r="AZ491" s="197"/>
    </row>
    <row r="492" spans="4:52" ht="13" thickBot="1" x14ac:dyDescent="0.3">
      <c r="L492" s="55">
        <v>435</v>
      </c>
      <c r="M492" s="274">
        <f t="shared" si="92"/>
        <v>0</v>
      </c>
      <c r="N492" s="275">
        <f t="shared" si="92"/>
        <v>0</v>
      </c>
      <c r="O492" s="276" t="e">
        <f ca="1"/>
        <v>#N/A</v>
      </c>
      <c r="Q492" s="34">
        <v>0</v>
      </c>
      <c r="R492" s="102">
        <v>0</v>
      </c>
      <c r="S492" s="24">
        <v>0</v>
      </c>
      <c r="T492" s="24">
        <v>0</v>
      </c>
      <c r="U492" s="24">
        <f t="array" ref="U492">IF(U$77&gt;" ",(U$628:U$1078),"")</f>
        <v>0</v>
      </c>
      <c r="V492" s="24">
        <f t="array" ref="V492">IF(V$77&gt;" ",(V$628:V$1078),"")</f>
        <v>0</v>
      </c>
      <c r="W492" s="24">
        <f t="array" ref="W492">IF(W$77&gt;" ",(W$628:W$1078),"")</f>
        <v>0</v>
      </c>
      <c r="X492" s="24">
        <f t="array" ref="X492">IF(X$77&gt;" ",(X$628:X$1078),"")</f>
        <v>0</v>
      </c>
      <c r="Y492" s="21">
        <v>0</v>
      </c>
      <c r="Z492" s="34">
        <f t="shared" si="86"/>
        <v>0</v>
      </c>
      <c r="AA492" s="24">
        <f t="shared" si="87"/>
        <v>0</v>
      </c>
      <c r="AB492" s="24">
        <f t="shared" si="88"/>
        <v>0</v>
      </c>
      <c r="AC492" s="24">
        <f t="shared" si="89"/>
        <v>0</v>
      </c>
      <c r="AD492" s="24">
        <f t="shared" si="93"/>
        <v>0</v>
      </c>
      <c r="AE492" s="24">
        <f t="shared" si="93"/>
        <v>0</v>
      </c>
      <c r="AF492" s="24">
        <f t="shared" si="93"/>
        <v>0</v>
      </c>
      <c r="AG492" s="24">
        <f t="shared" si="93"/>
        <v>0</v>
      </c>
      <c r="AH492" s="24">
        <f t="shared" si="94"/>
        <v>0</v>
      </c>
      <c r="AI492" s="24">
        <f t="shared" si="90"/>
        <v>0</v>
      </c>
      <c r="AJ492" s="261">
        <f t="shared" si="91"/>
        <v>0</v>
      </c>
      <c r="AK492" s="13"/>
      <c r="AL492" s="100">
        <v>435</v>
      </c>
      <c r="AM492" s="202"/>
      <c r="AN492" s="200"/>
      <c r="AO492" s="200"/>
      <c r="AP492" s="284">
        <v>1.242</v>
      </c>
      <c r="AR492" s="222">
        <v>92.764928897490606</v>
      </c>
      <c r="AS492" s="223">
        <v>93.064555341111216</v>
      </c>
      <c r="AT492" s="223">
        <v>92.330905271624147</v>
      </c>
      <c r="AU492" s="223">
        <v>92.962416670363154</v>
      </c>
      <c r="AV492" s="223">
        <v>94.016999999999996</v>
      </c>
      <c r="AW492" s="224">
        <v>86.002499999999998</v>
      </c>
      <c r="AX492" s="42"/>
      <c r="AY492" s="181"/>
      <c r="AZ492" s="197"/>
    </row>
    <row r="493" spans="4:52" ht="13" thickBot="1" x14ac:dyDescent="0.3">
      <c r="L493" s="55">
        <v>430</v>
      </c>
      <c r="M493" s="274">
        <f t="shared" si="92"/>
        <v>0</v>
      </c>
      <c r="N493" s="275">
        <f t="shared" si="92"/>
        <v>0</v>
      </c>
      <c r="O493" s="276" t="e">
        <f ca="1"/>
        <v>#N/A</v>
      </c>
      <c r="Q493" s="34">
        <v>0</v>
      </c>
      <c r="R493" s="24">
        <v>0</v>
      </c>
      <c r="S493" s="24">
        <v>0</v>
      </c>
      <c r="T493" s="24">
        <v>0</v>
      </c>
      <c r="U493" s="24">
        <f t="array" ref="U493">IF(U$77&gt;" ",(U$628:U$1078),"")</f>
        <v>0</v>
      </c>
      <c r="V493" s="24">
        <f t="array" ref="V493">IF(V$77&gt;" ",(V$628:V$1078),"")</f>
        <v>0</v>
      </c>
      <c r="W493" s="24">
        <f t="array" ref="W493">IF(W$77&gt;" ",(W$628:W$1078),"")</f>
        <v>0</v>
      </c>
      <c r="X493" s="24">
        <f t="array" ref="X493">IF(X$77&gt;" ",(X$628:X$1078),"")</f>
        <v>0</v>
      </c>
      <c r="Y493" s="21">
        <v>0</v>
      </c>
      <c r="Z493" s="34">
        <f t="shared" si="86"/>
        <v>0</v>
      </c>
      <c r="AA493" s="24">
        <f t="shared" si="87"/>
        <v>0</v>
      </c>
      <c r="AB493" s="24">
        <f t="shared" si="88"/>
        <v>0</v>
      </c>
      <c r="AC493" s="24">
        <f t="shared" si="89"/>
        <v>0</v>
      </c>
      <c r="AD493" s="24">
        <f t="shared" si="93"/>
        <v>0</v>
      </c>
      <c r="AE493" s="24">
        <f t="shared" si="93"/>
        <v>0</v>
      </c>
      <c r="AF493" s="24">
        <f t="shared" si="93"/>
        <v>0</v>
      </c>
      <c r="AG493" s="24">
        <f t="shared" si="93"/>
        <v>0</v>
      </c>
      <c r="AH493" s="24">
        <f t="shared" si="94"/>
        <v>0</v>
      </c>
      <c r="AI493" s="24">
        <f t="shared" si="90"/>
        <v>0</v>
      </c>
      <c r="AJ493" s="261">
        <f t="shared" si="91"/>
        <v>0</v>
      </c>
      <c r="AK493" s="13"/>
      <c r="AL493" s="100">
        <v>430</v>
      </c>
      <c r="AM493" s="202"/>
      <c r="AN493" s="200"/>
      <c r="AO493" s="200"/>
      <c r="AP493" s="283">
        <v>0.87209999999999999</v>
      </c>
      <c r="AR493" s="222">
        <v>92.504317485034377</v>
      </c>
      <c r="AS493" s="223">
        <v>92.817337416223083</v>
      </c>
      <c r="AT493" s="223">
        <v>92.093603984972972</v>
      </c>
      <c r="AU493" s="223">
        <v>92.741884836157681</v>
      </c>
      <c r="AV493" s="223">
        <v>93.81</v>
      </c>
      <c r="AW493" s="224">
        <v>86.02</v>
      </c>
      <c r="AX493" s="42"/>
      <c r="AY493" s="181"/>
      <c r="AZ493" s="197"/>
    </row>
    <row r="494" spans="4:52" ht="13" thickBot="1" x14ac:dyDescent="0.3">
      <c r="L494" s="55">
        <v>425</v>
      </c>
      <c r="M494" s="274">
        <f t="shared" si="92"/>
        <v>0</v>
      </c>
      <c r="N494" s="275">
        <f t="shared" si="92"/>
        <v>0</v>
      </c>
      <c r="O494" s="276" t="e">
        <f ca="1"/>
        <v>#N/A</v>
      </c>
      <c r="Q494" s="34">
        <v>0</v>
      </c>
      <c r="R494" s="24">
        <v>0</v>
      </c>
      <c r="S494" s="24">
        <v>0</v>
      </c>
      <c r="T494" s="24">
        <v>0</v>
      </c>
      <c r="U494" s="24">
        <f t="array" ref="U494">IF(U$77&gt;" ",(U$628:U$1078),"")</f>
        <v>0</v>
      </c>
      <c r="V494" s="24">
        <f t="array" ref="V494">IF(V$77&gt;" ",(V$628:V$1078),"")</f>
        <v>0</v>
      </c>
      <c r="W494" s="24">
        <f t="array" ref="W494">IF(W$77&gt;" ",(W$628:W$1078),"")</f>
        <v>0</v>
      </c>
      <c r="X494" s="24">
        <f t="array" ref="X494">IF(X$77&gt;" ",(X$628:X$1078),"")</f>
        <v>0</v>
      </c>
      <c r="Y494" s="21">
        <v>0</v>
      </c>
      <c r="Z494" s="34">
        <f t="shared" si="86"/>
        <v>0</v>
      </c>
      <c r="AA494" s="24">
        <f t="shared" si="87"/>
        <v>0</v>
      </c>
      <c r="AB494" s="24">
        <f t="shared" si="88"/>
        <v>0</v>
      </c>
      <c r="AC494" s="24">
        <f t="shared" si="89"/>
        <v>0</v>
      </c>
      <c r="AD494" s="24">
        <f t="shared" si="93"/>
        <v>0</v>
      </c>
      <c r="AE494" s="24">
        <f t="shared" si="93"/>
        <v>0</v>
      </c>
      <c r="AF494" s="24">
        <f t="shared" si="93"/>
        <v>0</v>
      </c>
      <c r="AG494" s="24">
        <f t="shared" si="93"/>
        <v>0</v>
      </c>
      <c r="AH494" s="24">
        <f t="shared" si="94"/>
        <v>0</v>
      </c>
      <c r="AI494" s="24">
        <f t="shared" si="90"/>
        <v>0</v>
      </c>
      <c r="AJ494" s="261">
        <f t="shared" si="91"/>
        <v>0</v>
      </c>
      <c r="AK494" s="13"/>
      <c r="AL494" s="100">
        <v>425</v>
      </c>
      <c r="AM494" s="202"/>
      <c r="AN494" s="200"/>
      <c r="AO494" s="200"/>
      <c r="AP494" s="284">
        <v>1.2450000000000001</v>
      </c>
      <c r="AR494" s="222">
        <v>92.190018537510625</v>
      </c>
      <c r="AS494" s="223">
        <v>92.521214786603423</v>
      </c>
      <c r="AT494" s="223">
        <v>91.790806615330766</v>
      </c>
      <c r="AU494" s="223">
        <v>92.467054795843239</v>
      </c>
      <c r="AV494" s="223">
        <v>93.452500000000001</v>
      </c>
      <c r="AW494" s="224">
        <v>86.049499999999995</v>
      </c>
      <c r="AX494" s="42"/>
      <c r="AY494" s="181"/>
      <c r="AZ494" s="197"/>
    </row>
    <row r="495" spans="4:52" ht="13" thickBot="1" x14ac:dyDescent="0.3">
      <c r="L495" s="55">
        <v>420</v>
      </c>
      <c r="M495" s="274">
        <f t="shared" ref="M495:N510" si="95">M1044</f>
        <v>0</v>
      </c>
      <c r="N495" s="275">
        <f t="shared" si="95"/>
        <v>0</v>
      </c>
      <c r="O495" s="276" t="e">
        <f ca="1"/>
        <v>#N/A</v>
      </c>
      <c r="Q495" s="34">
        <v>0</v>
      </c>
      <c r="R495" s="24">
        <v>0</v>
      </c>
      <c r="S495" s="24">
        <v>0</v>
      </c>
      <c r="T495" s="24">
        <v>0</v>
      </c>
      <c r="U495" s="24">
        <f t="array" ref="U495">IF(U$77&gt;" ",(U$628:U$1078),"")</f>
        <v>0</v>
      </c>
      <c r="V495" s="24">
        <f t="array" ref="V495">IF(V$77&gt;" ",(V$628:V$1078),"")</f>
        <v>0</v>
      </c>
      <c r="W495" s="24">
        <f t="array" ref="W495">IF(W$77&gt;" ",(W$628:W$1078),"")</f>
        <v>0</v>
      </c>
      <c r="X495" s="24">
        <f t="array" ref="X495">IF(X$77&gt;" ",(X$628:X$1078),"")</f>
        <v>0</v>
      </c>
      <c r="Y495" s="21">
        <v>0</v>
      </c>
      <c r="Z495" s="34">
        <f t="shared" si="86"/>
        <v>0</v>
      </c>
      <c r="AA495" s="24">
        <f t="shared" si="87"/>
        <v>0</v>
      </c>
      <c r="AB495" s="24">
        <f t="shared" si="88"/>
        <v>0</v>
      </c>
      <c r="AC495" s="24">
        <f t="shared" si="89"/>
        <v>0</v>
      </c>
      <c r="AD495" s="24">
        <f t="shared" si="93"/>
        <v>0</v>
      </c>
      <c r="AE495" s="24">
        <f t="shared" si="93"/>
        <v>0</v>
      </c>
      <c r="AF495" s="24">
        <f t="shared" si="93"/>
        <v>0</v>
      </c>
      <c r="AG495" s="24">
        <f t="shared" si="93"/>
        <v>0</v>
      </c>
      <c r="AH495" s="24">
        <f t="shared" si="94"/>
        <v>0</v>
      </c>
      <c r="AI495" s="24">
        <f t="shared" si="90"/>
        <v>0</v>
      </c>
      <c r="AJ495" s="261">
        <f t="shared" si="91"/>
        <v>0</v>
      </c>
      <c r="AK495" s="13"/>
      <c r="AL495" s="100">
        <v>420</v>
      </c>
      <c r="AM495" s="202"/>
      <c r="AN495" s="200"/>
      <c r="AO495" s="200"/>
      <c r="AP495" s="283">
        <v>1.1200000000000001</v>
      </c>
      <c r="AR495" s="222">
        <v>91.867253292695423</v>
      </c>
      <c r="AS495" s="223">
        <v>92.233568754118963</v>
      </c>
      <c r="AT495" s="223">
        <v>91.481088931565125</v>
      </c>
      <c r="AU495" s="223">
        <v>92.185268541049552</v>
      </c>
      <c r="AV495" s="223">
        <v>93.094999999999999</v>
      </c>
      <c r="AW495" s="224">
        <v>86.079000000000008</v>
      </c>
      <c r="AX495" s="42"/>
      <c r="AY495" s="181"/>
      <c r="AZ495" s="197"/>
    </row>
    <row r="496" spans="4:52" ht="13" thickBot="1" x14ac:dyDescent="0.3">
      <c r="L496" s="55">
        <v>415</v>
      </c>
      <c r="M496" s="274">
        <f t="shared" si="95"/>
        <v>0</v>
      </c>
      <c r="N496" s="275">
        <f t="shared" si="95"/>
        <v>0</v>
      </c>
      <c r="O496" s="276" t="e">
        <f ca="1"/>
        <v>#N/A</v>
      </c>
      <c r="Q496" s="34">
        <v>0</v>
      </c>
      <c r="R496" s="24">
        <v>0</v>
      </c>
      <c r="S496" s="24">
        <v>0</v>
      </c>
      <c r="T496" s="24">
        <v>0</v>
      </c>
      <c r="U496" s="24">
        <f t="array" ref="U496">IF(U$77&gt;" ",(U$628:U$1078),"")</f>
        <v>0</v>
      </c>
      <c r="V496" s="24">
        <f t="array" ref="V496">IF(V$77&gt;" ",(V$628:V$1078),"")</f>
        <v>0</v>
      </c>
      <c r="W496" s="24">
        <f t="array" ref="W496">IF(W$77&gt;" ",(W$628:W$1078),"")</f>
        <v>0</v>
      </c>
      <c r="X496" s="24">
        <f t="array" ref="X496">IF(X$77&gt;" ",(X$628:X$1078),"")</f>
        <v>0</v>
      </c>
      <c r="Y496" s="21">
        <v>0</v>
      </c>
      <c r="Z496" s="34">
        <f t="shared" si="86"/>
        <v>0</v>
      </c>
      <c r="AA496" s="24">
        <f t="shared" si="87"/>
        <v>0</v>
      </c>
      <c r="AB496" s="24">
        <f t="shared" si="88"/>
        <v>0</v>
      </c>
      <c r="AC496" s="24">
        <f t="shared" si="89"/>
        <v>0</v>
      </c>
      <c r="AD496" s="24">
        <f t="shared" si="93"/>
        <v>0</v>
      </c>
      <c r="AE496" s="24">
        <f t="shared" si="93"/>
        <v>0</v>
      </c>
      <c r="AF496" s="24">
        <f t="shared" si="93"/>
        <v>0</v>
      </c>
      <c r="AG496" s="24">
        <f t="shared" si="93"/>
        <v>0</v>
      </c>
      <c r="AH496" s="24">
        <f t="shared" si="94"/>
        <v>0</v>
      </c>
      <c r="AI496" s="24">
        <f t="shared" si="90"/>
        <v>0</v>
      </c>
      <c r="AJ496" s="261">
        <f t="shared" si="91"/>
        <v>0</v>
      </c>
      <c r="AK496" s="13"/>
      <c r="AL496" s="100">
        <v>415</v>
      </c>
      <c r="AM496" s="202"/>
      <c r="AN496" s="200"/>
      <c r="AO496" s="200"/>
      <c r="AP496" s="284">
        <v>1.222</v>
      </c>
      <c r="AR496" s="222">
        <v>91.475290452558156</v>
      </c>
      <c r="AS496" s="223">
        <v>91.885548874692233</v>
      </c>
      <c r="AT496" s="223">
        <v>91.10142808514108</v>
      </c>
      <c r="AU496" s="223">
        <v>91.8494274198694</v>
      </c>
      <c r="AV496" s="223">
        <v>92.388999999999996</v>
      </c>
      <c r="AW496" s="224">
        <v>86.121499999999997</v>
      </c>
      <c r="AX496" s="42"/>
      <c r="AY496" s="181"/>
      <c r="AZ496" s="197"/>
    </row>
    <row r="497" spans="12:52" ht="13" thickBot="1" x14ac:dyDescent="0.3">
      <c r="L497" s="55">
        <v>410</v>
      </c>
      <c r="M497" s="274">
        <f t="shared" si="95"/>
        <v>0</v>
      </c>
      <c r="N497" s="275">
        <f t="shared" si="95"/>
        <v>0</v>
      </c>
      <c r="O497" s="276" t="e">
        <f ca="1"/>
        <v>#N/A</v>
      </c>
      <c r="Q497" s="34">
        <v>0</v>
      </c>
      <c r="R497" s="24">
        <v>0</v>
      </c>
      <c r="S497" s="24">
        <v>0</v>
      </c>
      <c r="T497" s="24">
        <v>0</v>
      </c>
      <c r="U497" s="24">
        <f t="array" ref="U497">IF(U$77&gt;" ",(U$628:U$1078),"")</f>
        <v>0</v>
      </c>
      <c r="V497" s="24">
        <f t="array" ref="V497">IF(V$77&gt;" ",(V$628:V$1078),"")</f>
        <v>0</v>
      </c>
      <c r="W497" s="24">
        <f t="array" ref="W497">IF(W$77&gt;" ",(W$628:W$1078),"")</f>
        <v>0</v>
      </c>
      <c r="X497" s="24">
        <f t="array" ref="X497">IF(X$77&gt;" ",(X$628:X$1078),"")</f>
        <v>0</v>
      </c>
      <c r="Y497" s="21">
        <v>0</v>
      </c>
      <c r="Z497" s="34">
        <f t="shared" si="86"/>
        <v>0</v>
      </c>
      <c r="AA497" s="24">
        <f t="shared" si="87"/>
        <v>0</v>
      </c>
      <c r="AB497" s="24">
        <f t="shared" si="88"/>
        <v>0</v>
      </c>
      <c r="AC497" s="24">
        <f t="shared" si="89"/>
        <v>0</v>
      </c>
      <c r="AD497" s="24">
        <f t="shared" si="93"/>
        <v>0</v>
      </c>
      <c r="AE497" s="24">
        <f t="shared" si="93"/>
        <v>0</v>
      </c>
      <c r="AF497" s="24">
        <f t="shared" si="93"/>
        <v>0</v>
      </c>
      <c r="AG497" s="24">
        <f t="shared" si="93"/>
        <v>0</v>
      </c>
      <c r="AH497" s="24">
        <f t="shared" si="94"/>
        <v>0</v>
      </c>
      <c r="AI497" s="24">
        <f t="shared" si="90"/>
        <v>0</v>
      </c>
      <c r="AJ497" s="261">
        <f t="shared" si="91"/>
        <v>0</v>
      </c>
      <c r="AK497" s="13"/>
      <c r="AL497" s="100">
        <v>410</v>
      </c>
      <c r="AM497" s="202"/>
      <c r="AN497" s="200"/>
      <c r="AO497" s="200"/>
      <c r="AP497" s="283">
        <v>1.0449999999999999</v>
      </c>
      <c r="AR497" s="222">
        <v>91.085602157600832</v>
      </c>
      <c r="AS497" s="223">
        <v>91.53755300424443</v>
      </c>
      <c r="AT497" s="223">
        <v>90.72788475931543</v>
      </c>
      <c r="AU497" s="223">
        <v>91.5188740462916</v>
      </c>
      <c r="AV497" s="223">
        <v>91.683000000000007</v>
      </c>
      <c r="AW497" s="224">
        <v>86.164000000000001</v>
      </c>
      <c r="AX497" s="42"/>
      <c r="AY497" s="181"/>
      <c r="AZ497" s="197"/>
    </row>
    <row r="498" spans="12:52" ht="13" thickBot="1" x14ac:dyDescent="0.3">
      <c r="L498" s="55">
        <v>405</v>
      </c>
      <c r="M498" s="274">
        <f t="shared" si="95"/>
        <v>0</v>
      </c>
      <c r="N498" s="275">
        <f t="shared" si="95"/>
        <v>0</v>
      </c>
      <c r="O498" s="276" t="e">
        <f ca="1"/>
        <v>#N/A</v>
      </c>
      <c r="Q498" s="34">
        <v>0</v>
      </c>
      <c r="R498" s="24">
        <v>0</v>
      </c>
      <c r="S498" s="24">
        <v>0</v>
      </c>
      <c r="T498" s="24">
        <v>0</v>
      </c>
      <c r="U498" s="24">
        <f t="array" ref="U498">IF(U$77&gt;" ",(U$628:U$1078),"")</f>
        <v>0</v>
      </c>
      <c r="V498" s="24">
        <f t="array" ref="V498">IF(V$77&gt;" ",(V$628:V$1078),"")</f>
        <v>0</v>
      </c>
      <c r="W498" s="24">
        <f t="array" ref="W498">IF(W$77&gt;" ",(W$628:W$1078),"")</f>
        <v>0</v>
      </c>
      <c r="X498" s="24">
        <f t="array" ref="X498">IF(X$77&gt;" ",(X$628:X$1078),"")</f>
        <v>0</v>
      </c>
      <c r="Y498" s="21">
        <v>0</v>
      </c>
      <c r="Z498" s="34">
        <f t="shared" si="86"/>
        <v>0</v>
      </c>
      <c r="AA498" s="24">
        <f t="shared" si="87"/>
        <v>0</v>
      </c>
      <c r="AB498" s="24">
        <f t="shared" si="88"/>
        <v>0</v>
      </c>
      <c r="AC498" s="24">
        <f t="shared" si="89"/>
        <v>0</v>
      </c>
      <c r="AD498" s="24">
        <f t="shared" si="93"/>
        <v>0</v>
      </c>
      <c r="AE498" s="24">
        <f t="shared" si="93"/>
        <v>0</v>
      </c>
      <c r="AF498" s="24">
        <f t="shared" si="93"/>
        <v>0</v>
      </c>
      <c r="AG498" s="24">
        <f t="shared" si="93"/>
        <v>0</v>
      </c>
      <c r="AH498" s="24">
        <f t="shared" si="94"/>
        <v>0</v>
      </c>
      <c r="AI498" s="24">
        <f t="shared" si="90"/>
        <v>0</v>
      </c>
      <c r="AJ498" s="261">
        <f t="shared" si="91"/>
        <v>0</v>
      </c>
      <c r="AK498" s="13"/>
      <c r="AL498" s="100">
        <v>405</v>
      </c>
      <c r="AM498" s="202"/>
      <c r="AN498" s="200"/>
      <c r="AO498" s="200"/>
      <c r="AP498" s="284">
        <v>1.1479999999999999</v>
      </c>
      <c r="AR498" s="222">
        <v>90.601231226774075</v>
      </c>
      <c r="AS498" s="223">
        <v>91.093772070174523</v>
      </c>
      <c r="AT498" s="223">
        <v>90.255055888061023</v>
      </c>
      <c r="AU498" s="223">
        <v>91.086750649428879</v>
      </c>
      <c r="AV498" s="223">
        <v>90.186500000000009</v>
      </c>
      <c r="AW498" s="224">
        <v>86.222999999999999</v>
      </c>
      <c r="AX498" s="42"/>
      <c r="AY498" s="181"/>
      <c r="AZ498" s="197"/>
    </row>
    <row r="499" spans="12:52" ht="13" thickBot="1" x14ac:dyDescent="0.3">
      <c r="L499" s="55">
        <v>400</v>
      </c>
      <c r="M499" s="274">
        <f t="shared" si="95"/>
        <v>0</v>
      </c>
      <c r="N499" s="275">
        <f t="shared" si="95"/>
        <v>0</v>
      </c>
      <c r="O499" s="276" t="e">
        <f ca="1"/>
        <v>#N/A</v>
      </c>
      <c r="Q499" s="34">
        <v>0</v>
      </c>
      <c r="R499" s="24">
        <v>0</v>
      </c>
      <c r="S499" s="24">
        <v>0</v>
      </c>
      <c r="T499" s="24">
        <v>0</v>
      </c>
      <c r="U499" s="24">
        <f t="array" ref="U499">IF(U$77&gt;" ",(U$628:U$1078),"")</f>
        <v>0</v>
      </c>
      <c r="V499" s="24">
        <f t="array" ref="V499">IF(V$77&gt;" ",(V$628:V$1078),"")</f>
        <v>0</v>
      </c>
      <c r="W499" s="24">
        <f t="array" ref="W499">IF(W$77&gt;" ",(W$628:W$1078),"")</f>
        <v>0</v>
      </c>
      <c r="X499" s="24">
        <f t="array" ref="X499">IF(X$77&gt;" ",(X$628:X$1078),"")</f>
        <v>0</v>
      </c>
      <c r="Y499" s="21">
        <v>0</v>
      </c>
      <c r="Z499" s="34">
        <f t="shared" si="86"/>
        <v>0</v>
      </c>
      <c r="AA499" s="24">
        <f t="shared" si="87"/>
        <v>0</v>
      </c>
      <c r="AB499" s="24">
        <f t="shared" si="88"/>
        <v>0</v>
      </c>
      <c r="AC499" s="24">
        <f t="shared" si="89"/>
        <v>0</v>
      </c>
      <c r="AD499" s="24">
        <f t="shared" si="93"/>
        <v>0</v>
      </c>
      <c r="AE499" s="24">
        <f t="shared" si="93"/>
        <v>0</v>
      </c>
      <c r="AF499" s="24">
        <f t="shared" si="93"/>
        <v>0</v>
      </c>
      <c r="AG499" s="24">
        <f t="shared" si="93"/>
        <v>0</v>
      </c>
      <c r="AH499" s="24">
        <f t="shared" si="94"/>
        <v>0</v>
      </c>
      <c r="AI499" s="24">
        <f t="shared" si="90"/>
        <v>0</v>
      </c>
      <c r="AJ499" s="261">
        <f t="shared" si="91"/>
        <v>0</v>
      </c>
      <c r="AK499" s="13"/>
      <c r="AL499" s="100">
        <v>400</v>
      </c>
      <c r="AM499" s="202"/>
      <c r="AN499" s="200"/>
      <c r="AO499" s="200"/>
      <c r="AP499" s="283">
        <v>1.111</v>
      </c>
      <c r="AR499" s="222">
        <v>90.102659246197916</v>
      </c>
      <c r="AS499" s="223">
        <v>90.637660656845512</v>
      </c>
      <c r="AT499" s="223">
        <v>89.769099395599255</v>
      </c>
      <c r="AU499" s="223">
        <v>90.638360888055828</v>
      </c>
      <c r="AV499" s="223">
        <v>88.69</v>
      </c>
      <c r="AW499" s="224">
        <v>86.281999999999996</v>
      </c>
      <c r="AX499" s="42"/>
      <c r="AY499" s="181"/>
      <c r="AZ499" s="197"/>
    </row>
    <row r="500" spans="12:52" ht="13" thickBot="1" x14ac:dyDescent="0.3">
      <c r="L500" s="55">
        <v>395</v>
      </c>
      <c r="M500" s="274">
        <f t="shared" si="95"/>
        <v>0</v>
      </c>
      <c r="N500" s="275">
        <f t="shared" si="95"/>
        <v>0</v>
      </c>
      <c r="O500" s="276" t="e">
        <f ca="1"/>
        <v>#N/A</v>
      </c>
      <c r="Q500" s="34">
        <v>0</v>
      </c>
      <c r="R500" s="24">
        <v>0</v>
      </c>
      <c r="S500" s="24">
        <v>0</v>
      </c>
      <c r="T500" s="24">
        <v>0</v>
      </c>
      <c r="U500" s="24">
        <f t="array" ref="U500">IF(U$77&gt;" ",(U$628:U$1078),"")</f>
        <v>0</v>
      </c>
      <c r="V500" s="24">
        <f t="array" ref="V500">IF(V$77&gt;" ",(V$628:V$1078),"")</f>
        <v>0</v>
      </c>
      <c r="W500" s="24">
        <f t="array" ref="W500">IF(W$77&gt;" ",(W$628:W$1078),"")</f>
        <v>0</v>
      </c>
      <c r="X500" s="24">
        <f t="array" ref="X500">IF(X$77&gt;" ",(X$628:X$1078),"")</f>
        <v>0</v>
      </c>
      <c r="Y500" s="21">
        <v>0</v>
      </c>
      <c r="Z500" s="34">
        <f t="shared" si="86"/>
        <v>0</v>
      </c>
      <c r="AA500" s="24">
        <f t="shared" si="87"/>
        <v>0</v>
      </c>
      <c r="AB500" s="24">
        <f t="shared" si="88"/>
        <v>0</v>
      </c>
      <c r="AC500" s="24">
        <f t="shared" si="89"/>
        <v>0</v>
      </c>
      <c r="AD500" s="24">
        <f t="shared" si="93"/>
        <v>0</v>
      </c>
      <c r="AE500" s="24">
        <f t="shared" si="93"/>
        <v>0</v>
      </c>
      <c r="AF500" s="24">
        <f t="shared" si="93"/>
        <v>0</v>
      </c>
      <c r="AG500" s="24">
        <f t="shared" si="93"/>
        <v>0</v>
      </c>
      <c r="AH500" s="24">
        <f t="shared" si="94"/>
        <v>0</v>
      </c>
      <c r="AI500" s="24">
        <f t="shared" si="90"/>
        <v>0</v>
      </c>
      <c r="AJ500" s="261">
        <f t="shared" si="91"/>
        <v>0</v>
      </c>
      <c r="AK500" s="13"/>
      <c r="AL500" s="100">
        <v>395</v>
      </c>
      <c r="AM500" s="202"/>
      <c r="AN500" s="200"/>
      <c r="AO500" s="200"/>
      <c r="AP500" s="284">
        <v>0.8054</v>
      </c>
      <c r="AR500" s="222">
        <v>89.448071603676127</v>
      </c>
      <c r="AS500" s="223">
        <v>90.031338598498067</v>
      </c>
      <c r="AT500" s="223">
        <v>89.063387412888275</v>
      </c>
      <c r="AU500" s="223">
        <v>89.983313169220935</v>
      </c>
      <c r="AV500" s="223">
        <v>85.983500000000006</v>
      </c>
      <c r="AW500" s="224">
        <v>86.358000000000004</v>
      </c>
      <c r="AX500" s="42"/>
      <c r="AY500" s="181"/>
      <c r="AZ500" s="197"/>
    </row>
    <row r="501" spans="12:52" ht="13" thickBot="1" x14ac:dyDescent="0.3">
      <c r="L501" s="55">
        <v>390</v>
      </c>
      <c r="M501" s="274">
        <f t="shared" si="95"/>
        <v>0</v>
      </c>
      <c r="N501" s="275">
        <f t="shared" si="95"/>
        <v>0</v>
      </c>
      <c r="O501" s="276" t="e">
        <f ca="1"/>
        <v>#N/A</v>
      </c>
      <c r="Q501" s="34">
        <v>0</v>
      </c>
      <c r="R501" s="24">
        <v>0</v>
      </c>
      <c r="S501" s="24">
        <v>0</v>
      </c>
      <c r="T501" s="24">
        <v>0</v>
      </c>
      <c r="U501" s="24">
        <f t="array" ref="U501">IF(U$77&gt;" ",(U$628:U$1078),"")</f>
        <v>0</v>
      </c>
      <c r="V501" s="24">
        <f t="array" ref="V501">IF(V$77&gt;" ",(V$628:V$1078),"")</f>
        <v>0</v>
      </c>
      <c r="W501" s="24">
        <f t="array" ref="W501">IF(W$77&gt;" ",(W$628:W$1078),"")</f>
        <v>0</v>
      </c>
      <c r="X501" s="24">
        <f t="array" ref="X501">IF(X$77&gt;" ",(X$628:X$1078),"")</f>
        <v>0</v>
      </c>
      <c r="Y501" s="21">
        <v>0</v>
      </c>
      <c r="Z501" s="34">
        <f t="shared" si="86"/>
        <v>0</v>
      </c>
      <c r="AA501" s="24">
        <f t="shared" si="87"/>
        <v>0</v>
      </c>
      <c r="AB501" s="24">
        <f t="shared" si="88"/>
        <v>0</v>
      </c>
      <c r="AC501" s="24">
        <f t="shared" si="89"/>
        <v>0</v>
      </c>
      <c r="AD501" s="24">
        <f t="shared" si="93"/>
        <v>0</v>
      </c>
      <c r="AE501" s="24">
        <f t="shared" si="93"/>
        <v>0</v>
      </c>
      <c r="AF501" s="24">
        <f t="shared" si="93"/>
        <v>0</v>
      </c>
      <c r="AG501" s="24">
        <f t="shared" si="93"/>
        <v>0</v>
      </c>
      <c r="AH501" s="24">
        <f t="shared" si="94"/>
        <v>0</v>
      </c>
      <c r="AI501" s="24">
        <f t="shared" si="90"/>
        <v>0</v>
      </c>
      <c r="AJ501" s="261">
        <f t="shared" si="91"/>
        <v>0</v>
      </c>
      <c r="AK501" s="13"/>
      <c r="AL501" s="100">
        <v>390</v>
      </c>
      <c r="AM501" s="202"/>
      <c r="AN501" s="200"/>
      <c r="AO501" s="200"/>
      <c r="AP501" s="283">
        <v>0.79469999999999996</v>
      </c>
      <c r="AR501" s="222">
        <v>88.800875154089724</v>
      </c>
      <c r="AS501" s="223">
        <v>89.390853559306265</v>
      </c>
      <c r="AT501" s="223">
        <v>88.360399372602629</v>
      </c>
      <c r="AU501" s="223">
        <v>89.35027149335167</v>
      </c>
      <c r="AV501" s="223">
        <v>83.277000000000001</v>
      </c>
      <c r="AW501" s="224">
        <v>86.433999999999997</v>
      </c>
      <c r="AX501" s="42"/>
      <c r="AY501" s="181"/>
      <c r="AZ501" s="197"/>
    </row>
    <row r="502" spans="12:52" ht="13" thickBot="1" x14ac:dyDescent="0.3">
      <c r="L502" s="55">
        <v>385</v>
      </c>
      <c r="M502" s="274">
        <f t="shared" si="95"/>
        <v>0</v>
      </c>
      <c r="N502" s="275">
        <f t="shared" si="95"/>
        <v>0</v>
      </c>
      <c r="O502" s="276" t="e">
        <f ca="1"/>
        <v>#N/A</v>
      </c>
      <c r="Q502" s="34">
        <v>0</v>
      </c>
      <c r="R502" s="24">
        <v>0</v>
      </c>
      <c r="S502" s="24">
        <v>0</v>
      </c>
      <c r="T502" s="24">
        <v>0</v>
      </c>
      <c r="U502" s="24">
        <f t="array" ref="U502">IF(U$77&gt;" ",(U$628:U$1078),"")</f>
        <v>0</v>
      </c>
      <c r="V502" s="24">
        <f t="array" ref="V502">IF(V$77&gt;" ",(V$628:V$1078),"")</f>
        <v>0</v>
      </c>
      <c r="W502" s="24">
        <f t="array" ref="W502">IF(W$77&gt;" ",(W$628:W$1078),"")</f>
        <v>0</v>
      </c>
      <c r="X502" s="24">
        <f t="array" ref="X502">IF(X$77&gt;" ",(X$628:X$1078),"")</f>
        <v>0</v>
      </c>
      <c r="Y502" s="21">
        <v>0</v>
      </c>
      <c r="Z502" s="34">
        <f t="shared" si="86"/>
        <v>0</v>
      </c>
      <c r="AA502" s="24">
        <f t="shared" si="87"/>
        <v>0</v>
      </c>
      <c r="AB502" s="24">
        <f t="shared" si="88"/>
        <v>0</v>
      </c>
      <c r="AC502" s="24">
        <f t="shared" si="89"/>
        <v>0</v>
      </c>
      <c r="AD502" s="24">
        <f t="shared" si="93"/>
        <v>0</v>
      </c>
      <c r="AE502" s="24">
        <f t="shared" si="93"/>
        <v>0</v>
      </c>
      <c r="AF502" s="24">
        <f t="shared" si="93"/>
        <v>0</v>
      </c>
      <c r="AG502" s="24">
        <f t="shared" si="93"/>
        <v>0</v>
      </c>
      <c r="AH502" s="24">
        <f t="shared" si="94"/>
        <v>0</v>
      </c>
      <c r="AI502" s="24">
        <f t="shared" si="90"/>
        <v>0</v>
      </c>
      <c r="AJ502" s="261">
        <f t="shared" si="91"/>
        <v>0</v>
      </c>
      <c r="AK502" s="13"/>
      <c r="AL502" s="100">
        <v>385</v>
      </c>
      <c r="AM502" s="202"/>
      <c r="AN502" s="200"/>
      <c r="AO502" s="200"/>
      <c r="AP502" s="284">
        <v>0.67159999999999997</v>
      </c>
      <c r="AR502" s="222">
        <v>87.907953162091118</v>
      </c>
      <c r="AS502" s="223">
        <v>88.510122455627823</v>
      </c>
      <c r="AT502" s="223">
        <v>87.229251177748765</v>
      </c>
      <c r="AU502" s="223">
        <v>88.274286474924779</v>
      </c>
      <c r="AV502" s="223">
        <v>81.887</v>
      </c>
      <c r="AW502" s="224">
        <v>86.528499999999994</v>
      </c>
      <c r="AX502" s="42"/>
      <c r="AY502" s="181"/>
      <c r="AZ502" s="197"/>
    </row>
    <row r="503" spans="12:52" ht="13" thickBot="1" x14ac:dyDescent="0.3">
      <c r="L503" s="55">
        <v>380</v>
      </c>
      <c r="M503" s="274">
        <f t="shared" si="95"/>
        <v>0</v>
      </c>
      <c r="N503" s="275">
        <f t="shared" si="95"/>
        <v>0</v>
      </c>
      <c r="O503" s="276" t="e">
        <f ca="1"/>
        <v>#N/A</v>
      </c>
      <c r="Q503" s="34">
        <v>0</v>
      </c>
      <c r="R503" s="24">
        <v>0</v>
      </c>
      <c r="S503" s="24">
        <v>0</v>
      </c>
      <c r="T503" s="24">
        <v>0</v>
      </c>
      <c r="U503" s="24">
        <f t="array" ref="U503">IF(U$77&gt;" ",(U$628:U$1078),"")</f>
        <v>0</v>
      </c>
      <c r="V503" s="24">
        <f t="array" ref="V503">IF(V$77&gt;" ",(V$628:V$1078),"")</f>
        <v>0</v>
      </c>
      <c r="W503" s="24">
        <f t="array" ref="W503">IF(W$77&gt;" ",(W$628:W$1078),"")</f>
        <v>0</v>
      </c>
      <c r="X503" s="24">
        <f t="array" ref="X503">IF(X$77&gt;" ",(X$628:X$1078),"")</f>
        <v>0</v>
      </c>
      <c r="Y503" s="21">
        <v>0</v>
      </c>
      <c r="Z503" s="34">
        <f t="shared" si="86"/>
        <v>0</v>
      </c>
      <c r="AA503" s="24">
        <f t="shared" si="87"/>
        <v>0</v>
      </c>
      <c r="AB503" s="24">
        <f t="shared" si="88"/>
        <v>0</v>
      </c>
      <c r="AC503" s="24">
        <f t="shared" si="89"/>
        <v>0</v>
      </c>
      <c r="AD503" s="24">
        <f t="shared" si="93"/>
        <v>0</v>
      </c>
      <c r="AE503" s="24">
        <f t="shared" si="93"/>
        <v>0</v>
      </c>
      <c r="AF503" s="24">
        <f t="shared" si="93"/>
        <v>0</v>
      </c>
      <c r="AG503" s="24">
        <f t="shared" si="93"/>
        <v>0</v>
      </c>
      <c r="AH503" s="24">
        <f t="shared" si="94"/>
        <v>0</v>
      </c>
      <c r="AI503" s="24">
        <f t="shared" si="90"/>
        <v>0</v>
      </c>
      <c r="AJ503" s="261">
        <f t="shared" si="91"/>
        <v>0</v>
      </c>
      <c r="AK503" s="13"/>
      <c r="AL503" s="100">
        <v>380</v>
      </c>
      <c r="AM503" s="202"/>
      <c r="AN503" s="200"/>
      <c r="AO503" s="200"/>
      <c r="AP503" s="283">
        <v>0.69869999999999999</v>
      </c>
      <c r="AR503" s="222">
        <v>87.00372862809833</v>
      </c>
      <c r="AS503" s="223">
        <v>87.652275191991805</v>
      </c>
      <c r="AT503" s="223">
        <v>86.073260374672302</v>
      </c>
      <c r="AU503" s="223">
        <v>87.151896041138173</v>
      </c>
      <c r="AV503" s="223">
        <v>80.497</v>
      </c>
      <c r="AW503" s="224">
        <v>86.623000000000005</v>
      </c>
      <c r="AX503" s="42"/>
      <c r="AY503" s="181"/>
      <c r="AZ503" s="197"/>
    </row>
    <row r="504" spans="12:52" ht="13" thickBot="1" x14ac:dyDescent="0.3">
      <c r="L504" s="55">
        <v>375</v>
      </c>
      <c r="M504" s="274">
        <f t="shared" si="95"/>
        <v>0</v>
      </c>
      <c r="N504" s="275">
        <f t="shared" si="95"/>
        <v>0</v>
      </c>
      <c r="O504" s="276" t="e">
        <f ca="1"/>
        <v>#N/A</v>
      </c>
      <c r="Q504" s="34">
        <v>0</v>
      </c>
      <c r="R504" s="24">
        <v>0</v>
      </c>
      <c r="S504" s="24">
        <v>0</v>
      </c>
      <c r="T504" s="24">
        <v>0</v>
      </c>
      <c r="U504" s="24">
        <f t="array" ref="U504">IF(U$77&gt;" ",(U$628:U$1078),"")</f>
        <v>0</v>
      </c>
      <c r="V504" s="24">
        <f t="array" ref="V504">IF(V$77&gt;" ",(V$628:V$1078),"")</f>
        <v>0</v>
      </c>
      <c r="W504" s="24">
        <f t="array" ref="W504">IF(W$77&gt;" ",(W$628:W$1078),"")</f>
        <v>0</v>
      </c>
      <c r="X504" s="24">
        <f t="array" ref="X504">IF(X$77&gt;" ",(X$628:X$1078),"")</f>
        <v>0</v>
      </c>
      <c r="Y504" s="21">
        <v>0</v>
      </c>
      <c r="Z504" s="34">
        <f t="shared" si="86"/>
        <v>0</v>
      </c>
      <c r="AA504" s="24">
        <f t="shared" si="87"/>
        <v>0</v>
      </c>
      <c r="AB504" s="24">
        <f t="shared" si="88"/>
        <v>0</v>
      </c>
      <c r="AC504" s="24">
        <f t="shared" si="89"/>
        <v>0</v>
      </c>
      <c r="AD504" s="24">
        <f t="shared" si="93"/>
        <v>0</v>
      </c>
      <c r="AE504" s="24">
        <f t="shared" si="93"/>
        <v>0</v>
      </c>
      <c r="AF504" s="24">
        <f t="shared" si="93"/>
        <v>0</v>
      </c>
      <c r="AG504" s="24">
        <f t="shared" si="93"/>
        <v>0</v>
      </c>
      <c r="AH504" s="24">
        <f t="shared" si="94"/>
        <v>0</v>
      </c>
      <c r="AI504" s="24">
        <f t="shared" si="90"/>
        <v>0</v>
      </c>
      <c r="AJ504" s="261">
        <f t="shared" si="91"/>
        <v>0</v>
      </c>
      <c r="AK504" s="13"/>
      <c r="AL504" s="100">
        <v>375</v>
      </c>
      <c r="AM504" s="202"/>
      <c r="AN504" s="200"/>
      <c r="AO504" s="200"/>
      <c r="AP504" s="284">
        <v>0.58760000000000001</v>
      </c>
      <c r="AR504" s="222">
        <v>86.114222341137136</v>
      </c>
      <c r="AS504" s="223">
        <v>86.815143677199828</v>
      </c>
      <c r="AT504" s="223">
        <v>85.342375917322784</v>
      </c>
      <c r="AU504" s="223">
        <v>86.455245454283826</v>
      </c>
      <c r="AV504" s="223">
        <v>82.231499999999997</v>
      </c>
      <c r="AW504" s="224">
        <v>86.741</v>
      </c>
      <c r="AX504" s="42"/>
      <c r="AY504" s="181"/>
      <c r="AZ504" s="197"/>
    </row>
    <row r="505" spans="12:52" ht="13" thickBot="1" x14ac:dyDescent="0.3">
      <c r="L505" s="55">
        <v>370</v>
      </c>
      <c r="M505" s="274">
        <f t="shared" si="95"/>
        <v>0</v>
      </c>
      <c r="N505" s="275">
        <f t="shared" si="95"/>
        <v>0</v>
      </c>
      <c r="O505" s="276" t="e">
        <f ca="1"/>
        <v>#N/A</v>
      </c>
      <c r="Q505" s="34">
        <v>0</v>
      </c>
      <c r="R505" s="24">
        <v>0</v>
      </c>
      <c r="S505" s="24">
        <v>0</v>
      </c>
      <c r="T505" s="24">
        <v>0</v>
      </c>
      <c r="U505" s="24">
        <f t="array" ref="U505">IF(U$77&gt;" ",(U$628:U$1078),"")</f>
        <v>0</v>
      </c>
      <c r="V505" s="24">
        <f t="array" ref="V505">IF(V$77&gt;" ",(V$628:V$1078),"")</f>
        <v>0</v>
      </c>
      <c r="W505" s="24">
        <f t="array" ref="W505">IF(W$77&gt;" ",(W$628:W$1078),"")</f>
        <v>0</v>
      </c>
      <c r="X505" s="24">
        <f t="array" ref="X505">IF(X$77&gt;" ",(X$628:X$1078),"")</f>
        <v>0</v>
      </c>
      <c r="Y505" s="21">
        <v>0</v>
      </c>
      <c r="Z505" s="34">
        <f t="shared" si="86"/>
        <v>0</v>
      </c>
      <c r="AA505" s="24">
        <f t="shared" si="87"/>
        <v>0</v>
      </c>
      <c r="AB505" s="24">
        <f t="shared" si="88"/>
        <v>0</v>
      </c>
      <c r="AC505" s="24">
        <f t="shared" si="89"/>
        <v>0</v>
      </c>
      <c r="AD505" s="24">
        <f t="shared" si="93"/>
        <v>0</v>
      </c>
      <c r="AE505" s="24">
        <f t="shared" si="93"/>
        <v>0</v>
      </c>
      <c r="AF505" s="24">
        <f t="shared" si="93"/>
        <v>0</v>
      </c>
      <c r="AG505" s="24">
        <f t="shared" si="93"/>
        <v>0</v>
      </c>
      <c r="AH505" s="24">
        <f t="shared" si="94"/>
        <v>0</v>
      </c>
      <c r="AI505" s="24">
        <f t="shared" si="90"/>
        <v>0</v>
      </c>
      <c r="AJ505" s="261">
        <f t="shared" si="91"/>
        <v>0</v>
      </c>
      <c r="AK505" s="13"/>
      <c r="AL505" s="100">
        <v>370</v>
      </c>
      <c r="AM505" s="202"/>
      <c r="AN505" s="200"/>
      <c r="AO505" s="200"/>
      <c r="AP505" s="283">
        <v>0.75290000000000001</v>
      </c>
      <c r="AR505" s="222">
        <v>85.243651605811408</v>
      </c>
      <c r="AS505" s="223">
        <v>85.96020230771704</v>
      </c>
      <c r="AT505" s="223">
        <v>84.635790144789397</v>
      </c>
      <c r="AU505" s="223">
        <v>85.778405484408324</v>
      </c>
      <c r="AV505" s="223">
        <v>83.965999999999994</v>
      </c>
      <c r="AW505" s="224">
        <v>86.858999999999995</v>
      </c>
      <c r="AX505" s="42"/>
      <c r="AY505" s="181"/>
      <c r="AZ505" s="197"/>
    </row>
    <row r="506" spans="12:52" ht="13" thickBot="1" x14ac:dyDescent="0.3">
      <c r="L506" s="55">
        <v>365</v>
      </c>
      <c r="M506" s="274">
        <f t="shared" si="95"/>
        <v>0</v>
      </c>
      <c r="N506" s="275">
        <f t="shared" si="95"/>
        <v>0</v>
      </c>
      <c r="O506" s="276" t="e">
        <f ca="1"/>
        <v>#N/A</v>
      </c>
      <c r="Q506" s="34">
        <v>0</v>
      </c>
      <c r="R506" s="24">
        <v>0</v>
      </c>
      <c r="S506" s="24">
        <v>0</v>
      </c>
      <c r="T506" s="24">
        <v>0</v>
      </c>
      <c r="U506" s="24">
        <f t="array" ref="U506">IF(U$77&gt;" ",(U$628:U$1078),"")</f>
        <v>0</v>
      </c>
      <c r="V506" s="24">
        <f t="array" ref="V506">IF(V$77&gt;" ",(V$628:V$1078),"")</f>
        <v>0</v>
      </c>
      <c r="W506" s="24">
        <f t="array" ref="W506">IF(W$77&gt;" ",(W$628:W$1078),"")</f>
        <v>0</v>
      </c>
      <c r="X506" s="24">
        <f t="array" ref="X506">IF(X$77&gt;" ",(X$628:X$1078),"")</f>
        <v>0</v>
      </c>
      <c r="Y506" s="21">
        <v>0</v>
      </c>
      <c r="Z506" s="34">
        <f t="shared" si="86"/>
        <v>0</v>
      </c>
      <c r="AA506" s="24">
        <f t="shared" si="87"/>
        <v>0</v>
      </c>
      <c r="AB506" s="24">
        <f t="shared" si="88"/>
        <v>0</v>
      </c>
      <c r="AC506" s="24">
        <f t="shared" si="89"/>
        <v>0</v>
      </c>
      <c r="AD506" s="24">
        <f t="shared" si="93"/>
        <v>0</v>
      </c>
      <c r="AE506" s="24">
        <f t="shared" si="93"/>
        <v>0</v>
      </c>
      <c r="AF506" s="24">
        <f t="shared" si="93"/>
        <v>0</v>
      </c>
      <c r="AG506" s="24">
        <f t="shared" si="93"/>
        <v>0</v>
      </c>
      <c r="AH506" s="24">
        <f t="shared" si="94"/>
        <v>0</v>
      </c>
      <c r="AI506" s="24">
        <f t="shared" si="90"/>
        <v>0</v>
      </c>
      <c r="AJ506" s="261">
        <f t="shared" si="91"/>
        <v>0</v>
      </c>
      <c r="AK506" s="13"/>
      <c r="AL506" s="100">
        <v>365</v>
      </c>
      <c r="AM506" s="202"/>
      <c r="AN506" s="200"/>
      <c r="AO506" s="200"/>
      <c r="AP506" s="284">
        <v>0.62180000000000002</v>
      </c>
      <c r="AR506" s="222">
        <v>83.984856865181314</v>
      </c>
      <c r="AS506" s="223">
        <v>84.668036628688739</v>
      </c>
      <c r="AT506" s="223">
        <v>83.206269362745601</v>
      </c>
      <c r="AU506" s="223">
        <v>84.366030148882217</v>
      </c>
      <c r="AV506" s="223">
        <v>85.596499999999992</v>
      </c>
      <c r="AW506" s="224">
        <v>86.994</v>
      </c>
      <c r="AX506" s="42"/>
      <c r="AY506" s="181"/>
      <c r="AZ506" s="197"/>
    </row>
    <row r="507" spans="12:52" ht="13" thickBot="1" x14ac:dyDescent="0.3">
      <c r="L507" s="55">
        <v>360</v>
      </c>
      <c r="M507" s="274">
        <f t="shared" si="95"/>
        <v>0</v>
      </c>
      <c r="N507" s="275">
        <f t="shared" si="95"/>
        <v>0</v>
      </c>
      <c r="O507" s="276" t="e">
        <f ca="1"/>
        <v>#N/A</v>
      </c>
      <c r="Q507" s="34">
        <v>0</v>
      </c>
      <c r="R507" s="24">
        <v>0</v>
      </c>
      <c r="S507" s="24">
        <v>0</v>
      </c>
      <c r="T507" s="24">
        <v>0</v>
      </c>
      <c r="U507" s="24">
        <f t="array" ref="U507">IF(U$77&gt;" ",(U$628:U$1078),"")</f>
        <v>0</v>
      </c>
      <c r="V507" s="24">
        <f t="array" ref="V507">IF(V$77&gt;" ",(V$628:V$1078),"")</f>
        <v>0</v>
      </c>
      <c r="W507" s="24">
        <f t="array" ref="W507">IF(W$77&gt;" ",(W$628:W$1078),"")</f>
        <v>0</v>
      </c>
      <c r="X507" s="24">
        <f t="array" ref="X507">IF(X$77&gt;" ",(X$628:X$1078),"")</f>
        <v>0</v>
      </c>
      <c r="Y507" s="21">
        <v>0</v>
      </c>
      <c r="Z507" s="34">
        <f t="shared" si="86"/>
        <v>0</v>
      </c>
      <c r="AA507" s="24">
        <f t="shared" si="87"/>
        <v>0</v>
      </c>
      <c r="AB507" s="24">
        <f t="shared" si="88"/>
        <v>0</v>
      </c>
      <c r="AC507" s="24">
        <f t="shared" si="89"/>
        <v>0</v>
      </c>
      <c r="AD507" s="24">
        <f t="shared" si="93"/>
        <v>0</v>
      </c>
      <c r="AE507" s="24">
        <f t="shared" si="93"/>
        <v>0</v>
      </c>
      <c r="AF507" s="24">
        <f t="shared" si="93"/>
        <v>0</v>
      </c>
      <c r="AG507" s="24">
        <f t="shared" si="93"/>
        <v>0</v>
      </c>
      <c r="AH507" s="24">
        <f t="shared" si="94"/>
        <v>0</v>
      </c>
      <c r="AI507" s="24">
        <f t="shared" si="90"/>
        <v>0</v>
      </c>
      <c r="AJ507" s="261">
        <f t="shared" si="91"/>
        <v>0</v>
      </c>
      <c r="AK507" s="13"/>
      <c r="AL507" s="100">
        <v>360</v>
      </c>
      <c r="AM507" s="202"/>
      <c r="AN507" s="200"/>
      <c r="AO507" s="200"/>
      <c r="AP507" s="283">
        <v>0.59640000000000004</v>
      </c>
      <c r="AR507" s="222">
        <v>82.723400802944809</v>
      </c>
      <c r="AS507" s="223">
        <v>83.404346956310988</v>
      </c>
      <c r="AT507" s="223">
        <v>81.777506640997458</v>
      </c>
      <c r="AU507" s="223">
        <v>82.942016090294075</v>
      </c>
      <c r="AV507" s="223">
        <v>87.227000000000004</v>
      </c>
      <c r="AW507" s="224">
        <v>87.129000000000005</v>
      </c>
      <c r="AX507" s="42"/>
      <c r="AY507" s="181"/>
      <c r="AZ507" s="197"/>
    </row>
    <row r="508" spans="12:52" ht="13" thickBot="1" x14ac:dyDescent="0.3">
      <c r="L508" s="55">
        <v>355</v>
      </c>
      <c r="M508" s="274">
        <f t="shared" si="95"/>
        <v>0</v>
      </c>
      <c r="N508" s="275">
        <f t="shared" si="95"/>
        <v>0</v>
      </c>
      <c r="O508" s="276" t="e">
        <f ca="1"/>
        <v>#N/A</v>
      </c>
      <c r="Q508" s="34">
        <v>0</v>
      </c>
      <c r="R508" s="24">
        <v>0</v>
      </c>
      <c r="S508" s="24">
        <v>0</v>
      </c>
      <c r="T508" s="24">
        <v>0</v>
      </c>
      <c r="U508" s="24">
        <f t="array" ref="U508">IF(U$77&gt;" ",(U$628:U$1078),"")</f>
        <v>0</v>
      </c>
      <c r="V508" s="24">
        <f t="array" ref="V508">IF(V$77&gt;" ",(V$628:V$1078),"")</f>
        <v>0</v>
      </c>
      <c r="W508" s="24">
        <f t="array" ref="W508">IF(W$77&gt;" ",(W$628:W$1078),"")</f>
        <v>0</v>
      </c>
      <c r="X508" s="24">
        <f t="array" ref="X508">IF(X$77&gt;" ",(X$628:X$1078),"")</f>
        <v>0</v>
      </c>
      <c r="Y508" s="21">
        <v>0</v>
      </c>
      <c r="Z508" s="34">
        <f t="shared" si="86"/>
        <v>0</v>
      </c>
      <c r="AA508" s="24">
        <f t="shared" si="87"/>
        <v>0</v>
      </c>
      <c r="AB508" s="24">
        <f t="shared" si="88"/>
        <v>0</v>
      </c>
      <c r="AC508" s="24">
        <f t="shared" si="89"/>
        <v>0</v>
      </c>
      <c r="AD508" s="24">
        <f t="shared" si="93"/>
        <v>0</v>
      </c>
      <c r="AE508" s="24">
        <f t="shared" si="93"/>
        <v>0</v>
      </c>
      <c r="AF508" s="24">
        <f t="shared" si="93"/>
        <v>0</v>
      </c>
      <c r="AG508" s="24">
        <f t="shared" si="93"/>
        <v>0</v>
      </c>
      <c r="AH508" s="24">
        <f t="shared" si="94"/>
        <v>0</v>
      </c>
      <c r="AI508" s="24">
        <f t="shared" si="90"/>
        <v>0</v>
      </c>
      <c r="AJ508" s="261">
        <f t="shared" si="91"/>
        <v>0</v>
      </c>
      <c r="AK508" s="13"/>
      <c r="AL508" s="100">
        <v>355</v>
      </c>
      <c r="AM508" s="202"/>
      <c r="AN508" s="200"/>
      <c r="AO508" s="200"/>
      <c r="AP508" s="284">
        <v>0.60960000000000003</v>
      </c>
      <c r="AR508" s="222">
        <v>80.768768856088556</v>
      </c>
      <c r="AS508" s="223">
        <v>81.446209710970621</v>
      </c>
      <c r="AT508" s="223">
        <v>79.41357847240613</v>
      </c>
      <c r="AU508" s="223">
        <v>80.563246814157083</v>
      </c>
      <c r="AV508" s="223">
        <v>87.599000000000004</v>
      </c>
      <c r="AW508" s="224">
        <v>87.292000000000002</v>
      </c>
      <c r="AX508" s="42"/>
      <c r="AY508" s="181"/>
      <c r="AZ508" s="197"/>
    </row>
    <row r="509" spans="12:52" ht="13" thickBot="1" x14ac:dyDescent="0.3">
      <c r="L509" s="55">
        <v>350</v>
      </c>
      <c r="M509" s="274">
        <f t="shared" si="95"/>
        <v>0</v>
      </c>
      <c r="N509" s="275">
        <f t="shared" si="95"/>
        <v>0</v>
      </c>
      <c r="O509" s="276" t="e">
        <f ca="1"/>
        <v>#N/A</v>
      </c>
      <c r="Q509" s="34">
        <v>0</v>
      </c>
      <c r="R509" s="24">
        <v>0</v>
      </c>
      <c r="S509" s="24">
        <v>0</v>
      </c>
      <c r="T509" s="24">
        <v>0</v>
      </c>
      <c r="U509" s="24">
        <f t="array" ref="U509">IF(U$77&gt;" ",(U$628:U$1078),"")</f>
        <v>0</v>
      </c>
      <c r="V509" s="24">
        <f t="array" ref="V509">IF(V$77&gt;" ",(V$628:V$1078),"")</f>
        <v>0</v>
      </c>
      <c r="W509" s="24">
        <f t="array" ref="W509">IF(W$77&gt;" ",(W$628:W$1078),"")</f>
        <v>0</v>
      </c>
      <c r="X509" s="24">
        <f t="array" ref="X509">IF(X$77&gt;" ",(X$628:X$1078),"")</f>
        <v>0</v>
      </c>
      <c r="Y509" s="21">
        <v>0</v>
      </c>
      <c r="Z509" s="34">
        <f t="shared" si="86"/>
        <v>0</v>
      </c>
      <c r="AA509" s="24">
        <f t="shared" si="87"/>
        <v>0</v>
      </c>
      <c r="AB509" s="24">
        <f t="shared" si="88"/>
        <v>0</v>
      </c>
      <c r="AC509" s="24">
        <f t="shared" si="89"/>
        <v>0</v>
      </c>
      <c r="AD509" s="24">
        <f t="shared" si="93"/>
        <v>0</v>
      </c>
      <c r="AE509" s="24">
        <f t="shared" si="93"/>
        <v>0</v>
      </c>
      <c r="AF509" s="24">
        <f t="shared" si="93"/>
        <v>0</v>
      </c>
      <c r="AG509" s="24">
        <f t="shared" si="93"/>
        <v>0</v>
      </c>
      <c r="AH509" s="24">
        <f t="shared" si="94"/>
        <v>0</v>
      </c>
      <c r="AI509" s="24">
        <f t="shared" si="90"/>
        <v>0</v>
      </c>
      <c r="AJ509" s="261">
        <f t="shared" si="91"/>
        <v>0</v>
      </c>
      <c r="AK509" s="13"/>
      <c r="AL509" s="100">
        <v>350</v>
      </c>
      <c r="AM509" s="202"/>
      <c r="AN509" s="200"/>
      <c r="AO509" s="200"/>
      <c r="AP509" s="283">
        <v>0.52639999999999998</v>
      </c>
      <c r="AR509" s="222">
        <v>78.842425170519661</v>
      </c>
      <c r="AS509" s="223">
        <v>79.490901367922291</v>
      </c>
      <c r="AT509" s="223">
        <v>77.090417665752938</v>
      </c>
      <c r="AU509" s="223">
        <v>78.237599008376364</v>
      </c>
      <c r="AV509" s="223">
        <v>87.971000000000004</v>
      </c>
      <c r="AW509" s="224">
        <v>87.454999999999998</v>
      </c>
      <c r="AX509" s="42"/>
      <c r="AY509" s="181"/>
      <c r="AZ509" s="197"/>
    </row>
    <row r="510" spans="12:52" ht="13" thickBot="1" x14ac:dyDescent="0.3">
      <c r="L510" s="55">
        <v>345</v>
      </c>
      <c r="M510" s="274">
        <f t="shared" si="95"/>
        <v>0</v>
      </c>
      <c r="N510" s="275">
        <f t="shared" si="95"/>
        <v>0</v>
      </c>
      <c r="O510" s="276" t="e">
        <f ca="1"/>
        <v>#N/A</v>
      </c>
      <c r="Q510" s="34">
        <v>0</v>
      </c>
      <c r="R510" s="24">
        <v>0</v>
      </c>
      <c r="S510" s="24">
        <v>0</v>
      </c>
      <c r="T510" s="24">
        <v>0</v>
      </c>
      <c r="U510" s="24">
        <f t="array" ref="U510">IF(U$77&gt;" ",(U$628:U$1078),"")</f>
        <v>0</v>
      </c>
      <c r="V510" s="24">
        <f t="array" ref="V510">IF(V$77&gt;" ",(V$628:V$1078),"")</f>
        <v>0</v>
      </c>
      <c r="W510" s="24">
        <f t="array" ref="W510">IF(W$77&gt;" ",(W$628:W$1078),"")</f>
        <v>0</v>
      </c>
      <c r="X510" s="24">
        <f t="array" ref="X510">IF(X$77&gt;" ",(X$628:X$1078),"")</f>
        <v>0</v>
      </c>
      <c r="Y510" s="21">
        <v>0</v>
      </c>
      <c r="Z510" s="34">
        <f t="shared" si="86"/>
        <v>0</v>
      </c>
      <c r="AA510" s="24">
        <f t="shared" si="87"/>
        <v>0</v>
      </c>
      <c r="AB510" s="24">
        <f t="shared" si="88"/>
        <v>0</v>
      </c>
      <c r="AC510" s="24">
        <f t="shared" si="89"/>
        <v>0</v>
      </c>
      <c r="AD510" s="24">
        <f t="shared" si="93"/>
        <v>0</v>
      </c>
      <c r="AE510" s="24">
        <f t="shared" si="93"/>
        <v>0</v>
      </c>
      <c r="AF510" s="24">
        <f t="shared" si="93"/>
        <v>0</v>
      </c>
      <c r="AG510" s="24">
        <f t="shared" si="93"/>
        <v>0</v>
      </c>
      <c r="AH510" s="24">
        <f t="shared" si="94"/>
        <v>0</v>
      </c>
      <c r="AI510" s="24">
        <f t="shared" si="90"/>
        <v>0</v>
      </c>
      <c r="AJ510" s="261">
        <f t="shared" si="91"/>
        <v>0</v>
      </c>
      <c r="AK510" s="13"/>
      <c r="AL510" s="100">
        <v>345</v>
      </c>
      <c r="AM510" s="202"/>
      <c r="AN510" s="200"/>
      <c r="AO510" s="200"/>
      <c r="AP510" s="284">
        <v>0.45760000000000001</v>
      </c>
      <c r="AR510" s="222">
        <v>74.975964295943044</v>
      </c>
      <c r="AS510" s="223">
        <v>75.558741869410241</v>
      </c>
      <c r="AT510" s="223">
        <v>72.385277263884589</v>
      </c>
      <c r="AU510" s="223">
        <v>73.500406911473888</v>
      </c>
      <c r="AV510" s="223">
        <v>84.874000000000009</v>
      </c>
      <c r="AW510" s="224">
        <v>87.645499999999998</v>
      </c>
      <c r="AX510" s="42"/>
      <c r="AY510" s="181"/>
      <c r="AZ510" s="197"/>
    </row>
    <row r="511" spans="12:52" ht="13" thickBot="1" x14ac:dyDescent="0.3">
      <c r="L511" s="55">
        <v>340</v>
      </c>
      <c r="M511" s="274">
        <f t="shared" ref="M511:N526" si="96">M1060</f>
        <v>0</v>
      </c>
      <c r="N511" s="275">
        <f t="shared" si="96"/>
        <v>0</v>
      </c>
      <c r="O511" s="276" t="e">
        <f ca="1"/>
        <v>#N/A</v>
      </c>
      <c r="Q511" s="34">
        <v>0</v>
      </c>
      <c r="R511" s="24">
        <v>0</v>
      </c>
      <c r="S511" s="24">
        <v>0</v>
      </c>
      <c r="T511" s="24">
        <v>0</v>
      </c>
      <c r="U511" s="24">
        <f t="array" ref="U511">IF(U$77&gt;" ",(U$628:U$1078),"")</f>
        <v>0</v>
      </c>
      <c r="V511" s="24">
        <f t="array" ref="V511">IF(V$77&gt;" ",(V$628:V$1078),"")</f>
        <v>0</v>
      </c>
      <c r="W511" s="24">
        <f t="array" ref="W511">IF(W$77&gt;" ",(W$628:W$1078),"")</f>
        <v>0</v>
      </c>
      <c r="X511" s="24">
        <f t="array" ref="X511">IF(X$77&gt;" ",(X$628:X$1078),"")</f>
        <v>0</v>
      </c>
      <c r="Y511" s="21">
        <v>0</v>
      </c>
      <c r="Z511" s="34">
        <f t="shared" si="86"/>
        <v>0</v>
      </c>
      <c r="AA511" s="24">
        <f t="shared" si="87"/>
        <v>0</v>
      </c>
      <c r="AB511" s="24">
        <f t="shared" si="88"/>
        <v>0</v>
      </c>
      <c r="AC511" s="24">
        <f t="shared" si="89"/>
        <v>0</v>
      </c>
      <c r="AD511" s="24">
        <f t="shared" si="93"/>
        <v>0</v>
      </c>
      <c r="AE511" s="24">
        <f t="shared" si="93"/>
        <v>0</v>
      </c>
      <c r="AF511" s="24">
        <f t="shared" si="93"/>
        <v>0</v>
      </c>
      <c r="AG511" s="24">
        <f t="shared" si="93"/>
        <v>0</v>
      </c>
      <c r="AH511" s="24">
        <f t="shared" si="94"/>
        <v>0</v>
      </c>
      <c r="AI511" s="24">
        <f t="shared" si="90"/>
        <v>0</v>
      </c>
      <c r="AJ511" s="261">
        <f t="shared" si="91"/>
        <v>0</v>
      </c>
      <c r="AK511" s="13"/>
      <c r="AL511" s="100">
        <v>340</v>
      </c>
      <c r="AM511" s="202"/>
      <c r="AN511" s="200"/>
      <c r="AO511" s="200"/>
      <c r="AP511" s="283">
        <v>0.50029999999999997</v>
      </c>
      <c r="AR511" s="222">
        <v>71.098827959880282</v>
      </c>
      <c r="AS511" s="223">
        <v>71.580333217003542</v>
      </c>
      <c r="AT511" s="223">
        <v>67.706073386368317</v>
      </c>
      <c r="AU511" s="223">
        <v>68.774438542773467</v>
      </c>
      <c r="AV511" s="223">
        <v>81.777000000000001</v>
      </c>
      <c r="AW511" s="224">
        <v>87.835999999999999</v>
      </c>
      <c r="AX511" s="42"/>
      <c r="AY511" s="181"/>
      <c r="AZ511" s="197"/>
    </row>
    <row r="512" spans="12:52" ht="13" thickBot="1" x14ac:dyDescent="0.3">
      <c r="L512" s="55">
        <v>335</v>
      </c>
      <c r="M512" s="274">
        <f t="shared" si="96"/>
        <v>0</v>
      </c>
      <c r="N512" s="275">
        <f t="shared" si="96"/>
        <v>0</v>
      </c>
      <c r="O512" s="276" t="e">
        <f ca="1"/>
        <v>#N/A</v>
      </c>
      <c r="Q512" s="34">
        <v>0</v>
      </c>
      <c r="R512" s="24">
        <v>0</v>
      </c>
      <c r="S512" s="24">
        <v>0</v>
      </c>
      <c r="T512" s="24">
        <v>0</v>
      </c>
      <c r="U512" s="24">
        <f t="array" ref="U512">IF(U$77&gt;" ",(U$628:U$1078),"")</f>
        <v>0</v>
      </c>
      <c r="V512" s="24">
        <f t="array" ref="V512">IF(V$77&gt;" ",(V$628:V$1078),"")</f>
        <v>0</v>
      </c>
      <c r="W512" s="24">
        <f t="array" ref="W512">IF(W$77&gt;" ",(W$628:W$1078),"")</f>
        <v>0</v>
      </c>
      <c r="X512" s="24">
        <f t="array" ref="X512">IF(X$77&gt;" ",(X$628:X$1078),"")</f>
        <v>0</v>
      </c>
      <c r="Y512" s="21">
        <v>0</v>
      </c>
      <c r="Z512" s="34">
        <f t="shared" si="86"/>
        <v>0</v>
      </c>
      <c r="AA512" s="24">
        <f t="shared" si="87"/>
        <v>0</v>
      </c>
      <c r="AB512" s="24">
        <f t="shared" si="88"/>
        <v>0</v>
      </c>
      <c r="AC512" s="24">
        <f t="shared" si="89"/>
        <v>0</v>
      </c>
      <c r="AD512" s="24">
        <f t="shared" si="93"/>
        <v>0</v>
      </c>
      <c r="AE512" s="24">
        <f t="shared" si="93"/>
        <v>0</v>
      </c>
      <c r="AF512" s="24">
        <f t="shared" si="93"/>
        <v>0</v>
      </c>
      <c r="AG512" s="24">
        <f t="shared" si="93"/>
        <v>0</v>
      </c>
      <c r="AH512" s="24">
        <f t="shared" si="94"/>
        <v>0</v>
      </c>
      <c r="AI512" s="24">
        <f t="shared" si="90"/>
        <v>0</v>
      </c>
      <c r="AJ512" s="261">
        <f t="shared" si="91"/>
        <v>0</v>
      </c>
      <c r="AK512" s="13"/>
      <c r="AL512" s="100">
        <v>335</v>
      </c>
      <c r="AM512" s="202"/>
      <c r="AN512" s="200"/>
      <c r="AO512" s="200"/>
      <c r="AP512" s="284">
        <v>0.46250000000000002</v>
      </c>
      <c r="AR512" s="222">
        <v>61.683212420955357</v>
      </c>
      <c r="AS512" s="223">
        <v>62.017621564637302</v>
      </c>
      <c r="AT512" s="223">
        <v>57.4031073006092</v>
      </c>
      <c r="AU512" s="223">
        <v>58.347733634261125</v>
      </c>
      <c r="AV512" s="223">
        <v>66.981999999999999</v>
      </c>
      <c r="AW512" s="224">
        <v>88.042500000000004</v>
      </c>
      <c r="AX512" s="42"/>
      <c r="AY512" s="181"/>
      <c r="AZ512" s="197"/>
    </row>
    <row r="513" spans="12:52" ht="13" thickBot="1" x14ac:dyDescent="0.3">
      <c r="L513" s="55">
        <v>330</v>
      </c>
      <c r="M513" s="274">
        <f t="shared" si="96"/>
        <v>0</v>
      </c>
      <c r="N513" s="275">
        <f t="shared" si="96"/>
        <v>0</v>
      </c>
      <c r="O513" s="276" t="e">
        <f ca="1"/>
        <v>#N/A</v>
      </c>
      <c r="Q513" s="34">
        <v>0</v>
      </c>
      <c r="R513" s="24">
        <v>0</v>
      </c>
      <c r="S513" s="24">
        <v>0</v>
      </c>
      <c r="T513" s="24">
        <v>0</v>
      </c>
      <c r="U513" s="24">
        <f t="array" ref="U513">IF(U$77&gt;" ",(U$628:U$1078),"")</f>
        <v>0</v>
      </c>
      <c r="V513" s="24">
        <f t="array" ref="V513">IF(V$77&gt;" ",(V$628:V$1078),"")</f>
        <v>0</v>
      </c>
      <c r="W513" s="24">
        <f t="array" ref="W513">IF(W$77&gt;" ",(W$628:W$1078),"")</f>
        <v>0</v>
      </c>
      <c r="X513" s="24">
        <f t="array" ref="X513">IF(X$77&gt;" ",(X$628:X$1078),"")</f>
        <v>0</v>
      </c>
      <c r="Y513" s="21">
        <v>0</v>
      </c>
      <c r="Z513" s="34">
        <f t="shared" si="86"/>
        <v>0</v>
      </c>
      <c r="AA513" s="24">
        <f t="shared" si="87"/>
        <v>0</v>
      </c>
      <c r="AB513" s="24">
        <f t="shared" si="88"/>
        <v>0</v>
      </c>
      <c r="AC513" s="24">
        <f t="shared" si="89"/>
        <v>0</v>
      </c>
      <c r="AD513" s="24">
        <f t="shared" si="93"/>
        <v>0</v>
      </c>
      <c r="AE513" s="24">
        <f t="shared" si="93"/>
        <v>0</v>
      </c>
      <c r="AF513" s="24">
        <f t="shared" si="93"/>
        <v>0</v>
      </c>
      <c r="AG513" s="24">
        <f t="shared" si="93"/>
        <v>0</v>
      </c>
      <c r="AH513" s="24">
        <f t="shared" si="94"/>
        <v>0</v>
      </c>
      <c r="AI513" s="24">
        <f t="shared" si="90"/>
        <v>0</v>
      </c>
      <c r="AJ513" s="261">
        <f t="shared" si="91"/>
        <v>0</v>
      </c>
      <c r="AK513" s="13"/>
      <c r="AL513" s="100">
        <v>330</v>
      </c>
      <c r="AM513" s="202"/>
      <c r="AN513" s="200"/>
      <c r="AO513" s="200"/>
      <c r="AP513" s="283">
        <v>0.47</v>
      </c>
      <c r="AR513" s="222">
        <v>51.80894064270413</v>
      </c>
      <c r="AS513" s="223">
        <v>51.905493145664273</v>
      </c>
      <c r="AT513" s="223">
        <v>46.955138911953746</v>
      </c>
      <c r="AU513" s="223">
        <v>47.854177783928399</v>
      </c>
      <c r="AV513" s="223">
        <v>52.186999999999998</v>
      </c>
      <c r="AW513" s="224">
        <v>88.248999999999995</v>
      </c>
      <c r="AX513" s="42"/>
      <c r="AY513" s="181"/>
      <c r="AZ513" s="197"/>
    </row>
    <row r="514" spans="12:52" ht="13" thickBot="1" x14ac:dyDescent="0.3">
      <c r="L514" s="55">
        <v>325</v>
      </c>
      <c r="M514" s="274">
        <f t="shared" si="96"/>
        <v>0</v>
      </c>
      <c r="N514" s="275">
        <f t="shared" si="96"/>
        <v>0</v>
      </c>
      <c r="O514" s="276" t="e">
        <f ca="1"/>
        <v>#N/A</v>
      </c>
      <c r="Q514" s="34">
        <v>0</v>
      </c>
      <c r="R514" s="24">
        <v>0</v>
      </c>
      <c r="S514" s="24">
        <v>0</v>
      </c>
      <c r="T514" s="24">
        <v>0</v>
      </c>
      <c r="U514" s="24">
        <f t="array" ref="U514">IF(U$77&gt;" ",(U$628:U$1078),"")</f>
        <v>0</v>
      </c>
      <c r="V514" s="24">
        <f t="array" ref="V514">IF(V$77&gt;" ",(V$628:V$1078),"")</f>
        <v>0</v>
      </c>
      <c r="W514" s="24">
        <f t="array" ref="W514">IF(W$77&gt;" ",(W$628:W$1078),"")</f>
        <v>0</v>
      </c>
      <c r="X514" s="24">
        <f t="array" ref="X514">IF(X$77&gt;" ",(X$628:X$1078),"")</f>
        <v>0</v>
      </c>
      <c r="Y514" s="21">
        <v>0</v>
      </c>
      <c r="Z514" s="34">
        <f t="shared" si="86"/>
        <v>0</v>
      </c>
      <c r="AA514" s="24">
        <f t="shared" si="87"/>
        <v>0</v>
      </c>
      <c r="AB514" s="24">
        <f t="shared" si="88"/>
        <v>0</v>
      </c>
      <c r="AC514" s="24">
        <f t="shared" si="89"/>
        <v>0</v>
      </c>
      <c r="AD514" s="24">
        <f t="shared" si="93"/>
        <v>0</v>
      </c>
      <c r="AE514" s="24">
        <f t="shared" si="93"/>
        <v>0</v>
      </c>
      <c r="AF514" s="24">
        <f t="shared" si="93"/>
        <v>0</v>
      </c>
      <c r="AG514" s="24">
        <f t="shared" si="93"/>
        <v>0</v>
      </c>
      <c r="AH514" s="24">
        <f t="shared" si="94"/>
        <v>0</v>
      </c>
      <c r="AI514" s="24">
        <f t="shared" si="90"/>
        <v>0</v>
      </c>
      <c r="AJ514" s="261">
        <f t="shared" si="91"/>
        <v>0</v>
      </c>
      <c r="AK514" s="13"/>
      <c r="AL514" s="100">
        <v>325</v>
      </c>
      <c r="AM514" s="202"/>
      <c r="AN514" s="200"/>
      <c r="AO514" s="200"/>
      <c r="AP514" s="284">
        <v>0.27810000000000001</v>
      </c>
      <c r="AR514" s="222">
        <v>32.340795625832975</v>
      </c>
      <c r="AS514" s="223">
        <v>32.200102453901415</v>
      </c>
      <c r="AT514" s="223">
        <v>29.131018769926509</v>
      </c>
      <c r="AU514" s="223">
        <v>29.923898782166447</v>
      </c>
      <c r="AV514" s="223">
        <v>27.965499999999999</v>
      </c>
      <c r="AW514" s="224">
        <v>88.479500000000002</v>
      </c>
      <c r="AX514" s="42"/>
      <c r="AY514" s="181"/>
      <c r="AZ514" s="197"/>
    </row>
    <row r="515" spans="12:52" ht="13" thickBot="1" x14ac:dyDescent="0.3">
      <c r="L515" s="55">
        <v>320</v>
      </c>
      <c r="M515" s="274">
        <f t="shared" si="96"/>
        <v>0</v>
      </c>
      <c r="N515" s="275">
        <f t="shared" si="96"/>
        <v>0</v>
      </c>
      <c r="O515" s="276" t="e">
        <f ca="1"/>
        <v>#N/A</v>
      </c>
      <c r="Q515" s="34">
        <v>0</v>
      </c>
      <c r="R515" s="24">
        <v>0</v>
      </c>
      <c r="S515" s="24">
        <v>0</v>
      </c>
      <c r="T515" s="24">
        <v>0</v>
      </c>
      <c r="U515" s="24">
        <f t="array" ref="U515">IF(U$77&gt;" ",(U$628:U$1078),"")</f>
        <v>0</v>
      </c>
      <c r="V515" s="24">
        <f t="array" ref="V515">IF(V$77&gt;" ",(V$628:V$1078),"")</f>
        <v>0</v>
      </c>
      <c r="W515" s="24">
        <f t="array" ref="W515">IF(W$77&gt;" ",(W$628:W$1078),"")</f>
        <v>0</v>
      </c>
      <c r="X515" s="24">
        <f t="array" ref="X515">IF(X$77&gt;" ",(X$628:X$1078),"")</f>
        <v>0</v>
      </c>
      <c r="Y515" s="21">
        <v>0</v>
      </c>
      <c r="Z515" s="34">
        <f t="shared" si="86"/>
        <v>0</v>
      </c>
      <c r="AA515" s="24">
        <f t="shared" si="87"/>
        <v>0</v>
      </c>
      <c r="AB515" s="24">
        <f t="shared" si="88"/>
        <v>0</v>
      </c>
      <c r="AC515" s="24">
        <f t="shared" si="89"/>
        <v>0</v>
      </c>
      <c r="AD515" s="24">
        <f t="shared" si="93"/>
        <v>0</v>
      </c>
      <c r="AE515" s="24">
        <f t="shared" si="93"/>
        <v>0</v>
      </c>
      <c r="AF515" s="24">
        <f t="shared" si="93"/>
        <v>0</v>
      </c>
      <c r="AG515" s="24">
        <f t="shared" si="93"/>
        <v>0</v>
      </c>
      <c r="AH515" s="24">
        <f t="shared" si="94"/>
        <v>0</v>
      </c>
      <c r="AI515" s="24">
        <f t="shared" si="90"/>
        <v>0</v>
      </c>
      <c r="AJ515" s="261">
        <f t="shared" si="91"/>
        <v>0</v>
      </c>
      <c r="AK515" s="13"/>
      <c r="AL515" s="100">
        <v>320</v>
      </c>
      <c r="AM515" s="202"/>
      <c r="AN515" s="200"/>
      <c r="AO515" s="200"/>
      <c r="AP515" s="283">
        <v>0.20469999999999999</v>
      </c>
      <c r="AR515" s="222">
        <v>14.197446584075621</v>
      </c>
      <c r="AS515" s="223">
        <v>14.098598648817719</v>
      </c>
      <c r="AT515" s="223">
        <v>11.653625842633593</v>
      </c>
      <c r="AU515" s="223">
        <v>12.010427298307393</v>
      </c>
      <c r="AV515" s="223">
        <v>3.7440000000000002</v>
      </c>
      <c r="AW515" s="224">
        <v>88.71</v>
      </c>
      <c r="AX515" s="42"/>
      <c r="AY515" s="181"/>
      <c r="AZ515" s="197"/>
    </row>
    <row r="516" spans="12:52" ht="13" thickBot="1" x14ac:dyDescent="0.3">
      <c r="L516" s="55">
        <v>315</v>
      </c>
      <c r="M516" s="274">
        <f t="shared" si="96"/>
        <v>0</v>
      </c>
      <c r="N516" s="275">
        <f t="shared" si="96"/>
        <v>0</v>
      </c>
      <c r="O516" s="276" t="e">
        <f ca="1"/>
        <v>#N/A</v>
      </c>
      <c r="Q516" s="34">
        <v>0</v>
      </c>
      <c r="R516" s="24">
        <v>0</v>
      </c>
      <c r="S516" s="24">
        <v>0</v>
      </c>
      <c r="T516" s="24">
        <v>0</v>
      </c>
      <c r="U516" s="24">
        <f t="array" ref="U516">IF(U$77&gt;" ",(U$628:U$1078),"")</f>
        <v>0</v>
      </c>
      <c r="V516" s="24">
        <f t="array" ref="V516">IF(V$77&gt;" ",(V$628:V$1078),"")</f>
        <v>0</v>
      </c>
      <c r="W516" s="24">
        <f t="array" ref="W516">IF(W$77&gt;" ",(W$628:W$1078),"")</f>
        <v>0</v>
      </c>
      <c r="X516" s="24">
        <f t="array" ref="X516">IF(X$77&gt;" ",(X$628:X$1078),"")</f>
        <v>0</v>
      </c>
      <c r="Y516" s="21">
        <v>0</v>
      </c>
      <c r="Z516" s="34">
        <f t="shared" si="86"/>
        <v>0</v>
      </c>
      <c r="AA516" s="24">
        <f t="shared" si="87"/>
        <v>0</v>
      </c>
      <c r="AB516" s="24">
        <f t="shared" si="88"/>
        <v>0</v>
      </c>
      <c r="AC516" s="24">
        <f t="shared" si="89"/>
        <v>0</v>
      </c>
      <c r="AD516" s="24">
        <f t="shared" si="93"/>
        <v>0</v>
      </c>
      <c r="AE516" s="24">
        <f t="shared" si="93"/>
        <v>0</v>
      </c>
      <c r="AF516" s="24">
        <f t="shared" si="93"/>
        <v>0</v>
      </c>
      <c r="AG516" s="24">
        <f t="shared" si="93"/>
        <v>0</v>
      </c>
      <c r="AH516" s="24">
        <f t="shared" si="94"/>
        <v>0</v>
      </c>
      <c r="AI516" s="24">
        <f t="shared" si="90"/>
        <v>0</v>
      </c>
      <c r="AJ516" s="261">
        <f t="shared" si="91"/>
        <v>0</v>
      </c>
      <c r="AK516" s="13"/>
      <c r="AL516" s="100">
        <v>315</v>
      </c>
      <c r="AM516" s="202"/>
      <c r="AN516" s="200"/>
      <c r="AO516" s="200"/>
      <c r="AP516" s="284">
        <v>0.13589999999999999</v>
      </c>
      <c r="AR516" s="222">
        <v>11.895917350273615</v>
      </c>
      <c r="AS516" s="223">
        <v>11.905141219719434</v>
      </c>
      <c r="AT516" s="223">
        <v>9.7323999522580831</v>
      </c>
      <c r="AU516" s="223">
        <v>9.6736059965368177</v>
      </c>
      <c r="AV516" s="223">
        <v>4.5394999999999994</v>
      </c>
      <c r="AW516" s="224">
        <v>88.960499999999996</v>
      </c>
      <c r="AX516" s="42"/>
      <c r="AY516" s="181"/>
      <c r="AZ516" s="197"/>
    </row>
    <row r="517" spans="12:52" ht="13" thickBot="1" x14ac:dyDescent="0.3">
      <c r="L517" s="55">
        <v>310</v>
      </c>
      <c r="M517" s="274">
        <f t="shared" si="96"/>
        <v>0</v>
      </c>
      <c r="N517" s="275">
        <f t="shared" si="96"/>
        <v>0</v>
      </c>
      <c r="O517" s="276" t="e">
        <f ca="1"/>
        <v>#N/A</v>
      </c>
      <c r="Q517" s="34">
        <v>0</v>
      </c>
      <c r="R517" s="24">
        <v>0</v>
      </c>
      <c r="S517" s="24">
        <v>0</v>
      </c>
      <c r="T517" s="24">
        <v>0</v>
      </c>
      <c r="U517" s="24">
        <f t="array" ref="U517">IF(U$77&gt;" ",(U$628:U$1078),"")</f>
        <v>0</v>
      </c>
      <c r="V517" s="24">
        <f t="array" ref="V517">IF(V$77&gt;" ",(V$628:V$1078),"")</f>
        <v>0</v>
      </c>
      <c r="W517" s="24">
        <f t="array" ref="W517">IF(W$77&gt;" ",(W$628:W$1078),"")</f>
        <v>0</v>
      </c>
      <c r="X517" s="24">
        <f t="array" ref="X517">IF(X$77&gt;" ",(X$628:X$1078),"")</f>
        <v>0</v>
      </c>
      <c r="Y517" s="21">
        <v>0</v>
      </c>
      <c r="Z517" s="34">
        <f t="shared" si="86"/>
        <v>0</v>
      </c>
      <c r="AA517" s="24">
        <f t="shared" si="87"/>
        <v>0</v>
      </c>
      <c r="AB517" s="24">
        <f t="shared" si="88"/>
        <v>0</v>
      </c>
      <c r="AC517" s="24">
        <f t="shared" si="89"/>
        <v>0</v>
      </c>
      <c r="AD517" s="24">
        <f t="shared" si="93"/>
        <v>0</v>
      </c>
      <c r="AE517" s="24">
        <f t="shared" si="93"/>
        <v>0</v>
      </c>
      <c r="AF517" s="24">
        <f t="shared" si="93"/>
        <v>0</v>
      </c>
      <c r="AG517" s="24">
        <f t="shared" si="93"/>
        <v>0</v>
      </c>
      <c r="AH517" s="24">
        <f t="shared" si="94"/>
        <v>0</v>
      </c>
      <c r="AI517" s="24">
        <f t="shared" si="90"/>
        <v>0</v>
      </c>
      <c r="AJ517" s="261">
        <f t="shared" si="91"/>
        <v>0</v>
      </c>
      <c r="AK517" s="13"/>
      <c r="AL517" s="100">
        <v>310</v>
      </c>
      <c r="AM517" s="202"/>
      <c r="AN517" s="200"/>
      <c r="AO517" s="200"/>
      <c r="AP517" s="283">
        <v>5.0790000000000002E-2</v>
      </c>
      <c r="AR517" s="222">
        <v>8.48286883473987</v>
      </c>
      <c r="AS517" s="223">
        <v>8.4438825926276895</v>
      </c>
      <c r="AT517" s="223">
        <v>7.4520817509675483</v>
      </c>
      <c r="AU517" s="223">
        <v>7.3395041933678558</v>
      </c>
      <c r="AV517" s="223">
        <v>5.335</v>
      </c>
      <c r="AW517" s="224">
        <v>89.210999999999999</v>
      </c>
      <c r="AX517" s="42"/>
      <c r="AY517" s="181"/>
      <c r="AZ517" s="197"/>
    </row>
    <row r="518" spans="12:52" ht="13" thickBot="1" x14ac:dyDescent="0.3">
      <c r="L518" s="55">
        <v>305</v>
      </c>
      <c r="M518" s="274">
        <f t="shared" si="96"/>
        <v>0</v>
      </c>
      <c r="N518" s="275">
        <f t="shared" si="96"/>
        <v>0</v>
      </c>
      <c r="O518" s="276" t="e">
        <f ca="1"/>
        <v>#N/A</v>
      </c>
      <c r="Q518" s="34">
        <v>0</v>
      </c>
      <c r="R518" s="24">
        <v>0</v>
      </c>
      <c r="S518" s="24">
        <v>0</v>
      </c>
      <c r="T518" s="24">
        <v>0</v>
      </c>
      <c r="U518" s="24">
        <f t="array" ref="U518">IF(U$77&gt;" ",(U$628:U$1078),"")</f>
        <v>0</v>
      </c>
      <c r="V518" s="24">
        <f t="array" ref="V518">IF(V$77&gt;" ",(V$628:V$1078),"")</f>
        <v>0</v>
      </c>
      <c r="W518" s="24">
        <f t="array" ref="W518">IF(W$77&gt;" ",(W$628:W$1078),"")</f>
        <v>0</v>
      </c>
      <c r="X518" s="24">
        <f t="array" ref="X518">IF(X$77&gt;" ",(X$628:X$1078),"")</f>
        <v>0</v>
      </c>
      <c r="Y518" s="21">
        <v>0</v>
      </c>
      <c r="Z518" s="34">
        <f t="shared" si="86"/>
        <v>0</v>
      </c>
      <c r="AA518" s="24">
        <f t="shared" si="87"/>
        <v>0</v>
      </c>
      <c r="AB518" s="24">
        <f t="shared" si="88"/>
        <v>0</v>
      </c>
      <c r="AC518" s="24">
        <f t="shared" si="89"/>
        <v>0</v>
      </c>
      <c r="AD518" s="24">
        <f t="shared" si="93"/>
        <v>0</v>
      </c>
      <c r="AE518" s="24">
        <f t="shared" si="93"/>
        <v>0</v>
      </c>
      <c r="AF518" s="24">
        <f t="shared" si="93"/>
        <v>0</v>
      </c>
      <c r="AG518" s="24">
        <f t="shared" si="93"/>
        <v>0</v>
      </c>
      <c r="AH518" s="24">
        <f t="shared" si="94"/>
        <v>0</v>
      </c>
      <c r="AI518" s="24">
        <f t="shared" si="90"/>
        <v>0</v>
      </c>
      <c r="AJ518" s="261">
        <f t="shared" si="91"/>
        <v>0</v>
      </c>
      <c r="AK518" s="13"/>
      <c r="AL518" s="100">
        <v>305</v>
      </c>
      <c r="AM518" s="202"/>
      <c r="AN518" s="200"/>
      <c r="AO518" s="200"/>
      <c r="AP518" s="284">
        <v>1.6420000000000001E-2</v>
      </c>
      <c r="AR518" s="222">
        <v>8.9965674128960558</v>
      </c>
      <c r="AS518" s="223">
        <v>8.8863214797687871</v>
      </c>
      <c r="AT518" s="223">
        <v>7.2238047074392675</v>
      </c>
      <c r="AU518" s="223">
        <v>7.2208579260799697</v>
      </c>
      <c r="AV518" s="223">
        <v>6.3060000000000009</v>
      </c>
      <c r="AW518" s="224">
        <v>89.463499999999996</v>
      </c>
      <c r="AX518" s="42"/>
      <c r="AY518" s="181"/>
      <c r="AZ518" s="197"/>
    </row>
    <row r="519" spans="12:52" ht="13" thickBot="1" x14ac:dyDescent="0.3">
      <c r="L519" s="55">
        <v>300</v>
      </c>
      <c r="M519" s="274">
        <f t="shared" si="96"/>
        <v>0</v>
      </c>
      <c r="N519" s="275">
        <f t="shared" si="96"/>
        <v>0</v>
      </c>
      <c r="O519" s="276" t="e">
        <f ca="1"/>
        <v>#N/A</v>
      </c>
      <c r="Q519" s="34">
        <v>0</v>
      </c>
      <c r="R519" s="24">
        <v>0</v>
      </c>
      <c r="S519" s="24">
        <v>0</v>
      </c>
      <c r="T519" s="24">
        <v>0</v>
      </c>
      <c r="U519" s="24">
        <f t="array" ref="U519">IF(U$77&gt;" ",(U$628:U$1078),"")</f>
        <v>0</v>
      </c>
      <c r="V519" s="24">
        <f t="array" ref="V519">IF(V$77&gt;" ",(V$628:V$1078),"")</f>
        <v>0</v>
      </c>
      <c r="W519" s="24">
        <f t="array" ref="W519">IF(W$77&gt;" ",(W$628:W$1078),"")</f>
        <v>0</v>
      </c>
      <c r="X519" s="24">
        <f t="array" ref="X519">IF(X$77&gt;" ",(X$628:X$1078),"")</f>
        <v>0</v>
      </c>
      <c r="Y519" s="21">
        <v>0</v>
      </c>
      <c r="Z519" s="34">
        <f t="shared" si="86"/>
        <v>0</v>
      </c>
      <c r="AA519" s="24">
        <f t="shared" si="87"/>
        <v>0</v>
      </c>
      <c r="AB519" s="24">
        <f t="shared" si="88"/>
        <v>0</v>
      </c>
      <c r="AC519" s="24">
        <f t="shared" si="89"/>
        <v>0</v>
      </c>
      <c r="AD519" s="24">
        <f t="shared" si="93"/>
        <v>0</v>
      </c>
      <c r="AE519" s="24">
        <f t="shared" si="93"/>
        <v>0</v>
      </c>
      <c r="AF519" s="24">
        <f t="shared" si="93"/>
        <v>0</v>
      </c>
      <c r="AG519" s="24">
        <f t="shared" si="93"/>
        <v>0</v>
      </c>
      <c r="AH519" s="24">
        <f t="shared" si="94"/>
        <v>0</v>
      </c>
      <c r="AI519" s="24">
        <f t="shared" si="90"/>
        <v>0</v>
      </c>
      <c r="AJ519" s="261">
        <f t="shared" si="91"/>
        <v>0</v>
      </c>
      <c r="AK519" s="13"/>
      <c r="AL519" s="100">
        <v>300</v>
      </c>
      <c r="AM519" s="202"/>
      <c r="AN519" s="200"/>
      <c r="AO519" s="200"/>
      <c r="AP519" s="283">
        <v>1.018E-3</v>
      </c>
      <c r="AR519" s="222">
        <v>9.6943747306200354</v>
      </c>
      <c r="AS519" s="223">
        <v>9.5564520262399597</v>
      </c>
      <c r="AT519" s="223">
        <v>7.0270990052552564</v>
      </c>
      <c r="AU519" s="223">
        <v>7.0480905593093111</v>
      </c>
      <c r="AV519" s="223">
        <v>7.2770000000000001</v>
      </c>
      <c r="AW519" s="224">
        <v>89.715999999999994</v>
      </c>
      <c r="AX519" s="42"/>
      <c r="AY519" s="181"/>
      <c r="AZ519" s="197"/>
    </row>
    <row r="520" spans="12:52" ht="13" thickBot="1" x14ac:dyDescent="0.3">
      <c r="L520" s="55">
        <v>295</v>
      </c>
      <c r="M520" s="274">
        <f t="shared" si="96"/>
        <v>0</v>
      </c>
      <c r="N520" s="275">
        <f t="shared" si="96"/>
        <v>0</v>
      </c>
      <c r="O520" s="276" t="e">
        <f ca="1"/>
        <v>#N/A</v>
      </c>
      <c r="Q520" s="34">
        <v>0</v>
      </c>
      <c r="R520" s="24">
        <v>0</v>
      </c>
      <c r="S520" s="24">
        <v>0</v>
      </c>
      <c r="T520" s="24">
        <v>0</v>
      </c>
      <c r="U520" s="24">
        <f t="array" ref="U520">IF(U$77&gt;" ",(U$628:U$1078),"")</f>
        <v>0</v>
      </c>
      <c r="V520" s="24">
        <f t="array" ref="V520">IF(V$77&gt;" ",(V$628:V$1078),"")</f>
        <v>0</v>
      </c>
      <c r="W520" s="24">
        <f t="array" ref="W520">IF(W$77&gt;" ",(W$628:W$1078),"")</f>
        <v>0</v>
      </c>
      <c r="X520" s="24">
        <f t="array" ref="X520">IF(X$77&gt;" ",(X$628:X$1078),"")</f>
        <v>0</v>
      </c>
      <c r="Y520" s="21">
        <v>0</v>
      </c>
      <c r="Z520" s="34">
        <f t="shared" si="86"/>
        <v>0</v>
      </c>
      <c r="AA520" s="24">
        <f t="shared" si="87"/>
        <v>0</v>
      </c>
      <c r="AB520" s="24">
        <f t="shared" si="88"/>
        <v>0</v>
      </c>
      <c r="AC520" s="24">
        <f t="shared" si="89"/>
        <v>0</v>
      </c>
      <c r="AD520" s="24">
        <f t="shared" si="93"/>
        <v>0</v>
      </c>
      <c r="AE520" s="24">
        <f t="shared" si="93"/>
        <v>0</v>
      </c>
      <c r="AF520" s="24">
        <f t="shared" si="93"/>
        <v>0</v>
      </c>
      <c r="AG520" s="24">
        <f t="shared" si="93"/>
        <v>0</v>
      </c>
      <c r="AH520" s="24">
        <f t="shared" si="94"/>
        <v>0</v>
      </c>
      <c r="AI520" s="24">
        <f t="shared" si="90"/>
        <v>0</v>
      </c>
      <c r="AJ520" s="261">
        <f t="shared" si="91"/>
        <v>0</v>
      </c>
      <c r="AK520" s="13"/>
      <c r="AL520" s="100">
        <v>295</v>
      </c>
      <c r="AM520" s="86"/>
      <c r="AN520" s="86"/>
      <c r="AO520" s="88"/>
      <c r="AP520" s="284">
        <v>1.225E-5</v>
      </c>
      <c r="AR520" s="222">
        <v>9.4112179739484958</v>
      </c>
      <c r="AS520" s="223">
        <v>9.2750973850751492</v>
      </c>
      <c r="AT520" s="223">
        <v>6.5981242435872831</v>
      </c>
      <c r="AU520" s="223">
        <v>6.6130275442973199</v>
      </c>
      <c r="AV520" s="223">
        <v>5.9545000000000003</v>
      </c>
      <c r="AW520" s="224">
        <v>89.972499999999997</v>
      </c>
      <c r="AX520" s="42"/>
      <c r="AY520" s="181"/>
      <c r="AZ520" s="197"/>
    </row>
    <row r="521" spans="12:52" ht="13" thickBot="1" x14ac:dyDescent="0.3">
      <c r="L521" s="55">
        <v>290</v>
      </c>
      <c r="M521" s="274">
        <f t="shared" si="96"/>
        <v>0</v>
      </c>
      <c r="N521" s="275">
        <f t="shared" si="96"/>
        <v>0</v>
      </c>
      <c r="O521" s="276" t="e">
        <f ca="1"/>
        <v>#N/A</v>
      </c>
      <c r="Q521" s="34">
        <v>0</v>
      </c>
      <c r="R521" s="24">
        <v>0</v>
      </c>
      <c r="S521" s="24">
        <v>0</v>
      </c>
      <c r="T521" s="24">
        <v>0</v>
      </c>
      <c r="U521" s="24">
        <f t="array" ref="U521">IF(U$77&gt;" ",(U$628:U$1078),"")</f>
        <v>0</v>
      </c>
      <c r="V521" s="24">
        <f t="array" ref="V521">IF(V$77&gt;" ",(V$628:V$1078),"")</f>
        <v>0</v>
      </c>
      <c r="W521" s="24">
        <f t="array" ref="W521">IF(W$77&gt;" ",(W$628:W$1078),"")</f>
        <v>0</v>
      </c>
      <c r="X521" s="24">
        <f t="array" ref="X521">IF(X$77&gt;" ",(X$628:X$1078),"")</f>
        <v>0</v>
      </c>
      <c r="Y521" s="21">
        <v>0</v>
      </c>
      <c r="Z521" s="34">
        <f t="shared" si="86"/>
        <v>0</v>
      </c>
      <c r="AA521" s="24">
        <f t="shared" si="87"/>
        <v>0</v>
      </c>
      <c r="AB521" s="24">
        <f t="shared" si="88"/>
        <v>0</v>
      </c>
      <c r="AC521" s="24">
        <f t="shared" si="89"/>
        <v>0</v>
      </c>
      <c r="AD521" s="24">
        <f t="shared" si="93"/>
        <v>0</v>
      </c>
      <c r="AE521" s="24">
        <f t="shared" si="93"/>
        <v>0</v>
      </c>
      <c r="AF521" s="24">
        <f t="shared" si="93"/>
        <v>0</v>
      </c>
      <c r="AG521" s="24">
        <f t="shared" si="93"/>
        <v>0</v>
      </c>
      <c r="AH521" s="24">
        <f t="shared" si="94"/>
        <v>0</v>
      </c>
      <c r="AI521" s="24">
        <f t="shared" si="90"/>
        <v>0</v>
      </c>
      <c r="AJ521" s="261">
        <f t="shared" si="91"/>
        <v>0</v>
      </c>
      <c r="AK521" s="13"/>
      <c r="AL521" s="100">
        <v>290</v>
      </c>
      <c r="AM521" s="86"/>
      <c r="AN521" s="86"/>
      <c r="AO521" s="88"/>
      <c r="AP521" s="283">
        <v>5.9989999999999997E-9</v>
      </c>
      <c r="AR521" s="222">
        <v>9.1672227298050153</v>
      </c>
      <c r="AS521" s="223">
        <v>9.0029684642243542</v>
      </c>
      <c r="AT521" s="223">
        <v>6.1470807646671055</v>
      </c>
      <c r="AU521" s="223">
        <v>6.161409624258404</v>
      </c>
      <c r="AV521" s="223">
        <v>4.6319999999999997</v>
      </c>
      <c r="AW521" s="224">
        <v>90.228999999999999</v>
      </c>
      <c r="AX521" s="42"/>
      <c r="AY521" s="181"/>
      <c r="AZ521" s="197"/>
    </row>
    <row r="522" spans="12:52" ht="13" thickBot="1" x14ac:dyDescent="0.3">
      <c r="L522" s="55">
        <v>285</v>
      </c>
      <c r="M522" s="274">
        <f t="shared" si="96"/>
        <v>0</v>
      </c>
      <c r="N522" s="275">
        <f t="shared" si="96"/>
        <v>0</v>
      </c>
      <c r="O522" s="276" t="e">
        <f ca="1"/>
        <v>#N/A</v>
      </c>
      <c r="Q522" s="34">
        <v>0</v>
      </c>
      <c r="R522" s="24">
        <v>0</v>
      </c>
      <c r="S522" s="24">
        <v>0</v>
      </c>
      <c r="T522" s="24">
        <v>0</v>
      </c>
      <c r="U522" s="24">
        <f t="array" ref="U522">IF(U$77&gt;" ",(U$628:U$1078),"")</f>
        <v>0</v>
      </c>
      <c r="V522" s="24">
        <f t="array" ref="V522">IF(V$77&gt;" ",(V$628:V$1078),"")</f>
        <v>0</v>
      </c>
      <c r="W522" s="24">
        <f t="array" ref="W522">IF(W$77&gt;" ",(W$628:W$1078),"")</f>
        <v>0</v>
      </c>
      <c r="X522" s="24">
        <f t="array" ref="X522">IF(X$77&gt;" ",(X$628:X$1078),"")</f>
        <v>0</v>
      </c>
      <c r="Y522" s="21">
        <v>0</v>
      </c>
      <c r="Z522" s="34">
        <f t="shared" si="86"/>
        <v>0</v>
      </c>
      <c r="AA522" s="24">
        <f t="shared" si="87"/>
        <v>0</v>
      </c>
      <c r="AB522" s="24">
        <f t="shared" si="88"/>
        <v>0</v>
      </c>
      <c r="AC522" s="24">
        <f t="shared" si="89"/>
        <v>0</v>
      </c>
      <c r="AD522" s="24">
        <f t="shared" si="93"/>
        <v>0</v>
      </c>
      <c r="AE522" s="24">
        <f t="shared" si="93"/>
        <v>0</v>
      </c>
      <c r="AF522" s="24">
        <f t="shared" si="93"/>
        <v>0</v>
      </c>
      <c r="AG522" s="24">
        <f t="shared" si="93"/>
        <v>0</v>
      </c>
      <c r="AH522" s="24">
        <f t="shared" si="94"/>
        <v>0</v>
      </c>
      <c r="AI522" s="24">
        <f t="shared" si="90"/>
        <v>0</v>
      </c>
      <c r="AJ522" s="261">
        <f t="shared" si="91"/>
        <v>0</v>
      </c>
      <c r="AK522" s="13"/>
      <c r="AL522" s="100">
        <v>285</v>
      </c>
      <c r="AM522" s="86"/>
      <c r="AN522" s="86"/>
      <c r="AO522" s="88"/>
      <c r="AP522" s="284">
        <v>7.9910000000000007E-15</v>
      </c>
      <c r="AR522" s="222">
        <v>8.372424242424243</v>
      </c>
      <c r="AS522" s="223">
        <v>8.2080514800003979</v>
      </c>
      <c r="AT522" s="223">
        <v>6.0165276464390516</v>
      </c>
      <c r="AU522" s="223">
        <v>6.0353617090288481</v>
      </c>
      <c r="AV522" s="223">
        <v>3.3719999999999999</v>
      </c>
      <c r="AW522" s="224">
        <v>90.500499999999988</v>
      </c>
      <c r="AX522" s="42"/>
      <c r="AY522" s="181"/>
      <c r="AZ522" s="197"/>
    </row>
    <row r="523" spans="12:52" ht="13" thickBot="1" x14ac:dyDescent="0.3">
      <c r="L523" s="55">
        <v>280</v>
      </c>
      <c r="M523" s="274">
        <f t="shared" si="96"/>
        <v>0</v>
      </c>
      <c r="N523" s="275">
        <f t="shared" si="96"/>
        <v>0</v>
      </c>
      <c r="O523" s="276" t="e">
        <f ca="1"/>
        <v>#N/A</v>
      </c>
      <c r="Q523" s="34">
        <v>0</v>
      </c>
      <c r="R523" s="24">
        <v>0</v>
      </c>
      <c r="S523" s="24">
        <v>0</v>
      </c>
      <c r="T523" s="24">
        <v>0</v>
      </c>
      <c r="U523" s="24">
        <f t="array" ref="U523">IF(U$77&gt;" ",(U$628:U$1078),"")</f>
        <v>0</v>
      </c>
      <c r="V523" s="24">
        <f t="array" ref="V523">IF(V$77&gt;" ",(V$628:V$1078),"")</f>
        <v>0</v>
      </c>
      <c r="W523" s="24">
        <f t="array" ref="W523">IF(W$77&gt;" ",(W$628:W$1078),"")</f>
        <v>0</v>
      </c>
      <c r="X523" s="24">
        <f t="array" ref="X523">IF(X$77&gt;" ",(X$628:X$1078),"")</f>
        <v>0</v>
      </c>
      <c r="Y523" s="21">
        <v>0</v>
      </c>
      <c r="Z523" s="34">
        <f t="shared" si="86"/>
        <v>0</v>
      </c>
      <c r="AA523" s="24">
        <f t="shared" si="87"/>
        <v>0</v>
      </c>
      <c r="AB523" s="24">
        <f t="shared" si="88"/>
        <v>0</v>
      </c>
      <c r="AC523" s="24">
        <f t="shared" si="89"/>
        <v>0</v>
      </c>
      <c r="AD523" s="24">
        <f t="shared" si="93"/>
        <v>0</v>
      </c>
      <c r="AE523" s="24">
        <f t="shared" si="93"/>
        <v>0</v>
      </c>
      <c r="AF523" s="24">
        <f t="shared" si="93"/>
        <v>0</v>
      </c>
      <c r="AG523" s="24">
        <f t="shared" si="93"/>
        <v>0</v>
      </c>
      <c r="AH523" s="24">
        <f t="shared" si="94"/>
        <v>0</v>
      </c>
      <c r="AI523" s="24">
        <f t="shared" si="90"/>
        <v>0</v>
      </c>
      <c r="AJ523" s="261">
        <f t="shared" si="91"/>
        <v>0</v>
      </c>
      <c r="AK523" s="13"/>
      <c r="AL523" s="100">
        <v>280</v>
      </c>
      <c r="AM523" s="86"/>
      <c r="AN523" s="86"/>
      <c r="AO523" s="88"/>
      <c r="AP523" s="283">
        <v>4.7170000000000002E-23</v>
      </c>
      <c r="AR523" s="222">
        <v>7.5320741940906544</v>
      </c>
      <c r="AS523" s="223">
        <v>7.3978575200145364</v>
      </c>
      <c r="AT523" s="223">
        <v>5.9157294492215913</v>
      </c>
      <c r="AU523" s="223">
        <v>5.9273313904418101</v>
      </c>
      <c r="AV523" s="223">
        <v>2.1120000000000001</v>
      </c>
      <c r="AW523" s="224">
        <v>90.771999999999991</v>
      </c>
      <c r="AX523" s="42"/>
      <c r="AY523" s="181"/>
      <c r="AZ523" s="197"/>
    </row>
    <row r="524" spans="12:52" x14ac:dyDescent="0.25">
      <c r="L524" s="55">
        <v>275</v>
      </c>
      <c r="M524" s="274">
        <f t="shared" si="96"/>
        <v>0</v>
      </c>
      <c r="N524" s="275">
        <f t="shared" si="96"/>
        <v>0</v>
      </c>
      <c r="O524" s="276" t="e">
        <f ca="1"/>
        <v>#N/A</v>
      </c>
      <c r="Q524" s="34">
        <v>0</v>
      </c>
      <c r="R524" s="24">
        <v>0</v>
      </c>
      <c r="S524" s="24">
        <v>0</v>
      </c>
      <c r="T524" s="24">
        <v>0</v>
      </c>
      <c r="U524" s="24">
        <f t="array" ref="U524">IF(U$77&gt;" ",(U$628:U$1078),"")</f>
        <v>0</v>
      </c>
      <c r="V524" s="24">
        <f t="array" ref="V524">IF(V$77&gt;" ",(V$628:V$1078),"")</f>
        <v>0</v>
      </c>
      <c r="W524" s="24">
        <f t="array" ref="W524">IF(W$77&gt;" ",(W$628:W$1078),"")</f>
        <v>0</v>
      </c>
      <c r="X524" s="24">
        <f t="array" ref="X524">IF(X$77&gt;" ",(X$628:X$1078),"")</f>
        <v>0</v>
      </c>
      <c r="Y524" s="21">
        <v>0</v>
      </c>
      <c r="Z524" s="34">
        <f t="shared" si="86"/>
        <v>0</v>
      </c>
      <c r="AA524" s="24">
        <f t="shared" si="87"/>
        <v>0</v>
      </c>
      <c r="AB524" s="24">
        <f t="shared" si="88"/>
        <v>0</v>
      </c>
      <c r="AC524" s="24">
        <f t="shared" si="89"/>
        <v>0</v>
      </c>
      <c r="AD524" s="24">
        <f t="shared" si="93"/>
        <v>0</v>
      </c>
      <c r="AE524" s="24">
        <f t="shared" si="93"/>
        <v>0</v>
      </c>
      <c r="AF524" s="24">
        <f t="shared" si="93"/>
        <v>0</v>
      </c>
      <c r="AG524" s="24">
        <f t="shared" si="93"/>
        <v>0</v>
      </c>
      <c r="AH524" s="24">
        <f t="shared" si="94"/>
        <v>0</v>
      </c>
      <c r="AI524" s="24">
        <f t="shared" si="90"/>
        <v>0</v>
      </c>
      <c r="AJ524" s="261">
        <f t="shared" si="91"/>
        <v>0</v>
      </c>
      <c r="AK524" s="13"/>
      <c r="AL524" s="100">
        <v>275</v>
      </c>
      <c r="AM524" s="86"/>
      <c r="AN524" s="86"/>
      <c r="AO524" s="84"/>
      <c r="AP524" s="85"/>
      <c r="AR524" s="222">
        <v>6.9814919843464329</v>
      </c>
      <c r="AS524" s="223">
        <v>6.8651081394080906</v>
      </c>
      <c r="AT524" s="223">
        <v>6.0330204315078122</v>
      </c>
      <c r="AU524" s="223">
        <v>6.0381082465155558</v>
      </c>
      <c r="AV524" s="223">
        <v>3.5564999999999998</v>
      </c>
      <c r="AW524" s="224">
        <v>91.018000000000001</v>
      </c>
      <c r="AX524" s="42"/>
      <c r="AY524" s="181"/>
      <c r="AZ524" s="197"/>
    </row>
    <row r="525" spans="12:52" x14ac:dyDescent="0.25">
      <c r="L525" s="55">
        <v>270</v>
      </c>
      <c r="M525" s="274">
        <f t="shared" si="96"/>
        <v>0</v>
      </c>
      <c r="N525" s="275">
        <f t="shared" si="96"/>
        <v>0</v>
      </c>
      <c r="O525" s="276" t="e">
        <f ca="1"/>
        <v>#N/A</v>
      </c>
      <c r="Q525" s="34">
        <v>0</v>
      </c>
      <c r="R525" s="24">
        <v>0</v>
      </c>
      <c r="S525" s="24">
        <v>0</v>
      </c>
      <c r="T525" s="24">
        <v>0</v>
      </c>
      <c r="U525" s="24">
        <f t="array" ref="U525">IF(U$77&gt;" ",(U$628:U$1078),"")</f>
        <v>0</v>
      </c>
      <c r="V525" s="24">
        <f t="array" ref="V525">IF(V$77&gt;" ",(V$628:V$1078),"")</f>
        <v>0</v>
      </c>
      <c r="W525" s="24">
        <f t="array" ref="W525">IF(W$77&gt;" ",(W$628:W$1078),"")</f>
        <v>0</v>
      </c>
      <c r="X525" s="24">
        <f t="array" ref="X525">IF(X$77&gt;" ",(X$628:X$1078),"")</f>
        <v>0</v>
      </c>
      <c r="Y525" s="21">
        <v>0</v>
      </c>
      <c r="Z525" s="34">
        <f t="shared" si="86"/>
        <v>0</v>
      </c>
      <c r="AA525" s="24">
        <f t="shared" si="87"/>
        <v>0</v>
      </c>
      <c r="AB525" s="24">
        <f t="shared" si="88"/>
        <v>0</v>
      </c>
      <c r="AC525" s="24">
        <f t="shared" si="89"/>
        <v>0</v>
      </c>
      <c r="AD525" s="24">
        <f t="shared" si="93"/>
        <v>0</v>
      </c>
      <c r="AE525" s="24">
        <f t="shared" si="93"/>
        <v>0</v>
      </c>
      <c r="AF525" s="24">
        <f t="shared" si="93"/>
        <v>0</v>
      </c>
      <c r="AG525" s="24">
        <f t="shared" si="93"/>
        <v>0</v>
      </c>
      <c r="AH525" s="24">
        <f t="shared" si="94"/>
        <v>0</v>
      </c>
      <c r="AI525" s="24">
        <f t="shared" si="90"/>
        <v>0</v>
      </c>
      <c r="AJ525" s="261">
        <f t="shared" si="91"/>
        <v>0</v>
      </c>
      <c r="AK525" s="13"/>
      <c r="AL525" s="100">
        <v>270</v>
      </c>
      <c r="AM525" s="86"/>
      <c r="AN525" s="86"/>
      <c r="AO525" s="84"/>
      <c r="AP525" s="85"/>
      <c r="AR525" s="222">
        <v>6.3964766063269911</v>
      </c>
      <c r="AS525" s="223">
        <v>6.311908556815041</v>
      </c>
      <c r="AT525" s="223">
        <v>6.1520854860350154</v>
      </c>
      <c r="AU525" s="223">
        <v>6.1584842231649146</v>
      </c>
      <c r="AV525" s="223">
        <v>5.0009999999999994</v>
      </c>
      <c r="AW525" s="224">
        <v>91.263999999999996</v>
      </c>
      <c r="AX525" s="42"/>
      <c r="AY525" s="181"/>
      <c r="AZ525" s="197"/>
    </row>
    <row r="526" spans="12:52" x14ac:dyDescent="0.25">
      <c r="L526" s="55">
        <v>265</v>
      </c>
      <c r="M526" s="274">
        <f t="shared" si="96"/>
        <v>0</v>
      </c>
      <c r="N526" s="275">
        <f t="shared" si="96"/>
        <v>0</v>
      </c>
      <c r="O526" s="276" t="e">
        <f ca="1"/>
        <v>#N/A</v>
      </c>
      <c r="Q526" s="34">
        <v>0</v>
      </c>
      <c r="R526" s="24">
        <v>0</v>
      </c>
      <c r="S526" s="24">
        <v>0</v>
      </c>
      <c r="T526" s="24">
        <v>0</v>
      </c>
      <c r="U526" s="24">
        <f t="array" ref="U526">IF(U$77&gt;" ",(U$628:U$1078),"")</f>
        <v>0</v>
      </c>
      <c r="V526" s="24">
        <f t="array" ref="V526">IF(V$77&gt;" ",(V$628:V$1078),"")</f>
        <v>0</v>
      </c>
      <c r="W526" s="24">
        <f t="array" ref="W526">IF(W$77&gt;" ",(W$628:W$1078),"")</f>
        <v>0</v>
      </c>
      <c r="X526" s="24">
        <f t="array" ref="X526">IF(X$77&gt;" ",(X$628:X$1078),"")</f>
        <v>0</v>
      </c>
      <c r="Y526" s="21">
        <v>0</v>
      </c>
      <c r="Z526" s="34">
        <f t="shared" si="86"/>
        <v>0</v>
      </c>
      <c r="AA526" s="24">
        <f t="shared" si="87"/>
        <v>0</v>
      </c>
      <c r="AB526" s="24">
        <f t="shared" si="88"/>
        <v>0</v>
      </c>
      <c r="AC526" s="24">
        <f t="shared" si="89"/>
        <v>0</v>
      </c>
      <c r="AD526" s="24">
        <f t="shared" si="93"/>
        <v>0</v>
      </c>
      <c r="AE526" s="24">
        <f t="shared" si="93"/>
        <v>0</v>
      </c>
      <c r="AF526" s="24">
        <f t="shared" si="93"/>
        <v>0</v>
      </c>
      <c r="AG526" s="24">
        <f t="shared" si="93"/>
        <v>0</v>
      </c>
      <c r="AH526" s="24">
        <f t="shared" si="94"/>
        <v>0</v>
      </c>
      <c r="AI526" s="24">
        <f t="shared" si="90"/>
        <v>0</v>
      </c>
      <c r="AJ526" s="261">
        <f t="shared" si="91"/>
        <v>0</v>
      </c>
      <c r="AK526" s="13"/>
      <c r="AL526" s="100">
        <v>265</v>
      </c>
      <c r="AM526" s="86"/>
      <c r="AN526" s="86"/>
      <c r="AO526" s="84"/>
      <c r="AP526" s="85"/>
      <c r="AR526" s="222">
        <v>6.2180445125694446</v>
      </c>
      <c r="AS526" s="223">
        <v>6.1657761965578066</v>
      </c>
      <c r="AT526" s="223">
        <v>6.330967634810321</v>
      </c>
      <c r="AU526" s="223">
        <v>6.3405604252868955</v>
      </c>
      <c r="AV526" s="223">
        <v>9.2814999999999994</v>
      </c>
      <c r="AW526" s="224">
        <v>91.503999999999991</v>
      </c>
      <c r="AX526" s="42"/>
      <c r="AY526" s="181"/>
      <c r="AZ526" s="197"/>
    </row>
    <row r="527" spans="12:52" x14ac:dyDescent="0.25">
      <c r="L527" s="55">
        <v>260</v>
      </c>
      <c r="M527" s="274">
        <f t="shared" ref="M527:N529" si="97">M1076</f>
        <v>0</v>
      </c>
      <c r="N527" s="275">
        <f t="shared" si="97"/>
        <v>0</v>
      </c>
      <c r="O527" s="276" t="e">
        <f ca="1"/>
        <v>#N/A</v>
      </c>
      <c r="Q527" s="34">
        <v>0</v>
      </c>
      <c r="R527" s="24">
        <v>0</v>
      </c>
      <c r="S527" s="24">
        <v>0</v>
      </c>
      <c r="T527" s="24">
        <v>0</v>
      </c>
      <c r="U527" s="24">
        <f t="array" ref="U527">IF(U$77&gt;" ",(U$628:U$1078),"")</f>
        <v>0</v>
      </c>
      <c r="V527" s="24">
        <f t="array" ref="V527">IF(V$77&gt;" ",(V$628:V$1078),"")</f>
        <v>0</v>
      </c>
      <c r="W527" s="24">
        <f t="array" ref="W527">IF(W$77&gt;" ",(W$628:W$1078),"")</f>
        <v>0</v>
      </c>
      <c r="X527" s="24">
        <f t="array" ref="X527">IF(X$77&gt;" ",(X$628:X$1078),"")</f>
        <v>0</v>
      </c>
      <c r="Y527" s="21">
        <v>0</v>
      </c>
      <c r="Z527" s="34">
        <f t="shared" si="86"/>
        <v>0</v>
      </c>
      <c r="AA527" s="24">
        <f t="shared" si="87"/>
        <v>0</v>
      </c>
      <c r="AB527" s="24">
        <f t="shared" si="88"/>
        <v>0</v>
      </c>
      <c r="AC527" s="24">
        <f t="shared" si="89"/>
        <v>0</v>
      </c>
      <c r="AD527" s="24">
        <f t="shared" si="93"/>
        <v>0</v>
      </c>
      <c r="AE527" s="24">
        <f t="shared" si="93"/>
        <v>0</v>
      </c>
      <c r="AF527" s="24">
        <f t="shared" si="93"/>
        <v>0</v>
      </c>
      <c r="AG527" s="24">
        <f t="shared" si="93"/>
        <v>0</v>
      </c>
      <c r="AH527" s="24">
        <f t="shared" si="94"/>
        <v>0</v>
      </c>
      <c r="AI527" s="24">
        <f t="shared" si="90"/>
        <v>0</v>
      </c>
      <c r="AJ527" s="261">
        <f t="shared" si="91"/>
        <v>0</v>
      </c>
      <c r="AK527" s="13"/>
      <c r="AL527" s="100">
        <v>260</v>
      </c>
      <c r="AM527" s="86"/>
      <c r="AN527" s="86"/>
      <c r="AO527" s="84"/>
      <c r="AP527" s="85"/>
      <c r="AR527" s="222">
        <v>6.0545689769554345</v>
      </c>
      <c r="AS527" s="223">
        <v>6.0315075059353056</v>
      </c>
      <c r="AT527" s="223">
        <v>6.5080828081985054</v>
      </c>
      <c r="AU527" s="223">
        <v>6.5251731801677373</v>
      </c>
      <c r="AV527" s="223">
        <v>13.561999999999999</v>
      </c>
      <c r="AW527" s="224">
        <v>91.744</v>
      </c>
      <c r="AX527" s="42"/>
      <c r="AY527" s="181"/>
      <c r="AZ527" s="197"/>
    </row>
    <row r="528" spans="12:52" x14ac:dyDescent="0.25">
      <c r="L528" s="55">
        <v>255</v>
      </c>
      <c r="M528" s="274">
        <f t="shared" si="97"/>
        <v>0</v>
      </c>
      <c r="N528" s="275">
        <f t="shared" si="97"/>
        <v>0</v>
      </c>
      <c r="O528" s="276" t="e">
        <f ca="1"/>
        <v>#N/A</v>
      </c>
      <c r="Q528" s="34">
        <v>0</v>
      </c>
      <c r="R528" s="24">
        <v>0</v>
      </c>
      <c r="S528" s="24">
        <v>0</v>
      </c>
      <c r="T528" s="24">
        <v>0</v>
      </c>
      <c r="U528" s="24">
        <f t="array" ref="U528">IF(U$77&gt;" ",(U$628:U$1078),"")</f>
        <v>0</v>
      </c>
      <c r="V528" s="24">
        <f t="array" ref="V528">IF(V$77&gt;" ",(V$628:V$1078),"")</f>
        <v>0</v>
      </c>
      <c r="W528" s="24">
        <f t="array" ref="W528">IF(W$77&gt;" ",(W$628:W$1078),"")</f>
        <v>0</v>
      </c>
      <c r="X528" s="24">
        <f t="array" ref="X528">IF(X$77&gt;" ",(X$628:X$1078),"")</f>
        <v>0</v>
      </c>
      <c r="Y528" s="21">
        <v>0</v>
      </c>
      <c r="Z528" s="34">
        <f t="shared" si="86"/>
        <v>0</v>
      </c>
      <c r="AA528" s="24">
        <f t="shared" si="87"/>
        <v>0</v>
      </c>
      <c r="AB528" s="24">
        <f t="shared" si="88"/>
        <v>0</v>
      </c>
      <c r="AC528" s="24">
        <f t="shared" si="89"/>
        <v>0</v>
      </c>
      <c r="AD528" s="24">
        <f t="shared" si="93"/>
        <v>0</v>
      </c>
      <c r="AE528" s="24">
        <f t="shared" si="93"/>
        <v>0</v>
      </c>
      <c r="AF528" s="24">
        <f t="shared" si="93"/>
        <v>0</v>
      </c>
      <c r="AG528" s="24">
        <f t="shared" si="93"/>
        <v>0</v>
      </c>
      <c r="AH528" s="24">
        <f t="shared" si="94"/>
        <v>0</v>
      </c>
      <c r="AI528" s="24">
        <f>AVERAGE(Z528:AH528)</f>
        <v>0</v>
      </c>
      <c r="AJ528" s="261">
        <f>AI528/100</f>
        <v>0</v>
      </c>
      <c r="AK528" s="13"/>
      <c r="AL528" s="100">
        <v>255</v>
      </c>
      <c r="AM528" s="86"/>
      <c r="AN528" s="86"/>
      <c r="AO528" s="84"/>
      <c r="AP528" s="85"/>
      <c r="AR528" s="222">
        <v>6.1093222155508853</v>
      </c>
      <c r="AS528" s="223">
        <v>6.1072278328074461</v>
      </c>
      <c r="AT528" s="223">
        <v>6.6949450870279668</v>
      </c>
      <c r="AU528" s="223">
        <v>6.7135180836298076</v>
      </c>
      <c r="AV528" s="223">
        <v>19.125</v>
      </c>
      <c r="AW528" s="224">
        <v>91.911000000000001</v>
      </c>
      <c r="AX528" s="42"/>
      <c r="AY528" s="181"/>
      <c r="AZ528" s="197"/>
    </row>
    <row r="529" spans="12:52" ht="13" thickBot="1" x14ac:dyDescent="0.3">
      <c r="L529" s="56">
        <v>250</v>
      </c>
      <c r="M529" s="280">
        <f t="shared" si="97"/>
        <v>0</v>
      </c>
      <c r="N529" s="281">
        <f t="shared" si="97"/>
        <v>0</v>
      </c>
      <c r="O529" s="282" t="e">
        <f ca="1"/>
        <v>#N/A</v>
      </c>
      <c r="P529" s="13"/>
      <c r="Q529" s="35">
        <v>0</v>
      </c>
      <c r="R529" s="25">
        <v>0</v>
      </c>
      <c r="S529" s="25">
        <v>0</v>
      </c>
      <c r="T529" s="25">
        <v>0</v>
      </c>
      <c r="U529" s="24">
        <f t="array" ref="U529">IF(U$77&gt;" ",(U$628:U$1078),"")</f>
        <v>0</v>
      </c>
      <c r="V529" s="24">
        <f t="array" ref="V529">IF(V$77&gt;" ",(V$628:V$1078),"")</f>
        <v>0</v>
      </c>
      <c r="W529" s="24">
        <f t="array" ref="W529">IF(W$77&gt;" ",(W$628:W$1078),"")</f>
        <v>0</v>
      </c>
      <c r="X529" s="24">
        <f t="array" ref="X529">IF(X$77&gt;" ",(X$628:X$1078),"")</f>
        <v>0</v>
      </c>
      <c r="Y529" s="22">
        <v>0</v>
      </c>
      <c r="Z529" s="35">
        <f t="shared" si="86"/>
        <v>0</v>
      </c>
      <c r="AA529" s="25">
        <f t="shared" si="87"/>
        <v>0</v>
      </c>
      <c r="AB529" s="25">
        <f t="shared" si="88"/>
        <v>0</v>
      </c>
      <c r="AC529" s="25">
        <f t="shared" si="89"/>
        <v>0</v>
      </c>
      <c r="AD529" s="24">
        <f t="shared" si="93"/>
        <v>0</v>
      </c>
      <c r="AE529" s="24">
        <f t="shared" si="93"/>
        <v>0</v>
      </c>
      <c r="AF529" s="24">
        <f t="shared" si="93"/>
        <v>0</v>
      </c>
      <c r="AG529" s="24">
        <f t="shared" si="93"/>
        <v>0</v>
      </c>
      <c r="AH529" s="25">
        <f t="shared" si="94"/>
        <v>0</v>
      </c>
      <c r="AI529" s="25">
        <f>AVERAGE(Z529:AH529)</f>
        <v>0</v>
      </c>
      <c r="AJ529" s="262">
        <f>AI529/100</f>
        <v>0</v>
      </c>
      <c r="AK529" s="13"/>
      <c r="AL529" s="109">
        <v>250</v>
      </c>
      <c r="AM529" s="110"/>
      <c r="AN529" s="110"/>
      <c r="AO529" s="90"/>
      <c r="AP529" s="91"/>
      <c r="AQ529" s="13"/>
      <c r="AR529" s="228">
        <v>6.1631345469616967</v>
      </c>
      <c r="AS529" s="229">
        <v>6.2003268049356777</v>
      </c>
      <c r="AT529" s="229">
        <v>6.8150511632873716</v>
      </c>
      <c r="AU529" s="229">
        <v>6.8333167371891568</v>
      </c>
      <c r="AV529" s="229">
        <v>24.687999999999999</v>
      </c>
      <c r="AW529" s="230">
        <v>92.078000000000003</v>
      </c>
      <c r="AX529" s="183"/>
      <c r="AY529" s="207"/>
      <c r="AZ529" s="197"/>
    </row>
    <row r="530" spans="12:52" x14ac:dyDescent="0.25">
      <c r="L530" s="42"/>
      <c r="M530" s="111"/>
      <c r="O530" s="112"/>
      <c r="P530" s="42"/>
      <c r="R530" s="13"/>
      <c r="S530" s="13"/>
      <c r="T530" s="13"/>
      <c r="U530" s="13"/>
      <c r="V530" s="13"/>
      <c r="W530" s="13"/>
      <c r="X530" s="13"/>
      <c r="Y530" s="13"/>
      <c r="Z530" s="111"/>
      <c r="AA530" s="111"/>
      <c r="AB530" s="111"/>
      <c r="AC530" s="111"/>
      <c r="AD530" s="111"/>
      <c r="AE530" s="111"/>
      <c r="AF530" s="111"/>
      <c r="AG530" s="111"/>
      <c r="AH530" s="111"/>
      <c r="AI530" s="111"/>
      <c r="AJ530" s="42"/>
      <c r="AK530" s="42"/>
      <c r="AL530" s="80"/>
      <c r="AM530" s="80"/>
      <c r="AN530" s="113"/>
      <c r="AO530" s="113"/>
      <c r="AP530" s="113"/>
      <c r="AQ530" s="42"/>
      <c r="AR530" s="223"/>
      <c r="AS530" s="223"/>
      <c r="AT530" s="220"/>
      <c r="AU530" s="220"/>
      <c r="AV530" s="208"/>
      <c r="AW530" s="220"/>
      <c r="AX530" s="42"/>
      <c r="AY530" s="42"/>
      <c r="AZ530" s="42"/>
    </row>
    <row r="531" spans="12:52" x14ac:dyDescent="0.25"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P531">
        <f>SUM(Sol_G173b)</f>
        <v>198.29968190328083</v>
      </c>
      <c r="AX531" s="42"/>
      <c r="AY531" s="42"/>
      <c r="AZ531" s="42"/>
    </row>
    <row r="532" spans="12:52" x14ac:dyDescent="0.25"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X532" s="42"/>
      <c r="AY532" s="42"/>
      <c r="AZ532" s="42"/>
    </row>
    <row r="533" spans="12:52" x14ac:dyDescent="0.25"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X533" s="42"/>
      <c r="AY533" s="42"/>
      <c r="AZ533" s="42"/>
    </row>
    <row r="534" spans="12:52" x14ac:dyDescent="0.25"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X534" s="42"/>
      <c r="AY534" s="42"/>
      <c r="AZ534" s="42"/>
    </row>
    <row r="535" spans="12:52" x14ac:dyDescent="0.25"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X535" s="42"/>
      <c r="AY535" s="42"/>
      <c r="AZ535" s="42"/>
    </row>
    <row r="536" spans="12:52" ht="13" thickBot="1" x14ac:dyDescent="0.3"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X536" s="42"/>
      <c r="AY536" s="42"/>
      <c r="AZ536" s="42"/>
    </row>
    <row r="537" spans="12:52" ht="13" x14ac:dyDescent="0.3">
      <c r="M537" s="4" t="s">
        <v>14</v>
      </c>
      <c r="N537" s="4" t="s">
        <v>15</v>
      </c>
      <c r="Q537" s="46" t="s">
        <v>58</v>
      </c>
      <c r="R537" s="47"/>
      <c r="S537" s="47"/>
      <c r="T537" s="47"/>
      <c r="U537" s="61"/>
      <c r="V537" s="61"/>
      <c r="W537" s="61"/>
      <c r="X537" s="61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X537" s="42"/>
      <c r="AY537" s="42"/>
      <c r="AZ537" s="42"/>
    </row>
    <row r="538" spans="12:52" ht="13.5" thickBot="1" x14ac:dyDescent="0.35">
      <c r="M538" s="1" t="s">
        <v>14</v>
      </c>
      <c r="N538" s="1" t="s">
        <v>15</v>
      </c>
      <c r="Q538" s="45" t="str">
        <f>Mesn1</f>
        <v>M1</v>
      </c>
      <c r="R538" s="61" t="str">
        <f>Mesn2</f>
        <v>M2</v>
      </c>
      <c r="S538" s="61" t="s">
        <v>167</v>
      </c>
      <c r="T538" s="61" t="s">
        <v>170</v>
      </c>
      <c r="U538" s="61" t="s">
        <v>171</v>
      </c>
      <c r="V538" s="61" t="s">
        <v>172</v>
      </c>
      <c r="W538" s="61" t="s">
        <v>173</v>
      </c>
      <c r="X538" s="61" t="s">
        <v>174</v>
      </c>
      <c r="Y538" s="108" t="s">
        <v>175</v>
      </c>
      <c r="AX538" s="42"/>
      <c r="AY538" s="42"/>
      <c r="AZ538" s="42"/>
    </row>
    <row r="539" spans="12:52" ht="13" x14ac:dyDescent="0.3">
      <c r="M539" s="68" t="s">
        <v>68</v>
      </c>
      <c r="N539" s="68" t="s">
        <v>69</v>
      </c>
      <c r="O539" s="65"/>
      <c r="P539" s="64"/>
      <c r="Q539" s="67" t="s">
        <v>70</v>
      </c>
      <c r="R539" s="64" t="s">
        <v>71</v>
      </c>
      <c r="S539" s="64" t="s">
        <v>71</v>
      </c>
      <c r="T539" s="64" t="s">
        <v>71</v>
      </c>
      <c r="U539" s="64"/>
      <c r="V539" s="64"/>
      <c r="W539" s="64"/>
      <c r="X539" s="64"/>
      <c r="Y539" s="48"/>
      <c r="AX539" s="42"/>
      <c r="AY539" s="42"/>
      <c r="AZ539" s="42"/>
    </row>
    <row r="540" spans="12:52" ht="13" x14ac:dyDescent="0.3">
      <c r="M540" s="4" t="s">
        <v>17</v>
      </c>
      <c r="N540" s="4" t="s">
        <v>17</v>
      </c>
      <c r="P540" s="13"/>
      <c r="Q540" s="114" t="s">
        <v>17</v>
      </c>
      <c r="R540" s="15" t="s">
        <v>17</v>
      </c>
      <c r="S540" s="15" t="s">
        <v>17</v>
      </c>
      <c r="T540" s="15" t="s">
        <v>17</v>
      </c>
      <c r="U540" s="15"/>
      <c r="V540" s="15"/>
      <c r="W540" s="15"/>
      <c r="X540" s="15"/>
      <c r="Y540" s="61" t="e">
        <v>#REF!</v>
      </c>
      <c r="AX540" s="42"/>
      <c r="AY540" s="42"/>
      <c r="AZ540" s="42"/>
    </row>
    <row r="541" spans="12:52" x14ac:dyDescent="0.25">
      <c r="L541" t="s">
        <v>27</v>
      </c>
      <c r="M541" s="4">
        <v>-1</v>
      </c>
      <c r="N541" s="4">
        <v>-1</v>
      </c>
      <c r="P541" s="13"/>
      <c r="Q541" s="114">
        <v>-1</v>
      </c>
      <c r="R541" s="15">
        <v>-1</v>
      </c>
      <c r="S541" s="15">
        <v>-1</v>
      </c>
      <c r="T541" s="15">
        <v>-1</v>
      </c>
      <c r="U541" s="15"/>
      <c r="V541" s="15"/>
      <c r="W541" s="15"/>
      <c r="X541" s="15"/>
      <c r="Y541" s="66"/>
      <c r="AX541" s="42"/>
      <c r="AY541" s="42"/>
      <c r="AZ541" s="42"/>
    </row>
    <row r="542" spans="12:52" x14ac:dyDescent="0.25">
      <c r="M542" s="4" t="s">
        <v>72</v>
      </c>
      <c r="N542" s="4" t="s">
        <v>73</v>
      </c>
      <c r="P542" s="13"/>
      <c r="Q542" s="114" t="s">
        <v>74</v>
      </c>
      <c r="R542" s="15" t="s">
        <v>75</v>
      </c>
      <c r="S542" s="15" t="s">
        <v>75</v>
      </c>
      <c r="T542" s="15" t="s">
        <v>75</v>
      </c>
      <c r="U542" s="15"/>
      <c r="V542" s="15"/>
      <c r="W542" s="15"/>
      <c r="X542" s="15"/>
      <c r="Y542" s="115"/>
      <c r="AX542" s="42"/>
      <c r="AY542" s="42"/>
      <c r="AZ542" s="42"/>
    </row>
    <row r="543" spans="12:52" x14ac:dyDescent="0.25">
      <c r="M543" s="69">
        <v>37478</v>
      </c>
      <c r="N543" s="69">
        <v>37478</v>
      </c>
      <c r="P543" s="13"/>
      <c r="Q543" s="114">
        <v>37478</v>
      </c>
      <c r="R543" s="15">
        <v>37478</v>
      </c>
      <c r="S543" s="15">
        <v>37478</v>
      </c>
      <c r="T543" s="15">
        <v>37478</v>
      </c>
      <c r="U543" s="15"/>
      <c r="V543" s="15"/>
      <c r="W543" s="15"/>
      <c r="X543" s="15"/>
      <c r="Y543" s="115"/>
      <c r="AX543" s="42"/>
      <c r="AY543" s="42"/>
      <c r="AZ543" s="42"/>
    </row>
    <row r="544" spans="12:52" x14ac:dyDescent="0.25">
      <c r="M544" s="4" t="s">
        <v>76</v>
      </c>
      <c r="N544" s="4" t="s">
        <v>77</v>
      </c>
      <c r="P544" s="13"/>
      <c r="Q544" s="114" t="s">
        <v>78</v>
      </c>
      <c r="R544" s="15" t="s">
        <v>79</v>
      </c>
      <c r="S544" s="15" t="s">
        <v>79</v>
      </c>
      <c r="T544" s="15" t="s">
        <v>79</v>
      </c>
      <c r="U544" s="15"/>
      <c r="V544" s="15"/>
      <c r="W544" s="15"/>
      <c r="X544" s="15"/>
      <c r="Y544" s="115"/>
      <c r="AX544" s="42"/>
      <c r="AY544" s="42"/>
      <c r="AZ544" s="42"/>
    </row>
    <row r="545" spans="13:52" x14ac:dyDescent="0.25">
      <c r="M545" s="69">
        <v>37478</v>
      </c>
      <c r="N545" s="69">
        <v>37478</v>
      </c>
      <c r="P545" s="13"/>
      <c r="Q545" s="114">
        <v>37478</v>
      </c>
      <c r="R545" s="15">
        <v>37478</v>
      </c>
      <c r="S545" s="15">
        <v>37478</v>
      </c>
      <c r="T545" s="15">
        <v>37478</v>
      </c>
      <c r="U545" s="15"/>
      <c r="V545" s="15"/>
      <c r="W545" s="15"/>
      <c r="X545" s="15"/>
      <c r="Y545" s="115"/>
      <c r="AX545" s="42"/>
      <c r="AY545" s="42"/>
      <c r="AZ545" s="42"/>
    </row>
    <row r="546" spans="13:52" x14ac:dyDescent="0.25">
      <c r="M546" s="4" t="s">
        <v>76</v>
      </c>
      <c r="N546" s="4" t="s">
        <v>77</v>
      </c>
      <c r="P546" s="13"/>
      <c r="Q546" s="114" t="s">
        <v>78</v>
      </c>
      <c r="R546" s="15" t="s">
        <v>79</v>
      </c>
      <c r="S546" s="15" t="s">
        <v>79</v>
      </c>
      <c r="T546" s="15" t="s">
        <v>79</v>
      </c>
      <c r="U546" s="15"/>
      <c r="V546" s="15"/>
      <c r="W546" s="15"/>
      <c r="X546" s="15"/>
      <c r="Y546" s="115"/>
      <c r="AX546" s="42"/>
      <c r="AY546" s="42"/>
      <c r="AZ546" s="42"/>
    </row>
    <row r="547" spans="13:52" x14ac:dyDescent="0.25">
      <c r="M547" s="4" t="s">
        <v>18</v>
      </c>
      <c r="N547" s="4" t="s">
        <v>18</v>
      </c>
      <c r="P547" s="13"/>
      <c r="Q547" s="114" t="s">
        <v>18</v>
      </c>
      <c r="R547" s="15" t="s">
        <v>18</v>
      </c>
      <c r="S547" s="15" t="s">
        <v>18</v>
      </c>
      <c r="T547" s="15" t="s">
        <v>18</v>
      </c>
      <c r="U547" s="15"/>
      <c r="V547" s="15"/>
      <c r="W547" s="15"/>
      <c r="X547" s="15"/>
      <c r="Y547" s="115"/>
      <c r="AX547" s="42"/>
      <c r="AY547" s="42"/>
      <c r="AZ547" s="42"/>
    </row>
    <row r="548" spans="13:52" x14ac:dyDescent="0.25">
      <c r="M548" s="4"/>
      <c r="N548" s="4"/>
      <c r="P548" s="13"/>
      <c r="Q548" s="114"/>
      <c r="R548" s="15"/>
      <c r="S548" s="15"/>
      <c r="T548" s="15"/>
      <c r="U548" s="15"/>
      <c r="V548" s="15"/>
      <c r="W548" s="15"/>
      <c r="X548" s="15"/>
      <c r="Y548" s="115"/>
      <c r="AX548" s="42"/>
      <c r="AY548" s="42"/>
      <c r="AZ548" s="42"/>
    </row>
    <row r="549" spans="13:52" x14ac:dyDescent="0.25">
      <c r="M549" s="4">
        <v>250</v>
      </c>
      <c r="N549" s="4">
        <v>250</v>
      </c>
      <c r="P549" s="13"/>
      <c r="Q549" s="114">
        <v>250</v>
      </c>
      <c r="R549" s="15">
        <v>250</v>
      </c>
      <c r="S549" s="15">
        <v>250</v>
      </c>
      <c r="T549" s="15">
        <v>250</v>
      </c>
      <c r="U549" s="15"/>
      <c r="V549" s="15"/>
      <c r="W549" s="15"/>
      <c r="X549" s="15"/>
      <c r="Y549" s="115"/>
      <c r="AX549" s="42"/>
      <c r="AY549" s="42"/>
      <c r="AZ549" s="42"/>
    </row>
    <row r="550" spans="13:52" x14ac:dyDescent="0.25">
      <c r="M550" s="4">
        <v>1</v>
      </c>
      <c r="N550" s="4">
        <v>1</v>
      </c>
      <c r="P550" s="13"/>
      <c r="Q550" s="114">
        <v>1</v>
      </c>
      <c r="R550" s="15">
        <v>1</v>
      </c>
      <c r="S550" s="15">
        <v>1</v>
      </c>
      <c r="T550" s="15">
        <v>1</v>
      </c>
      <c r="U550" s="15"/>
      <c r="V550" s="15"/>
      <c r="W550" s="15"/>
      <c r="X550" s="15"/>
      <c r="Y550" s="115"/>
      <c r="AX550" s="42"/>
      <c r="AY550" s="42"/>
      <c r="AZ550" s="42"/>
    </row>
    <row r="551" spans="13:52" x14ac:dyDescent="0.25">
      <c r="M551" s="4" t="s">
        <v>19</v>
      </c>
      <c r="N551" s="4" t="s">
        <v>19</v>
      </c>
      <c r="P551" s="13"/>
      <c r="Q551" s="114" t="s">
        <v>19</v>
      </c>
      <c r="R551" s="15" t="s">
        <v>19</v>
      </c>
      <c r="S551" s="15" t="s">
        <v>19</v>
      </c>
      <c r="T551" s="15" t="s">
        <v>19</v>
      </c>
      <c r="U551" s="15"/>
      <c r="V551" s="15"/>
      <c r="W551" s="15"/>
      <c r="X551" s="15"/>
      <c r="Y551" s="115"/>
      <c r="AX551" s="42"/>
      <c r="AY551" s="42"/>
      <c r="AZ551" s="42"/>
    </row>
    <row r="552" spans="13:52" x14ac:dyDescent="0.25">
      <c r="M552" s="4" t="s">
        <v>20</v>
      </c>
      <c r="N552" s="4" t="s">
        <v>20</v>
      </c>
      <c r="P552" s="13"/>
      <c r="Q552" s="114" t="s">
        <v>20</v>
      </c>
      <c r="R552" s="15" t="s">
        <v>20</v>
      </c>
      <c r="S552" s="15" t="s">
        <v>20</v>
      </c>
      <c r="T552" s="15" t="s">
        <v>20</v>
      </c>
      <c r="U552" s="15"/>
      <c r="V552" s="15"/>
      <c r="W552" s="15"/>
      <c r="X552" s="15"/>
      <c r="Y552" s="115"/>
      <c r="AX552" s="42"/>
      <c r="AY552" s="42"/>
      <c r="AZ552" s="42"/>
    </row>
    <row r="553" spans="13:52" x14ac:dyDescent="0.25">
      <c r="M553" s="4" t="s">
        <v>21</v>
      </c>
      <c r="N553" s="4" t="s">
        <v>21</v>
      </c>
      <c r="P553" s="13"/>
      <c r="Q553" s="114" t="s">
        <v>21</v>
      </c>
      <c r="R553" s="15" t="s">
        <v>21</v>
      </c>
      <c r="S553" s="15" t="s">
        <v>21</v>
      </c>
      <c r="T553" s="15" t="s">
        <v>21</v>
      </c>
      <c r="U553" s="15"/>
      <c r="V553" s="15"/>
      <c r="W553" s="15"/>
      <c r="X553" s="15"/>
      <c r="Y553" s="115"/>
      <c r="AX553" s="42"/>
      <c r="AY553" s="42"/>
      <c r="AZ553" s="42"/>
    </row>
    <row r="554" spans="13:52" x14ac:dyDescent="0.25">
      <c r="M554" s="4"/>
      <c r="N554" s="4"/>
      <c r="P554" s="13"/>
      <c r="Q554" s="114"/>
      <c r="R554" s="15"/>
      <c r="S554" s="15"/>
      <c r="T554" s="15"/>
      <c r="U554" s="15"/>
      <c r="V554" s="15"/>
      <c r="W554" s="15"/>
      <c r="X554" s="15"/>
      <c r="Y554" s="115"/>
      <c r="AX554" s="42"/>
      <c r="AY554" s="42"/>
      <c r="AZ554" s="42"/>
    </row>
    <row r="555" spans="13:52" x14ac:dyDescent="0.25">
      <c r="M555" s="4">
        <v>0</v>
      </c>
      <c r="N555" s="4">
        <v>0</v>
      </c>
      <c r="P555" s="13"/>
      <c r="Q555" s="114">
        <v>0</v>
      </c>
      <c r="R555" s="15">
        <v>0</v>
      </c>
      <c r="S555" s="15">
        <v>0</v>
      </c>
      <c r="T555" s="15">
        <v>0</v>
      </c>
      <c r="U555" s="15"/>
      <c r="V555" s="15"/>
      <c r="W555" s="15"/>
      <c r="X555" s="15"/>
      <c r="Y555" s="115"/>
      <c r="AX555" s="42"/>
      <c r="AY555" s="42"/>
      <c r="AZ555" s="42"/>
    </row>
    <row r="556" spans="13:52" x14ac:dyDescent="0.25">
      <c r="M556" s="4">
        <v>0</v>
      </c>
      <c r="N556" s="4">
        <v>0</v>
      </c>
      <c r="P556" s="13"/>
      <c r="Q556" s="114">
        <v>0</v>
      </c>
      <c r="R556" s="15">
        <v>0</v>
      </c>
      <c r="S556" s="15">
        <v>0</v>
      </c>
      <c r="T556" s="15">
        <v>0</v>
      </c>
      <c r="U556" s="15"/>
      <c r="V556" s="15"/>
      <c r="W556" s="15"/>
      <c r="X556" s="15"/>
      <c r="Y556" s="115"/>
      <c r="AX556" s="42"/>
      <c r="AY556" s="42"/>
      <c r="AZ556" s="42"/>
    </row>
    <row r="557" spans="13:52" x14ac:dyDescent="0.25">
      <c r="M557" s="4" t="s">
        <v>22</v>
      </c>
      <c r="N557" s="4" t="s">
        <v>22</v>
      </c>
      <c r="P557" s="13"/>
      <c r="Q557" s="114" t="s">
        <v>22</v>
      </c>
      <c r="R557" s="15" t="s">
        <v>22</v>
      </c>
      <c r="S557" s="15" t="s">
        <v>22</v>
      </c>
      <c r="T557" s="15" t="s">
        <v>22</v>
      </c>
      <c r="U557" s="15"/>
      <c r="V557" s="15"/>
      <c r="W557" s="15"/>
      <c r="X557" s="15"/>
      <c r="Y557" s="115"/>
      <c r="AX557" s="42"/>
      <c r="AY557" s="42"/>
      <c r="AZ557" s="42"/>
    </row>
    <row r="558" spans="13:52" x14ac:dyDescent="0.25">
      <c r="M558" s="4">
        <v>0</v>
      </c>
      <c r="N558" s="4">
        <v>0</v>
      </c>
      <c r="P558" s="13"/>
      <c r="Q558" s="114">
        <v>0</v>
      </c>
      <c r="R558" s="15">
        <v>0</v>
      </c>
      <c r="S558" s="15">
        <v>0</v>
      </c>
      <c r="T558" s="15">
        <v>0</v>
      </c>
      <c r="U558" s="15"/>
      <c r="V558" s="15"/>
      <c r="W558" s="15"/>
      <c r="X558" s="15"/>
      <c r="Y558" s="115"/>
      <c r="AX558" s="42"/>
      <c r="AY558" s="42"/>
      <c r="AZ558" s="42"/>
    </row>
    <row r="559" spans="13:52" x14ac:dyDescent="0.25">
      <c r="M559" s="4">
        <v>0</v>
      </c>
      <c r="N559" s="4">
        <v>0</v>
      </c>
      <c r="P559" s="13"/>
      <c r="Q559" s="114">
        <v>0</v>
      </c>
      <c r="R559" s="15">
        <v>0</v>
      </c>
      <c r="S559" s="15">
        <v>0</v>
      </c>
      <c r="T559" s="15">
        <v>0</v>
      </c>
      <c r="U559" s="15"/>
      <c r="V559" s="15"/>
      <c r="W559" s="15"/>
      <c r="X559" s="15"/>
      <c r="Y559" s="115"/>
      <c r="AX559" s="42"/>
      <c r="AY559" s="42"/>
      <c r="AZ559" s="42"/>
    </row>
    <row r="560" spans="13:52" x14ac:dyDescent="0.25">
      <c r="M560" s="4" t="s">
        <v>23</v>
      </c>
      <c r="N560" s="4" t="s">
        <v>23</v>
      </c>
      <c r="P560" s="13"/>
      <c r="Q560" s="114" t="s">
        <v>23</v>
      </c>
      <c r="R560" s="15" t="s">
        <v>23</v>
      </c>
      <c r="S560" s="15" t="s">
        <v>23</v>
      </c>
      <c r="T560" s="15" t="s">
        <v>23</v>
      </c>
      <c r="U560" s="15"/>
      <c r="V560" s="15"/>
      <c r="W560" s="15"/>
      <c r="X560" s="15"/>
      <c r="Y560" s="115"/>
      <c r="AX560" s="42"/>
      <c r="AY560" s="42"/>
      <c r="AZ560" s="42"/>
    </row>
    <row r="561" spans="13:52" x14ac:dyDescent="0.25">
      <c r="M561" s="4">
        <v>1</v>
      </c>
      <c r="N561" s="4">
        <v>1</v>
      </c>
      <c r="P561" s="13"/>
      <c r="Q561" s="114">
        <v>1</v>
      </c>
      <c r="R561" s="15">
        <v>1</v>
      </c>
      <c r="S561" s="15">
        <v>1</v>
      </c>
      <c r="T561" s="15">
        <v>1</v>
      </c>
      <c r="U561" s="15"/>
      <c r="V561" s="15"/>
      <c r="W561" s="15"/>
      <c r="X561" s="15"/>
      <c r="Y561" s="115"/>
      <c r="AX561" s="42"/>
      <c r="AY561" s="42"/>
      <c r="AZ561" s="42"/>
    </row>
    <row r="562" spans="13:52" x14ac:dyDescent="0.25">
      <c r="M562" s="4">
        <v>1</v>
      </c>
      <c r="N562" s="4">
        <v>1</v>
      </c>
      <c r="P562" s="13"/>
      <c r="Q562" s="114">
        <v>1</v>
      </c>
      <c r="R562" s="15">
        <v>1</v>
      </c>
      <c r="S562" s="15">
        <v>1</v>
      </c>
      <c r="T562" s="15">
        <v>1</v>
      </c>
      <c r="U562" s="15"/>
      <c r="V562" s="15"/>
      <c r="W562" s="15"/>
      <c r="X562" s="15"/>
      <c r="Y562" s="115"/>
      <c r="AX562" s="42"/>
      <c r="AY562" s="42"/>
      <c r="AZ562" s="42"/>
    </row>
    <row r="563" spans="13:52" x14ac:dyDescent="0.25">
      <c r="M563" s="4">
        <v>1</v>
      </c>
      <c r="N563" s="4">
        <v>1</v>
      </c>
      <c r="P563" s="13"/>
      <c r="Q563" s="114">
        <v>1</v>
      </c>
      <c r="R563" s="15">
        <v>1</v>
      </c>
      <c r="S563" s="15">
        <v>1</v>
      </c>
      <c r="T563" s="15">
        <v>1</v>
      </c>
      <c r="U563" s="15"/>
      <c r="V563" s="15"/>
      <c r="W563" s="15"/>
      <c r="X563" s="15"/>
      <c r="Y563" s="115"/>
      <c r="AX563" s="42"/>
      <c r="AY563" s="42"/>
      <c r="AZ563" s="42"/>
    </row>
    <row r="564" spans="13:52" x14ac:dyDescent="0.25">
      <c r="M564" s="4" t="s">
        <v>24</v>
      </c>
      <c r="N564" s="4" t="s">
        <v>24</v>
      </c>
      <c r="P564" s="13"/>
      <c r="Q564" s="114" t="s">
        <v>24</v>
      </c>
      <c r="R564" s="15" t="s">
        <v>24</v>
      </c>
      <c r="S564" s="15" t="s">
        <v>24</v>
      </c>
      <c r="T564" s="15" t="s">
        <v>24</v>
      </c>
      <c r="U564" s="15"/>
      <c r="V564" s="15"/>
      <c r="W564" s="15"/>
      <c r="X564" s="15"/>
      <c r="Y564" s="115"/>
      <c r="AX564" s="42"/>
      <c r="AY564" s="42"/>
      <c r="AZ564" s="42"/>
    </row>
    <row r="565" spans="13:52" x14ac:dyDescent="0.25">
      <c r="M565" s="4">
        <v>0</v>
      </c>
      <c r="N565" s="4">
        <v>0</v>
      </c>
      <c r="P565" s="13"/>
      <c r="Q565" s="114">
        <v>0</v>
      </c>
      <c r="R565" s="15">
        <v>0</v>
      </c>
      <c r="S565" s="15">
        <v>0</v>
      </c>
      <c r="T565" s="15">
        <v>0</v>
      </c>
      <c r="U565" s="15"/>
      <c r="V565" s="15"/>
      <c r="W565" s="15"/>
      <c r="X565" s="15"/>
      <c r="Y565" s="115"/>
      <c r="AX565" s="42"/>
      <c r="AY565" s="42"/>
      <c r="AZ565" s="42"/>
    </row>
    <row r="566" spans="13:52" x14ac:dyDescent="0.25">
      <c r="M566" s="4">
        <v>0</v>
      </c>
      <c r="N566" s="4">
        <v>0</v>
      </c>
      <c r="P566" s="13"/>
      <c r="Q566" s="114">
        <v>0</v>
      </c>
      <c r="R566" s="15">
        <v>0</v>
      </c>
      <c r="S566" s="15">
        <v>0</v>
      </c>
      <c r="T566" s="15">
        <v>0</v>
      </c>
      <c r="U566" s="15"/>
      <c r="V566" s="15"/>
      <c r="W566" s="15"/>
      <c r="X566" s="15"/>
      <c r="Y566" s="115"/>
      <c r="AX566" s="42"/>
      <c r="AY566" s="42"/>
      <c r="AZ566" s="42"/>
    </row>
    <row r="567" spans="13:52" x14ac:dyDescent="0.25">
      <c r="M567" s="4">
        <v>0</v>
      </c>
      <c r="N567" s="4">
        <v>0</v>
      </c>
      <c r="P567" s="13"/>
      <c r="Q567" s="114">
        <v>0</v>
      </c>
      <c r="R567" s="15">
        <v>0</v>
      </c>
      <c r="S567" s="15">
        <v>0</v>
      </c>
      <c r="T567" s="15">
        <v>0</v>
      </c>
      <c r="U567" s="15"/>
      <c r="V567" s="15"/>
      <c r="W567" s="15"/>
      <c r="X567" s="15"/>
      <c r="Y567" s="115"/>
      <c r="AX567" s="42"/>
      <c r="AY567" s="42"/>
      <c r="AZ567" s="42"/>
    </row>
    <row r="568" spans="13:52" x14ac:dyDescent="0.25">
      <c r="M568" s="4">
        <v>0</v>
      </c>
      <c r="N568" s="4">
        <v>0</v>
      </c>
      <c r="P568" s="13"/>
      <c r="Q568" s="114">
        <v>0</v>
      </c>
      <c r="R568" s="15">
        <v>0</v>
      </c>
      <c r="S568" s="15">
        <v>0</v>
      </c>
      <c r="T568" s="15">
        <v>0</v>
      </c>
      <c r="U568" s="15"/>
      <c r="V568" s="15"/>
      <c r="W568" s="15"/>
      <c r="X568" s="15"/>
      <c r="Y568" s="115"/>
      <c r="AX568" s="42"/>
      <c r="AY568" s="42"/>
      <c r="AZ568" s="42"/>
    </row>
    <row r="569" spans="13:52" x14ac:dyDescent="0.25">
      <c r="M569" s="4" t="s">
        <v>25</v>
      </c>
      <c r="N569" s="4" t="s">
        <v>25</v>
      </c>
      <c r="P569" s="13"/>
      <c r="Q569" s="114" t="s">
        <v>25</v>
      </c>
      <c r="R569" s="15" t="s">
        <v>25</v>
      </c>
      <c r="S569" s="15" t="s">
        <v>25</v>
      </c>
      <c r="T569" s="15" t="s">
        <v>25</v>
      </c>
      <c r="U569" s="15"/>
      <c r="V569" s="15"/>
      <c r="W569" s="15"/>
      <c r="X569" s="15"/>
      <c r="Y569" s="115"/>
      <c r="AX569" s="42"/>
      <c r="AY569" s="42"/>
      <c r="AZ569" s="42"/>
    </row>
    <row r="570" spans="13:52" x14ac:dyDescent="0.25">
      <c r="M570" s="4" t="s">
        <v>25</v>
      </c>
      <c r="N570" s="4" t="s">
        <v>25</v>
      </c>
      <c r="P570" s="13"/>
      <c r="Q570" s="114" t="s">
        <v>25</v>
      </c>
      <c r="R570" s="15" t="s">
        <v>25</v>
      </c>
      <c r="S570" s="15" t="s">
        <v>25</v>
      </c>
      <c r="T570" s="15" t="s">
        <v>25</v>
      </c>
      <c r="U570" s="15"/>
      <c r="V570" s="15"/>
      <c r="W570" s="15"/>
      <c r="X570" s="15"/>
      <c r="Y570" s="115"/>
      <c r="AX570" s="42"/>
      <c r="AY570" s="42"/>
      <c r="AZ570" s="42"/>
    </row>
    <row r="571" spans="13:52" x14ac:dyDescent="0.25">
      <c r="M571" s="4" t="s">
        <v>22</v>
      </c>
      <c r="N571" s="4" t="s">
        <v>22</v>
      </c>
      <c r="P571" s="13"/>
      <c r="Q571" s="114" t="s">
        <v>22</v>
      </c>
      <c r="R571" s="15" t="s">
        <v>22</v>
      </c>
      <c r="S571" s="15" t="s">
        <v>22</v>
      </c>
      <c r="T571" s="15" t="s">
        <v>22</v>
      </c>
      <c r="U571" s="15"/>
      <c r="V571" s="15"/>
      <c r="W571" s="15"/>
      <c r="X571" s="15"/>
      <c r="Y571" s="115"/>
      <c r="AX571" s="42"/>
      <c r="AY571" s="42"/>
      <c r="AZ571" s="42"/>
    </row>
    <row r="572" spans="13:52" x14ac:dyDescent="0.25">
      <c r="M572" s="4" t="s">
        <v>26</v>
      </c>
      <c r="N572" s="4" t="s">
        <v>26</v>
      </c>
      <c r="P572" s="13"/>
      <c r="Q572" s="114" t="s">
        <v>26</v>
      </c>
      <c r="R572" s="15" t="s">
        <v>26</v>
      </c>
      <c r="S572" s="15" t="s">
        <v>26</v>
      </c>
      <c r="T572" s="15" t="s">
        <v>26</v>
      </c>
      <c r="U572" s="15"/>
      <c r="V572" s="15"/>
      <c r="W572" s="15"/>
      <c r="X572" s="15"/>
      <c r="Y572" s="115"/>
      <c r="AX572" s="42"/>
      <c r="AY572" s="42"/>
      <c r="AZ572" s="42"/>
    </row>
    <row r="573" spans="13:52" x14ac:dyDescent="0.25">
      <c r="M573" s="4" t="s">
        <v>26</v>
      </c>
      <c r="N573" s="4" t="s">
        <v>26</v>
      </c>
      <c r="P573" s="13"/>
      <c r="Q573" s="114" t="s">
        <v>26</v>
      </c>
      <c r="R573" s="15" t="s">
        <v>26</v>
      </c>
      <c r="S573" s="15" t="s">
        <v>26</v>
      </c>
      <c r="T573" s="15" t="s">
        <v>26</v>
      </c>
      <c r="U573" s="15"/>
      <c r="V573" s="15"/>
      <c r="W573" s="15"/>
      <c r="X573" s="15"/>
      <c r="Y573" s="115"/>
      <c r="AX573" s="42"/>
      <c r="AY573" s="42"/>
      <c r="AZ573" s="42"/>
    </row>
    <row r="574" spans="13:52" x14ac:dyDescent="0.25">
      <c r="M574" s="4">
        <v>0</v>
      </c>
      <c r="N574" s="4">
        <v>0</v>
      </c>
      <c r="P574" s="13"/>
      <c r="Q574" s="114">
        <v>0</v>
      </c>
      <c r="R574" s="15">
        <v>0</v>
      </c>
      <c r="S574" s="15">
        <v>0</v>
      </c>
      <c r="T574" s="15">
        <v>0</v>
      </c>
      <c r="U574" s="15"/>
      <c r="V574" s="15"/>
      <c r="W574" s="15"/>
      <c r="X574" s="15"/>
      <c r="Y574" s="115"/>
      <c r="AX574" s="42"/>
      <c r="AY574" s="42"/>
      <c r="AZ574" s="42"/>
    </row>
    <row r="575" spans="13:52" x14ac:dyDescent="0.25">
      <c r="M575" s="4">
        <v>1</v>
      </c>
      <c r="N575" s="4">
        <v>1</v>
      </c>
      <c r="P575" s="13"/>
      <c r="Q575" s="114">
        <v>1</v>
      </c>
      <c r="R575" s="15">
        <v>1</v>
      </c>
      <c r="S575" s="15">
        <v>1</v>
      </c>
      <c r="T575" s="15">
        <v>1</v>
      </c>
      <c r="U575" s="15"/>
      <c r="V575" s="15"/>
      <c r="W575" s="15"/>
      <c r="X575" s="15"/>
      <c r="Y575" s="115"/>
      <c r="AX575" s="42"/>
      <c r="AY575" s="42"/>
      <c r="AZ575" s="42"/>
    </row>
    <row r="576" spans="13:52" x14ac:dyDescent="0.25">
      <c r="M576" s="4" t="s">
        <v>27</v>
      </c>
      <c r="N576" s="4" t="s">
        <v>27</v>
      </c>
      <c r="P576" s="13"/>
      <c r="Q576" s="114" t="s">
        <v>27</v>
      </c>
      <c r="R576" s="15" t="s">
        <v>27</v>
      </c>
      <c r="S576" s="15" t="s">
        <v>27</v>
      </c>
      <c r="T576" s="15" t="s">
        <v>27</v>
      </c>
      <c r="U576" s="15"/>
      <c r="V576" s="15"/>
      <c r="W576" s="15"/>
      <c r="X576" s="15"/>
      <c r="Y576" s="115"/>
      <c r="AX576" s="42"/>
      <c r="AY576" s="42"/>
      <c r="AZ576" s="42"/>
    </row>
    <row r="577" spans="13:52" x14ac:dyDescent="0.25">
      <c r="M577" s="4" t="s">
        <v>27</v>
      </c>
      <c r="N577" s="4" t="s">
        <v>27</v>
      </c>
      <c r="P577" s="13"/>
      <c r="Q577" s="114" t="s">
        <v>27</v>
      </c>
      <c r="R577" s="15" t="s">
        <v>27</v>
      </c>
      <c r="S577" s="15" t="s">
        <v>27</v>
      </c>
      <c r="T577" s="15" t="s">
        <v>27</v>
      </c>
      <c r="U577" s="15"/>
      <c r="V577" s="15"/>
      <c r="W577" s="15"/>
      <c r="X577" s="15"/>
      <c r="Y577" s="115"/>
      <c r="AX577" s="42"/>
      <c r="AY577" s="42"/>
      <c r="AZ577" s="42"/>
    </row>
    <row r="578" spans="13:52" x14ac:dyDescent="0.25">
      <c r="M578" s="4" t="s">
        <v>27</v>
      </c>
      <c r="N578" s="4" t="s">
        <v>27</v>
      </c>
      <c r="P578" s="13"/>
      <c r="Q578" s="114" t="s">
        <v>27</v>
      </c>
      <c r="R578" s="15" t="s">
        <v>27</v>
      </c>
      <c r="S578" s="15" t="s">
        <v>27</v>
      </c>
      <c r="T578" s="15" t="s">
        <v>27</v>
      </c>
      <c r="U578" s="15"/>
      <c r="V578" s="15"/>
      <c r="W578" s="15"/>
      <c r="X578" s="15"/>
      <c r="Y578" s="115"/>
      <c r="AX578" s="42"/>
      <c r="AY578" s="42"/>
      <c r="AZ578" s="42"/>
    </row>
    <row r="579" spans="13:52" x14ac:dyDescent="0.25">
      <c r="M579" s="4">
        <v>0</v>
      </c>
      <c r="N579" s="4">
        <v>0</v>
      </c>
      <c r="P579" s="13"/>
      <c r="Q579" s="114">
        <v>0</v>
      </c>
      <c r="R579" s="15">
        <v>0</v>
      </c>
      <c r="S579" s="15">
        <v>0</v>
      </c>
      <c r="T579" s="15">
        <v>0</v>
      </c>
      <c r="U579" s="15"/>
      <c r="V579" s="15"/>
      <c r="W579" s="15"/>
      <c r="X579" s="15"/>
      <c r="Y579" s="115"/>
      <c r="AX579" s="42"/>
      <c r="AY579" s="42"/>
      <c r="AZ579" s="42"/>
    </row>
    <row r="580" spans="13:52" x14ac:dyDescent="0.25">
      <c r="M580" s="4" t="s">
        <v>27</v>
      </c>
      <c r="N580" s="4" t="s">
        <v>27</v>
      </c>
      <c r="P580" s="13"/>
      <c r="Q580" s="114" t="s">
        <v>27</v>
      </c>
      <c r="R580" s="15" t="s">
        <v>27</v>
      </c>
      <c r="S580" s="15" t="s">
        <v>27</v>
      </c>
      <c r="T580" s="15" t="s">
        <v>27</v>
      </c>
      <c r="U580" s="15"/>
      <c r="V580" s="15"/>
      <c r="W580" s="15"/>
      <c r="X580" s="15"/>
      <c r="Y580" s="115"/>
      <c r="AX580" s="42"/>
      <c r="AY580" s="42"/>
      <c r="AZ580" s="42"/>
    </row>
    <row r="581" spans="13:52" x14ac:dyDescent="0.25">
      <c r="M581" s="4">
        <v>860.8</v>
      </c>
      <c r="N581" s="4">
        <v>860.8</v>
      </c>
      <c r="P581" s="13"/>
      <c r="Q581" s="114">
        <v>860.8</v>
      </c>
      <c r="R581" s="15">
        <v>860.8</v>
      </c>
      <c r="S581" s="15">
        <v>860.8</v>
      </c>
      <c r="T581" s="15">
        <v>860.8</v>
      </c>
      <c r="U581" s="15"/>
      <c r="V581" s="15"/>
      <c r="W581" s="15"/>
      <c r="X581" s="15"/>
      <c r="Y581" s="115"/>
      <c r="AX581" s="42"/>
      <c r="AY581" s="42"/>
      <c r="AZ581" s="42"/>
    </row>
    <row r="582" spans="13:52" x14ac:dyDescent="0.25">
      <c r="M582" s="4">
        <v>319.2</v>
      </c>
      <c r="N582" s="4">
        <v>319.2</v>
      </c>
      <c r="P582" s="13"/>
      <c r="Q582" s="114">
        <v>319.2</v>
      </c>
      <c r="R582" s="15">
        <v>319.2</v>
      </c>
      <c r="S582" s="15">
        <v>319.2</v>
      </c>
      <c r="T582" s="15">
        <v>319.2</v>
      </c>
      <c r="U582" s="15"/>
      <c r="V582" s="15"/>
      <c r="W582" s="15"/>
      <c r="X582" s="15"/>
      <c r="Y582" s="115"/>
      <c r="AX582" s="42"/>
      <c r="AY582" s="42"/>
      <c r="AZ582" s="42"/>
    </row>
    <row r="583" spans="13:52" x14ac:dyDescent="0.25">
      <c r="M583" s="4">
        <v>860.8</v>
      </c>
      <c r="N583" s="4">
        <v>860.8</v>
      </c>
      <c r="P583" s="13"/>
      <c r="Q583" s="114">
        <v>860.8</v>
      </c>
      <c r="R583" s="15">
        <v>860.8</v>
      </c>
      <c r="S583" s="15">
        <v>860.8</v>
      </c>
      <c r="T583" s="15">
        <v>860.8</v>
      </c>
      <c r="U583" s="15"/>
      <c r="V583" s="15"/>
      <c r="W583" s="15"/>
      <c r="X583" s="15"/>
      <c r="Y583" s="115"/>
      <c r="AX583" s="42"/>
      <c r="AY583" s="42"/>
      <c r="AZ583" s="42"/>
    </row>
    <row r="584" spans="13:52" x14ac:dyDescent="0.25">
      <c r="M584" s="4" t="s">
        <v>28</v>
      </c>
      <c r="N584" s="4" t="s">
        <v>28</v>
      </c>
      <c r="P584" s="13"/>
      <c r="Q584" s="114" t="s">
        <v>28</v>
      </c>
      <c r="R584" s="15" t="s">
        <v>28</v>
      </c>
      <c r="S584" s="15" t="s">
        <v>28</v>
      </c>
      <c r="T584" s="15" t="s">
        <v>28</v>
      </c>
      <c r="U584" s="15"/>
      <c r="V584" s="15"/>
      <c r="W584" s="15"/>
      <c r="X584" s="15"/>
      <c r="Y584" s="115"/>
      <c r="AX584" s="42"/>
      <c r="AY584" s="42"/>
      <c r="AZ584" s="42"/>
    </row>
    <row r="585" spans="13:52" x14ac:dyDescent="0.25">
      <c r="M585" s="4">
        <v>100</v>
      </c>
      <c r="N585" s="4">
        <v>100</v>
      </c>
      <c r="P585" s="13"/>
      <c r="Q585" s="114">
        <v>100</v>
      </c>
      <c r="R585" s="15">
        <v>100</v>
      </c>
      <c r="S585" s="15">
        <v>100</v>
      </c>
      <c r="T585" s="15">
        <v>100</v>
      </c>
      <c r="U585" s="15"/>
      <c r="V585" s="15"/>
      <c r="W585" s="15"/>
      <c r="X585" s="15"/>
      <c r="Y585" s="115"/>
      <c r="AX585" s="42"/>
      <c r="AY585" s="42"/>
      <c r="AZ585" s="42"/>
    </row>
    <row r="586" spans="13:52" x14ac:dyDescent="0.25">
      <c r="M586" s="4" t="s">
        <v>80</v>
      </c>
      <c r="N586" s="4" t="s">
        <v>80</v>
      </c>
      <c r="P586" s="13"/>
      <c r="Q586" s="114" t="s">
        <v>80</v>
      </c>
      <c r="R586" s="15" t="s">
        <v>80</v>
      </c>
      <c r="S586" s="15" t="s">
        <v>80</v>
      </c>
      <c r="T586" s="15" t="s">
        <v>80</v>
      </c>
      <c r="U586" s="15"/>
      <c r="V586" s="15"/>
      <c r="W586" s="15"/>
      <c r="X586" s="15"/>
      <c r="Y586" s="115"/>
      <c r="AX586" s="42"/>
      <c r="AY586" s="42"/>
      <c r="AZ586" s="42"/>
    </row>
    <row r="587" spans="13:52" x14ac:dyDescent="0.25">
      <c r="M587" s="4" t="s">
        <v>81</v>
      </c>
      <c r="N587" s="4" t="s">
        <v>29</v>
      </c>
      <c r="P587" s="13"/>
      <c r="Q587" s="114" t="s">
        <v>29</v>
      </c>
      <c r="R587" s="15" t="s">
        <v>29</v>
      </c>
      <c r="S587" s="15" t="s">
        <v>29</v>
      </c>
      <c r="T587" s="15" t="s">
        <v>29</v>
      </c>
      <c r="U587" s="15"/>
      <c r="V587" s="15"/>
      <c r="W587" s="15"/>
      <c r="X587" s="15"/>
      <c r="Y587" s="115"/>
      <c r="AX587" s="42"/>
      <c r="AY587" s="42"/>
      <c r="AZ587" s="42"/>
    </row>
    <row r="588" spans="13:52" x14ac:dyDescent="0.25">
      <c r="M588" s="4" t="s">
        <v>27</v>
      </c>
      <c r="N588" s="4" t="s">
        <v>27</v>
      </c>
      <c r="P588" s="13"/>
      <c r="Q588" s="114" t="s">
        <v>27</v>
      </c>
      <c r="R588" s="15" t="s">
        <v>27</v>
      </c>
      <c r="S588" s="15" t="s">
        <v>27</v>
      </c>
      <c r="T588" s="15" t="s">
        <v>27</v>
      </c>
      <c r="U588" s="15"/>
      <c r="V588" s="15"/>
      <c r="W588" s="15"/>
      <c r="X588" s="15"/>
      <c r="Y588" s="115"/>
      <c r="AX588" s="42"/>
      <c r="AY588" s="42"/>
      <c r="AZ588" s="42"/>
    </row>
    <row r="589" spans="13:52" x14ac:dyDescent="0.25">
      <c r="M589" s="4">
        <v>0</v>
      </c>
      <c r="N589" s="4">
        <v>0</v>
      </c>
      <c r="P589" s="13"/>
      <c r="Q589" s="114">
        <v>0</v>
      </c>
      <c r="R589" s="15">
        <v>0</v>
      </c>
      <c r="S589" s="15">
        <v>0</v>
      </c>
      <c r="T589" s="15">
        <v>0</v>
      </c>
      <c r="U589" s="15"/>
      <c r="V589" s="15"/>
      <c r="W589" s="15"/>
      <c r="X589" s="15"/>
      <c r="Y589" s="115"/>
      <c r="AX589" s="42"/>
      <c r="AY589" s="42"/>
      <c r="AZ589" s="42"/>
    </row>
    <row r="590" spans="13:52" x14ac:dyDescent="0.25">
      <c r="M590" s="4">
        <v>0</v>
      </c>
      <c r="N590" s="4">
        <v>0</v>
      </c>
      <c r="P590" s="13"/>
      <c r="Q590" s="114">
        <v>0</v>
      </c>
      <c r="R590" s="15">
        <v>0</v>
      </c>
      <c r="S590" s="15">
        <v>0</v>
      </c>
      <c r="T590" s="15">
        <v>0</v>
      </c>
      <c r="U590" s="15"/>
      <c r="V590" s="15"/>
      <c r="W590" s="15"/>
      <c r="X590" s="15"/>
      <c r="Y590" s="115"/>
      <c r="AX590" s="42"/>
      <c r="AY590" s="42"/>
      <c r="AZ590" s="42"/>
    </row>
    <row r="591" spans="13:52" x14ac:dyDescent="0.25">
      <c r="M591" s="4">
        <v>0</v>
      </c>
      <c r="N591" s="4">
        <v>0</v>
      </c>
      <c r="P591" s="13"/>
      <c r="Q591" s="114">
        <v>0</v>
      </c>
      <c r="R591" s="15">
        <v>0</v>
      </c>
      <c r="S591" s="15">
        <v>0</v>
      </c>
      <c r="T591" s="15">
        <v>0</v>
      </c>
      <c r="U591" s="15"/>
      <c r="V591" s="15"/>
      <c r="W591" s="15"/>
      <c r="X591" s="15"/>
      <c r="Y591" s="115"/>
      <c r="AX591" s="42"/>
      <c r="AY591" s="42"/>
      <c r="AZ591" s="42"/>
    </row>
    <row r="592" spans="13:52" x14ac:dyDescent="0.25">
      <c r="M592" s="4" t="s">
        <v>27</v>
      </c>
      <c r="N592" s="4" t="s">
        <v>27</v>
      </c>
      <c r="P592" s="13"/>
      <c r="Q592" s="114" t="s">
        <v>27</v>
      </c>
      <c r="R592" s="15" t="s">
        <v>27</v>
      </c>
      <c r="S592" s="15" t="s">
        <v>27</v>
      </c>
      <c r="T592" s="15" t="s">
        <v>27</v>
      </c>
      <c r="U592" s="15"/>
      <c r="V592" s="15"/>
      <c r="W592" s="15"/>
      <c r="X592" s="15"/>
      <c r="Y592" s="115"/>
      <c r="AX592" s="42"/>
      <c r="AY592" s="42"/>
      <c r="AZ592" s="42"/>
    </row>
    <row r="593" spans="13:52" x14ac:dyDescent="0.25">
      <c r="M593" s="4">
        <v>0</v>
      </c>
      <c r="N593" s="4">
        <v>0</v>
      </c>
      <c r="P593" s="13"/>
      <c r="Q593" s="114">
        <v>0</v>
      </c>
      <c r="R593" s="15">
        <v>0</v>
      </c>
      <c r="S593" s="15">
        <v>0</v>
      </c>
      <c r="T593" s="15">
        <v>0</v>
      </c>
      <c r="U593" s="15"/>
      <c r="V593" s="15"/>
      <c r="W593" s="15"/>
      <c r="X593" s="15"/>
      <c r="Y593" s="115"/>
      <c r="AX593" s="42"/>
      <c r="AY593" s="42"/>
      <c r="AZ593" s="42"/>
    </row>
    <row r="594" spans="13:52" x14ac:dyDescent="0.25">
      <c r="M594" s="4" t="s">
        <v>27</v>
      </c>
      <c r="N594" s="4" t="s">
        <v>27</v>
      </c>
      <c r="P594" s="13"/>
      <c r="Q594" s="114" t="s">
        <v>27</v>
      </c>
      <c r="R594" s="15" t="s">
        <v>27</v>
      </c>
      <c r="S594" s="15" t="s">
        <v>27</v>
      </c>
      <c r="T594" s="15" t="s">
        <v>27</v>
      </c>
      <c r="U594" s="15"/>
      <c r="V594" s="15"/>
      <c r="W594" s="15"/>
      <c r="X594" s="15"/>
      <c r="Y594" s="115"/>
      <c r="AX594" s="42"/>
      <c r="AY594" s="42"/>
      <c r="AZ594" s="42"/>
    </row>
    <row r="595" spans="13:52" x14ac:dyDescent="0.25">
      <c r="M595" s="4" t="s">
        <v>27</v>
      </c>
      <c r="N595" s="4" t="s">
        <v>27</v>
      </c>
      <c r="P595" s="13"/>
      <c r="Q595" s="114" t="s">
        <v>27</v>
      </c>
      <c r="R595" s="15" t="s">
        <v>27</v>
      </c>
      <c r="S595" s="15" t="s">
        <v>27</v>
      </c>
      <c r="T595" s="15" t="s">
        <v>27</v>
      </c>
      <c r="U595" s="15"/>
      <c r="V595" s="15"/>
      <c r="W595" s="15"/>
      <c r="X595" s="15"/>
      <c r="Y595" s="115"/>
      <c r="AX595" s="42"/>
      <c r="AY595" s="42"/>
      <c r="AZ595" s="42"/>
    </row>
    <row r="596" spans="13:52" x14ac:dyDescent="0.25">
      <c r="M596" s="4" t="s">
        <v>27</v>
      </c>
      <c r="N596" s="4" t="s">
        <v>27</v>
      </c>
      <c r="P596" s="13"/>
      <c r="Q596" s="114" t="s">
        <v>27</v>
      </c>
      <c r="R596" s="15" t="s">
        <v>27</v>
      </c>
      <c r="S596" s="15" t="s">
        <v>27</v>
      </c>
      <c r="T596" s="15" t="s">
        <v>27</v>
      </c>
      <c r="U596" s="15"/>
      <c r="V596" s="15"/>
      <c r="W596" s="15"/>
      <c r="X596" s="15"/>
      <c r="Y596" s="115"/>
      <c r="AX596" s="42"/>
      <c r="AY596" s="42"/>
      <c r="AZ596" s="42"/>
    </row>
    <row r="597" spans="13:52" x14ac:dyDescent="0.25">
      <c r="M597" s="4">
        <v>0</v>
      </c>
      <c r="N597" s="4">
        <v>0</v>
      </c>
      <c r="P597" s="13"/>
      <c r="Q597" s="114">
        <v>0</v>
      </c>
      <c r="R597" s="15">
        <v>0</v>
      </c>
      <c r="S597" s="15">
        <v>0</v>
      </c>
      <c r="T597" s="15">
        <v>0</v>
      </c>
      <c r="U597" s="15"/>
      <c r="V597" s="15"/>
      <c r="W597" s="15"/>
      <c r="X597" s="15"/>
      <c r="Y597" s="115"/>
      <c r="AX597" s="42"/>
      <c r="AY597" s="42"/>
      <c r="AZ597" s="42"/>
    </row>
    <row r="598" spans="13:52" x14ac:dyDescent="0.25">
      <c r="M598" s="4" t="s">
        <v>27</v>
      </c>
      <c r="N598" s="4" t="s">
        <v>27</v>
      </c>
      <c r="P598" s="13"/>
      <c r="Q598" s="114" t="s">
        <v>27</v>
      </c>
      <c r="R598" s="15" t="s">
        <v>27</v>
      </c>
      <c r="S598" s="15" t="s">
        <v>27</v>
      </c>
      <c r="T598" s="15" t="s">
        <v>27</v>
      </c>
      <c r="U598" s="15"/>
      <c r="V598" s="15"/>
      <c r="W598" s="15"/>
      <c r="X598" s="15"/>
      <c r="Y598" s="115"/>
      <c r="AX598" s="42"/>
      <c r="AY598" s="42"/>
      <c r="AZ598" s="42"/>
    </row>
    <row r="599" spans="13:52" x14ac:dyDescent="0.25">
      <c r="M599" s="4" t="s">
        <v>27</v>
      </c>
      <c r="N599" s="4" t="s">
        <v>27</v>
      </c>
      <c r="P599" s="13"/>
      <c r="Q599" s="114" t="s">
        <v>27</v>
      </c>
      <c r="R599" s="15" t="s">
        <v>27</v>
      </c>
      <c r="S599" s="15" t="s">
        <v>27</v>
      </c>
      <c r="T599" s="15" t="s">
        <v>27</v>
      </c>
      <c r="U599" s="15"/>
      <c r="V599" s="15"/>
      <c r="W599" s="15"/>
      <c r="X599" s="15"/>
      <c r="Y599" s="115"/>
      <c r="AX599" s="42"/>
      <c r="AY599" s="42"/>
      <c r="AZ599" s="42"/>
    </row>
    <row r="600" spans="13:52" x14ac:dyDescent="0.25">
      <c r="M600" s="4">
        <v>0</v>
      </c>
      <c r="N600" s="4">
        <v>0</v>
      </c>
      <c r="P600" s="13"/>
      <c r="Q600" s="114">
        <v>0</v>
      </c>
      <c r="R600" s="15">
        <v>0</v>
      </c>
      <c r="S600" s="15">
        <v>0</v>
      </c>
      <c r="T600" s="15">
        <v>0</v>
      </c>
      <c r="U600" s="15"/>
      <c r="V600" s="15"/>
      <c r="W600" s="15"/>
      <c r="X600" s="15"/>
      <c r="Y600" s="115"/>
      <c r="AX600" s="42"/>
      <c r="AY600" s="42"/>
      <c r="AZ600" s="42"/>
    </row>
    <row r="601" spans="13:52" x14ac:dyDescent="0.25">
      <c r="M601" s="4">
        <v>0</v>
      </c>
      <c r="N601" s="4">
        <v>0</v>
      </c>
      <c r="P601" s="13"/>
      <c r="Q601" s="114">
        <v>0</v>
      </c>
      <c r="R601" s="15">
        <v>0</v>
      </c>
      <c r="S601" s="15">
        <v>0</v>
      </c>
      <c r="T601" s="15">
        <v>0</v>
      </c>
      <c r="U601" s="15"/>
      <c r="V601" s="15"/>
      <c r="W601" s="15"/>
      <c r="X601" s="15"/>
      <c r="Y601" s="115"/>
      <c r="AX601" s="42"/>
      <c r="AY601" s="42"/>
      <c r="AZ601" s="42"/>
    </row>
    <row r="602" spans="13:52" x14ac:dyDescent="0.25">
      <c r="M602" s="4">
        <v>0</v>
      </c>
      <c r="N602" s="4">
        <v>0</v>
      </c>
      <c r="P602" s="13"/>
      <c r="Q602" s="114">
        <v>0</v>
      </c>
      <c r="R602" s="15">
        <v>0</v>
      </c>
      <c r="S602" s="15">
        <v>0</v>
      </c>
      <c r="T602" s="15">
        <v>0</v>
      </c>
      <c r="U602" s="15"/>
      <c r="V602" s="15"/>
      <c r="W602" s="15"/>
      <c r="X602" s="15"/>
      <c r="Y602" s="115"/>
      <c r="AX602" s="42"/>
      <c r="AY602" s="42"/>
      <c r="AZ602" s="42"/>
    </row>
    <row r="603" spans="13:52" x14ac:dyDescent="0.25">
      <c r="M603" s="4">
        <v>0</v>
      </c>
      <c r="N603" s="4">
        <v>0</v>
      </c>
      <c r="P603" s="13"/>
      <c r="Q603" s="114">
        <v>0</v>
      </c>
      <c r="R603" s="15">
        <v>0</v>
      </c>
      <c r="S603" s="15">
        <v>0</v>
      </c>
      <c r="T603" s="15">
        <v>0</v>
      </c>
      <c r="U603" s="15"/>
      <c r="V603" s="15"/>
      <c r="W603" s="15"/>
      <c r="X603" s="15"/>
      <c r="Y603" s="115"/>
      <c r="AX603" s="42"/>
      <c r="AY603" s="42"/>
      <c r="AZ603" s="42"/>
    </row>
    <row r="604" spans="13:52" x14ac:dyDescent="0.25">
      <c r="M604" s="4">
        <v>0</v>
      </c>
      <c r="N604" s="4">
        <v>0</v>
      </c>
      <c r="P604" s="13"/>
      <c r="Q604" s="114">
        <v>0</v>
      </c>
      <c r="R604" s="15">
        <v>0</v>
      </c>
      <c r="S604" s="15">
        <v>0</v>
      </c>
      <c r="T604" s="15">
        <v>0</v>
      </c>
      <c r="U604" s="15"/>
      <c r="V604" s="15"/>
      <c r="W604" s="15"/>
      <c r="X604" s="15"/>
      <c r="Y604" s="115"/>
      <c r="AX604" s="42"/>
      <c r="AY604" s="42"/>
      <c r="AZ604" s="42"/>
    </row>
    <row r="605" spans="13:52" x14ac:dyDescent="0.25">
      <c r="M605" s="4" t="s">
        <v>27</v>
      </c>
      <c r="N605" s="4" t="s">
        <v>27</v>
      </c>
      <c r="P605" s="13"/>
      <c r="Q605" s="114" t="s">
        <v>27</v>
      </c>
      <c r="R605" s="15" t="s">
        <v>27</v>
      </c>
      <c r="S605" s="15" t="s">
        <v>27</v>
      </c>
      <c r="T605" s="15" t="s">
        <v>27</v>
      </c>
      <c r="U605" s="15"/>
      <c r="V605" s="15"/>
      <c r="W605" s="15"/>
      <c r="X605" s="15"/>
      <c r="Y605" s="115"/>
      <c r="AX605" s="42"/>
      <c r="AY605" s="42"/>
      <c r="AZ605" s="42"/>
    </row>
    <row r="606" spans="13:52" x14ac:dyDescent="0.25">
      <c r="M606" s="4" t="s">
        <v>27</v>
      </c>
      <c r="N606" s="4" t="s">
        <v>27</v>
      </c>
      <c r="P606" s="13"/>
      <c r="Q606" s="114" t="s">
        <v>27</v>
      </c>
      <c r="R606" s="15" t="s">
        <v>27</v>
      </c>
      <c r="S606" s="15" t="s">
        <v>27</v>
      </c>
      <c r="T606" s="15" t="s">
        <v>27</v>
      </c>
      <c r="U606" s="15"/>
      <c r="V606" s="15"/>
      <c r="W606" s="15"/>
      <c r="X606" s="15"/>
      <c r="Y606" s="115"/>
      <c r="AX606" s="42"/>
      <c r="AY606" s="42"/>
      <c r="AZ606" s="42"/>
    </row>
    <row r="607" spans="13:52" x14ac:dyDescent="0.25">
      <c r="M607" s="4" t="s">
        <v>27</v>
      </c>
      <c r="N607" s="4" t="s">
        <v>27</v>
      </c>
      <c r="P607" s="13"/>
      <c r="Q607" s="114" t="s">
        <v>27</v>
      </c>
      <c r="R607" s="15" t="s">
        <v>27</v>
      </c>
      <c r="S607" s="15" t="s">
        <v>27</v>
      </c>
      <c r="T607" s="15" t="s">
        <v>27</v>
      </c>
      <c r="U607" s="15"/>
      <c r="V607" s="15"/>
      <c r="W607" s="15"/>
      <c r="X607" s="15"/>
      <c r="Y607" s="115"/>
      <c r="AX607" s="42"/>
      <c r="AY607" s="42"/>
      <c r="AZ607" s="42"/>
    </row>
    <row r="608" spans="13:52" x14ac:dyDescent="0.25">
      <c r="M608" s="4" t="s">
        <v>27</v>
      </c>
      <c r="N608" s="4" t="s">
        <v>27</v>
      </c>
      <c r="P608" s="13"/>
      <c r="Q608" s="114" t="s">
        <v>27</v>
      </c>
      <c r="R608" s="15" t="s">
        <v>27</v>
      </c>
      <c r="S608" s="15" t="s">
        <v>27</v>
      </c>
      <c r="T608" s="15" t="s">
        <v>27</v>
      </c>
      <c r="U608" s="15"/>
      <c r="V608" s="15"/>
      <c r="W608" s="15"/>
      <c r="X608" s="15"/>
      <c r="Y608" s="115"/>
      <c r="AX608" s="42"/>
      <c r="AY608" s="42"/>
      <c r="AZ608" s="42"/>
    </row>
    <row r="609" spans="13:52" x14ac:dyDescent="0.25">
      <c r="M609" s="4">
        <v>0</v>
      </c>
      <c r="N609" s="4">
        <v>0</v>
      </c>
      <c r="P609" s="13"/>
      <c r="Q609" s="114">
        <v>0</v>
      </c>
      <c r="R609" s="15">
        <v>0</v>
      </c>
      <c r="S609" s="15">
        <v>0</v>
      </c>
      <c r="T609" s="15">
        <v>0</v>
      </c>
      <c r="U609" s="15"/>
      <c r="V609" s="15"/>
      <c r="W609" s="15"/>
      <c r="X609" s="15"/>
      <c r="Y609" s="115"/>
      <c r="AX609" s="42"/>
      <c r="AY609" s="42"/>
      <c r="AZ609" s="42"/>
    </row>
    <row r="610" spans="13:52" x14ac:dyDescent="0.25">
      <c r="M610" s="4">
        <v>0</v>
      </c>
      <c r="N610" s="4">
        <v>0</v>
      </c>
      <c r="P610" s="13"/>
      <c r="Q610" s="114">
        <v>0</v>
      </c>
      <c r="R610" s="15">
        <v>0</v>
      </c>
      <c r="S610" s="15">
        <v>0</v>
      </c>
      <c r="T610" s="15">
        <v>0</v>
      </c>
      <c r="U610" s="15"/>
      <c r="V610" s="15"/>
      <c r="W610" s="15"/>
      <c r="X610" s="15"/>
      <c r="Y610" s="115"/>
      <c r="AX610" s="42"/>
      <c r="AY610" s="42"/>
      <c r="AZ610" s="42"/>
    </row>
    <row r="611" spans="13:52" x14ac:dyDescent="0.25">
      <c r="M611" s="4" t="s">
        <v>30</v>
      </c>
      <c r="N611" s="4" t="s">
        <v>30</v>
      </c>
      <c r="P611" s="13"/>
      <c r="Q611" s="114" t="s">
        <v>30</v>
      </c>
      <c r="R611" s="15" t="s">
        <v>30</v>
      </c>
      <c r="S611" s="15" t="s">
        <v>30</v>
      </c>
      <c r="T611" s="15" t="s">
        <v>30</v>
      </c>
      <c r="U611" s="15"/>
      <c r="V611" s="15"/>
      <c r="W611" s="15"/>
      <c r="X611" s="15"/>
      <c r="Y611" s="115"/>
      <c r="AX611" s="42"/>
      <c r="AY611" s="42"/>
      <c r="AZ611" s="42"/>
    </row>
    <row r="612" spans="13:52" x14ac:dyDescent="0.25">
      <c r="M612" s="4">
        <v>-1</v>
      </c>
      <c r="N612" s="4">
        <v>-1</v>
      </c>
      <c r="P612" s="13"/>
      <c r="Q612" s="114">
        <v>-1</v>
      </c>
      <c r="R612" s="15">
        <v>-1</v>
      </c>
      <c r="S612" s="15">
        <v>-1</v>
      </c>
      <c r="T612" s="15">
        <v>-1</v>
      </c>
      <c r="U612" s="15"/>
      <c r="V612" s="15"/>
      <c r="W612" s="15"/>
      <c r="X612" s="15"/>
      <c r="Y612" s="115"/>
      <c r="AX612" s="42"/>
      <c r="AY612" s="42"/>
      <c r="AZ612" s="42"/>
    </row>
    <row r="613" spans="13:52" x14ac:dyDescent="0.25">
      <c r="M613" s="4">
        <v>-1</v>
      </c>
      <c r="N613" s="4">
        <v>-1</v>
      </c>
      <c r="P613" s="13"/>
      <c r="Q613" s="114">
        <v>-1</v>
      </c>
      <c r="R613" s="15">
        <v>-1</v>
      </c>
      <c r="S613" s="15">
        <v>-1</v>
      </c>
      <c r="T613" s="15">
        <v>-1</v>
      </c>
      <c r="U613" s="15"/>
      <c r="V613" s="15"/>
      <c r="W613" s="15"/>
      <c r="X613" s="15"/>
      <c r="Y613" s="115"/>
      <c r="AX613" s="42"/>
      <c r="AY613" s="42"/>
      <c r="AZ613" s="42"/>
    </row>
    <row r="614" spans="13:52" x14ac:dyDescent="0.25">
      <c r="M614" s="4" t="s">
        <v>31</v>
      </c>
      <c r="N614" s="4" t="s">
        <v>31</v>
      </c>
      <c r="P614" s="13"/>
      <c r="Q614" s="114" t="s">
        <v>31</v>
      </c>
      <c r="R614" s="15" t="s">
        <v>31</v>
      </c>
      <c r="S614" s="15" t="s">
        <v>31</v>
      </c>
      <c r="T614" s="15" t="s">
        <v>31</v>
      </c>
      <c r="U614" s="15"/>
      <c r="V614" s="15"/>
      <c r="W614" s="15"/>
      <c r="X614" s="15"/>
      <c r="Y614" s="115"/>
      <c r="AX614" s="42"/>
      <c r="AY614" s="42"/>
      <c r="AZ614" s="42"/>
    </row>
    <row r="615" spans="13:52" x14ac:dyDescent="0.25">
      <c r="M615" s="4" t="s">
        <v>32</v>
      </c>
      <c r="N615" s="4" t="s">
        <v>32</v>
      </c>
      <c r="P615" s="13"/>
      <c r="Q615" s="114" t="s">
        <v>32</v>
      </c>
      <c r="R615" s="15" t="s">
        <v>32</v>
      </c>
      <c r="S615" s="15" t="s">
        <v>32</v>
      </c>
      <c r="T615" s="15" t="s">
        <v>32</v>
      </c>
      <c r="U615" s="15"/>
      <c r="V615" s="15"/>
      <c r="W615" s="15"/>
      <c r="X615" s="15"/>
      <c r="Y615" s="115"/>
      <c r="AX615" s="42"/>
      <c r="AY615" s="42"/>
      <c r="AZ615" s="42"/>
    </row>
    <row r="616" spans="13:52" x14ac:dyDescent="0.25">
      <c r="M616" s="4" t="s">
        <v>33</v>
      </c>
      <c r="N616" s="4" t="s">
        <v>33</v>
      </c>
      <c r="P616" s="13"/>
      <c r="Q616" s="114" t="s">
        <v>33</v>
      </c>
      <c r="R616" s="15" t="s">
        <v>33</v>
      </c>
      <c r="S616" s="15" t="s">
        <v>33</v>
      </c>
      <c r="T616" s="15" t="s">
        <v>33</v>
      </c>
      <c r="U616" s="15"/>
      <c r="V616" s="15"/>
      <c r="W616" s="15"/>
      <c r="X616" s="15"/>
      <c r="Y616" s="115"/>
      <c r="AX616" s="42"/>
      <c r="AY616" s="42"/>
      <c r="AZ616" s="42"/>
    </row>
    <row r="617" spans="13:52" x14ac:dyDescent="0.25">
      <c r="M617" s="4" t="s">
        <v>34</v>
      </c>
      <c r="N617" s="4" t="s">
        <v>34</v>
      </c>
      <c r="P617" s="13"/>
      <c r="Q617" s="114" t="s">
        <v>34</v>
      </c>
      <c r="R617" s="15" t="s">
        <v>34</v>
      </c>
      <c r="S617" s="15" t="s">
        <v>34</v>
      </c>
      <c r="T617" s="15" t="s">
        <v>34</v>
      </c>
      <c r="U617" s="15"/>
      <c r="V617" s="15"/>
      <c r="W617" s="15"/>
      <c r="X617" s="15"/>
      <c r="Y617" s="115"/>
      <c r="AX617" s="42"/>
      <c r="AY617" s="42"/>
      <c r="AZ617" s="42"/>
    </row>
    <row r="618" spans="13:52" x14ac:dyDescent="0.25">
      <c r="M618" s="4" t="s">
        <v>35</v>
      </c>
      <c r="N618" s="4" t="s">
        <v>35</v>
      </c>
      <c r="P618" s="13"/>
      <c r="Q618" s="114" t="s">
        <v>35</v>
      </c>
      <c r="R618" s="15" t="s">
        <v>35</v>
      </c>
      <c r="S618" s="15" t="s">
        <v>35</v>
      </c>
      <c r="T618" s="15" t="s">
        <v>35</v>
      </c>
      <c r="U618" s="15"/>
      <c r="V618" s="15"/>
      <c r="W618" s="15"/>
      <c r="X618" s="15"/>
      <c r="Y618" s="115"/>
      <c r="AX618" s="42"/>
      <c r="AY618" s="42"/>
      <c r="AZ618" s="42"/>
    </row>
    <row r="619" spans="13:52" x14ac:dyDescent="0.25">
      <c r="M619" s="4">
        <v>2500</v>
      </c>
      <c r="N619" s="4">
        <v>2500</v>
      </c>
      <c r="P619" s="13"/>
      <c r="Q619" s="114">
        <v>2500</v>
      </c>
      <c r="R619" s="15">
        <v>2500</v>
      </c>
      <c r="S619" s="15">
        <v>2500</v>
      </c>
      <c r="T619" s="15">
        <v>2500</v>
      </c>
      <c r="U619" s="15"/>
      <c r="V619" s="15"/>
      <c r="W619" s="15"/>
      <c r="X619" s="15"/>
      <c r="Y619" s="115"/>
      <c r="AX619" s="42"/>
      <c r="AY619" s="42"/>
      <c r="AZ619" s="42"/>
    </row>
    <row r="620" spans="13:52" x14ac:dyDescent="0.25">
      <c r="M620" s="4">
        <v>-5</v>
      </c>
      <c r="N620" s="4">
        <v>-5</v>
      </c>
      <c r="P620" s="13"/>
      <c r="Q620" s="114">
        <v>-5</v>
      </c>
      <c r="R620" s="15">
        <v>-5</v>
      </c>
      <c r="S620" s="15">
        <v>-5</v>
      </c>
      <c r="T620" s="15">
        <v>-5</v>
      </c>
      <c r="U620" s="15"/>
      <c r="V620" s="15"/>
      <c r="W620" s="15"/>
      <c r="X620" s="15"/>
      <c r="Y620" s="115"/>
      <c r="AX620" s="42"/>
      <c r="AY620" s="42"/>
      <c r="AZ620" s="42"/>
    </row>
    <row r="621" spans="13:52" x14ac:dyDescent="0.25">
      <c r="M621" s="4">
        <v>451</v>
      </c>
      <c r="N621" s="4">
        <v>451</v>
      </c>
      <c r="P621" s="13"/>
      <c r="Q621" s="114">
        <v>451</v>
      </c>
      <c r="R621" s="15">
        <v>451</v>
      </c>
      <c r="S621" s="15">
        <v>451</v>
      </c>
      <c r="T621" s="15">
        <v>451</v>
      </c>
      <c r="U621" s="15"/>
      <c r="V621" s="15"/>
      <c r="W621" s="15"/>
      <c r="X621" s="15"/>
      <c r="Y621" s="115"/>
      <c r="AX621" s="42"/>
      <c r="AY621" s="42"/>
      <c r="AZ621" s="42"/>
    </row>
    <row r="622" spans="13:52" x14ac:dyDescent="0.25">
      <c r="M622" s="4">
        <v>8</v>
      </c>
      <c r="N622" s="4">
        <v>8</v>
      </c>
      <c r="P622" s="13"/>
      <c r="Q622" s="114">
        <v>8</v>
      </c>
      <c r="R622" s="15">
        <v>8</v>
      </c>
      <c r="S622" s="15">
        <v>8</v>
      </c>
      <c r="T622" s="15">
        <v>8</v>
      </c>
      <c r="U622" s="15"/>
      <c r="V622" s="15"/>
      <c r="W622" s="15"/>
      <c r="X622" s="15"/>
      <c r="Y622" s="115"/>
      <c r="AX622" s="42"/>
      <c r="AY622" s="42"/>
      <c r="AZ622" s="42"/>
    </row>
    <row r="623" spans="13:52" x14ac:dyDescent="0.25">
      <c r="M623" s="4">
        <v>3.2069999999999999</v>
      </c>
      <c r="N623" s="4">
        <v>122.7329</v>
      </c>
      <c r="P623" s="13"/>
      <c r="Q623" s="114">
        <v>123.3364</v>
      </c>
      <c r="R623" s="15">
        <v>123.51730000000001</v>
      </c>
      <c r="S623" s="15">
        <v>123.51730000000001</v>
      </c>
      <c r="T623" s="15">
        <v>123.51730000000001</v>
      </c>
      <c r="U623" s="15"/>
      <c r="V623" s="15"/>
      <c r="W623" s="15"/>
      <c r="X623" s="15"/>
      <c r="Y623" s="115"/>
      <c r="AX623" s="42"/>
      <c r="AY623" s="42"/>
      <c r="AZ623" s="42"/>
    </row>
    <row r="624" spans="13:52" x14ac:dyDescent="0.25">
      <c r="M624" s="4">
        <v>-3.8052999999999999</v>
      </c>
      <c r="N624" s="4">
        <v>106.1589</v>
      </c>
      <c r="P624" s="13"/>
      <c r="Q624" s="114">
        <v>92.797200000000004</v>
      </c>
      <c r="R624" s="15">
        <v>92.337500000000006</v>
      </c>
      <c r="S624" s="15">
        <v>92.337500000000006</v>
      </c>
      <c r="T624" s="15">
        <v>92.337500000000006</v>
      </c>
      <c r="U624" s="15"/>
      <c r="V624" s="15"/>
      <c r="W624" s="15"/>
      <c r="X624" s="15"/>
      <c r="Y624" s="115"/>
      <c r="AX624" s="42"/>
      <c r="AY624" s="42"/>
      <c r="AZ624" s="42"/>
    </row>
    <row r="625" spans="13:52" x14ac:dyDescent="0.25">
      <c r="M625" s="4" t="s">
        <v>36</v>
      </c>
      <c r="N625" s="4" t="s">
        <v>36</v>
      </c>
      <c r="P625" s="13"/>
      <c r="Q625" s="114" t="s">
        <v>36</v>
      </c>
      <c r="R625" s="15" t="s">
        <v>36</v>
      </c>
      <c r="S625" s="15" t="s">
        <v>36</v>
      </c>
      <c r="T625" s="15" t="s">
        <v>36</v>
      </c>
      <c r="U625" s="15"/>
      <c r="V625" s="15"/>
      <c r="W625" s="15"/>
      <c r="X625" s="15"/>
      <c r="Y625" s="115"/>
      <c r="AX625" s="42"/>
      <c r="AY625" s="42"/>
      <c r="AZ625" s="42"/>
    </row>
    <row r="626" spans="13:52" x14ac:dyDescent="0.25">
      <c r="Y626" s="115"/>
      <c r="AX626" s="42"/>
      <c r="AY626" s="42"/>
      <c r="AZ626" s="42"/>
    </row>
    <row r="627" spans="13:52" x14ac:dyDescent="0.25">
      <c r="Y627" s="115"/>
      <c r="AX627" s="42"/>
      <c r="AY627" s="42"/>
      <c r="AZ627" s="42"/>
    </row>
    <row r="628" spans="13:52" x14ac:dyDescent="0.25">
      <c r="M628" s="4"/>
      <c r="N628" s="4"/>
      <c r="P628" s="14">
        <v>2500</v>
      </c>
      <c r="Q628" s="114"/>
      <c r="R628" s="15"/>
      <c r="S628" s="15"/>
      <c r="T628" s="15"/>
      <c r="U628" s="15"/>
      <c r="V628" s="15"/>
      <c r="W628" s="15"/>
      <c r="X628" s="15"/>
      <c r="Y628" s="115"/>
      <c r="AX628" s="42"/>
      <c r="AY628" s="42"/>
      <c r="AZ628" s="42"/>
    </row>
    <row r="629" spans="13:52" x14ac:dyDescent="0.25">
      <c r="M629" s="4"/>
      <c r="N629" s="4"/>
      <c r="P629" s="14">
        <v>2495</v>
      </c>
      <c r="Q629" s="114"/>
      <c r="R629" s="15"/>
      <c r="S629" s="15"/>
      <c r="T629" s="15"/>
      <c r="U629" s="15"/>
      <c r="V629" s="15"/>
      <c r="W629" s="15"/>
      <c r="X629" s="15"/>
      <c r="Y629" s="115"/>
      <c r="AX629" s="42"/>
      <c r="AY629" s="42"/>
      <c r="AZ629" s="42"/>
    </row>
    <row r="630" spans="13:52" x14ac:dyDescent="0.25">
      <c r="M630" s="4"/>
      <c r="N630" s="4"/>
      <c r="P630" s="14">
        <v>2490</v>
      </c>
      <c r="Q630" s="114"/>
      <c r="R630" s="15"/>
      <c r="S630" s="15"/>
      <c r="T630" s="15"/>
      <c r="U630" s="15"/>
      <c r="V630" s="15"/>
      <c r="W630" s="15"/>
      <c r="X630" s="15"/>
      <c r="Y630" s="115"/>
      <c r="AX630" s="42"/>
      <c r="AY630" s="42"/>
      <c r="AZ630" s="42"/>
    </row>
    <row r="631" spans="13:52" x14ac:dyDescent="0.25">
      <c r="M631" s="4"/>
      <c r="N631" s="4"/>
      <c r="P631" s="14">
        <v>2485</v>
      </c>
      <c r="Q631" s="114"/>
      <c r="R631" s="15"/>
      <c r="S631" s="15"/>
      <c r="T631" s="15"/>
      <c r="U631" s="15"/>
      <c r="V631" s="15"/>
      <c r="W631" s="15"/>
      <c r="X631" s="15"/>
      <c r="Y631" s="115"/>
      <c r="AX631" s="42"/>
      <c r="AY631" s="42"/>
      <c r="AZ631" s="42"/>
    </row>
    <row r="632" spans="13:52" x14ac:dyDescent="0.25">
      <c r="M632" s="4"/>
      <c r="N632" s="4"/>
      <c r="P632" s="14">
        <v>2480</v>
      </c>
      <c r="Q632" s="114"/>
      <c r="R632" s="15"/>
      <c r="S632" s="15"/>
      <c r="T632" s="15"/>
      <c r="U632" s="15"/>
      <c r="V632" s="15"/>
      <c r="W632" s="15"/>
      <c r="X632" s="15"/>
      <c r="Y632" s="115"/>
      <c r="AX632" s="42"/>
      <c r="AY632" s="42"/>
      <c r="AZ632" s="42"/>
    </row>
    <row r="633" spans="13:52" x14ac:dyDescent="0.25">
      <c r="M633" s="4"/>
      <c r="N633" s="4"/>
      <c r="P633" s="14">
        <v>2475</v>
      </c>
      <c r="Q633" s="114"/>
      <c r="R633" s="15"/>
      <c r="S633" s="15"/>
      <c r="T633" s="15"/>
      <c r="U633" s="15"/>
      <c r="V633" s="15"/>
      <c r="W633" s="15"/>
      <c r="X633" s="15"/>
      <c r="Y633" s="115"/>
      <c r="AX633" s="42"/>
      <c r="AY633" s="42"/>
      <c r="AZ633" s="42"/>
    </row>
    <row r="634" spans="13:52" x14ac:dyDescent="0.25">
      <c r="M634" s="4"/>
      <c r="N634" s="4"/>
      <c r="P634" s="14">
        <v>2470</v>
      </c>
      <c r="Q634" s="114"/>
      <c r="R634" s="15"/>
      <c r="S634" s="15"/>
      <c r="T634" s="15"/>
      <c r="U634" s="15"/>
      <c r="V634" s="15"/>
      <c r="W634" s="15"/>
      <c r="X634" s="15"/>
      <c r="Y634" s="115"/>
      <c r="AX634" s="42"/>
      <c r="AY634" s="42"/>
      <c r="AZ634" s="42"/>
    </row>
    <row r="635" spans="13:52" x14ac:dyDescent="0.25">
      <c r="M635" s="4"/>
      <c r="N635" s="4"/>
      <c r="P635" s="14">
        <v>2465</v>
      </c>
      <c r="Q635" s="114"/>
      <c r="R635" s="15"/>
      <c r="S635" s="15"/>
      <c r="T635" s="15"/>
      <c r="U635" s="15"/>
      <c r="V635" s="15"/>
      <c r="W635" s="15"/>
      <c r="X635" s="15"/>
      <c r="Y635" s="115"/>
      <c r="AX635" s="42"/>
      <c r="AY635" s="42"/>
      <c r="AZ635" s="42"/>
    </row>
    <row r="636" spans="13:52" x14ac:dyDescent="0.25">
      <c r="M636" s="4"/>
      <c r="N636" s="4"/>
      <c r="P636" s="14">
        <v>2460</v>
      </c>
      <c r="Q636" s="114"/>
      <c r="R636" s="15"/>
      <c r="S636" s="15"/>
      <c r="T636" s="15"/>
      <c r="U636" s="15"/>
      <c r="V636" s="15"/>
      <c r="W636" s="15"/>
      <c r="X636" s="15"/>
      <c r="Y636" s="115"/>
      <c r="AX636" s="42"/>
      <c r="AY636" s="42"/>
      <c r="AZ636" s="42"/>
    </row>
    <row r="637" spans="13:52" x14ac:dyDescent="0.25">
      <c r="M637" s="4"/>
      <c r="N637" s="4"/>
      <c r="P637" s="14">
        <v>2455</v>
      </c>
      <c r="Q637" s="114"/>
      <c r="R637" s="15"/>
      <c r="S637" s="15"/>
      <c r="T637" s="15"/>
      <c r="U637" s="15"/>
      <c r="V637" s="15"/>
      <c r="W637" s="15"/>
      <c r="X637" s="15"/>
      <c r="Y637" s="115"/>
      <c r="AX637" s="42"/>
      <c r="AY637" s="42"/>
      <c r="AZ637" s="42"/>
    </row>
    <row r="638" spans="13:52" x14ac:dyDescent="0.25">
      <c r="M638" s="4"/>
      <c r="N638" s="4"/>
      <c r="P638" s="14">
        <v>2450</v>
      </c>
      <c r="Q638" s="114"/>
      <c r="R638" s="15"/>
      <c r="S638" s="15"/>
      <c r="T638" s="15"/>
      <c r="U638" s="15"/>
      <c r="V638" s="15"/>
      <c r="W638" s="15"/>
      <c r="X638" s="15"/>
      <c r="Y638" s="115"/>
      <c r="AX638" s="42"/>
      <c r="AY638" s="42"/>
      <c r="AZ638" s="42"/>
    </row>
    <row r="639" spans="13:52" x14ac:dyDescent="0.25">
      <c r="M639" s="4"/>
      <c r="N639" s="4"/>
      <c r="P639" s="14">
        <v>2445</v>
      </c>
      <c r="Q639" s="114"/>
      <c r="R639" s="15"/>
      <c r="S639" s="15"/>
      <c r="T639" s="15"/>
      <c r="U639" s="15"/>
      <c r="V639" s="15"/>
      <c r="W639" s="15"/>
      <c r="X639" s="15"/>
      <c r="Y639" s="115"/>
      <c r="AX639" s="42"/>
      <c r="AY639" s="42"/>
      <c r="AZ639" s="42"/>
    </row>
    <row r="640" spans="13:52" x14ac:dyDescent="0.25">
      <c r="M640" s="4"/>
      <c r="N640" s="4"/>
      <c r="P640" s="14">
        <v>2440</v>
      </c>
      <c r="Q640" s="114"/>
      <c r="R640" s="15"/>
      <c r="S640" s="15"/>
      <c r="T640" s="15"/>
      <c r="U640" s="15"/>
      <c r="V640" s="15"/>
      <c r="W640" s="15"/>
      <c r="X640" s="15"/>
      <c r="Y640" s="115"/>
      <c r="AX640" s="42"/>
      <c r="AY640" s="42"/>
      <c r="AZ640" s="42"/>
    </row>
    <row r="641" spans="13:52" x14ac:dyDescent="0.25">
      <c r="M641" s="4"/>
      <c r="N641" s="4"/>
      <c r="P641" s="14">
        <v>2435</v>
      </c>
      <c r="Q641" s="114"/>
      <c r="R641" s="15"/>
      <c r="S641" s="15"/>
      <c r="T641" s="15"/>
      <c r="U641" s="15"/>
      <c r="V641" s="15"/>
      <c r="W641" s="15"/>
      <c r="X641" s="15"/>
      <c r="Y641" s="115"/>
      <c r="AX641" s="42"/>
      <c r="AY641" s="42"/>
      <c r="AZ641" s="42"/>
    </row>
    <row r="642" spans="13:52" x14ac:dyDescent="0.25">
      <c r="M642" s="4"/>
      <c r="N642" s="4"/>
      <c r="P642" s="14">
        <v>2430</v>
      </c>
      <c r="Q642" s="114"/>
      <c r="R642" s="15"/>
      <c r="S642" s="15"/>
      <c r="T642" s="15"/>
      <c r="U642" s="15"/>
      <c r="V642" s="15"/>
      <c r="W642" s="15"/>
      <c r="X642" s="15"/>
      <c r="Y642" s="115"/>
      <c r="AX642" s="42"/>
      <c r="AY642" s="42"/>
      <c r="AZ642" s="42"/>
    </row>
    <row r="643" spans="13:52" x14ac:dyDescent="0.25">
      <c r="M643" s="4"/>
      <c r="N643" s="4"/>
      <c r="P643" s="14">
        <v>2425</v>
      </c>
      <c r="Q643" s="114"/>
      <c r="R643" s="15"/>
      <c r="S643" s="15"/>
      <c r="T643" s="15"/>
      <c r="U643" s="15"/>
      <c r="V643" s="15"/>
      <c r="W643" s="15"/>
      <c r="X643" s="15"/>
      <c r="Y643" s="115"/>
      <c r="AX643" s="42"/>
      <c r="AY643" s="42"/>
      <c r="AZ643" s="42"/>
    </row>
    <row r="644" spans="13:52" x14ac:dyDescent="0.25">
      <c r="M644" s="4"/>
      <c r="N644" s="4"/>
      <c r="P644" s="14">
        <v>2420</v>
      </c>
      <c r="Q644" s="114"/>
      <c r="R644" s="15"/>
      <c r="S644" s="15"/>
      <c r="T644" s="15"/>
      <c r="U644" s="15"/>
      <c r="V644" s="15"/>
      <c r="W644" s="15"/>
      <c r="X644" s="15"/>
      <c r="Y644" s="115"/>
      <c r="AX644" s="42"/>
      <c r="AY644" s="42"/>
      <c r="AZ644" s="42"/>
    </row>
    <row r="645" spans="13:52" x14ac:dyDescent="0.25">
      <c r="M645" s="4"/>
      <c r="N645" s="4"/>
      <c r="P645" s="14">
        <v>2415</v>
      </c>
      <c r="Q645" s="114"/>
      <c r="R645" s="15"/>
      <c r="S645" s="15"/>
      <c r="T645" s="15"/>
      <c r="U645" s="15"/>
      <c r="V645" s="15"/>
      <c r="W645" s="15"/>
      <c r="X645" s="15"/>
      <c r="Y645" s="115"/>
      <c r="AX645" s="42"/>
      <c r="AY645" s="42"/>
      <c r="AZ645" s="42"/>
    </row>
    <row r="646" spans="13:52" x14ac:dyDescent="0.25">
      <c r="M646" s="4"/>
      <c r="N646" s="4"/>
      <c r="P646" s="14">
        <v>2410</v>
      </c>
      <c r="Q646" s="114"/>
      <c r="R646" s="15"/>
      <c r="S646" s="15"/>
      <c r="T646" s="15"/>
      <c r="U646" s="15"/>
      <c r="V646" s="15"/>
      <c r="W646" s="15"/>
      <c r="X646" s="15"/>
      <c r="Y646" s="115"/>
      <c r="AX646" s="42"/>
      <c r="AY646" s="42"/>
      <c r="AZ646" s="42"/>
    </row>
    <row r="647" spans="13:52" x14ac:dyDescent="0.25">
      <c r="M647" s="4"/>
      <c r="N647" s="4"/>
      <c r="P647" s="14">
        <v>2405</v>
      </c>
      <c r="Q647" s="114"/>
      <c r="R647" s="15"/>
      <c r="S647" s="15"/>
      <c r="T647" s="15"/>
      <c r="U647" s="15"/>
      <c r="V647" s="15"/>
      <c r="W647" s="15"/>
      <c r="X647" s="15"/>
      <c r="Y647" s="115"/>
      <c r="AX647" s="42"/>
      <c r="AY647" s="42"/>
      <c r="AZ647" s="42"/>
    </row>
    <row r="648" spans="13:52" x14ac:dyDescent="0.25">
      <c r="M648" s="4"/>
      <c r="N648" s="4"/>
      <c r="P648" s="14">
        <v>2400</v>
      </c>
      <c r="Q648" s="114"/>
      <c r="R648" s="15"/>
      <c r="S648" s="15"/>
      <c r="T648" s="15"/>
      <c r="U648" s="15"/>
      <c r="V648" s="15"/>
      <c r="W648" s="15"/>
      <c r="X648" s="15"/>
      <c r="Y648" s="115"/>
      <c r="AX648" s="42"/>
      <c r="AY648" s="42"/>
      <c r="AZ648" s="42"/>
    </row>
    <row r="649" spans="13:52" x14ac:dyDescent="0.25">
      <c r="M649" s="4"/>
      <c r="N649" s="4"/>
      <c r="P649" s="14">
        <v>2395</v>
      </c>
      <c r="Q649" s="114"/>
      <c r="R649" s="15"/>
      <c r="S649" s="15"/>
      <c r="T649" s="15"/>
      <c r="U649" s="15"/>
      <c r="V649" s="15"/>
      <c r="W649" s="15"/>
      <c r="X649" s="15"/>
      <c r="Y649" s="115"/>
      <c r="AX649" s="42"/>
      <c r="AY649" s="42"/>
      <c r="AZ649" s="42"/>
    </row>
    <row r="650" spans="13:52" x14ac:dyDescent="0.25">
      <c r="M650" s="4"/>
      <c r="N650" s="4"/>
      <c r="P650" s="14">
        <v>2390</v>
      </c>
      <c r="Q650" s="114"/>
      <c r="R650" s="15"/>
      <c r="S650" s="15"/>
      <c r="T650" s="15"/>
      <c r="U650" s="15"/>
      <c r="V650" s="15"/>
      <c r="W650" s="15"/>
      <c r="X650" s="15"/>
      <c r="Y650" s="115"/>
      <c r="AX650" s="42"/>
      <c r="AY650" s="42"/>
      <c r="AZ650" s="42"/>
    </row>
    <row r="651" spans="13:52" x14ac:dyDescent="0.25">
      <c r="M651" s="4"/>
      <c r="N651" s="4"/>
      <c r="P651" s="14">
        <v>2385</v>
      </c>
      <c r="Q651" s="114"/>
      <c r="R651" s="15"/>
      <c r="S651" s="15"/>
      <c r="T651" s="15"/>
      <c r="U651" s="15"/>
      <c r="V651" s="15"/>
      <c r="W651" s="15"/>
      <c r="X651" s="15"/>
      <c r="Y651" s="115"/>
      <c r="AX651" s="42"/>
      <c r="AY651" s="42"/>
      <c r="AZ651" s="42"/>
    </row>
    <row r="652" spans="13:52" x14ac:dyDescent="0.25">
      <c r="M652" s="4"/>
      <c r="N652" s="4"/>
      <c r="P652" s="14">
        <v>2380</v>
      </c>
      <c r="Q652" s="114"/>
      <c r="R652" s="15"/>
      <c r="S652" s="15"/>
      <c r="T652" s="15"/>
      <c r="U652" s="15"/>
      <c r="V652" s="15"/>
      <c r="W652" s="15"/>
      <c r="X652" s="15"/>
      <c r="Y652" s="115"/>
      <c r="AX652" s="42"/>
      <c r="AY652" s="42"/>
      <c r="AZ652" s="42"/>
    </row>
    <row r="653" spans="13:52" x14ac:dyDescent="0.25">
      <c r="M653" s="4"/>
      <c r="N653" s="4"/>
      <c r="P653" s="14">
        <v>2375</v>
      </c>
      <c r="Q653" s="114"/>
      <c r="R653" s="15"/>
      <c r="S653" s="15"/>
      <c r="T653" s="15"/>
      <c r="U653" s="15"/>
      <c r="V653" s="15"/>
      <c r="W653" s="15"/>
      <c r="X653" s="15"/>
      <c r="Y653" s="115"/>
      <c r="AX653" s="42"/>
      <c r="AY653" s="42"/>
      <c r="AZ653" s="42"/>
    </row>
    <row r="654" spans="13:52" x14ac:dyDescent="0.25">
      <c r="M654" s="4"/>
      <c r="N654" s="4"/>
      <c r="P654" s="14">
        <v>2370</v>
      </c>
      <c r="Q654" s="114"/>
      <c r="R654" s="15"/>
      <c r="S654" s="15"/>
      <c r="T654" s="15"/>
      <c r="U654" s="15"/>
      <c r="V654" s="15"/>
      <c r="W654" s="15"/>
      <c r="X654" s="15"/>
      <c r="Y654" s="115"/>
      <c r="AX654" s="42"/>
      <c r="AY654" s="42"/>
      <c r="AZ654" s="42"/>
    </row>
    <row r="655" spans="13:52" x14ac:dyDescent="0.25">
      <c r="M655" s="4"/>
      <c r="N655" s="4"/>
      <c r="P655" s="14">
        <v>2365</v>
      </c>
      <c r="Q655" s="114"/>
      <c r="R655" s="15"/>
      <c r="S655" s="15"/>
      <c r="T655" s="15"/>
      <c r="U655" s="15"/>
      <c r="V655" s="15"/>
      <c r="W655" s="15"/>
      <c r="X655" s="15"/>
      <c r="Y655" s="115"/>
      <c r="AX655" s="42"/>
      <c r="AY655" s="42"/>
      <c r="AZ655" s="42"/>
    </row>
    <row r="656" spans="13:52" x14ac:dyDescent="0.25">
      <c r="M656" s="4"/>
      <c r="N656" s="4"/>
      <c r="P656" s="14">
        <v>2360</v>
      </c>
      <c r="Q656" s="114"/>
      <c r="R656" s="15"/>
      <c r="S656" s="15"/>
      <c r="T656" s="15"/>
      <c r="U656" s="15"/>
      <c r="V656" s="15"/>
      <c r="W656" s="15"/>
      <c r="X656" s="15"/>
      <c r="Y656" s="115"/>
      <c r="AX656" s="42"/>
      <c r="AY656" s="42"/>
      <c r="AZ656" s="42"/>
    </row>
    <row r="657" spans="13:52" x14ac:dyDescent="0.25">
      <c r="M657" s="4"/>
      <c r="N657" s="4"/>
      <c r="P657" s="14">
        <v>2355</v>
      </c>
      <c r="Q657" s="114"/>
      <c r="R657" s="15"/>
      <c r="S657" s="15"/>
      <c r="T657" s="15"/>
      <c r="U657" s="15"/>
      <c r="V657" s="15"/>
      <c r="W657" s="15"/>
      <c r="X657" s="15"/>
      <c r="Y657" s="115"/>
      <c r="AX657" s="42"/>
      <c r="AY657" s="42"/>
      <c r="AZ657" s="42"/>
    </row>
    <row r="658" spans="13:52" x14ac:dyDescent="0.25">
      <c r="M658" s="4"/>
      <c r="N658" s="4"/>
      <c r="P658" s="14">
        <v>2350</v>
      </c>
      <c r="Q658" s="114"/>
      <c r="R658" s="15"/>
      <c r="S658" s="15"/>
      <c r="T658" s="15"/>
      <c r="U658" s="15"/>
      <c r="V658" s="15"/>
      <c r="W658" s="15"/>
      <c r="X658" s="15"/>
      <c r="Y658" s="115"/>
      <c r="AX658" s="42"/>
      <c r="AY658" s="42"/>
      <c r="AZ658" s="42"/>
    </row>
    <row r="659" spans="13:52" x14ac:dyDescent="0.25">
      <c r="M659" s="4"/>
      <c r="N659" s="4"/>
      <c r="P659" s="14">
        <v>2345</v>
      </c>
      <c r="Q659" s="114"/>
      <c r="R659" s="15"/>
      <c r="S659" s="15"/>
      <c r="T659" s="15"/>
      <c r="U659" s="15"/>
      <c r="V659" s="15"/>
      <c r="W659" s="15"/>
      <c r="X659" s="15"/>
      <c r="Y659" s="115"/>
      <c r="AX659" s="42"/>
      <c r="AY659" s="42"/>
      <c r="AZ659" s="42"/>
    </row>
    <row r="660" spans="13:52" x14ac:dyDescent="0.25">
      <c r="M660" s="4"/>
      <c r="N660" s="4"/>
      <c r="P660" s="14">
        <v>2340</v>
      </c>
      <c r="Q660" s="114"/>
      <c r="R660" s="15"/>
      <c r="S660" s="15"/>
      <c r="T660" s="15"/>
      <c r="U660" s="15"/>
      <c r="V660" s="15"/>
      <c r="W660" s="15"/>
      <c r="X660" s="15"/>
      <c r="Y660" s="115"/>
      <c r="AX660" s="42"/>
      <c r="AY660" s="42"/>
      <c r="AZ660" s="42"/>
    </row>
    <row r="661" spans="13:52" x14ac:dyDescent="0.25">
      <c r="M661" s="4"/>
      <c r="N661" s="4"/>
      <c r="P661" s="14">
        <v>2335</v>
      </c>
      <c r="Q661" s="114"/>
      <c r="R661" s="15"/>
      <c r="S661" s="15"/>
      <c r="T661" s="15"/>
      <c r="U661" s="15"/>
      <c r="V661" s="15"/>
      <c r="W661" s="15"/>
      <c r="X661" s="15"/>
      <c r="Y661" s="115"/>
      <c r="AX661" s="42"/>
      <c r="AY661" s="42"/>
      <c r="AZ661" s="42"/>
    </row>
    <row r="662" spans="13:52" x14ac:dyDescent="0.25">
      <c r="M662" s="4"/>
      <c r="N662" s="4"/>
      <c r="P662" s="14">
        <v>2330</v>
      </c>
      <c r="Q662" s="114"/>
      <c r="R662" s="15"/>
      <c r="S662" s="15"/>
      <c r="T662" s="15"/>
      <c r="U662" s="15"/>
      <c r="V662" s="15"/>
      <c r="W662" s="15"/>
      <c r="X662" s="15"/>
      <c r="Y662" s="115"/>
      <c r="AX662" s="42"/>
      <c r="AY662" s="42"/>
      <c r="AZ662" s="42"/>
    </row>
    <row r="663" spans="13:52" x14ac:dyDescent="0.25">
      <c r="M663" s="4"/>
      <c r="N663" s="4"/>
      <c r="P663" s="14">
        <v>2325</v>
      </c>
      <c r="Q663" s="114"/>
      <c r="R663" s="15"/>
      <c r="S663" s="15"/>
      <c r="T663" s="15"/>
      <c r="U663" s="15"/>
      <c r="V663" s="15"/>
      <c r="W663" s="15"/>
      <c r="X663" s="15"/>
      <c r="Y663" s="115"/>
      <c r="AX663" s="42"/>
      <c r="AY663" s="42"/>
      <c r="AZ663" s="42"/>
    </row>
    <row r="664" spans="13:52" x14ac:dyDescent="0.25">
      <c r="M664" s="4"/>
      <c r="N664" s="4"/>
      <c r="P664" s="14">
        <v>2320</v>
      </c>
      <c r="Q664" s="114"/>
      <c r="R664" s="15"/>
      <c r="S664" s="15"/>
      <c r="T664" s="15"/>
      <c r="U664" s="15"/>
      <c r="V664" s="15"/>
      <c r="W664" s="15"/>
      <c r="X664" s="15"/>
      <c r="Y664" s="115"/>
      <c r="AX664" s="42"/>
      <c r="AY664" s="42"/>
      <c r="AZ664" s="42"/>
    </row>
    <row r="665" spans="13:52" x14ac:dyDescent="0.25">
      <c r="M665" s="4"/>
      <c r="N665" s="4"/>
      <c r="P665" s="14">
        <v>2315</v>
      </c>
      <c r="Q665" s="114"/>
      <c r="R665" s="15"/>
      <c r="S665" s="15"/>
      <c r="T665" s="15"/>
      <c r="U665" s="15"/>
      <c r="V665" s="15"/>
      <c r="W665" s="15"/>
      <c r="X665" s="15"/>
      <c r="Y665" s="115"/>
      <c r="AX665" s="42"/>
      <c r="AY665" s="42"/>
      <c r="AZ665" s="42"/>
    </row>
    <row r="666" spans="13:52" x14ac:dyDescent="0.25">
      <c r="M666" s="4"/>
      <c r="N666" s="4"/>
      <c r="P666" s="14">
        <v>2310</v>
      </c>
      <c r="Q666" s="114"/>
      <c r="R666" s="15"/>
      <c r="S666" s="15"/>
      <c r="T666" s="15"/>
      <c r="U666" s="15"/>
      <c r="V666" s="15"/>
      <c r="W666" s="15"/>
      <c r="X666" s="15"/>
      <c r="Y666" s="115"/>
      <c r="AX666" s="42"/>
      <c r="AY666" s="42"/>
      <c r="AZ666" s="42"/>
    </row>
    <row r="667" spans="13:52" x14ac:dyDescent="0.25">
      <c r="M667" s="4"/>
      <c r="N667" s="4"/>
      <c r="P667" s="14">
        <v>2305</v>
      </c>
      <c r="Q667" s="114"/>
      <c r="R667" s="15"/>
      <c r="S667" s="15"/>
      <c r="T667" s="15"/>
      <c r="U667" s="15"/>
      <c r="V667" s="15"/>
      <c r="W667" s="15"/>
      <c r="X667" s="15"/>
      <c r="Y667" s="115"/>
      <c r="AX667" s="42"/>
      <c r="AY667" s="42"/>
      <c r="AZ667" s="42"/>
    </row>
    <row r="668" spans="13:52" x14ac:dyDescent="0.25">
      <c r="M668" s="4"/>
      <c r="N668" s="4"/>
      <c r="P668" s="14">
        <v>2300</v>
      </c>
      <c r="Q668" s="114"/>
      <c r="R668" s="15"/>
      <c r="S668" s="15"/>
      <c r="T668" s="15"/>
      <c r="U668" s="15"/>
      <c r="V668" s="15"/>
      <c r="W668" s="15"/>
      <c r="X668" s="15"/>
      <c r="Y668" s="115"/>
      <c r="AX668" s="42"/>
      <c r="AY668" s="42"/>
      <c r="AZ668" s="42"/>
    </row>
    <row r="669" spans="13:52" x14ac:dyDescent="0.25">
      <c r="M669" s="4"/>
      <c r="N669" s="4"/>
      <c r="P669" s="14">
        <v>2295</v>
      </c>
      <c r="Q669" s="114"/>
      <c r="R669" s="15"/>
      <c r="S669" s="15"/>
      <c r="T669" s="15"/>
      <c r="U669" s="15"/>
      <c r="V669" s="15"/>
      <c r="W669" s="15"/>
      <c r="X669" s="15"/>
      <c r="Y669" s="115"/>
      <c r="AX669" s="42"/>
      <c r="AY669" s="42"/>
      <c r="AZ669" s="42"/>
    </row>
    <row r="670" spans="13:52" x14ac:dyDescent="0.25">
      <c r="M670" s="4"/>
      <c r="N670" s="4"/>
      <c r="P670" s="14">
        <v>2290</v>
      </c>
      <c r="Q670" s="114"/>
      <c r="R670" s="15"/>
      <c r="S670" s="15"/>
      <c r="T670" s="15"/>
      <c r="U670" s="15"/>
      <c r="V670" s="15"/>
      <c r="W670" s="15"/>
      <c r="X670" s="15"/>
      <c r="Y670" s="115"/>
      <c r="AX670" s="42"/>
      <c r="AY670" s="42"/>
      <c r="AZ670" s="42"/>
    </row>
    <row r="671" spans="13:52" x14ac:dyDescent="0.25">
      <c r="M671" s="4"/>
      <c r="N671" s="4"/>
      <c r="P671" s="14">
        <v>2285</v>
      </c>
      <c r="Q671" s="114"/>
      <c r="R671" s="15"/>
      <c r="S671" s="15"/>
      <c r="T671" s="15"/>
      <c r="U671" s="15"/>
      <c r="V671" s="15"/>
      <c r="W671" s="15"/>
      <c r="X671" s="15"/>
      <c r="Y671" s="115"/>
      <c r="AX671" s="42"/>
      <c r="AY671" s="42"/>
      <c r="AZ671" s="42"/>
    </row>
    <row r="672" spans="13:52" x14ac:dyDescent="0.25">
      <c r="M672" s="4"/>
      <c r="N672" s="4"/>
      <c r="P672" s="14">
        <v>2280</v>
      </c>
      <c r="Q672" s="114"/>
      <c r="R672" s="15"/>
      <c r="S672" s="15"/>
      <c r="T672" s="15"/>
      <c r="U672" s="15"/>
      <c r="V672" s="15"/>
      <c r="W672" s="15"/>
      <c r="X672" s="15"/>
      <c r="Y672" s="115"/>
      <c r="AX672" s="42"/>
      <c r="AY672" s="42"/>
      <c r="AZ672" s="42"/>
    </row>
    <row r="673" spans="13:52" x14ac:dyDescent="0.25">
      <c r="M673" s="4"/>
      <c r="N673" s="4"/>
      <c r="P673" s="14">
        <v>2275</v>
      </c>
      <c r="Q673" s="114"/>
      <c r="R673" s="15"/>
      <c r="S673" s="15"/>
      <c r="T673" s="15"/>
      <c r="U673" s="15"/>
      <c r="V673" s="15"/>
      <c r="W673" s="15"/>
      <c r="X673" s="15"/>
      <c r="Y673" s="115"/>
      <c r="AX673" s="42"/>
      <c r="AY673" s="42"/>
      <c r="AZ673" s="42"/>
    </row>
    <row r="674" spans="13:52" x14ac:dyDescent="0.25">
      <c r="M674" s="4"/>
      <c r="N674" s="4"/>
      <c r="P674" s="14">
        <v>2270</v>
      </c>
      <c r="Q674" s="114"/>
      <c r="R674" s="15"/>
      <c r="S674" s="15"/>
      <c r="T674" s="15"/>
      <c r="U674" s="15"/>
      <c r="V674" s="15"/>
      <c r="W674" s="15"/>
      <c r="X674" s="15"/>
      <c r="Y674" s="115"/>
      <c r="AX674" s="42"/>
      <c r="AY674" s="42"/>
      <c r="AZ674" s="42"/>
    </row>
    <row r="675" spans="13:52" x14ac:dyDescent="0.25">
      <c r="M675" s="4"/>
      <c r="N675" s="4"/>
      <c r="P675" s="14">
        <v>2265</v>
      </c>
      <c r="Q675" s="114"/>
      <c r="R675" s="15"/>
      <c r="S675" s="15"/>
      <c r="T675" s="15"/>
      <c r="U675" s="15"/>
      <c r="V675" s="15"/>
      <c r="W675" s="15"/>
      <c r="X675" s="15"/>
      <c r="Y675" s="115"/>
      <c r="AX675" s="42"/>
      <c r="AY675" s="42"/>
      <c r="AZ675" s="42"/>
    </row>
    <row r="676" spans="13:52" x14ac:dyDescent="0.25">
      <c r="M676" s="4"/>
      <c r="N676" s="4"/>
      <c r="P676" s="14">
        <v>2260</v>
      </c>
      <c r="Q676" s="114"/>
      <c r="R676" s="15"/>
      <c r="S676" s="15"/>
      <c r="T676" s="15"/>
      <c r="U676" s="15"/>
      <c r="V676" s="15"/>
      <c r="W676" s="15"/>
      <c r="X676" s="15"/>
      <c r="Y676" s="115"/>
      <c r="AX676" s="42"/>
      <c r="AY676" s="42"/>
      <c r="AZ676" s="42"/>
    </row>
    <row r="677" spans="13:52" x14ac:dyDescent="0.25">
      <c r="M677" s="4"/>
      <c r="N677" s="4"/>
      <c r="P677" s="14">
        <v>2255</v>
      </c>
      <c r="Q677" s="114"/>
      <c r="R677" s="15"/>
      <c r="S677" s="15"/>
      <c r="T677" s="15"/>
      <c r="U677" s="15"/>
      <c r="V677" s="15"/>
      <c r="W677" s="15"/>
      <c r="X677" s="15"/>
      <c r="Y677" s="115"/>
      <c r="AX677" s="42"/>
      <c r="AY677" s="42"/>
      <c r="AZ677" s="42"/>
    </row>
    <row r="678" spans="13:52" x14ac:dyDescent="0.25">
      <c r="M678" s="4"/>
      <c r="N678" s="4"/>
      <c r="P678" s="14">
        <v>2250</v>
      </c>
      <c r="Q678" s="114"/>
      <c r="R678" s="15"/>
      <c r="S678" s="15"/>
      <c r="T678" s="15"/>
      <c r="U678" s="15"/>
      <c r="V678" s="15"/>
      <c r="W678" s="15"/>
      <c r="X678" s="15"/>
      <c r="Y678" s="115"/>
      <c r="AX678" s="42"/>
      <c r="AY678" s="42"/>
      <c r="AZ678" s="42"/>
    </row>
    <row r="679" spans="13:52" x14ac:dyDescent="0.25">
      <c r="M679" s="4"/>
      <c r="N679" s="4"/>
      <c r="P679" s="14">
        <v>2245</v>
      </c>
      <c r="Q679" s="114"/>
      <c r="R679" s="15"/>
      <c r="S679" s="15"/>
      <c r="T679" s="15"/>
      <c r="U679" s="15"/>
      <c r="V679" s="15"/>
      <c r="W679" s="15"/>
      <c r="X679" s="15"/>
      <c r="Y679" s="115"/>
      <c r="AX679" s="42"/>
      <c r="AY679" s="42"/>
      <c r="AZ679" s="42"/>
    </row>
    <row r="680" spans="13:52" x14ac:dyDescent="0.25">
      <c r="M680" s="4"/>
      <c r="N680" s="4"/>
      <c r="P680" s="14">
        <v>2240</v>
      </c>
      <c r="Q680" s="114"/>
      <c r="R680" s="15"/>
      <c r="S680" s="15"/>
      <c r="T680" s="15"/>
      <c r="U680" s="15"/>
      <c r="V680" s="15"/>
      <c r="W680" s="15"/>
      <c r="X680" s="15"/>
      <c r="Y680" s="115"/>
      <c r="AX680" s="42"/>
      <c r="AY680" s="42"/>
      <c r="AZ680" s="42"/>
    </row>
    <row r="681" spans="13:52" x14ac:dyDescent="0.25">
      <c r="M681" s="4"/>
      <c r="N681" s="4"/>
      <c r="P681" s="14">
        <v>2235</v>
      </c>
      <c r="Q681" s="114"/>
      <c r="R681" s="15"/>
      <c r="S681" s="15"/>
      <c r="T681" s="15"/>
      <c r="U681" s="15"/>
      <c r="V681" s="15"/>
      <c r="W681" s="15"/>
      <c r="X681" s="15"/>
      <c r="Y681" s="115"/>
      <c r="AX681" s="42"/>
      <c r="AY681" s="42"/>
      <c r="AZ681" s="42"/>
    </row>
    <row r="682" spans="13:52" x14ac:dyDescent="0.25">
      <c r="M682" s="4"/>
      <c r="N682" s="4"/>
      <c r="P682" s="14">
        <v>2230</v>
      </c>
      <c r="Q682" s="114"/>
      <c r="R682" s="15"/>
      <c r="S682" s="15"/>
      <c r="T682" s="15"/>
      <c r="U682" s="15"/>
      <c r="V682" s="15"/>
      <c r="W682" s="15"/>
      <c r="X682" s="15"/>
      <c r="Y682" s="115"/>
      <c r="AX682" s="42"/>
      <c r="AY682" s="42"/>
      <c r="AZ682" s="42"/>
    </row>
    <row r="683" spans="13:52" x14ac:dyDescent="0.25">
      <c r="M683" s="4"/>
      <c r="N683" s="4"/>
      <c r="P683" s="14">
        <v>2225</v>
      </c>
      <c r="Q683" s="114"/>
      <c r="R683" s="15"/>
      <c r="S683" s="15"/>
      <c r="T683" s="15"/>
      <c r="U683" s="15"/>
      <c r="V683" s="15"/>
      <c r="W683" s="15"/>
      <c r="X683" s="15"/>
      <c r="Y683" s="115"/>
      <c r="AX683" s="42"/>
      <c r="AY683" s="42"/>
      <c r="AZ683" s="42"/>
    </row>
    <row r="684" spans="13:52" x14ac:dyDescent="0.25">
      <c r="M684" s="4"/>
      <c r="N684" s="4"/>
      <c r="P684" s="14">
        <v>2220</v>
      </c>
      <c r="Q684" s="114"/>
      <c r="R684" s="15"/>
      <c r="S684" s="15"/>
      <c r="T684" s="15"/>
      <c r="U684" s="15"/>
      <c r="V684" s="15"/>
      <c r="W684" s="15"/>
      <c r="X684" s="15"/>
      <c r="Y684" s="115"/>
      <c r="AX684" s="42"/>
      <c r="AY684" s="42"/>
      <c r="AZ684" s="42"/>
    </row>
    <row r="685" spans="13:52" x14ac:dyDescent="0.25">
      <c r="M685" s="4"/>
      <c r="N685" s="4"/>
      <c r="P685" s="14">
        <v>2215</v>
      </c>
      <c r="Q685" s="114"/>
      <c r="R685" s="15"/>
      <c r="S685" s="15"/>
      <c r="T685" s="15"/>
      <c r="U685" s="15"/>
      <c r="V685" s="15"/>
      <c r="W685" s="15"/>
      <c r="X685" s="15"/>
      <c r="Y685" s="115"/>
      <c r="AX685" s="42"/>
      <c r="AY685" s="42"/>
      <c r="AZ685" s="42"/>
    </row>
    <row r="686" spans="13:52" x14ac:dyDescent="0.25">
      <c r="M686" s="4"/>
      <c r="N686" s="4"/>
      <c r="P686" s="14">
        <v>2210</v>
      </c>
      <c r="Q686" s="114"/>
      <c r="R686" s="15"/>
      <c r="S686" s="15"/>
      <c r="T686" s="15"/>
      <c r="U686" s="15"/>
      <c r="V686" s="15"/>
      <c r="W686" s="15"/>
      <c r="X686" s="15"/>
      <c r="Y686" s="115"/>
      <c r="AX686" s="42"/>
      <c r="AY686" s="42"/>
      <c r="AZ686" s="42"/>
    </row>
    <row r="687" spans="13:52" x14ac:dyDescent="0.25">
      <c r="M687" s="4"/>
      <c r="N687" s="4"/>
      <c r="P687" s="14">
        <v>2205</v>
      </c>
      <c r="Q687" s="114"/>
      <c r="R687" s="15"/>
      <c r="S687" s="15"/>
      <c r="T687" s="15"/>
      <c r="U687" s="15"/>
      <c r="V687" s="15"/>
      <c r="W687" s="15"/>
      <c r="X687" s="15"/>
      <c r="Y687" s="115"/>
      <c r="AX687" s="42"/>
      <c r="AY687" s="42"/>
      <c r="AZ687" s="42"/>
    </row>
    <row r="688" spans="13:52" x14ac:dyDescent="0.25">
      <c r="M688" s="4"/>
      <c r="N688" s="4"/>
      <c r="P688" s="14">
        <v>2200</v>
      </c>
      <c r="Q688" s="114"/>
      <c r="R688" s="15"/>
      <c r="S688" s="15"/>
      <c r="T688" s="15"/>
      <c r="U688" s="15"/>
      <c r="V688" s="15"/>
      <c r="W688" s="15"/>
      <c r="X688" s="15"/>
      <c r="Y688" s="115"/>
      <c r="AX688" s="42"/>
      <c r="AY688" s="42"/>
      <c r="AZ688" s="42"/>
    </row>
    <row r="689" spans="13:52" x14ac:dyDescent="0.25">
      <c r="M689" s="4"/>
      <c r="N689" s="4"/>
      <c r="P689" s="14">
        <v>2195</v>
      </c>
      <c r="Q689" s="114"/>
      <c r="R689" s="15"/>
      <c r="S689" s="15"/>
      <c r="T689" s="15"/>
      <c r="U689" s="15"/>
      <c r="V689" s="15"/>
      <c r="W689" s="15"/>
      <c r="X689" s="15"/>
      <c r="Y689" s="115"/>
      <c r="AX689" s="42"/>
      <c r="AY689" s="42"/>
      <c r="AZ689" s="42"/>
    </row>
    <row r="690" spans="13:52" x14ac:dyDescent="0.25">
      <c r="M690" s="4"/>
      <c r="N690" s="4"/>
      <c r="P690" s="14">
        <v>2190</v>
      </c>
      <c r="Q690" s="114"/>
      <c r="R690" s="15"/>
      <c r="S690" s="15"/>
      <c r="T690" s="15"/>
      <c r="U690" s="15"/>
      <c r="V690" s="15"/>
      <c r="W690" s="15"/>
      <c r="X690" s="15"/>
      <c r="Y690" s="115"/>
    </row>
    <row r="691" spans="13:52" x14ac:dyDescent="0.25">
      <c r="M691" s="4"/>
      <c r="N691" s="4"/>
      <c r="P691" s="14">
        <v>2185</v>
      </c>
      <c r="Q691" s="114"/>
      <c r="R691" s="15"/>
      <c r="S691" s="15"/>
      <c r="T691" s="15"/>
      <c r="U691" s="15"/>
      <c r="V691" s="15"/>
      <c r="W691" s="15"/>
      <c r="X691" s="15"/>
      <c r="Y691" s="115"/>
    </row>
    <row r="692" spans="13:52" x14ac:dyDescent="0.25">
      <c r="M692" s="4"/>
      <c r="N692" s="4"/>
      <c r="P692" s="14">
        <v>2180</v>
      </c>
      <c r="Q692" s="114"/>
      <c r="R692" s="15"/>
      <c r="S692" s="15"/>
      <c r="T692" s="15"/>
      <c r="U692" s="15"/>
      <c r="V692" s="15"/>
      <c r="W692" s="15"/>
      <c r="X692" s="15"/>
      <c r="Y692" s="115"/>
    </row>
    <row r="693" spans="13:52" x14ac:dyDescent="0.25">
      <c r="M693" s="4"/>
      <c r="N693" s="4"/>
      <c r="P693" s="14">
        <v>2175</v>
      </c>
      <c r="Q693" s="114"/>
      <c r="R693" s="15"/>
      <c r="S693" s="15"/>
      <c r="T693" s="15"/>
      <c r="U693" s="15"/>
      <c r="V693" s="15"/>
      <c r="W693" s="15"/>
      <c r="X693" s="15"/>
      <c r="Y693" s="115"/>
    </row>
    <row r="694" spans="13:52" x14ac:dyDescent="0.25">
      <c r="M694" s="4"/>
      <c r="N694" s="4"/>
      <c r="P694" s="14">
        <v>2170</v>
      </c>
      <c r="Q694" s="114"/>
      <c r="R694" s="15"/>
      <c r="S694" s="15"/>
      <c r="T694" s="15"/>
      <c r="U694" s="15"/>
      <c r="V694" s="15"/>
      <c r="W694" s="15"/>
      <c r="X694" s="15"/>
      <c r="Y694" s="115"/>
    </row>
    <row r="695" spans="13:52" x14ac:dyDescent="0.25">
      <c r="M695" s="4"/>
      <c r="N695" s="4"/>
      <c r="P695" s="14">
        <v>2165</v>
      </c>
      <c r="Q695" s="114"/>
      <c r="R695" s="15"/>
      <c r="S695" s="15"/>
      <c r="T695" s="15"/>
      <c r="U695" s="15"/>
      <c r="V695" s="15"/>
      <c r="W695" s="15"/>
      <c r="X695" s="15"/>
      <c r="Y695" s="115"/>
    </row>
    <row r="696" spans="13:52" x14ac:dyDescent="0.25">
      <c r="M696" s="4"/>
      <c r="N696" s="4"/>
      <c r="P696" s="14">
        <v>2160</v>
      </c>
      <c r="Q696" s="114"/>
      <c r="R696" s="15"/>
      <c r="S696" s="15"/>
      <c r="T696" s="15"/>
      <c r="U696" s="15"/>
      <c r="V696" s="15"/>
      <c r="W696" s="15"/>
      <c r="X696" s="15"/>
      <c r="Y696" s="115"/>
    </row>
    <row r="697" spans="13:52" x14ac:dyDescent="0.25">
      <c r="M697" s="4"/>
      <c r="N697" s="4"/>
      <c r="P697" s="14">
        <v>2155</v>
      </c>
      <c r="Q697" s="114"/>
      <c r="R697" s="15"/>
      <c r="S697" s="15"/>
      <c r="T697" s="15"/>
      <c r="U697" s="15"/>
      <c r="V697" s="15"/>
      <c r="W697" s="15"/>
      <c r="X697" s="15"/>
      <c r="Y697" s="115"/>
    </row>
    <row r="698" spans="13:52" x14ac:dyDescent="0.25">
      <c r="M698" s="4"/>
      <c r="N698" s="4"/>
      <c r="P698" s="14">
        <v>2150</v>
      </c>
      <c r="Q698" s="114"/>
      <c r="R698" s="15"/>
      <c r="S698" s="15"/>
      <c r="T698" s="15"/>
      <c r="U698" s="15"/>
      <c r="V698" s="15"/>
      <c r="W698" s="15"/>
      <c r="X698" s="15"/>
      <c r="Y698" s="115"/>
    </row>
    <row r="699" spans="13:52" x14ac:dyDescent="0.25">
      <c r="M699" s="4"/>
      <c r="N699" s="4"/>
      <c r="P699" s="14">
        <v>2145</v>
      </c>
      <c r="Q699" s="114"/>
      <c r="R699" s="15"/>
      <c r="S699" s="15"/>
      <c r="T699" s="15"/>
      <c r="U699" s="15"/>
      <c r="V699" s="15"/>
      <c r="W699" s="15"/>
      <c r="X699" s="15"/>
      <c r="Y699" s="115"/>
    </row>
    <row r="700" spans="13:52" x14ac:dyDescent="0.25">
      <c r="M700" s="4"/>
      <c r="N700" s="4"/>
      <c r="P700" s="14">
        <v>2140</v>
      </c>
      <c r="Q700" s="114"/>
      <c r="R700" s="15"/>
      <c r="S700" s="15"/>
      <c r="T700" s="15"/>
      <c r="U700" s="15"/>
      <c r="V700" s="15"/>
      <c r="W700" s="15"/>
      <c r="X700" s="15"/>
      <c r="Y700" s="115"/>
    </row>
    <row r="701" spans="13:52" x14ac:dyDescent="0.25">
      <c r="M701" s="4"/>
      <c r="N701" s="4"/>
      <c r="P701" s="14">
        <v>2135</v>
      </c>
      <c r="Q701" s="114"/>
      <c r="R701" s="15"/>
      <c r="S701" s="15"/>
      <c r="T701" s="15"/>
      <c r="U701" s="15"/>
      <c r="V701" s="15"/>
      <c r="W701" s="15"/>
      <c r="X701" s="15"/>
      <c r="Y701" s="115"/>
    </row>
    <row r="702" spans="13:52" x14ac:dyDescent="0.25">
      <c r="M702" s="4"/>
      <c r="N702" s="4"/>
      <c r="P702" s="14">
        <v>2130</v>
      </c>
      <c r="Q702" s="114"/>
      <c r="R702" s="15"/>
      <c r="S702" s="15"/>
      <c r="T702" s="15"/>
      <c r="U702" s="15"/>
      <c r="V702" s="15"/>
      <c r="W702" s="15"/>
      <c r="X702" s="15"/>
      <c r="Y702" s="115"/>
    </row>
    <row r="703" spans="13:52" x14ac:dyDescent="0.25">
      <c r="M703" s="4"/>
      <c r="N703" s="4"/>
      <c r="P703" s="14">
        <v>2125</v>
      </c>
      <c r="Q703" s="114"/>
      <c r="R703" s="15"/>
      <c r="S703" s="15"/>
      <c r="T703" s="15"/>
      <c r="U703" s="15"/>
      <c r="V703" s="15"/>
      <c r="W703" s="15"/>
      <c r="X703" s="15"/>
      <c r="Y703" s="115"/>
    </row>
    <row r="704" spans="13:52" x14ac:dyDescent="0.25">
      <c r="M704" s="4"/>
      <c r="N704" s="4"/>
      <c r="P704" s="14">
        <v>2120</v>
      </c>
      <c r="Q704" s="114"/>
      <c r="R704" s="15"/>
      <c r="S704" s="15"/>
      <c r="T704" s="15"/>
      <c r="U704" s="15"/>
      <c r="V704" s="15"/>
      <c r="W704" s="15"/>
      <c r="X704" s="15"/>
      <c r="Y704" s="115"/>
    </row>
    <row r="705" spans="13:25" x14ac:dyDescent="0.25">
      <c r="M705" s="4"/>
      <c r="N705" s="4"/>
      <c r="P705" s="14">
        <v>2115</v>
      </c>
      <c r="Q705" s="114"/>
      <c r="R705" s="15"/>
      <c r="S705" s="15"/>
      <c r="T705" s="15"/>
      <c r="U705" s="15"/>
      <c r="V705" s="15"/>
      <c r="W705" s="15"/>
      <c r="X705" s="15"/>
      <c r="Y705" s="115"/>
    </row>
    <row r="706" spans="13:25" x14ac:dyDescent="0.25">
      <c r="M706" s="4"/>
      <c r="N706" s="4"/>
      <c r="P706" s="14">
        <v>2110</v>
      </c>
      <c r="Q706" s="114"/>
      <c r="R706" s="15"/>
      <c r="S706" s="15"/>
      <c r="T706" s="15"/>
      <c r="U706" s="15"/>
      <c r="V706" s="15"/>
      <c r="W706" s="15"/>
      <c r="X706" s="15"/>
      <c r="Y706" s="115"/>
    </row>
    <row r="707" spans="13:25" x14ac:dyDescent="0.25">
      <c r="M707" s="4"/>
      <c r="N707" s="4"/>
      <c r="P707" s="14">
        <v>2105</v>
      </c>
      <c r="Q707" s="114"/>
      <c r="R707" s="15"/>
      <c r="S707" s="15"/>
      <c r="T707" s="15"/>
      <c r="U707" s="15"/>
      <c r="V707" s="15"/>
      <c r="W707" s="15"/>
      <c r="X707" s="15"/>
      <c r="Y707" s="115"/>
    </row>
    <row r="708" spans="13:25" x14ac:dyDescent="0.25">
      <c r="M708" s="4"/>
      <c r="N708" s="4"/>
      <c r="P708" s="14">
        <v>2100</v>
      </c>
      <c r="Q708" s="114"/>
      <c r="R708" s="15"/>
      <c r="S708" s="15"/>
      <c r="T708" s="15"/>
      <c r="U708" s="15"/>
      <c r="V708" s="15"/>
      <c r="W708" s="15"/>
      <c r="X708" s="15"/>
      <c r="Y708" s="115"/>
    </row>
    <row r="709" spans="13:25" x14ac:dyDescent="0.25">
      <c r="M709" s="4"/>
      <c r="N709" s="4"/>
      <c r="P709" s="14">
        <v>2095</v>
      </c>
      <c r="Q709" s="114"/>
      <c r="R709" s="15"/>
      <c r="S709" s="15"/>
      <c r="T709" s="15"/>
      <c r="U709" s="15"/>
      <c r="V709" s="15"/>
      <c r="W709" s="15"/>
      <c r="X709" s="15"/>
      <c r="Y709" s="115"/>
    </row>
    <row r="710" spans="13:25" x14ac:dyDescent="0.25">
      <c r="M710" s="4"/>
      <c r="N710" s="4"/>
      <c r="P710" s="14">
        <v>2090</v>
      </c>
      <c r="Q710" s="114"/>
      <c r="R710" s="15"/>
      <c r="S710" s="15"/>
      <c r="T710" s="15"/>
      <c r="U710" s="15"/>
      <c r="V710" s="15"/>
      <c r="W710" s="15"/>
      <c r="X710" s="15"/>
      <c r="Y710" s="115"/>
    </row>
    <row r="711" spans="13:25" x14ac:dyDescent="0.25">
      <c r="M711" s="4"/>
      <c r="N711" s="4"/>
      <c r="P711" s="14">
        <v>2085</v>
      </c>
      <c r="Q711" s="114"/>
      <c r="R711" s="15"/>
      <c r="S711" s="15"/>
      <c r="T711" s="15"/>
      <c r="U711" s="15"/>
      <c r="V711" s="15"/>
      <c r="W711" s="15"/>
      <c r="X711" s="15"/>
      <c r="Y711" s="115"/>
    </row>
    <row r="712" spans="13:25" x14ac:dyDescent="0.25">
      <c r="M712" s="4"/>
      <c r="N712" s="4"/>
      <c r="P712" s="14">
        <v>2080</v>
      </c>
      <c r="Q712" s="114"/>
      <c r="R712" s="15"/>
      <c r="S712" s="15"/>
      <c r="T712" s="15"/>
      <c r="U712" s="15"/>
      <c r="V712" s="15"/>
      <c r="W712" s="15"/>
      <c r="X712" s="15"/>
      <c r="Y712" s="115"/>
    </row>
    <row r="713" spans="13:25" x14ac:dyDescent="0.25">
      <c r="M713" s="4"/>
      <c r="N713" s="4"/>
      <c r="P713" s="14">
        <v>2075</v>
      </c>
      <c r="Q713" s="114"/>
      <c r="R713" s="15"/>
      <c r="S713" s="15"/>
      <c r="T713" s="15"/>
      <c r="U713" s="15"/>
      <c r="V713" s="15"/>
      <c r="W713" s="15"/>
      <c r="X713" s="15"/>
      <c r="Y713" s="115"/>
    </row>
    <row r="714" spans="13:25" x14ac:dyDescent="0.25">
      <c r="M714" s="4"/>
      <c r="N714" s="4"/>
      <c r="P714" s="14">
        <v>2070</v>
      </c>
      <c r="Q714" s="114"/>
      <c r="R714" s="15"/>
      <c r="S714" s="15"/>
      <c r="T714" s="15"/>
      <c r="U714" s="15"/>
      <c r="V714" s="15"/>
      <c r="W714" s="15"/>
      <c r="X714" s="15"/>
      <c r="Y714" s="115"/>
    </row>
    <row r="715" spans="13:25" x14ac:dyDescent="0.25">
      <c r="M715" s="4"/>
      <c r="N715" s="4"/>
      <c r="P715" s="14">
        <v>2065</v>
      </c>
      <c r="Q715" s="114"/>
      <c r="R715" s="15"/>
      <c r="S715" s="15"/>
      <c r="T715" s="15"/>
      <c r="U715" s="15"/>
      <c r="V715" s="15"/>
      <c r="W715" s="15"/>
      <c r="X715" s="15"/>
      <c r="Y715" s="115"/>
    </row>
    <row r="716" spans="13:25" x14ac:dyDescent="0.25">
      <c r="M716" s="4"/>
      <c r="N716" s="4"/>
      <c r="P716" s="14">
        <v>2060</v>
      </c>
      <c r="Q716" s="114"/>
      <c r="R716" s="15"/>
      <c r="S716" s="15"/>
      <c r="T716" s="15"/>
      <c r="U716" s="15"/>
      <c r="V716" s="15"/>
      <c r="W716" s="15"/>
      <c r="X716" s="15"/>
      <c r="Y716" s="115"/>
    </row>
    <row r="717" spans="13:25" x14ac:dyDescent="0.25">
      <c r="M717" s="4"/>
      <c r="N717" s="4"/>
      <c r="P717" s="14">
        <v>2055</v>
      </c>
      <c r="Q717" s="114"/>
      <c r="R717" s="15"/>
      <c r="S717" s="15"/>
      <c r="T717" s="15"/>
      <c r="U717" s="15"/>
      <c r="V717" s="15"/>
      <c r="W717" s="15"/>
      <c r="X717" s="15"/>
      <c r="Y717" s="115"/>
    </row>
    <row r="718" spans="13:25" x14ac:dyDescent="0.25">
      <c r="M718" s="4"/>
      <c r="N718" s="4"/>
      <c r="P718" s="14">
        <v>2050</v>
      </c>
      <c r="Q718" s="114"/>
      <c r="R718" s="15"/>
      <c r="S718" s="15"/>
      <c r="T718" s="15"/>
      <c r="U718" s="15"/>
      <c r="V718" s="15"/>
      <c r="W718" s="15"/>
      <c r="X718" s="15"/>
      <c r="Y718" s="115"/>
    </row>
    <row r="719" spans="13:25" x14ac:dyDescent="0.25">
      <c r="M719" s="4"/>
      <c r="N719" s="4"/>
      <c r="P719" s="14">
        <v>2045</v>
      </c>
      <c r="Q719" s="114"/>
      <c r="R719" s="15"/>
      <c r="S719" s="15"/>
      <c r="T719" s="15"/>
      <c r="U719" s="15"/>
      <c r="V719" s="15"/>
      <c r="W719" s="15"/>
      <c r="X719" s="15"/>
      <c r="Y719" s="115"/>
    </row>
    <row r="720" spans="13:25" x14ac:dyDescent="0.25">
      <c r="M720" s="4"/>
      <c r="N720" s="4"/>
      <c r="P720" s="14">
        <v>2040</v>
      </c>
      <c r="Q720" s="114"/>
      <c r="R720" s="15"/>
      <c r="S720" s="15"/>
      <c r="T720" s="15"/>
      <c r="U720" s="15"/>
      <c r="V720" s="15"/>
      <c r="W720" s="15"/>
      <c r="X720" s="15"/>
      <c r="Y720" s="115"/>
    </row>
    <row r="721" spans="13:25" x14ac:dyDescent="0.25">
      <c r="M721" s="4"/>
      <c r="N721" s="4"/>
      <c r="P721" s="14">
        <v>2035</v>
      </c>
      <c r="Q721" s="114"/>
      <c r="R721" s="15"/>
      <c r="S721" s="15"/>
      <c r="T721" s="15"/>
      <c r="U721" s="15"/>
      <c r="V721" s="15"/>
      <c r="W721" s="15"/>
      <c r="X721" s="15"/>
      <c r="Y721" s="115"/>
    </row>
    <row r="722" spans="13:25" x14ac:dyDescent="0.25">
      <c r="M722" s="4"/>
      <c r="N722" s="4"/>
      <c r="P722" s="14">
        <v>2030</v>
      </c>
      <c r="Q722" s="114"/>
      <c r="R722" s="15"/>
      <c r="S722" s="15"/>
      <c r="T722" s="15"/>
      <c r="U722" s="15"/>
      <c r="V722" s="15"/>
      <c r="W722" s="15"/>
      <c r="X722" s="15"/>
      <c r="Y722" s="115"/>
    </row>
    <row r="723" spans="13:25" x14ac:dyDescent="0.25">
      <c r="M723" s="4"/>
      <c r="N723" s="4"/>
      <c r="P723" s="14">
        <v>2025</v>
      </c>
      <c r="Q723" s="114"/>
      <c r="R723" s="15"/>
      <c r="S723" s="15"/>
      <c r="T723" s="15"/>
      <c r="U723" s="15"/>
      <c r="V723" s="15"/>
      <c r="W723" s="15"/>
      <c r="X723" s="15"/>
      <c r="Y723" s="115"/>
    </row>
    <row r="724" spans="13:25" x14ac:dyDescent="0.25">
      <c r="M724" s="4"/>
      <c r="N724" s="4"/>
      <c r="P724" s="14">
        <v>2020</v>
      </c>
      <c r="Q724" s="114"/>
      <c r="R724" s="15"/>
      <c r="S724" s="15"/>
      <c r="T724" s="15"/>
      <c r="U724" s="15"/>
      <c r="V724" s="15"/>
      <c r="W724" s="15"/>
      <c r="X724" s="15"/>
      <c r="Y724" s="115"/>
    </row>
    <row r="725" spans="13:25" x14ac:dyDescent="0.25">
      <c r="M725" s="4"/>
      <c r="N725" s="4"/>
      <c r="P725" s="14">
        <v>2015</v>
      </c>
      <c r="Q725" s="114"/>
      <c r="R725" s="15"/>
      <c r="S725" s="15"/>
      <c r="T725" s="15"/>
      <c r="U725" s="15"/>
      <c r="V725" s="15"/>
      <c r="W725" s="15"/>
      <c r="X725" s="15"/>
      <c r="Y725" s="115"/>
    </row>
    <row r="726" spans="13:25" x14ac:dyDescent="0.25">
      <c r="M726" s="4"/>
      <c r="N726" s="4"/>
      <c r="P726" s="14">
        <v>2010</v>
      </c>
      <c r="Q726" s="114"/>
      <c r="R726" s="15"/>
      <c r="S726" s="15"/>
      <c r="T726" s="15"/>
      <c r="U726" s="15"/>
      <c r="V726" s="15"/>
      <c r="W726" s="15"/>
      <c r="X726" s="15"/>
      <c r="Y726" s="115"/>
    </row>
    <row r="727" spans="13:25" x14ac:dyDescent="0.25">
      <c r="M727" s="4"/>
      <c r="N727" s="4"/>
      <c r="P727" s="14">
        <v>2005</v>
      </c>
      <c r="Q727" s="114"/>
      <c r="R727" s="15"/>
      <c r="S727" s="15"/>
      <c r="T727" s="15"/>
      <c r="U727" s="15"/>
      <c r="V727" s="15"/>
      <c r="W727" s="15"/>
      <c r="X727" s="15"/>
      <c r="Y727" s="115"/>
    </row>
    <row r="728" spans="13:25" x14ac:dyDescent="0.25">
      <c r="M728" s="4"/>
      <c r="N728" s="4"/>
      <c r="P728" s="14">
        <v>2000</v>
      </c>
      <c r="Q728" s="114"/>
      <c r="R728" s="15"/>
      <c r="S728" s="15"/>
      <c r="T728" s="15"/>
      <c r="U728" s="15"/>
      <c r="V728" s="15"/>
      <c r="W728" s="15"/>
      <c r="X728" s="15"/>
      <c r="Y728" s="115"/>
    </row>
    <row r="729" spans="13:25" x14ac:dyDescent="0.25">
      <c r="M729" s="4"/>
      <c r="N729" s="4"/>
      <c r="P729" s="14">
        <v>1995</v>
      </c>
      <c r="Q729" s="114"/>
      <c r="R729" s="15"/>
      <c r="S729" s="15"/>
      <c r="T729" s="15"/>
      <c r="U729" s="15"/>
      <c r="V729" s="15"/>
      <c r="W729" s="15"/>
      <c r="X729" s="15"/>
      <c r="Y729" s="115"/>
    </row>
    <row r="730" spans="13:25" x14ac:dyDescent="0.25">
      <c r="M730" s="4"/>
      <c r="N730" s="4"/>
      <c r="P730" s="14">
        <v>1990</v>
      </c>
      <c r="Q730" s="114"/>
      <c r="R730" s="15"/>
      <c r="S730" s="15"/>
      <c r="T730" s="15"/>
      <c r="U730" s="15"/>
      <c r="V730" s="15"/>
      <c r="W730" s="15"/>
      <c r="X730" s="15"/>
      <c r="Y730" s="115"/>
    </row>
    <row r="731" spans="13:25" x14ac:dyDescent="0.25">
      <c r="M731" s="4"/>
      <c r="N731" s="4"/>
      <c r="P731" s="14">
        <v>1985</v>
      </c>
      <c r="Q731" s="114"/>
      <c r="R731" s="15"/>
      <c r="S731" s="15"/>
      <c r="T731" s="15"/>
      <c r="U731" s="15"/>
      <c r="V731" s="15"/>
      <c r="W731" s="15"/>
      <c r="X731" s="15"/>
      <c r="Y731" s="115"/>
    </row>
    <row r="732" spans="13:25" x14ac:dyDescent="0.25">
      <c r="M732" s="4"/>
      <c r="N732" s="4"/>
      <c r="P732" s="14">
        <v>1980</v>
      </c>
      <c r="Q732" s="114"/>
      <c r="R732" s="15"/>
      <c r="S732" s="15"/>
      <c r="T732" s="15"/>
      <c r="U732" s="15"/>
      <c r="V732" s="15"/>
      <c r="W732" s="15"/>
      <c r="X732" s="15"/>
      <c r="Y732" s="115"/>
    </row>
    <row r="733" spans="13:25" x14ac:dyDescent="0.25">
      <c r="M733" s="4"/>
      <c r="N733" s="4"/>
      <c r="P733" s="14">
        <v>1975</v>
      </c>
      <c r="Q733" s="114"/>
      <c r="R733" s="15"/>
      <c r="S733" s="15"/>
      <c r="T733" s="15"/>
      <c r="U733" s="15"/>
      <c r="V733" s="15"/>
      <c r="W733" s="15"/>
      <c r="X733" s="15"/>
      <c r="Y733" s="115"/>
    </row>
    <row r="734" spans="13:25" x14ac:dyDescent="0.25">
      <c r="M734" s="4"/>
      <c r="N734" s="4"/>
      <c r="P734" s="14">
        <v>1970</v>
      </c>
      <c r="Q734" s="114"/>
      <c r="R734" s="15"/>
      <c r="S734" s="15"/>
      <c r="T734" s="15"/>
      <c r="U734" s="15"/>
      <c r="V734" s="15"/>
      <c r="W734" s="15"/>
      <c r="X734" s="15"/>
      <c r="Y734" s="115"/>
    </row>
    <row r="735" spans="13:25" x14ac:dyDescent="0.25">
      <c r="M735" s="4"/>
      <c r="N735" s="4"/>
      <c r="P735" s="14">
        <v>1965</v>
      </c>
      <c r="Q735" s="114"/>
      <c r="R735" s="15"/>
      <c r="S735" s="15"/>
      <c r="T735" s="15"/>
      <c r="U735" s="15"/>
      <c r="V735" s="15"/>
      <c r="W735" s="15"/>
      <c r="X735" s="15"/>
      <c r="Y735" s="115"/>
    </row>
    <row r="736" spans="13:25" x14ac:dyDescent="0.25">
      <c r="M736" s="4"/>
      <c r="N736" s="4"/>
      <c r="P736" s="14">
        <v>1960</v>
      </c>
      <c r="Q736" s="114"/>
      <c r="R736" s="15"/>
      <c r="S736" s="15"/>
      <c r="T736" s="15"/>
      <c r="U736" s="15"/>
      <c r="V736" s="15"/>
      <c r="W736" s="15"/>
      <c r="X736" s="15"/>
      <c r="Y736" s="115"/>
    </row>
    <row r="737" spans="13:25" x14ac:dyDescent="0.25">
      <c r="M737" s="4"/>
      <c r="N737" s="4"/>
      <c r="P737" s="14">
        <v>1955</v>
      </c>
      <c r="Q737" s="114"/>
      <c r="R737" s="15"/>
      <c r="S737" s="15"/>
      <c r="T737" s="15"/>
      <c r="U737" s="15"/>
      <c r="V737" s="15"/>
      <c r="W737" s="15"/>
      <c r="X737" s="15"/>
      <c r="Y737" s="115"/>
    </row>
    <row r="738" spans="13:25" x14ac:dyDescent="0.25">
      <c r="M738" s="4"/>
      <c r="N738" s="4"/>
      <c r="P738" s="14">
        <v>1950</v>
      </c>
      <c r="Q738" s="114"/>
      <c r="R738" s="15"/>
      <c r="S738" s="15"/>
      <c r="T738" s="15"/>
      <c r="U738" s="15"/>
      <c r="V738" s="15"/>
      <c r="W738" s="15"/>
      <c r="X738" s="15"/>
      <c r="Y738" s="115"/>
    </row>
    <row r="739" spans="13:25" x14ac:dyDescent="0.25">
      <c r="M739" s="4"/>
      <c r="N739" s="4"/>
      <c r="P739" s="14">
        <v>1945</v>
      </c>
      <c r="Q739" s="114"/>
      <c r="R739" s="15"/>
      <c r="S739" s="15"/>
      <c r="T739" s="15"/>
      <c r="U739" s="15"/>
      <c r="V739" s="15"/>
      <c r="W739" s="15"/>
      <c r="X739" s="15"/>
      <c r="Y739" s="115"/>
    </row>
    <row r="740" spans="13:25" x14ac:dyDescent="0.25">
      <c r="M740" s="4"/>
      <c r="N740" s="4"/>
      <c r="P740" s="14">
        <v>1940</v>
      </c>
      <c r="Q740" s="114"/>
      <c r="R740" s="15"/>
      <c r="S740" s="15"/>
      <c r="T740" s="15"/>
      <c r="U740" s="15"/>
      <c r="V740" s="15"/>
      <c r="W740" s="15"/>
      <c r="X740" s="15"/>
      <c r="Y740" s="115"/>
    </row>
    <row r="741" spans="13:25" x14ac:dyDescent="0.25">
      <c r="M741" s="4"/>
      <c r="N741" s="4"/>
      <c r="P741" s="14">
        <v>1935</v>
      </c>
      <c r="Q741" s="114"/>
      <c r="R741" s="15"/>
      <c r="S741" s="15"/>
      <c r="T741" s="15"/>
      <c r="U741" s="15"/>
      <c r="V741" s="15"/>
      <c r="W741" s="15"/>
      <c r="X741" s="15"/>
      <c r="Y741" s="115"/>
    </row>
    <row r="742" spans="13:25" x14ac:dyDescent="0.25">
      <c r="M742" s="4"/>
      <c r="N742" s="4"/>
      <c r="P742" s="14">
        <v>1930</v>
      </c>
      <c r="Q742" s="114"/>
      <c r="R742" s="15"/>
      <c r="S742" s="15"/>
      <c r="T742" s="15"/>
      <c r="U742" s="15"/>
      <c r="V742" s="15"/>
      <c r="W742" s="15"/>
      <c r="X742" s="15"/>
      <c r="Y742" s="115"/>
    </row>
    <row r="743" spans="13:25" x14ac:dyDescent="0.25">
      <c r="M743" s="4"/>
      <c r="N743" s="4"/>
      <c r="P743" s="14">
        <v>1925</v>
      </c>
      <c r="Q743" s="114"/>
      <c r="R743" s="15"/>
      <c r="S743" s="15"/>
      <c r="T743" s="15"/>
      <c r="U743" s="15"/>
      <c r="V743" s="15"/>
      <c r="W743" s="15"/>
      <c r="X743" s="15"/>
      <c r="Y743" s="115"/>
    </row>
    <row r="744" spans="13:25" x14ac:dyDescent="0.25">
      <c r="M744" s="4"/>
      <c r="N744" s="4"/>
      <c r="P744" s="14">
        <v>1920</v>
      </c>
      <c r="Q744" s="114"/>
      <c r="R744" s="15"/>
      <c r="S744" s="15"/>
      <c r="T744" s="15"/>
      <c r="U744" s="15"/>
      <c r="V744" s="15"/>
      <c r="W744" s="15"/>
      <c r="X744" s="15"/>
      <c r="Y744" s="115"/>
    </row>
    <row r="745" spans="13:25" x14ac:dyDescent="0.25">
      <c r="M745" s="4"/>
      <c r="N745" s="4"/>
      <c r="P745" s="14">
        <v>1915</v>
      </c>
      <c r="Q745" s="114"/>
      <c r="R745" s="15"/>
      <c r="S745" s="15"/>
      <c r="T745" s="15"/>
      <c r="U745" s="15"/>
      <c r="V745" s="15"/>
      <c r="W745" s="15"/>
      <c r="X745" s="15"/>
      <c r="Y745" s="115"/>
    </row>
    <row r="746" spans="13:25" x14ac:dyDescent="0.25">
      <c r="M746" s="4"/>
      <c r="N746" s="4"/>
      <c r="P746" s="14">
        <v>1910</v>
      </c>
      <c r="Q746" s="114"/>
      <c r="R746" s="15"/>
      <c r="S746" s="15"/>
      <c r="T746" s="15"/>
      <c r="U746" s="15"/>
      <c r="V746" s="15"/>
      <c r="W746" s="15"/>
      <c r="X746" s="15"/>
      <c r="Y746" s="115"/>
    </row>
    <row r="747" spans="13:25" x14ac:dyDescent="0.25">
      <c r="M747" s="4"/>
      <c r="N747" s="4"/>
      <c r="P747" s="14">
        <v>1905</v>
      </c>
      <c r="Q747" s="114"/>
      <c r="R747" s="15"/>
      <c r="S747" s="15"/>
      <c r="T747" s="15"/>
      <c r="U747" s="15"/>
      <c r="V747" s="15"/>
      <c r="W747" s="15"/>
      <c r="X747" s="15"/>
      <c r="Y747" s="115"/>
    </row>
    <row r="748" spans="13:25" x14ac:dyDescent="0.25">
      <c r="M748" s="4"/>
      <c r="N748" s="4"/>
      <c r="P748" s="14">
        <v>1900</v>
      </c>
      <c r="Q748" s="114"/>
      <c r="R748" s="15"/>
      <c r="S748" s="15"/>
      <c r="T748" s="15"/>
      <c r="U748" s="15"/>
      <c r="V748" s="15"/>
      <c r="W748" s="15"/>
      <c r="X748" s="15"/>
      <c r="Y748" s="115"/>
    </row>
    <row r="749" spans="13:25" x14ac:dyDescent="0.25">
      <c r="M749" s="4"/>
      <c r="N749" s="4"/>
      <c r="P749" s="14">
        <v>1895</v>
      </c>
      <c r="Q749" s="114"/>
      <c r="R749" s="15"/>
      <c r="S749" s="15"/>
      <c r="T749" s="15"/>
      <c r="U749" s="15"/>
      <c r="V749" s="15"/>
      <c r="W749" s="15"/>
      <c r="X749" s="15"/>
      <c r="Y749" s="115"/>
    </row>
    <row r="750" spans="13:25" x14ac:dyDescent="0.25">
      <c r="M750" s="4"/>
      <c r="N750" s="4"/>
      <c r="P750" s="14">
        <v>1890</v>
      </c>
      <c r="Q750" s="114"/>
      <c r="R750" s="15"/>
      <c r="S750" s="15"/>
      <c r="T750" s="15"/>
      <c r="U750" s="15"/>
      <c r="V750" s="15"/>
      <c r="W750" s="15"/>
      <c r="X750" s="15"/>
      <c r="Y750" s="115"/>
    </row>
    <row r="751" spans="13:25" x14ac:dyDescent="0.25">
      <c r="M751" s="4"/>
      <c r="N751" s="4"/>
      <c r="P751" s="14">
        <v>1885</v>
      </c>
      <c r="Q751" s="114"/>
      <c r="R751" s="15"/>
      <c r="S751" s="15"/>
      <c r="T751" s="15"/>
      <c r="U751" s="15"/>
      <c r="V751" s="15"/>
      <c r="W751" s="15"/>
      <c r="X751" s="15"/>
      <c r="Y751" s="115"/>
    </row>
    <row r="752" spans="13:25" x14ac:dyDescent="0.25">
      <c r="M752" s="4"/>
      <c r="N752" s="4"/>
      <c r="P752" s="14">
        <v>1880</v>
      </c>
      <c r="Q752" s="114"/>
      <c r="R752" s="15"/>
      <c r="S752" s="15"/>
      <c r="T752" s="15"/>
      <c r="U752" s="15"/>
      <c r="V752" s="15"/>
      <c r="W752" s="15"/>
      <c r="X752" s="15"/>
      <c r="Y752" s="115"/>
    </row>
    <row r="753" spans="13:25" x14ac:dyDescent="0.25">
      <c r="M753" s="4"/>
      <c r="N753" s="4"/>
      <c r="P753" s="14">
        <v>1875</v>
      </c>
      <c r="Q753" s="114"/>
      <c r="R753" s="15"/>
      <c r="S753" s="15"/>
      <c r="T753" s="15"/>
      <c r="U753" s="15"/>
      <c r="V753" s="15"/>
      <c r="W753" s="15"/>
      <c r="X753" s="15"/>
      <c r="Y753" s="115"/>
    </row>
    <row r="754" spans="13:25" x14ac:dyDescent="0.25">
      <c r="M754" s="4"/>
      <c r="N754" s="4"/>
      <c r="P754" s="14">
        <v>1870</v>
      </c>
      <c r="Q754" s="114"/>
      <c r="R754" s="15"/>
      <c r="S754" s="15"/>
      <c r="T754" s="15"/>
      <c r="U754" s="15"/>
      <c r="V754" s="15"/>
      <c r="W754" s="15"/>
      <c r="X754" s="15"/>
      <c r="Y754" s="115"/>
    </row>
    <row r="755" spans="13:25" x14ac:dyDescent="0.25">
      <c r="M755" s="4"/>
      <c r="N755" s="4"/>
      <c r="P755" s="14">
        <v>1865</v>
      </c>
      <c r="Q755" s="114"/>
      <c r="R755" s="15"/>
      <c r="S755" s="15"/>
      <c r="T755" s="15"/>
      <c r="U755" s="15"/>
      <c r="V755" s="15"/>
      <c r="W755" s="15"/>
      <c r="X755" s="15"/>
      <c r="Y755" s="115"/>
    </row>
    <row r="756" spans="13:25" x14ac:dyDescent="0.25">
      <c r="M756" s="4"/>
      <c r="N756" s="4"/>
      <c r="P756" s="14">
        <v>1860</v>
      </c>
      <c r="Q756" s="114"/>
      <c r="R756" s="15"/>
      <c r="S756" s="15"/>
      <c r="T756" s="15"/>
      <c r="U756" s="15"/>
      <c r="V756" s="15"/>
      <c r="W756" s="15"/>
      <c r="X756" s="15"/>
      <c r="Y756" s="115"/>
    </row>
    <row r="757" spans="13:25" x14ac:dyDescent="0.25">
      <c r="M757" s="4"/>
      <c r="N757" s="4"/>
      <c r="P757" s="14">
        <v>1855</v>
      </c>
      <c r="Q757" s="114"/>
      <c r="R757" s="15"/>
      <c r="S757" s="15"/>
      <c r="T757" s="15"/>
      <c r="U757" s="15"/>
      <c r="V757" s="15"/>
      <c r="W757" s="15"/>
      <c r="X757" s="15"/>
      <c r="Y757" s="115"/>
    </row>
    <row r="758" spans="13:25" x14ac:dyDescent="0.25">
      <c r="M758" s="4"/>
      <c r="N758" s="4"/>
      <c r="P758" s="14">
        <v>1850</v>
      </c>
      <c r="Q758" s="114"/>
      <c r="R758" s="15"/>
      <c r="S758" s="15"/>
      <c r="T758" s="15"/>
      <c r="U758" s="15"/>
      <c r="V758" s="15"/>
      <c r="W758" s="15"/>
      <c r="X758" s="15"/>
      <c r="Y758" s="115"/>
    </row>
    <row r="759" spans="13:25" x14ac:dyDescent="0.25">
      <c r="M759" s="4"/>
      <c r="N759" s="4"/>
      <c r="P759" s="14">
        <v>1845</v>
      </c>
      <c r="Q759" s="114"/>
      <c r="R759" s="15"/>
      <c r="S759" s="15"/>
      <c r="T759" s="15"/>
      <c r="U759" s="15"/>
      <c r="V759" s="15"/>
      <c r="W759" s="15"/>
      <c r="X759" s="15"/>
      <c r="Y759" s="115"/>
    </row>
    <row r="760" spans="13:25" x14ac:dyDescent="0.25">
      <c r="M760" s="4"/>
      <c r="N760" s="4"/>
      <c r="P760" s="14">
        <v>1840</v>
      </c>
      <c r="Q760" s="114"/>
      <c r="R760" s="15"/>
      <c r="S760" s="15"/>
      <c r="T760" s="15"/>
      <c r="U760" s="15"/>
      <c r="V760" s="15"/>
      <c r="W760" s="15"/>
      <c r="X760" s="15"/>
      <c r="Y760" s="115"/>
    </row>
    <row r="761" spans="13:25" x14ac:dyDescent="0.25">
      <c r="M761" s="4"/>
      <c r="N761" s="4"/>
      <c r="P761" s="14">
        <v>1835</v>
      </c>
      <c r="Q761" s="114"/>
      <c r="R761" s="15"/>
      <c r="S761" s="15"/>
      <c r="T761" s="15"/>
      <c r="U761" s="15"/>
      <c r="V761" s="15"/>
      <c r="W761" s="15"/>
      <c r="X761" s="15"/>
      <c r="Y761" s="115"/>
    </row>
    <row r="762" spans="13:25" x14ac:dyDescent="0.25">
      <c r="M762" s="4"/>
      <c r="N762" s="4"/>
      <c r="P762" s="14">
        <v>1830</v>
      </c>
      <c r="Q762" s="114"/>
      <c r="R762" s="15"/>
      <c r="S762" s="15"/>
      <c r="T762" s="15"/>
      <c r="U762" s="15"/>
      <c r="V762" s="15"/>
      <c r="W762" s="15"/>
      <c r="X762" s="15"/>
      <c r="Y762" s="115"/>
    </row>
    <row r="763" spans="13:25" x14ac:dyDescent="0.25">
      <c r="M763" s="4"/>
      <c r="N763" s="4"/>
      <c r="P763" s="14">
        <v>1825</v>
      </c>
      <c r="Q763" s="114"/>
      <c r="R763" s="15"/>
      <c r="S763" s="15"/>
      <c r="T763" s="15"/>
      <c r="U763" s="15"/>
      <c r="V763" s="15"/>
      <c r="W763" s="15"/>
      <c r="X763" s="15"/>
      <c r="Y763" s="115"/>
    </row>
    <row r="764" spans="13:25" x14ac:dyDescent="0.25">
      <c r="M764" s="4"/>
      <c r="N764" s="4"/>
      <c r="P764" s="14">
        <v>1820</v>
      </c>
      <c r="Q764" s="114"/>
      <c r="R764" s="15"/>
      <c r="S764" s="15"/>
      <c r="T764" s="15"/>
      <c r="U764" s="15"/>
      <c r="V764" s="15"/>
      <c r="W764" s="15"/>
      <c r="X764" s="15"/>
      <c r="Y764" s="115"/>
    </row>
    <row r="765" spans="13:25" x14ac:dyDescent="0.25">
      <c r="M765" s="4"/>
      <c r="N765" s="4"/>
      <c r="P765" s="14">
        <v>1815</v>
      </c>
      <c r="Q765" s="114"/>
      <c r="R765" s="15"/>
      <c r="S765" s="15"/>
      <c r="T765" s="15"/>
      <c r="U765" s="15"/>
      <c r="V765" s="15"/>
      <c r="W765" s="15"/>
      <c r="X765" s="15"/>
      <c r="Y765" s="115"/>
    </row>
    <row r="766" spans="13:25" x14ac:dyDescent="0.25">
      <c r="M766" s="4"/>
      <c r="N766" s="4"/>
      <c r="P766" s="14">
        <v>1810</v>
      </c>
      <c r="Q766" s="114"/>
      <c r="R766" s="15"/>
      <c r="S766" s="15"/>
      <c r="T766" s="15"/>
      <c r="U766" s="15"/>
      <c r="V766" s="15"/>
      <c r="W766" s="15"/>
      <c r="X766" s="15"/>
      <c r="Y766" s="115"/>
    </row>
    <row r="767" spans="13:25" x14ac:dyDescent="0.25">
      <c r="M767" s="4"/>
      <c r="N767" s="4"/>
      <c r="P767" s="14">
        <v>1805</v>
      </c>
      <c r="Q767" s="114"/>
      <c r="R767" s="15"/>
      <c r="S767" s="15"/>
      <c r="T767" s="15"/>
      <c r="U767" s="15"/>
      <c r="V767" s="15"/>
      <c r="W767" s="15"/>
      <c r="X767" s="15"/>
      <c r="Y767" s="115"/>
    </row>
    <row r="768" spans="13:25" x14ac:dyDescent="0.25">
      <c r="M768" s="4"/>
      <c r="N768" s="4"/>
      <c r="P768" s="14">
        <v>1800</v>
      </c>
      <c r="Q768" s="114"/>
      <c r="R768" s="15"/>
      <c r="S768" s="15"/>
      <c r="T768" s="15"/>
      <c r="U768" s="15"/>
      <c r="V768" s="15"/>
      <c r="W768" s="15"/>
      <c r="X768" s="15"/>
      <c r="Y768" s="115"/>
    </row>
    <row r="769" spans="13:25" x14ac:dyDescent="0.25">
      <c r="M769" s="4"/>
      <c r="N769" s="4"/>
      <c r="P769" s="14">
        <v>1795</v>
      </c>
      <c r="Q769" s="114"/>
      <c r="R769" s="15"/>
      <c r="S769" s="15"/>
      <c r="T769" s="15"/>
      <c r="U769" s="15"/>
      <c r="V769" s="15"/>
      <c r="W769" s="15"/>
      <c r="X769" s="15"/>
      <c r="Y769" s="115"/>
    </row>
    <row r="770" spans="13:25" x14ac:dyDescent="0.25">
      <c r="M770" s="4"/>
      <c r="N770" s="4"/>
      <c r="P770" s="14">
        <v>1790</v>
      </c>
      <c r="Q770" s="114"/>
      <c r="R770" s="15"/>
      <c r="S770" s="15"/>
      <c r="T770" s="15"/>
      <c r="U770" s="15"/>
      <c r="V770" s="15"/>
      <c r="W770" s="15"/>
      <c r="X770" s="15"/>
      <c r="Y770" s="115"/>
    </row>
    <row r="771" spans="13:25" x14ac:dyDescent="0.25">
      <c r="M771" s="4"/>
      <c r="N771" s="4"/>
      <c r="P771" s="14">
        <v>1785</v>
      </c>
      <c r="Q771" s="114"/>
      <c r="R771" s="15"/>
      <c r="S771" s="15"/>
      <c r="T771" s="15"/>
      <c r="U771" s="15"/>
      <c r="V771" s="15"/>
      <c r="W771" s="15"/>
      <c r="X771" s="15"/>
      <c r="Y771" s="115"/>
    </row>
    <row r="772" spans="13:25" x14ac:dyDescent="0.25">
      <c r="M772" s="4"/>
      <c r="N772" s="4"/>
      <c r="P772" s="14">
        <v>1780</v>
      </c>
      <c r="Q772" s="114"/>
      <c r="R772" s="15"/>
      <c r="S772" s="15"/>
      <c r="T772" s="15"/>
      <c r="U772" s="15"/>
      <c r="V772" s="15"/>
      <c r="W772" s="15"/>
      <c r="X772" s="15"/>
      <c r="Y772" s="115"/>
    </row>
    <row r="773" spans="13:25" x14ac:dyDescent="0.25">
      <c r="M773" s="4"/>
      <c r="N773" s="4"/>
      <c r="P773" s="14">
        <v>1775</v>
      </c>
      <c r="Q773" s="114"/>
      <c r="R773" s="15"/>
      <c r="S773" s="15"/>
      <c r="T773" s="15"/>
      <c r="U773" s="15"/>
      <c r="V773" s="15"/>
      <c r="W773" s="15"/>
      <c r="X773" s="15"/>
      <c r="Y773" s="115"/>
    </row>
    <row r="774" spans="13:25" x14ac:dyDescent="0.25">
      <c r="M774" s="4"/>
      <c r="N774" s="4"/>
      <c r="P774" s="14">
        <v>1770</v>
      </c>
      <c r="Q774" s="114"/>
      <c r="R774" s="15"/>
      <c r="S774" s="15"/>
      <c r="T774" s="15"/>
      <c r="U774" s="15"/>
      <c r="V774" s="15"/>
      <c r="W774" s="15"/>
      <c r="X774" s="15"/>
      <c r="Y774" s="115"/>
    </row>
    <row r="775" spans="13:25" x14ac:dyDescent="0.25">
      <c r="M775" s="4"/>
      <c r="N775" s="4"/>
      <c r="P775" s="14">
        <v>1765</v>
      </c>
      <c r="Q775" s="114"/>
      <c r="R775" s="15"/>
      <c r="S775" s="15"/>
      <c r="T775" s="15"/>
      <c r="U775" s="15"/>
      <c r="V775" s="15"/>
      <c r="W775" s="15"/>
      <c r="X775" s="15"/>
      <c r="Y775" s="115"/>
    </row>
    <row r="776" spans="13:25" x14ac:dyDescent="0.25">
      <c r="M776" s="4"/>
      <c r="N776" s="4"/>
      <c r="P776" s="14">
        <v>1760</v>
      </c>
      <c r="Q776" s="114"/>
      <c r="R776" s="15"/>
      <c r="S776" s="15"/>
      <c r="T776" s="15"/>
      <c r="U776" s="15"/>
      <c r="V776" s="15"/>
      <c r="W776" s="15"/>
      <c r="X776" s="15"/>
      <c r="Y776" s="115"/>
    </row>
    <row r="777" spans="13:25" x14ac:dyDescent="0.25">
      <c r="M777" s="4"/>
      <c r="N777" s="4"/>
      <c r="P777" s="14">
        <v>1755</v>
      </c>
      <c r="Q777" s="114"/>
      <c r="R777" s="15"/>
      <c r="S777" s="15"/>
      <c r="T777" s="15"/>
      <c r="U777" s="15"/>
      <c r="V777" s="15"/>
      <c r="W777" s="15"/>
      <c r="X777" s="15"/>
      <c r="Y777" s="115"/>
    </row>
    <row r="778" spans="13:25" x14ac:dyDescent="0.25">
      <c r="M778" s="4"/>
      <c r="N778" s="4"/>
      <c r="P778" s="14">
        <v>1750</v>
      </c>
      <c r="Q778" s="114"/>
      <c r="R778" s="15"/>
      <c r="S778" s="15"/>
      <c r="T778" s="15"/>
      <c r="U778" s="15"/>
      <c r="V778" s="15"/>
      <c r="W778" s="15"/>
      <c r="X778" s="15"/>
      <c r="Y778" s="115"/>
    </row>
    <row r="779" spans="13:25" x14ac:dyDescent="0.25">
      <c r="M779" s="4"/>
      <c r="N779" s="4"/>
      <c r="P779" s="14">
        <v>1745</v>
      </c>
      <c r="Q779" s="114"/>
      <c r="R779" s="15"/>
      <c r="S779" s="15"/>
      <c r="T779" s="15"/>
      <c r="U779" s="15"/>
      <c r="V779" s="15"/>
      <c r="W779" s="15"/>
      <c r="X779" s="15"/>
      <c r="Y779" s="115"/>
    </row>
    <row r="780" spans="13:25" x14ac:dyDescent="0.25">
      <c r="M780" s="4"/>
      <c r="N780" s="4"/>
      <c r="P780" s="14">
        <v>1740</v>
      </c>
      <c r="Q780" s="114"/>
      <c r="R780" s="15"/>
      <c r="S780" s="15"/>
      <c r="T780" s="15"/>
      <c r="U780" s="15"/>
      <c r="V780" s="15"/>
      <c r="W780" s="15"/>
      <c r="X780" s="15"/>
      <c r="Y780" s="115"/>
    </row>
    <row r="781" spans="13:25" x14ac:dyDescent="0.25">
      <c r="M781" s="4"/>
      <c r="N781" s="4"/>
      <c r="P781" s="14">
        <v>1735</v>
      </c>
      <c r="Q781" s="114"/>
      <c r="R781" s="15"/>
      <c r="S781" s="15"/>
      <c r="T781" s="15"/>
      <c r="U781" s="15"/>
      <c r="V781" s="15"/>
      <c r="W781" s="15"/>
      <c r="X781" s="15"/>
      <c r="Y781" s="115"/>
    </row>
    <row r="782" spans="13:25" x14ac:dyDescent="0.25">
      <c r="M782" s="4"/>
      <c r="N782" s="4"/>
      <c r="P782" s="14">
        <v>1730</v>
      </c>
      <c r="Q782" s="114"/>
      <c r="R782" s="15"/>
      <c r="S782" s="15"/>
      <c r="T782" s="15"/>
      <c r="U782" s="15"/>
      <c r="V782" s="15"/>
      <c r="W782" s="15"/>
      <c r="X782" s="15"/>
      <c r="Y782" s="115"/>
    </row>
    <row r="783" spans="13:25" x14ac:dyDescent="0.25">
      <c r="M783" s="4"/>
      <c r="N783" s="4"/>
      <c r="P783" s="14">
        <v>1725</v>
      </c>
      <c r="Q783" s="114"/>
      <c r="R783" s="15"/>
      <c r="S783" s="15"/>
      <c r="T783" s="15"/>
      <c r="U783" s="15"/>
      <c r="V783" s="15"/>
      <c r="W783" s="15"/>
      <c r="X783" s="15"/>
      <c r="Y783" s="115"/>
    </row>
    <row r="784" spans="13:25" x14ac:dyDescent="0.25">
      <c r="M784" s="4"/>
      <c r="N784" s="4"/>
      <c r="P784" s="14">
        <v>1720</v>
      </c>
      <c r="Q784" s="114"/>
      <c r="R784" s="15"/>
      <c r="S784" s="15"/>
      <c r="T784" s="15"/>
      <c r="U784" s="15"/>
      <c r="V784" s="15"/>
      <c r="W784" s="15"/>
      <c r="X784" s="15"/>
      <c r="Y784" s="115"/>
    </row>
    <row r="785" spans="13:25" x14ac:dyDescent="0.25">
      <c r="M785" s="4"/>
      <c r="N785" s="4"/>
      <c r="P785" s="14">
        <v>1715</v>
      </c>
      <c r="Q785" s="114"/>
      <c r="R785" s="15"/>
      <c r="S785" s="15"/>
      <c r="T785" s="15"/>
      <c r="U785" s="15"/>
      <c r="V785" s="15"/>
      <c r="W785" s="15"/>
      <c r="X785" s="15"/>
      <c r="Y785" s="115"/>
    </row>
    <row r="786" spans="13:25" x14ac:dyDescent="0.25">
      <c r="M786" s="4"/>
      <c r="N786" s="4"/>
      <c r="P786" s="14">
        <v>1710</v>
      </c>
      <c r="Q786" s="114"/>
      <c r="R786" s="15"/>
      <c r="S786" s="15"/>
      <c r="T786" s="15"/>
      <c r="U786" s="15"/>
      <c r="V786" s="15"/>
      <c r="W786" s="15"/>
      <c r="X786" s="15"/>
      <c r="Y786" s="115"/>
    </row>
    <row r="787" spans="13:25" x14ac:dyDescent="0.25">
      <c r="M787" s="4"/>
      <c r="N787" s="4"/>
      <c r="P787" s="14">
        <v>1705</v>
      </c>
      <c r="Q787" s="114"/>
      <c r="R787" s="15"/>
      <c r="S787" s="15"/>
      <c r="T787" s="15"/>
      <c r="U787" s="15"/>
      <c r="V787" s="15"/>
      <c r="W787" s="15"/>
      <c r="X787" s="15"/>
      <c r="Y787" s="115"/>
    </row>
    <row r="788" spans="13:25" x14ac:dyDescent="0.25">
      <c r="M788" s="4"/>
      <c r="N788" s="4"/>
      <c r="P788" s="14">
        <v>1700</v>
      </c>
      <c r="Q788" s="114"/>
      <c r="R788" s="15"/>
      <c r="S788" s="15"/>
      <c r="T788" s="15"/>
      <c r="U788" s="15"/>
      <c r="V788" s="15"/>
      <c r="W788" s="15"/>
      <c r="X788" s="15"/>
      <c r="Y788" s="115"/>
    </row>
    <row r="789" spans="13:25" x14ac:dyDescent="0.25">
      <c r="M789" s="4"/>
      <c r="N789" s="4"/>
      <c r="P789" s="14">
        <v>1695</v>
      </c>
      <c r="Q789" s="114"/>
      <c r="R789" s="15"/>
      <c r="S789" s="15"/>
      <c r="T789" s="15"/>
      <c r="U789" s="15"/>
      <c r="V789" s="15"/>
      <c r="W789" s="15"/>
      <c r="X789" s="15"/>
      <c r="Y789" s="115"/>
    </row>
    <row r="790" spans="13:25" x14ac:dyDescent="0.25">
      <c r="M790" s="4"/>
      <c r="N790" s="4"/>
      <c r="P790" s="14">
        <v>1690</v>
      </c>
      <c r="Q790" s="114"/>
      <c r="R790" s="15"/>
      <c r="S790" s="15"/>
      <c r="T790" s="15"/>
      <c r="U790" s="15"/>
      <c r="V790" s="15"/>
      <c r="W790" s="15"/>
      <c r="X790" s="15"/>
      <c r="Y790" s="115"/>
    </row>
    <row r="791" spans="13:25" x14ac:dyDescent="0.25">
      <c r="M791" s="4"/>
      <c r="N791" s="4"/>
      <c r="P791" s="14">
        <v>1685</v>
      </c>
      <c r="Q791" s="114"/>
      <c r="R791" s="15"/>
      <c r="S791" s="15"/>
      <c r="T791" s="15"/>
      <c r="U791" s="15"/>
      <c r="V791" s="15"/>
      <c r="W791" s="15"/>
      <c r="X791" s="15"/>
      <c r="Y791" s="115"/>
    </row>
    <row r="792" spans="13:25" x14ac:dyDescent="0.25">
      <c r="M792" s="4"/>
      <c r="N792" s="4"/>
      <c r="P792" s="14">
        <v>1680</v>
      </c>
      <c r="Q792" s="114"/>
      <c r="R792" s="15"/>
      <c r="S792" s="15"/>
      <c r="T792" s="15"/>
      <c r="U792" s="15"/>
      <c r="V792" s="15"/>
      <c r="W792" s="15"/>
      <c r="X792" s="15"/>
      <c r="Y792" s="115"/>
    </row>
    <row r="793" spans="13:25" x14ac:dyDescent="0.25">
      <c r="M793" s="4"/>
      <c r="N793" s="4"/>
      <c r="P793" s="14">
        <v>1675</v>
      </c>
      <c r="Q793" s="114"/>
      <c r="R793" s="15"/>
      <c r="S793" s="15"/>
      <c r="T793" s="15"/>
      <c r="U793" s="15"/>
      <c r="V793" s="15"/>
      <c r="W793" s="15"/>
      <c r="X793" s="15"/>
      <c r="Y793" s="115"/>
    </row>
    <row r="794" spans="13:25" x14ac:dyDescent="0.25">
      <c r="M794" s="4"/>
      <c r="N794" s="4"/>
      <c r="P794" s="14">
        <v>1670</v>
      </c>
      <c r="Q794" s="114"/>
      <c r="R794" s="15"/>
      <c r="S794" s="15"/>
      <c r="T794" s="15"/>
      <c r="U794" s="15"/>
      <c r="V794" s="15"/>
      <c r="W794" s="15"/>
      <c r="X794" s="15"/>
      <c r="Y794" s="115"/>
    </row>
    <row r="795" spans="13:25" x14ac:dyDescent="0.25">
      <c r="M795" s="4"/>
      <c r="N795" s="4"/>
      <c r="P795" s="14">
        <v>1665</v>
      </c>
      <c r="Q795" s="114"/>
      <c r="R795" s="15"/>
      <c r="S795" s="15"/>
      <c r="T795" s="15"/>
      <c r="U795" s="15"/>
      <c r="V795" s="15"/>
      <c r="W795" s="15"/>
      <c r="X795" s="15"/>
      <c r="Y795" s="115"/>
    </row>
    <row r="796" spans="13:25" x14ac:dyDescent="0.25">
      <c r="M796" s="4"/>
      <c r="N796" s="4"/>
      <c r="P796" s="14">
        <v>1660</v>
      </c>
      <c r="Q796" s="114"/>
      <c r="R796" s="15"/>
      <c r="S796" s="15"/>
      <c r="T796" s="15"/>
      <c r="U796" s="15"/>
      <c r="V796" s="15"/>
      <c r="W796" s="15"/>
      <c r="X796" s="15"/>
      <c r="Y796" s="115"/>
    </row>
    <row r="797" spans="13:25" x14ac:dyDescent="0.25">
      <c r="M797" s="4"/>
      <c r="N797" s="4"/>
      <c r="P797" s="14">
        <v>1655</v>
      </c>
      <c r="Q797" s="114"/>
      <c r="R797" s="15"/>
      <c r="S797" s="15"/>
      <c r="T797" s="15"/>
      <c r="U797" s="15"/>
      <c r="V797" s="15"/>
      <c r="W797" s="15"/>
      <c r="X797" s="15"/>
      <c r="Y797" s="115"/>
    </row>
    <row r="798" spans="13:25" x14ac:dyDescent="0.25">
      <c r="M798" s="4"/>
      <c r="N798" s="4"/>
      <c r="P798" s="14">
        <v>1650</v>
      </c>
      <c r="Q798" s="114"/>
      <c r="R798" s="15"/>
      <c r="S798" s="15"/>
      <c r="T798" s="15"/>
      <c r="U798" s="15"/>
      <c r="V798" s="15"/>
      <c r="W798" s="15"/>
      <c r="X798" s="15"/>
      <c r="Y798" s="115"/>
    </row>
    <row r="799" spans="13:25" x14ac:dyDescent="0.25">
      <c r="M799" s="4"/>
      <c r="N799" s="4"/>
      <c r="P799" s="14">
        <v>1645</v>
      </c>
      <c r="Q799" s="114"/>
      <c r="R799" s="15"/>
      <c r="S799" s="15"/>
      <c r="T799" s="15"/>
      <c r="U799" s="15"/>
      <c r="V799" s="15"/>
      <c r="W799" s="15"/>
      <c r="X799" s="15"/>
      <c r="Y799" s="115"/>
    </row>
    <row r="800" spans="13:25" x14ac:dyDescent="0.25">
      <c r="M800" s="4"/>
      <c r="N800" s="4"/>
      <c r="P800" s="14">
        <v>1640</v>
      </c>
      <c r="Q800" s="114"/>
      <c r="R800" s="15"/>
      <c r="S800" s="15"/>
      <c r="T800" s="15"/>
      <c r="U800" s="15"/>
      <c r="V800" s="15"/>
      <c r="W800" s="15"/>
      <c r="X800" s="15"/>
      <c r="Y800" s="115"/>
    </row>
    <row r="801" spans="13:25" x14ac:dyDescent="0.25">
      <c r="M801" s="4"/>
      <c r="N801" s="4"/>
      <c r="P801" s="14">
        <v>1635</v>
      </c>
      <c r="Q801" s="114"/>
      <c r="R801" s="15"/>
      <c r="S801" s="15"/>
      <c r="T801" s="15"/>
      <c r="U801" s="15"/>
      <c r="V801" s="15"/>
      <c r="W801" s="15"/>
      <c r="X801" s="15"/>
      <c r="Y801" s="115"/>
    </row>
    <row r="802" spans="13:25" x14ac:dyDescent="0.25">
      <c r="M802" s="4"/>
      <c r="N802" s="4"/>
      <c r="P802" s="14">
        <v>1630</v>
      </c>
      <c r="Q802" s="114"/>
      <c r="R802" s="15"/>
      <c r="S802" s="15"/>
      <c r="T802" s="15"/>
      <c r="U802" s="15"/>
      <c r="V802" s="15"/>
      <c r="W802" s="15"/>
      <c r="X802" s="15"/>
      <c r="Y802" s="115"/>
    </row>
    <row r="803" spans="13:25" x14ac:dyDescent="0.25">
      <c r="M803" s="4"/>
      <c r="N803" s="4"/>
      <c r="P803" s="14">
        <v>1625</v>
      </c>
      <c r="Q803" s="114"/>
      <c r="R803" s="15"/>
      <c r="S803" s="15"/>
      <c r="T803" s="15"/>
      <c r="U803" s="15"/>
      <c r="V803" s="15"/>
      <c r="W803" s="15"/>
      <c r="X803" s="15"/>
      <c r="Y803" s="115"/>
    </row>
    <row r="804" spans="13:25" x14ac:dyDescent="0.25">
      <c r="M804" s="4"/>
      <c r="N804" s="4"/>
      <c r="P804" s="14">
        <v>1620</v>
      </c>
      <c r="Q804" s="114"/>
      <c r="R804" s="15"/>
      <c r="S804" s="15"/>
      <c r="T804" s="15"/>
      <c r="U804" s="15"/>
      <c r="V804" s="15"/>
      <c r="W804" s="15"/>
      <c r="X804" s="15"/>
      <c r="Y804" s="115"/>
    </row>
    <row r="805" spans="13:25" x14ac:dyDescent="0.25">
      <c r="M805" s="4"/>
      <c r="N805" s="4"/>
      <c r="P805" s="14">
        <v>1615</v>
      </c>
      <c r="Q805" s="114"/>
      <c r="R805" s="15"/>
      <c r="S805" s="15"/>
      <c r="T805" s="15"/>
      <c r="U805" s="15"/>
      <c r="V805" s="15"/>
      <c r="W805" s="15"/>
      <c r="X805" s="15"/>
      <c r="Y805" s="115"/>
    </row>
    <row r="806" spans="13:25" x14ac:dyDescent="0.25">
      <c r="M806" s="4"/>
      <c r="N806" s="4"/>
      <c r="P806" s="14">
        <v>1610</v>
      </c>
      <c r="Q806" s="114"/>
      <c r="R806" s="15"/>
      <c r="S806" s="15"/>
      <c r="T806" s="15"/>
      <c r="U806" s="15"/>
      <c r="V806" s="15"/>
      <c r="W806" s="15"/>
      <c r="X806" s="15"/>
      <c r="Y806" s="115"/>
    </row>
    <row r="807" spans="13:25" x14ac:dyDescent="0.25">
      <c r="M807" s="4"/>
      <c r="N807" s="4"/>
      <c r="P807" s="14">
        <v>1605</v>
      </c>
      <c r="Q807" s="114"/>
      <c r="R807" s="15"/>
      <c r="S807" s="15"/>
      <c r="T807" s="15"/>
      <c r="U807" s="15"/>
      <c r="V807" s="15"/>
      <c r="W807" s="15"/>
      <c r="X807" s="15"/>
      <c r="Y807" s="115"/>
    </row>
    <row r="808" spans="13:25" x14ac:dyDescent="0.25">
      <c r="M808" s="4"/>
      <c r="N808" s="4"/>
      <c r="P808" s="14">
        <v>1600</v>
      </c>
      <c r="Q808" s="114"/>
      <c r="R808" s="15"/>
      <c r="S808" s="15"/>
      <c r="T808" s="15"/>
      <c r="U808" s="15"/>
      <c r="V808" s="15"/>
      <c r="W808" s="15"/>
      <c r="X808" s="15"/>
      <c r="Y808" s="115"/>
    </row>
    <row r="809" spans="13:25" x14ac:dyDescent="0.25">
      <c r="M809" s="4"/>
      <c r="N809" s="4"/>
      <c r="P809" s="14">
        <v>1595</v>
      </c>
      <c r="Q809" s="114"/>
      <c r="R809" s="15"/>
      <c r="S809" s="15"/>
      <c r="T809" s="15"/>
      <c r="U809" s="15"/>
      <c r="V809" s="15"/>
      <c r="W809" s="15"/>
      <c r="X809" s="15"/>
      <c r="Y809" s="115"/>
    </row>
    <row r="810" spans="13:25" x14ac:dyDescent="0.25">
      <c r="M810" s="4"/>
      <c r="N810" s="4"/>
      <c r="P810" s="14">
        <v>1590</v>
      </c>
      <c r="Q810" s="114"/>
      <c r="R810" s="15"/>
      <c r="S810" s="15"/>
      <c r="T810" s="15"/>
      <c r="U810" s="15"/>
      <c r="V810" s="15"/>
      <c r="W810" s="15"/>
      <c r="X810" s="15"/>
      <c r="Y810" s="115"/>
    </row>
    <row r="811" spans="13:25" x14ac:dyDescent="0.25">
      <c r="M811" s="4"/>
      <c r="N811" s="4"/>
      <c r="P811" s="14">
        <v>1585</v>
      </c>
      <c r="Q811" s="114"/>
      <c r="R811" s="15"/>
      <c r="S811" s="15"/>
      <c r="T811" s="15"/>
      <c r="U811" s="15"/>
      <c r="V811" s="15"/>
      <c r="W811" s="15"/>
      <c r="X811" s="15"/>
      <c r="Y811" s="115"/>
    </row>
    <row r="812" spans="13:25" x14ac:dyDescent="0.25">
      <c r="M812" s="4"/>
      <c r="N812" s="4"/>
      <c r="P812" s="14">
        <v>1580</v>
      </c>
      <c r="Q812" s="114"/>
      <c r="R812" s="15"/>
      <c r="S812" s="15"/>
      <c r="T812" s="15"/>
      <c r="U812" s="15"/>
      <c r="V812" s="15"/>
      <c r="W812" s="15"/>
      <c r="X812" s="15"/>
      <c r="Y812" s="115"/>
    </row>
    <row r="813" spans="13:25" x14ac:dyDescent="0.25">
      <c r="M813" s="4"/>
      <c r="N813" s="4"/>
      <c r="P813" s="14">
        <v>1575</v>
      </c>
      <c r="Q813" s="114"/>
      <c r="R813" s="15"/>
      <c r="S813" s="15"/>
      <c r="T813" s="15"/>
      <c r="U813" s="15"/>
      <c r="V813" s="15"/>
      <c r="W813" s="15"/>
      <c r="X813" s="15"/>
      <c r="Y813" s="115"/>
    </row>
    <row r="814" spans="13:25" x14ac:dyDescent="0.25">
      <c r="M814" s="4"/>
      <c r="N814" s="4"/>
      <c r="P814" s="14">
        <v>1570</v>
      </c>
      <c r="Q814" s="114"/>
      <c r="R814" s="15"/>
      <c r="S814" s="15"/>
      <c r="T814" s="15"/>
      <c r="U814" s="15"/>
      <c r="V814" s="15"/>
      <c r="W814" s="15"/>
      <c r="X814" s="15"/>
      <c r="Y814" s="115"/>
    </row>
    <row r="815" spans="13:25" x14ac:dyDescent="0.25">
      <c r="M815" s="4"/>
      <c r="N815" s="4"/>
      <c r="P815" s="14">
        <v>1565</v>
      </c>
      <c r="Q815" s="114"/>
      <c r="R815" s="15"/>
      <c r="S815" s="15"/>
      <c r="T815" s="15"/>
      <c r="U815" s="15"/>
      <c r="V815" s="15"/>
      <c r="W815" s="15"/>
      <c r="X815" s="15"/>
      <c r="Y815" s="115"/>
    </row>
    <row r="816" spans="13:25" x14ac:dyDescent="0.25">
      <c r="M816" s="4"/>
      <c r="N816" s="4"/>
      <c r="P816" s="14">
        <v>1560</v>
      </c>
      <c r="Q816" s="114"/>
      <c r="R816" s="15"/>
      <c r="S816" s="15"/>
      <c r="T816" s="15"/>
      <c r="U816" s="15"/>
      <c r="V816" s="15"/>
      <c r="W816" s="15"/>
      <c r="X816" s="15"/>
      <c r="Y816" s="115"/>
    </row>
    <row r="817" spans="13:25" x14ac:dyDescent="0.25">
      <c r="M817" s="4"/>
      <c r="N817" s="4"/>
      <c r="P817" s="14">
        <v>1555</v>
      </c>
      <c r="Q817" s="114"/>
      <c r="R817" s="15"/>
      <c r="S817" s="15"/>
      <c r="T817" s="15"/>
      <c r="U817" s="15"/>
      <c r="V817" s="15"/>
      <c r="W817" s="15"/>
      <c r="X817" s="15"/>
      <c r="Y817" s="115"/>
    </row>
    <row r="818" spans="13:25" x14ac:dyDescent="0.25">
      <c r="M818" s="4"/>
      <c r="N818" s="4"/>
      <c r="P818" s="14">
        <v>1550</v>
      </c>
      <c r="Q818" s="114"/>
      <c r="R818" s="15"/>
      <c r="S818" s="15"/>
      <c r="T818" s="15"/>
      <c r="U818" s="15"/>
      <c r="V818" s="15"/>
      <c r="W818" s="15"/>
      <c r="X818" s="15"/>
      <c r="Y818" s="115"/>
    </row>
    <row r="819" spans="13:25" x14ac:dyDescent="0.25">
      <c r="M819" s="4"/>
      <c r="N819" s="4"/>
      <c r="P819" s="14">
        <v>1545</v>
      </c>
      <c r="Q819" s="114"/>
      <c r="R819" s="15"/>
      <c r="S819" s="15"/>
      <c r="T819" s="15"/>
      <c r="U819" s="15"/>
      <c r="V819" s="15"/>
      <c r="W819" s="15"/>
      <c r="X819" s="15"/>
      <c r="Y819" s="115"/>
    </row>
    <row r="820" spans="13:25" x14ac:dyDescent="0.25">
      <c r="M820" s="4"/>
      <c r="N820" s="4"/>
      <c r="P820" s="14">
        <v>1540</v>
      </c>
      <c r="Q820" s="114"/>
      <c r="R820" s="15"/>
      <c r="S820" s="15"/>
      <c r="T820" s="15"/>
      <c r="U820" s="15"/>
      <c r="V820" s="15"/>
      <c r="W820" s="15"/>
      <c r="X820" s="15"/>
      <c r="Y820" s="115"/>
    </row>
    <row r="821" spans="13:25" x14ac:dyDescent="0.25">
      <c r="M821" s="4"/>
      <c r="N821" s="4"/>
      <c r="P821" s="14">
        <v>1535</v>
      </c>
      <c r="Q821" s="114"/>
      <c r="R821" s="15"/>
      <c r="S821" s="15"/>
      <c r="T821" s="15"/>
      <c r="U821" s="15"/>
      <c r="V821" s="15"/>
      <c r="W821" s="15"/>
      <c r="X821" s="15"/>
      <c r="Y821" s="115"/>
    </row>
    <row r="822" spans="13:25" x14ac:dyDescent="0.25">
      <c r="M822" s="4"/>
      <c r="N822" s="4"/>
      <c r="P822" s="14">
        <v>1530</v>
      </c>
      <c r="Q822" s="114"/>
      <c r="R822" s="15"/>
      <c r="S822" s="15"/>
      <c r="T822" s="15"/>
      <c r="U822" s="15"/>
      <c r="V822" s="15"/>
      <c r="W822" s="15"/>
      <c r="X822" s="15"/>
      <c r="Y822" s="115"/>
    </row>
    <row r="823" spans="13:25" x14ac:dyDescent="0.25">
      <c r="M823" s="4"/>
      <c r="N823" s="4"/>
      <c r="P823" s="14">
        <v>1525</v>
      </c>
      <c r="Q823" s="114"/>
      <c r="R823" s="15"/>
      <c r="S823" s="15"/>
      <c r="T823" s="15"/>
      <c r="U823" s="15"/>
      <c r="V823" s="15"/>
      <c r="W823" s="15"/>
      <c r="X823" s="15"/>
      <c r="Y823" s="115"/>
    </row>
    <row r="824" spans="13:25" x14ac:dyDescent="0.25">
      <c r="M824" s="4"/>
      <c r="N824" s="4"/>
      <c r="P824" s="14">
        <v>1520</v>
      </c>
      <c r="Q824" s="114"/>
      <c r="R824" s="15"/>
      <c r="S824" s="15"/>
      <c r="T824" s="15"/>
      <c r="U824" s="15"/>
      <c r="V824" s="15"/>
      <c r="W824" s="15"/>
      <c r="X824" s="15"/>
      <c r="Y824" s="115"/>
    </row>
    <row r="825" spans="13:25" x14ac:dyDescent="0.25">
      <c r="M825" s="4"/>
      <c r="N825" s="4"/>
      <c r="P825" s="14">
        <v>1515</v>
      </c>
      <c r="Q825" s="114"/>
      <c r="R825" s="15"/>
      <c r="S825" s="15"/>
      <c r="T825" s="15"/>
      <c r="U825" s="15"/>
      <c r="V825" s="15"/>
      <c r="W825" s="15"/>
      <c r="X825" s="15"/>
      <c r="Y825" s="115"/>
    </row>
    <row r="826" spans="13:25" x14ac:dyDescent="0.25">
      <c r="M826" s="4"/>
      <c r="N826" s="4"/>
      <c r="P826" s="14">
        <v>1510</v>
      </c>
      <c r="Q826" s="114"/>
      <c r="R826" s="15"/>
      <c r="S826" s="15"/>
      <c r="T826" s="15"/>
      <c r="U826" s="15"/>
      <c r="V826" s="15"/>
      <c r="W826" s="15"/>
      <c r="X826" s="15"/>
      <c r="Y826" s="115"/>
    </row>
    <row r="827" spans="13:25" x14ac:dyDescent="0.25">
      <c r="M827" s="4"/>
      <c r="N827" s="4"/>
      <c r="P827" s="14">
        <v>1505</v>
      </c>
      <c r="Q827" s="114"/>
      <c r="R827" s="15"/>
      <c r="S827" s="15"/>
      <c r="T827" s="15"/>
      <c r="U827" s="15"/>
      <c r="V827" s="15"/>
      <c r="W827" s="15"/>
      <c r="X827" s="15"/>
      <c r="Y827" s="115"/>
    </row>
    <row r="828" spans="13:25" x14ac:dyDescent="0.25">
      <c r="M828" s="4"/>
      <c r="N828" s="4"/>
      <c r="P828" s="14">
        <v>1500</v>
      </c>
      <c r="Q828" s="114"/>
      <c r="R828" s="15"/>
      <c r="S828" s="15"/>
      <c r="T828" s="15"/>
      <c r="U828" s="15"/>
      <c r="V828" s="15"/>
      <c r="W828" s="15"/>
      <c r="X828" s="15"/>
      <c r="Y828" s="115"/>
    </row>
    <row r="829" spans="13:25" x14ac:dyDescent="0.25">
      <c r="M829" s="4"/>
      <c r="N829" s="4"/>
      <c r="P829" s="14">
        <v>1495</v>
      </c>
      <c r="Q829" s="114"/>
      <c r="R829" s="15"/>
      <c r="S829" s="15"/>
      <c r="T829" s="15"/>
      <c r="U829" s="15"/>
      <c r="V829" s="15"/>
      <c r="W829" s="15"/>
      <c r="X829" s="15"/>
      <c r="Y829" s="115"/>
    </row>
    <row r="830" spans="13:25" x14ac:dyDescent="0.25">
      <c r="M830" s="4"/>
      <c r="N830" s="4"/>
      <c r="P830" s="14">
        <v>1490</v>
      </c>
      <c r="Q830" s="114"/>
      <c r="R830" s="15"/>
      <c r="S830" s="15"/>
      <c r="T830" s="15"/>
      <c r="U830" s="15"/>
      <c r="V830" s="15"/>
      <c r="W830" s="15"/>
      <c r="X830" s="15"/>
      <c r="Y830" s="115"/>
    </row>
    <row r="831" spans="13:25" x14ac:dyDescent="0.25">
      <c r="M831" s="4"/>
      <c r="N831" s="4"/>
      <c r="P831" s="14">
        <v>1485</v>
      </c>
      <c r="Q831" s="114"/>
      <c r="R831" s="15"/>
      <c r="S831" s="15"/>
      <c r="T831" s="15"/>
      <c r="U831" s="15"/>
      <c r="V831" s="15"/>
      <c r="W831" s="15"/>
      <c r="X831" s="15"/>
      <c r="Y831" s="115"/>
    </row>
    <row r="832" spans="13:25" x14ac:dyDescent="0.25">
      <c r="M832" s="4"/>
      <c r="N832" s="4"/>
      <c r="P832" s="14">
        <v>1480</v>
      </c>
      <c r="Q832" s="114"/>
      <c r="R832" s="15"/>
      <c r="S832" s="15"/>
      <c r="T832" s="15"/>
      <c r="U832" s="15"/>
      <c r="V832" s="15"/>
      <c r="W832" s="15"/>
      <c r="X832" s="15"/>
      <c r="Y832" s="115"/>
    </row>
    <row r="833" spans="13:25" x14ac:dyDescent="0.25">
      <c r="M833" s="4"/>
      <c r="N833" s="4"/>
      <c r="P833" s="14">
        <v>1475</v>
      </c>
      <c r="Q833" s="114"/>
      <c r="R833" s="15"/>
      <c r="S833" s="15"/>
      <c r="T833" s="15"/>
      <c r="U833" s="15"/>
      <c r="V833" s="15"/>
      <c r="W833" s="15"/>
      <c r="X833" s="15"/>
      <c r="Y833" s="115"/>
    </row>
    <row r="834" spans="13:25" x14ac:dyDescent="0.25">
      <c r="M834" s="4"/>
      <c r="N834" s="4"/>
      <c r="P834" s="14">
        <v>1470</v>
      </c>
      <c r="Q834" s="114"/>
      <c r="R834" s="15"/>
      <c r="S834" s="15"/>
      <c r="T834" s="15"/>
      <c r="U834" s="15"/>
      <c r="V834" s="15"/>
      <c r="W834" s="15"/>
      <c r="X834" s="15"/>
      <c r="Y834" s="115"/>
    </row>
    <row r="835" spans="13:25" x14ac:dyDescent="0.25">
      <c r="M835" s="4"/>
      <c r="N835" s="4"/>
      <c r="P835" s="14">
        <v>1465</v>
      </c>
      <c r="Q835" s="114"/>
      <c r="R835" s="15"/>
      <c r="S835" s="15"/>
      <c r="T835" s="15"/>
      <c r="U835" s="15"/>
      <c r="V835" s="15"/>
      <c r="W835" s="15"/>
      <c r="X835" s="15"/>
      <c r="Y835" s="115"/>
    </row>
    <row r="836" spans="13:25" x14ac:dyDescent="0.25">
      <c r="M836" s="4"/>
      <c r="N836" s="4"/>
      <c r="P836" s="14">
        <v>1460</v>
      </c>
      <c r="Q836" s="114"/>
      <c r="R836" s="15"/>
      <c r="S836" s="15"/>
      <c r="T836" s="15"/>
      <c r="U836" s="15"/>
      <c r="V836" s="15"/>
      <c r="W836" s="15"/>
      <c r="X836" s="15"/>
      <c r="Y836" s="115"/>
    </row>
    <row r="837" spans="13:25" x14ac:dyDescent="0.25">
      <c r="M837" s="4"/>
      <c r="N837" s="4"/>
      <c r="P837" s="14">
        <v>1455</v>
      </c>
      <c r="Q837" s="114"/>
      <c r="R837" s="15"/>
      <c r="S837" s="15"/>
      <c r="T837" s="15"/>
      <c r="U837" s="15"/>
      <c r="V837" s="15"/>
      <c r="W837" s="15"/>
      <c r="X837" s="15"/>
      <c r="Y837" s="115"/>
    </row>
    <row r="838" spans="13:25" x14ac:dyDescent="0.25">
      <c r="M838" s="4"/>
      <c r="N838" s="4"/>
      <c r="P838" s="14">
        <v>1450</v>
      </c>
      <c r="Q838" s="114"/>
      <c r="R838" s="15"/>
      <c r="S838" s="15"/>
      <c r="T838" s="15"/>
      <c r="U838" s="15"/>
      <c r="V838" s="15"/>
      <c r="W838" s="15"/>
      <c r="X838" s="15"/>
      <c r="Y838" s="115"/>
    </row>
    <row r="839" spans="13:25" x14ac:dyDescent="0.25">
      <c r="M839" s="4"/>
      <c r="N839" s="4"/>
      <c r="P839" s="14">
        <v>1445</v>
      </c>
      <c r="Q839" s="114"/>
      <c r="R839" s="15"/>
      <c r="S839" s="15"/>
      <c r="T839" s="15"/>
      <c r="U839" s="15"/>
      <c r="V839" s="15"/>
      <c r="W839" s="15"/>
      <c r="X839" s="15"/>
      <c r="Y839" s="115"/>
    </row>
    <row r="840" spans="13:25" x14ac:dyDescent="0.25">
      <c r="M840" s="4"/>
      <c r="N840" s="4"/>
      <c r="P840" s="14">
        <v>1440</v>
      </c>
      <c r="Q840" s="114"/>
      <c r="R840" s="15"/>
      <c r="S840" s="15"/>
      <c r="T840" s="15"/>
      <c r="U840" s="15"/>
      <c r="V840" s="15"/>
      <c r="W840" s="15"/>
      <c r="X840" s="15"/>
      <c r="Y840" s="115"/>
    </row>
    <row r="841" spans="13:25" x14ac:dyDescent="0.25">
      <c r="M841" s="4"/>
      <c r="N841" s="4"/>
      <c r="P841" s="14">
        <v>1435</v>
      </c>
      <c r="Q841" s="114"/>
      <c r="R841" s="15"/>
      <c r="S841" s="15"/>
      <c r="T841" s="15"/>
      <c r="U841" s="15"/>
      <c r="V841" s="15"/>
      <c r="W841" s="15"/>
      <c r="X841" s="15"/>
      <c r="Y841" s="115"/>
    </row>
    <row r="842" spans="13:25" x14ac:dyDescent="0.25">
      <c r="M842" s="4"/>
      <c r="N842" s="4"/>
      <c r="P842" s="14">
        <v>1430</v>
      </c>
      <c r="Q842" s="114"/>
      <c r="R842" s="15"/>
      <c r="S842" s="15"/>
      <c r="T842" s="15"/>
      <c r="U842" s="15"/>
      <c r="V842" s="15"/>
      <c r="W842" s="15"/>
      <c r="X842" s="15"/>
      <c r="Y842" s="115"/>
    </row>
    <row r="843" spans="13:25" x14ac:dyDescent="0.25">
      <c r="M843" s="4"/>
      <c r="N843" s="4"/>
      <c r="P843" s="14">
        <v>1425</v>
      </c>
      <c r="Q843" s="114"/>
      <c r="R843" s="15"/>
      <c r="S843" s="15"/>
      <c r="T843" s="15"/>
      <c r="U843" s="15"/>
      <c r="V843" s="15"/>
      <c r="W843" s="15"/>
      <c r="X843" s="15"/>
      <c r="Y843" s="115"/>
    </row>
    <row r="844" spans="13:25" x14ac:dyDescent="0.25">
      <c r="M844" s="4"/>
      <c r="N844" s="4"/>
      <c r="P844" s="14">
        <v>1420</v>
      </c>
      <c r="Q844" s="114"/>
      <c r="R844" s="15"/>
      <c r="S844" s="15"/>
      <c r="T844" s="15"/>
      <c r="U844" s="15"/>
      <c r="V844" s="15"/>
      <c r="W844" s="15"/>
      <c r="X844" s="15"/>
      <c r="Y844" s="115"/>
    </row>
    <row r="845" spans="13:25" x14ac:dyDescent="0.25">
      <c r="M845" s="4"/>
      <c r="N845" s="4"/>
      <c r="P845" s="14">
        <v>1415</v>
      </c>
      <c r="Q845" s="114"/>
      <c r="R845" s="15"/>
      <c r="S845" s="15"/>
      <c r="T845" s="15"/>
      <c r="U845" s="15"/>
      <c r="V845" s="15"/>
      <c r="W845" s="15"/>
      <c r="X845" s="15"/>
      <c r="Y845" s="115"/>
    </row>
    <row r="846" spans="13:25" x14ac:dyDescent="0.25">
      <c r="M846" s="4"/>
      <c r="N846" s="4"/>
      <c r="P846" s="14">
        <v>1410</v>
      </c>
      <c r="Q846" s="114"/>
      <c r="R846" s="15"/>
      <c r="S846" s="15"/>
      <c r="T846" s="15"/>
      <c r="U846" s="15"/>
      <c r="V846" s="15"/>
      <c r="W846" s="15"/>
      <c r="X846" s="15"/>
      <c r="Y846" s="115"/>
    </row>
    <row r="847" spans="13:25" x14ac:dyDescent="0.25">
      <c r="M847" s="4"/>
      <c r="N847" s="4"/>
      <c r="P847" s="14">
        <v>1405</v>
      </c>
      <c r="Q847" s="114"/>
      <c r="R847" s="15"/>
      <c r="S847" s="15"/>
      <c r="T847" s="15"/>
      <c r="U847" s="15"/>
      <c r="V847" s="15"/>
      <c r="W847" s="15"/>
      <c r="X847" s="15"/>
      <c r="Y847" s="115"/>
    </row>
    <row r="848" spans="13:25" x14ac:dyDescent="0.25">
      <c r="M848" s="4"/>
      <c r="N848" s="4"/>
      <c r="P848" s="14">
        <v>1400</v>
      </c>
      <c r="Q848" s="114"/>
      <c r="R848" s="15"/>
      <c r="S848" s="15"/>
      <c r="T848" s="15"/>
      <c r="U848" s="15"/>
      <c r="V848" s="15"/>
      <c r="W848" s="15"/>
      <c r="X848" s="15"/>
      <c r="Y848" s="115"/>
    </row>
    <row r="849" spans="13:25" x14ac:dyDescent="0.25">
      <c r="M849" s="4"/>
      <c r="N849" s="4"/>
      <c r="P849" s="14">
        <v>1395</v>
      </c>
      <c r="Q849" s="114"/>
      <c r="R849" s="15"/>
      <c r="S849" s="15"/>
      <c r="T849" s="15"/>
      <c r="U849" s="15"/>
      <c r="V849" s="15"/>
      <c r="W849" s="15"/>
      <c r="X849" s="15"/>
      <c r="Y849" s="115"/>
    </row>
    <row r="850" spans="13:25" x14ac:dyDescent="0.25">
      <c r="M850" s="4"/>
      <c r="N850" s="4"/>
      <c r="P850" s="14">
        <v>1390</v>
      </c>
      <c r="Q850" s="114"/>
      <c r="R850" s="15"/>
      <c r="S850" s="15"/>
      <c r="T850" s="15"/>
      <c r="U850" s="15"/>
      <c r="V850" s="15"/>
      <c r="W850" s="15"/>
      <c r="X850" s="15"/>
      <c r="Y850" s="115"/>
    </row>
    <row r="851" spans="13:25" x14ac:dyDescent="0.25">
      <c r="M851" s="4"/>
      <c r="N851" s="4"/>
      <c r="P851" s="14">
        <v>1385</v>
      </c>
      <c r="Q851" s="114"/>
      <c r="R851" s="15"/>
      <c r="S851" s="15"/>
      <c r="T851" s="15"/>
      <c r="U851" s="15"/>
      <c r="V851" s="15"/>
      <c r="W851" s="15"/>
      <c r="X851" s="15"/>
      <c r="Y851" s="115"/>
    </row>
    <row r="852" spans="13:25" x14ac:dyDescent="0.25">
      <c r="M852" s="4"/>
      <c r="N852" s="5"/>
      <c r="P852" s="14">
        <v>1380</v>
      </c>
      <c r="Q852" s="114"/>
      <c r="R852" s="15"/>
      <c r="S852" s="15"/>
      <c r="T852" s="15"/>
      <c r="U852" s="15"/>
      <c r="V852" s="15"/>
      <c r="W852" s="15"/>
      <c r="X852" s="15"/>
      <c r="Y852" s="115"/>
    </row>
    <row r="853" spans="13:25" x14ac:dyDescent="0.25">
      <c r="M853" s="4"/>
      <c r="N853" s="13"/>
      <c r="O853" s="4"/>
      <c r="P853" s="14">
        <v>1375</v>
      </c>
      <c r="Q853" s="114"/>
      <c r="R853" s="15"/>
      <c r="S853" s="15"/>
      <c r="T853" s="15"/>
      <c r="U853" s="15"/>
      <c r="V853" s="15"/>
      <c r="W853" s="15"/>
      <c r="X853" s="15"/>
      <c r="Y853" s="115"/>
    </row>
    <row r="854" spans="13:25" x14ac:dyDescent="0.25">
      <c r="M854" s="4"/>
      <c r="N854" s="4"/>
      <c r="P854" s="14">
        <v>1370</v>
      </c>
      <c r="Q854" s="114"/>
      <c r="R854" s="15"/>
      <c r="S854" s="15"/>
      <c r="T854" s="15"/>
      <c r="U854" s="15"/>
      <c r="V854" s="15"/>
      <c r="W854" s="15"/>
      <c r="X854" s="15"/>
      <c r="Y854" s="115"/>
    </row>
    <row r="855" spans="13:25" x14ac:dyDescent="0.25">
      <c r="M855" s="4"/>
      <c r="N855" s="4"/>
      <c r="P855" s="14">
        <v>1365</v>
      </c>
      <c r="Q855" s="114"/>
      <c r="R855" s="15"/>
      <c r="S855" s="15"/>
      <c r="T855" s="15"/>
      <c r="U855" s="15"/>
      <c r="V855" s="15"/>
      <c r="W855" s="15"/>
      <c r="X855" s="15"/>
      <c r="Y855" s="115"/>
    </row>
    <row r="856" spans="13:25" x14ac:dyDescent="0.25">
      <c r="M856" s="4"/>
      <c r="N856" s="4"/>
      <c r="P856" s="14">
        <v>1360</v>
      </c>
      <c r="Q856" s="114"/>
      <c r="R856" s="15"/>
      <c r="S856" s="15"/>
      <c r="T856" s="15"/>
      <c r="U856" s="15"/>
      <c r="V856" s="15"/>
      <c r="W856" s="15"/>
      <c r="X856" s="15"/>
      <c r="Y856" s="115"/>
    </row>
    <row r="857" spans="13:25" x14ac:dyDescent="0.25">
      <c r="M857" s="4"/>
      <c r="N857" s="4"/>
      <c r="P857" s="14">
        <v>1355</v>
      </c>
      <c r="Q857" s="114"/>
      <c r="R857" s="15"/>
      <c r="S857" s="15"/>
      <c r="T857" s="15"/>
      <c r="U857" s="15"/>
      <c r="V857" s="15"/>
      <c r="W857" s="15"/>
      <c r="X857" s="15"/>
      <c r="Y857" s="115"/>
    </row>
    <row r="858" spans="13:25" x14ac:dyDescent="0.25">
      <c r="M858" s="4"/>
      <c r="N858" s="4"/>
      <c r="P858" s="14">
        <v>1350</v>
      </c>
      <c r="Q858" s="114"/>
      <c r="R858" s="15"/>
      <c r="S858" s="15"/>
      <c r="T858" s="15"/>
      <c r="U858" s="15"/>
      <c r="V858" s="15"/>
      <c r="W858" s="15"/>
      <c r="X858" s="15"/>
      <c r="Y858" s="115"/>
    </row>
    <row r="859" spans="13:25" x14ac:dyDescent="0.25">
      <c r="M859" s="4"/>
      <c r="N859" s="4"/>
      <c r="P859" s="14">
        <v>1345</v>
      </c>
      <c r="Q859" s="114"/>
      <c r="R859" s="15"/>
      <c r="S859" s="15"/>
      <c r="T859" s="15"/>
      <c r="U859" s="15"/>
      <c r="V859" s="15"/>
      <c r="W859" s="15"/>
      <c r="X859" s="15"/>
      <c r="Y859" s="115"/>
    </row>
    <row r="860" spans="13:25" x14ac:dyDescent="0.25">
      <c r="M860" s="4"/>
      <c r="N860" s="4"/>
      <c r="P860" s="14">
        <v>1340</v>
      </c>
      <c r="Q860" s="114"/>
      <c r="R860" s="15"/>
      <c r="S860" s="15"/>
      <c r="T860" s="15"/>
      <c r="U860" s="15"/>
      <c r="V860" s="15"/>
      <c r="W860" s="15"/>
      <c r="X860" s="15"/>
      <c r="Y860" s="115"/>
    </row>
    <row r="861" spans="13:25" x14ac:dyDescent="0.25">
      <c r="M861" s="4"/>
      <c r="N861" s="4"/>
      <c r="P861" s="14">
        <v>1335</v>
      </c>
      <c r="Q861" s="114"/>
      <c r="R861" s="15"/>
      <c r="S861" s="15"/>
      <c r="T861" s="15"/>
      <c r="U861" s="15"/>
      <c r="V861" s="15"/>
      <c r="W861" s="15"/>
      <c r="X861" s="15"/>
      <c r="Y861" s="115"/>
    </row>
    <row r="862" spans="13:25" x14ac:dyDescent="0.25">
      <c r="M862" s="4"/>
      <c r="N862" s="4"/>
      <c r="P862" s="14">
        <v>1330</v>
      </c>
      <c r="Q862" s="114"/>
      <c r="R862" s="15"/>
      <c r="S862" s="15"/>
      <c r="T862" s="15"/>
      <c r="U862" s="15"/>
      <c r="V862" s="15"/>
      <c r="W862" s="15"/>
      <c r="X862" s="15"/>
      <c r="Y862" s="115"/>
    </row>
    <row r="863" spans="13:25" x14ac:dyDescent="0.25">
      <c r="M863" s="4"/>
      <c r="N863" s="4"/>
      <c r="P863" s="14">
        <v>1325</v>
      </c>
      <c r="Q863" s="114"/>
      <c r="R863" s="15"/>
      <c r="S863" s="15"/>
      <c r="T863" s="15"/>
      <c r="U863" s="15"/>
      <c r="V863" s="15"/>
      <c r="W863" s="15"/>
      <c r="X863" s="15"/>
      <c r="Y863" s="115"/>
    </row>
    <row r="864" spans="13:25" x14ac:dyDescent="0.25">
      <c r="M864" s="4"/>
      <c r="N864" s="4"/>
      <c r="P864" s="14">
        <v>1320</v>
      </c>
      <c r="Q864" s="114"/>
      <c r="R864" s="15"/>
      <c r="S864" s="15"/>
      <c r="T864" s="15"/>
      <c r="U864" s="15"/>
      <c r="V864" s="15"/>
      <c r="W864" s="15"/>
      <c r="X864" s="15"/>
      <c r="Y864" s="115"/>
    </row>
    <row r="865" spans="13:25" x14ac:dyDescent="0.25">
      <c r="M865" s="4"/>
      <c r="N865" s="4"/>
      <c r="P865" s="14">
        <v>1315</v>
      </c>
      <c r="Q865" s="114"/>
      <c r="R865" s="15"/>
      <c r="S865" s="15"/>
      <c r="T865" s="15"/>
      <c r="U865" s="15"/>
      <c r="V865" s="15"/>
      <c r="W865" s="15"/>
      <c r="X865" s="15"/>
      <c r="Y865" s="115"/>
    </row>
    <row r="866" spans="13:25" x14ac:dyDescent="0.25">
      <c r="M866" s="4"/>
      <c r="N866" s="4"/>
      <c r="P866" s="14">
        <v>1310</v>
      </c>
      <c r="Q866" s="114"/>
      <c r="R866" s="15"/>
      <c r="S866" s="15"/>
      <c r="T866" s="15"/>
      <c r="U866" s="15"/>
      <c r="V866" s="15"/>
      <c r="W866" s="15"/>
      <c r="X866" s="15"/>
      <c r="Y866" s="115"/>
    </row>
    <row r="867" spans="13:25" x14ac:dyDescent="0.25">
      <c r="M867" s="4"/>
      <c r="N867" s="4"/>
      <c r="P867" s="14">
        <v>1305</v>
      </c>
      <c r="Q867" s="114"/>
      <c r="R867" s="15"/>
      <c r="S867" s="15"/>
      <c r="T867" s="15"/>
      <c r="U867" s="15"/>
      <c r="V867" s="15"/>
      <c r="W867" s="15"/>
      <c r="X867" s="15"/>
      <c r="Y867" s="115"/>
    </row>
    <row r="868" spans="13:25" x14ac:dyDescent="0.25">
      <c r="M868" s="4"/>
      <c r="N868" s="4"/>
      <c r="P868" s="14">
        <v>1300</v>
      </c>
      <c r="Q868" s="114"/>
      <c r="R868" s="15"/>
      <c r="S868" s="15"/>
      <c r="T868" s="15"/>
      <c r="U868" s="15"/>
      <c r="V868" s="15"/>
      <c r="W868" s="15"/>
      <c r="X868" s="15"/>
      <c r="Y868" s="115"/>
    </row>
    <row r="869" spans="13:25" x14ac:dyDescent="0.25">
      <c r="M869" s="4"/>
      <c r="N869" s="4"/>
      <c r="P869" s="14">
        <v>1295</v>
      </c>
      <c r="Q869" s="114"/>
      <c r="R869" s="15"/>
      <c r="S869" s="15"/>
      <c r="T869" s="15"/>
      <c r="U869" s="15"/>
      <c r="V869" s="15"/>
      <c r="W869" s="15"/>
      <c r="X869" s="15"/>
      <c r="Y869" s="115"/>
    </row>
    <row r="870" spans="13:25" x14ac:dyDescent="0.25">
      <c r="M870" s="4"/>
      <c r="N870" s="4"/>
      <c r="P870" s="14">
        <v>1290</v>
      </c>
      <c r="Q870" s="114"/>
      <c r="R870" s="15"/>
      <c r="S870" s="15"/>
      <c r="T870" s="15"/>
      <c r="U870" s="15"/>
      <c r="V870" s="15"/>
      <c r="W870" s="15"/>
      <c r="X870" s="15"/>
      <c r="Y870" s="115"/>
    </row>
    <row r="871" spans="13:25" x14ac:dyDescent="0.25">
      <c r="M871" s="4"/>
      <c r="N871" s="4"/>
      <c r="P871" s="14">
        <v>1285</v>
      </c>
      <c r="Q871" s="114"/>
      <c r="R871" s="15"/>
      <c r="S871" s="15"/>
      <c r="T871" s="15"/>
      <c r="U871" s="15"/>
      <c r="V871" s="15"/>
      <c r="W871" s="15"/>
      <c r="X871" s="15"/>
      <c r="Y871" s="115"/>
    </row>
    <row r="872" spans="13:25" x14ac:dyDescent="0.25">
      <c r="M872" s="4"/>
      <c r="N872" s="4"/>
      <c r="P872" s="14">
        <v>1280</v>
      </c>
      <c r="Q872" s="114"/>
      <c r="R872" s="15"/>
      <c r="S872" s="15"/>
      <c r="T872" s="15"/>
      <c r="U872" s="15"/>
      <c r="V872" s="15"/>
      <c r="W872" s="15"/>
      <c r="X872" s="15"/>
      <c r="Y872" s="115"/>
    </row>
    <row r="873" spans="13:25" x14ac:dyDescent="0.25">
      <c r="M873" s="4"/>
      <c r="N873" s="4"/>
      <c r="P873" s="14">
        <v>1275</v>
      </c>
      <c r="Q873" s="114"/>
      <c r="R873" s="15"/>
      <c r="S873" s="15"/>
      <c r="T873" s="15"/>
      <c r="U873" s="15"/>
      <c r="V873" s="15"/>
      <c r="W873" s="15"/>
      <c r="X873" s="15"/>
      <c r="Y873" s="115"/>
    </row>
    <row r="874" spans="13:25" x14ac:dyDescent="0.25">
      <c r="M874" s="4"/>
      <c r="N874" s="4"/>
      <c r="P874" s="14">
        <v>1270</v>
      </c>
      <c r="Q874" s="114"/>
      <c r="R874" s="15"/>
      <c r="S874" s="15"/>
      <c r="T874" s="15"/>
      <c r="U874" s="15"/>
      <c r="V874" s="15"/>
      <c r="W874" s="15"/>
      <c r="X874" s="15"/>
      <c r="Y874" s="115"/>
    </row>
    <row r="875" spans="13:25" x14ac:dyDescent="0.25">
      <c r="M875" s="4"/>
      <c r="N875" s="4"/>
      <c r="P875" s="14">
        <v>1265</v>
      </c>
      <c r="Q875" s="114"/>
      <c r="R875" s="15"/>
      <c r="S875" s="15"/>
      <c r="T875" s="15"/>
      <c r="U875" s="15"/>
      <c r="V875" s="15"/>
      <c r="W875" s="15"/>
      <c r="X875" s="15"/>
      <c r="Y875" s="115"/>
    </row>
    <row r="876" spans="13:25" x14ac:dyDescent="0.25">
      <c r="M876" s="4"/>
      <c r="N876" s="4"/>
      <c r="P876" s="14">
        <v>1260</v>
      </c>
      <c r="Q876" s="114"/>
      <c r="R876" s="15"/>
      <c r="S876" s="15"/>
      <c r="T876" s="15"/>
      <c r="U876" s="15"/>
      <c r="V876" s="15"/>
      <c r="W876" s="15"/>
      <c r="X876" s="15"/>
      <c r="Y876" s="115"/>
    </row>
    <row r="877" spans="13:25" x14ac:dyDescent="0.25">
      <c r="M877" s="4"/>
      <c r="N877" s="4"/>
      <c r="P877" s="14">
        <v>1255</v>
      </c>
      <c r="Q877" s="114"/>
      <c r="R877" s="15"/>
      <c r="S877" s="15"/>
      <c r="T877" s="15"/>
      <c r="U877" s="15"/>
      <c r="V877" s="15"/>
      <c r="W877" s="15"/>
      <c r="X877" s="15"/>
      <c r="Y877" s="115"/>
    </row>
    <row r="878" spans="13:25" x14ac:dyDescent="0.25">
      <c r="M878" s="4"/>
      <c r="N878" s="4"/>
      <c r="P878" s="14">
        <v>1250</v>
      </c>
      <c r="Q878" s="114"/>
      <c r="R878" s="15"/>
      <c r="S878" s="15"/>
      <c r="T878" s="15"/>
      <c r="U878" s="15"/>
      <c r="V878" s="15"/>
      <c r="W878" s="15"/>
      <c r="X878" s="15"/>
      <c r="Y878" s="115"/>
    </row>
    <row r="879" spans="13:25" x14ac:dyDescent="0.25">
      <c r="M879" s="4"/>
      <c r="N879" s="4"/>
      <c r="P879" s="14">
        <v>1245</v>
      </c>
      <c r="Q879" s="114"/>
      <c r="R879" s="15"/>
      <c r="S879" s="15"/>
      <c r="T879" s="15"/>
      <c r="U879" s="15"/>
      <c r="V879" s="15"/>
      <c r="W879" s="15"/>
      <c r="X879" s="15"/>
      <c r="Y879" s="115"/>
    </row>
    <row r="880" spans="13:25" x14ac:dyDescent="0.25">
      <c r="M880" s="4"/>
      <c r="N880" s="4"/>
      <c r="P880" s="14">
        <v>1240</v>
      </c>
      <c r="Q880" s="114"/>
      <c r="R880" s="15"/>
      <c r="S880" s="15"/>
      <c r="T880" s="15"/>
      <c r="U880" s="15"/>
      <c r="V880" s="15"/>
      <c r="W880" s="15"/>
      <c r="X880" s="15"/>
      <c r="Y880" s="115"/>
    </row>
    <row r="881" spans="13:25" x14ac:dyDescent="0.25">
      <c r="M881" s="4"/>
      <c r="N881" s="4"/>
      <c r="P881" s="14">
        <v>1235</v>
      </c>
      <c r="Q881" s="114"/>
      <c r="R881" s="15"/>
      <c r="S881" s="15"/>
      <c r="T881" s="15"/>
      <c r="U881" s="15"/>
      <c r="V881" s="15"/>
      <c r="W881" s="15"/>
      <c r="X881" s="15"/>
      <c r="Y881" s="115"/>
    </row>
    <row r="882" spans="13:25" x14ac:dyDescent="0.25">
      <c r="M882" s="4"/>
      <c r="N882" s="4"/>
      <c r="P882" s="14">
        <v>1230</v>
      </c>
      <c r="Q882" s="114"/>
      <c r="R882" s="15"/>
      <c r="S882" s="15"/>
      <c r="T882" s="15"/>
      <c r="U882" s="15"/>
      <c r="V882" s="15"/>
      <c r="W882" s="15"/>
      <c r="X882" s="15"/>
      <c r="Y882" s="115"/>
    </row>
    <row r="883" spans="13:25" x14ac:dyDescent="0.25">
      <c r="M883" s="4"/>
      <c r="N883" s="4"/>
      <c r="P883" s="14">
        <v>1225</v>
      </c>
      <c r="Q883" s="114"/>
      <c r="R883" s="15"/>
      <c r="S883" s="15"/>
      <c r="T883" s="15"/>
      <c r="U883" s="15"/>
      <c r="V883" s="15"/>
      <c r="W883" s="15"/>
      <c r="X883" s="15"/>
      <c r="Y883" s="115"/>
    </row>
    <row r="884" spans="13:25" x14ac:dyDescent="0.25">
      <c r="M884" s="4"/>
      <c r="N884" s="4"/>
      <c r="P884" s="14">
        <v>1220</v>
      </c>
      <c r="Q884" s="114"/>
      <c r="R884" s="15"/>
      <c r="S884" s="15"/>
      <c r="T884" s="15"/>
      <c r="U884" s="15"/>
      <c r="V884" s="15"/>
      <c r="W884" s="15"/>
      <c r="X884" s="15"/>
      <c r="Y884" s="115"/>
    </row>
    <row r="885" spans="13:25" x14ac:dyDescent="0.25">
      <c r="M885" s="4"/>
      <c r="N885" s="4"/>
      <c r="P885" s="14">
        <v>1215</v>
      </c>
      <c r="Q885" s="114"/>
      <c r="R885" s="15"/>
      <c r="S885" s="15"/>
      <c r="T885" s="15"/>
      <c r="U885" s="15"/>
      <c r="V885" s="15"/>
      <c r="W885" s="15"/>
      <c r="X885" s="15"/>
      <c r="Y885" s="115"/>
    </row>
    <row r="886" spans="13:25" x14ac:dyDescent="0.25">
      <c r="M886" s="4"/>
      <c r="N886" s="4"/>
      <c r="P886" s="14">
        <v>1210</v>
      </c>
      <c r="Q886" s="114"/>
      <c r="R886" s="15"/>
      <c r="S886" s="15"/>
      <c r="T886" s="15"/>
      <c r="U886" s="15"/>
      <c r="V886" s="15"/>
      <c r="W886" s="15"/>
      <c r="X886" s="15"/>
      <c r="Y886" s="115"/>
    </row>
    <row r="887" spans="13:25" x14ac:dyDescent="0.25">
      <c r="M887" s="4"/>
      <c r="N887" s="4"/>
      <c r="P887" s="14">
        <v>1205</v>
      </c>
      <c r="Q887" s="114"/>
      <c r="R887" s="15"/>
      <c r="S887" s="15"/>
      <c r="T887" s="15"/>
      <c r="U887" s="15"/>
      <c r="V887" s="15"/>
      <c r="W887" s="15"/>
      <c r="X887" s="15"/>
      <c r="Y887" s="115"/>
    </row>
    <row r="888" spans="13:25" x14ac:dyDescent="0.25">
      <c r="M888" s="4"/>
      <c r="N888" s="4"/>
      <c r="P888" s="14">
        <v>1200</v>
      </c>
      <c r="Q888" s="114"/>
      <c r="R888" s="15"/>
      <c r="S888" s="15"/>
      <c r="T888" s="15"/>
      <c r="U888" s="15"/>
      <c r="V888" s="15"/>
      <c r="W888" s="15"/>
      <c r="X888" s="15"/>
      <c r="Y888" s="115"/>
    </row>
    <row r="889" spans="13:25" x14ac:dyDescent="0.25">
      <c r="M889" s="4"/>
      <c r="N889" s="4"/>
      <c r="P889" s="14">
        <v>1195</v>
      </c>
      <c r="Q889" s="114"/>
      <c r="R889" s="15"/>
      <c r="S889" s="15"/>
      <c r="T889" s="15"/>
      <c r="U889" s="15"/>
      <c r="V889" s="15"/>
      <c r="W889" s="15"/>
      <c r="X889" s="15"/>
      <c r="Y889" s="115"/>
    </row>
    <row r="890" spans="13:25" x14ac:dyDescent="0.25">
      <c r="M890" s="4"/>
      <c r="N890" s="4"/>
      <c r="P890" s="14">
        <v>1190</v>
      </c>
      <c r="Q890" s="114"/>
      <c r="R890" s="15"/>
      <c r="S890" s="15"/>
      <c r="T890" s="15"/>
      <c r="U890" s="15"/>
      <c r="V890" s="15"/>
      <c r="W890" s="15"/>
      <c r="X890" s="15"/>
      <c r="Y890" s="115"/>
    </row>
    <row r="891" spans="13:25" x14ac:dyDescent="0.25">
      <c r="M891" s="4"/>
      <c r="N891" s="4"/>
      <c r="P891" s="14">
        <v>1185</v>
      </c>
      <c r="Q891" s="114"/>
      <c r="R891" s="15"/>
      <c r="S891" s="15"/>
      <c r="T891" s="15"/>
      <c r="U891" s="15"/>
      <c r="V891" s="15"/>
      <c r="W891" s="15"/>
      <c r="X891" s="15"/>
      <c r="Y891" s="115"/>
    </row>
    <row r="892" spans="13:25" x14ac:dyDescent="0.25">
      <c r="M892" s="4"/>
      <c r="N892" s="4"/>
      <c r="P892" s="14">
        <v>1180</v>
      </c>
      <c r="Q892" s="114"/>
      <c r="R892" s="15"/>
      <c r="S892" s="15"/>
      <c r="T892" s="15"/>
      <c r="U892" s="15"/>
      <c r="V892" s="15"/>
      <c r="W892" s="15"/>
      <c r="X892" s="15"/>
      <c r="Y892" s="115"/>
    </row>
    <row r="893" spans="13:25" x14ac:dyDescent="0.25">
      <c r="M893" s="4"/>
      <c r="N893" s="4"/>
      <c r="P893" s="14">
        <v>1175</v>
      </c>
      <c r="Q893" s="114"/>
      <c r="R893" s="15"/>
      <c r="S893" s="15"/>
      <c r="T893" s="15"/>
      <c r="U893" s="15"/>
      <c r="V893" s="15"/>
      <c r="W893" s="15"/>
      <c r="X893" s="15"/>
      <c r="Y893" s="115"/>
    </row>
    <row r="894" spans="13:25" x14ac:dyDescent="0.25">
      <c r="M894" s="4"/>
      <c r="N894" s="4"/>
      <c r="P894" s="14">
        <v>1170</v>
      </c>
      <c r="Q894" s="114"/>
      <c r="R894" s="15"/>
      <c r="S894" s="15"/>
      <c r="T894" s="15"/>
      <c r="U894" s="15"/>
      <c r="V894" s="15"/>
      <c r="W894" s="15"/>
      <c r="X894" s="15"/>
      <c r="Y894" s="115"/>
    </row>
    <row r="895" spans="13:25" x14ac:dyDescent="0.25">
      <c r="M895" s="4"/>
      <c r="N895" s="4"/>
      <c r="P895" s="14">
        <v>1165</v>
      </c>
      <c r="Q895" s="114"/>
      <c r="R895" s="15"/>
      <c r="S895" s="15"/>
      <c r="T895" s="15"/>
      <c r="U895" s="15"/>
      <c r="V895" s="15"/>
      <c r="W895" s="15"/>
      <c r="X895" s="15"/>
      <c r="Y895" s="115"/>
    </row>
    <row r="896" spans="13:25" x14ac:dyDescent="0.25">
      <c r="M896" s="4"/>
      <c r="N896" s="4"/>
      <c r="P896" s="14">
        <v>1160</v>
      </c>
      <c r="Q896" s="114"/>
      <c r="R896" s="15"/>
      <c r="S896" s="15"/>
      <c r="T896" s="15"/>
      <c r="U896" s="15"/>
      <c r="V896" s="15"/>
      <c r="W896" s="15"/>
      <c r="X896" s="15"/>
      <c r="Y896" s="115"/>
    </row>
    <row r="897" spans="13:25" x14ac:dyDescent="0.25">
      <c r="M897" s="4"/>
      <c r="N897" s="4"/>
      <c r="P897" s="14">
        <v>1155</v>
      </c>
      <c r="Q897" s="114"/>
      <c r="R897" s="15"/>
      <c r="S897" s="15"/>
      <c r="T897" s="15"/>
      <c r="U897" s="15"/>
      <c r="V897" s="15"/>
      <c r="W897" s="15"/>
      <c r="X897" s="15"/>
      <c r="Y897" s="115"/>
    </row>
    <row r="898" spans="13:25" x14ac:dyDescent="0.25">
      <c r="M898" s="4"/>
      <c r="N898" s="4"/>
      <c r="P898" s="14">
        <v>1150</v>
      </c>
      <c r="Q898" s="114"/>
      <c r="R898" s="15"/>
      <c r="S898" s="15"/>
      <c r="T898" s="15"/>
      <c r="U898" s="15"/>
      <c r="V898" s="15"/>
      <c r="W898" s="15"/>
      <c r="X898" s="15"/>
      <c r="Y898" s="115"/>
    </row>
    <row r="899" spans="13:25" x14ac:dyDescent="0.25">
      <c r="M899" s="4"/>
      <c r="N899" s="4"/>
      <c r="P899" s="14">
        <v>1145</v>
      </c>
      <c r="Q899" s="114"/>
      <c r="R899" s="15"/>
      <c r="S899" s="15"/>
      <c r="T899" s="15"/>
      <c r="U899" s="15"/>
      <c r="V899" s="15"/>
      <c r="W899" s="15"/>
      <c r="X899" s="15"/>
      <c r="Y899" s="115"/>
    </row>
    <row r="900" spans="13:25" x14ac:dyDescent="0.25">
      <c r="M900" s="4"/>
      <c r="N900" s="4"/>
      <c r="P900" s="14">
        <v>1140</v>
      </c>
      <c r="Q900" s="114"/>
      <c r="R900" s="15"/>
      <c r="S900" s="15"/>
      <c r="T900" s="15"/>
      <c r="U900" s="15"/>
      <c r="V900" s="15"/>
      <c r="W900" s="15"/>
      <c r="X900" s="15"/>
      <c r="Y900" s="115"/>
    </row>
    <row r="901" spans="13:25" x14ac:dyDescent="0.25">
      <c r="M901" s="4"/>
      <c r="N901" s="4"/>
      <c r="P901" s="14">
        <v>1135</v>
      </c>
      <c r="Q901" s="114"/>
      <c r="R901" s="15"/>
      <c r="S901" s="15"/>
      <c r="T901" s="15"/>
      <c r="U901" s="15"/>
      <c r="V901" s="15"/>
      <c r="W901" s="15"/>
      <c r="X901" s="15"/>
      <c r="Y901" s="115"/>
    </row>
    <row r="902" spans="13:25" x14ac:dyDescent="0.25">
      <c r="M902" s="4"/>
      <c r="N902" s="4"/>
      <c r="P902" s="14">
        <v>1130</v>
      </c>
      <c r="Q902" s="114"/>
      <c r="R902" s="15"/>
      <c r="S902" s="15"/>
      <c r="T902" s="15"/>
      <c r="U902" s="15"/>
      <c r="V902" s="15"/>
      <c r="W902" s="15"/>
      <c r="X902" s="15"/>
      <c r="Y902" s="115"/>
    </row>
    <row r="903" spans="13:25" x14ac:dyDescent="0.25">
      <c r="M903" s="4"/>
      <c r="N903" s="4"/>
      <c r="P903" s="14">
        <v>1125</v>
      </c>
      <c r="Q903" s="114"/>
      <c r="R903" s="15"/>
      <c r="S903" s="15"/>
      <c r="T903" s="15"/>
      <c r="U903" s="15"/>
      <c r="V903" s="15"/>
      <c r="W903" s="15"/>
      <c r="X903" s="15"/>
      <c r="Y903" s="115"/>
    </row>
    <row r="904" spans="13:25" x14ac:dyDescent="0.25">
      <c r="M904" s="4"/>
      <c r="N904" s="4"/>
      <c r="P904" s="14">
        <v>1120</v>
      </c>
      <c r="Q904" s="114"/>
      <c r="R904" s="15"/>
      <c r="S904" s="15"/>
      <c r="T904" s="15"/>
      <c r="U904" s="15"/>
      <c r="V904" s="15"/>
      <c r="W904" s="15"/>
      <c r="X904" s="15"/>
      <c r="Y904" s="115"/>
    </row>
    <row r="905" spans="13:25" x14ac:dyDescent="0.25">
      <c r="M905" s="4"/>
      <c r="N905" s="4"/>
      <c r="P905" s="14">
        <v>1115</v>
      </c>
      <c r="Q905" s="114"/>
      <c r="R905" s="15"/>
      <c r="S905" s="15"/>
      <c r="T905" s="15"/>
      <c r="U905" s="15"/>
      <c r="V905" s="15"/>
      <c r="W905" s="15"/>
      <c r="X905" s="15"/>
      <c r="Y905" s="115"/>
    </row>
    <row r="906" spans="13:25" x14ac:dyDescent="0.25">
      <c r="M906" s="4"/>
      <c r="N906" s="4"/>
      <c r="P906" s="14">
        <v>1110</v>
      </c>
      <c r="Q906" s="114"/>
      <c r="R906" s="15"/>
      <c r="S906" s="15"/>
      <c r="T906" s="15"/>
      <c r="U906" s="15"/>
      <c r="V906" s="15"/>
      <c r="W906" s="15"/>
      <c r="X906" s="15"/>
      <c r="Y906" s="115"/>
    </row>
    <row r="907" spans="13:25" x14ac:dyDescent="0.25">
      <c r="M907" s="4"/>
      <c r="N907" s="4"/>
      <c r="P907" s="14">
        <v>1105</v>
      </c>
      <c r="Q907" s="114"/>
      <c r="R907" s="15"/>
      <c r="S907" s="15"/>
      <c r="T907" s="15"/>
      <c r="U907" s="15"/>
      <c r="V907" s="15"/>
      <c r="W907" s="15"/>
      <c r="X907" s="15"/>
      <c r="Y907" s="115"/>
    </row>
    <row r="908" spans="13:25" x14ac:dyDescent="0.25">
      <c r="M908" s="4"/>
      <c r="N908" s="4"/>
      <c r="P908" s="14">
        <v>1100</v>
      </c>
      <c r="Q908" s="114"/>
      <c r="R908" s="15"/>
      <c r="S908" s="15"/>
      <c r="T908" s="15"/>
      <c r="U908" s="15"/>
      <c r="V908" s="15"/>
      <c r="W908" s="15"/>
      <c r="X908" s="15"/>
      <c r="Y908" s="115"/>
    </row>
    <row r="909" spans="13:25" x14ac:dyDescent="0.25">
      <c r="M909" s="4"/>
      <c r="N909" s="4"/>
      <c r="P909" s="14">
        <v>1095</v>
      </c>
      <c r="Q909" s="114"/>
      <c r="R909" s="15"/>
      <c r="S909" s="15"/>
      <c r="T909" s="15"/>
      <c r="U909" s="15"/>
      <c r="V909" s="15"/>
      <c r="W909" s="15"/>
      <c r="X909" s="15"/>
      <c r="Y909" s="115"/>
    </row>
    <row r="910" spans="13:25" x14ac:dyDescent="0.25">
      <c r="M910" s="4"/>
      <c r="N910" s="4"/>
      <c r="P910" s="14">
        <v>1090</v>
      </c>
      <c r="Q910" s="114"/>
      <c r="R910" s="15"/>
      <c r="S910" s="15"/>
      <c r="T910" s="15"/>
      <c r="U910" s="15"/>
      <c r="V910" s="15"/>
      <c r="W910" s="15"/>
      <c r="X910" s="15"/>
      <c r="Y910" s="115"/>
    </row>
    <row r="911" spans="13:25" x14ac:dyDescent="0.25">
      <c r="M911" s="4"/>
      <c r="N911" s="4"/>
      <c r="P911" s="14">
        <v>1085</v>
      </c>
      <c r="Q911" s="114"/>
      <c r="R911" s="15"/>
      <c r="S911" s="15"/>
      <c r="T911" s="15"/>
      <c r="U911" s="15"/>
      <c r="V911" s="15"/>
      <c r="W911" s="15"/>
      <c r="X911" s="15"/>
      <c r="Y911" s="115"/>
    </row>
    <row r="912" spans="13:25" x14ac:dyDescent="0.25">
      <c r="M912" s="4"/>
      <c r="N912" s="4"/>
      <c r="P912" s="14">
        <v>1080</v>
      </c>
      <c r="Q912" s="114"/>
      <c r="R912" s="15"/>
      <c r="S912" s="15"/>
      <c r="T912" s="15"/>
      <c r="U912" s="15"/>
      <c r="V912" s="15"/>
      <c r="W912" s="15"/>
      <c r="X912" s="15"/>
      <c r="Y912" s="115"/>
    </row>
    <row r="913" spans="13:25" x14ac:dyDescent="0.25">
      <c r="M913" s="4"/>
      <c r="N913" s="4"/>
      <c r="P913" s="14">
        <v>1075</v>
      </c>
      <c r="Q913" s="114"/>
      <c r="R913" s="15"/>
      <c r="S913" s="15"/>
      <c r="T913" s="15"/>
      <c r="U913" s="15"/>
      <c r="V913" s="15"/>
      <c r="W913" s="15"/>
      <c r="X913" s="15"/>
      <c r="Y913" s="115"/>
    </row>
    <row r="914" spans="13:25" x14ac:dyDescent="0.25">
      <c r="M914" s="4"/>
      <c r="N914" s="4"/>
      <c r="P914" s="14">
        <v>1070</v>
      </c>
      <c r="Q914" s="114"/>
      <c r="R914" s="15"/>
      <c r="S914" s="15"/>
      <c r="T914" s="15"/>
      <c r="U914" s="15"/>
      <c r="V914" s="15"/>
      <c r="W914" s="15"/>
      <c r="X914" s="15"/>
      <c r="Y914" s="115"/>
    </row>
    <row r="915" spans="13:25" x14ac:dyDescent="0.25">
      <c r="M915" s="4"/>
      <c r="N915" s="4"/>
      <c r="P915" s="14">
        <v>1065</v>
      </c>
      <c r="Q915" s="114"/>
      <c r="R915" s="15"/>
      <c r="S915" s="15"/>
      <c r="T915" s="15"/>
      <c r="U915" s="15"/>
      <c r="V915" s="15"/>
      <c r="W915" s="15"/>
      <c r="X915" s="15"/>
      <c r="Y915" s="115"/>
    </row>
    <row r="916" spans="13:25" x14ac:dyDescent="0.25">
      <c r="M916" s="4"/>
      <c r="N916" s="4"/>
      <c r="P916" s="14">
        <v>1060</v>
      </c>
      <c r="Q916" s="114"/>
      <c r="R916" s="15"/>
      <c r="S916" s="15"/>
      <c r="T916" s="15"/>
      <c r="U916" s="15"/>
      <c r="V916" s="15"/>
      <c r="W916" s="15"/>
      <c r="X916" s="15"/>
      <c r="Y916" s="115"/>
    </row>
    <row r="917" spans="13:25" x14ac:dyDescent="0.25">
      <c r="M917" s="4"/>
      <c r="N917" s="4"/>
      <c r="P917" s="14">
        <v>1055</v>
      </c>
      <c r="Q917" s="114"/>
      <c r="R917" s="15"/>
      <c r="S917" s="15"/>
      <c r="T917" s="15"/>
      <c r="U917" s="15"/>
      <c r="V917" s="15"/>
      <c r="W917" s="15"/>
      <c r="X917" s="15"/>
      <c r="Y917" s="115"/>
    </row>
    <row r="918" spans="13:25" x14ac:dyDescent="0.25">
      <c r="M918" s="4"/>
      <c r="N918" s="4"/>
      <c r="P918" s="14">
        <v>1050</v>
      </c>
      <c r="Q918" s="114"/>
      <c r="R918" s="15"/>
      <c r="S918" s="15"/>
      <c r="T918" s="15"/>
      <c r="U918" s="15"/>
      <c r="V918" s="15"/>
      <c r="W918" s="15"/>
      <c r="X918" s="15"/>
      <c r="Y918" s="115"/>
    </row>
    <row r="919" spans="13:25" x14ac:dyDescent="0.25">
      <c r="M919" s="4"/>
      <c r="N919" s="4"/>
      <c r="P919" s="14">
        <v>1045</v>
      </c>
      <c r="Q919" s="114"/>
      <c r="R919" s="15"/>
      <c r="S919" s="15"/>
      <c r="T919" s="15"/>
      <c r="U919" s="15"/>
      <c r="V919" s="15"/>
      <c r="W919" s="15"/>
      <c r="X919" s="15"/>
      <c r="Y919" s="115"/>
    </row>
    <row r="920" spans="13:25" x14ac:dyDescent="0.25">
      <c r="M920" s="4"/>
      <c r="N920" s="4"/>
      <c r="P920" s="14">
        <v>1040</v>
      </c>
      <c r="Q920" s="114"/>
      <c r="R920" s="15"/>
      <c r="S920" s="15"/>
      <c r="T920" s="15"/>
      <c r="U920" s="15"/>
      <c r="V920" s="15"/>
      <c r="W920" s="15"/>
      <c r="X920" s="15"/>
      <c r="Y920" s="115"/>
    </row>
    <row r="921" spans="13:25" x14ac:dyDescent="0.25">
      <c r="M921" s="4"/>
      <c r="N921" s="4"/>
      <c r="P921" s="14">
        <v>1035</v>
      </c>
      <c r="Q921" s="114"/>
      <c r="R921" s="15"/>
      <c r="S921" s="15"/>
      <c r="T921" s="15"/>
      <c r="U921" s="15"/>
      <c r="V921" s="15"/>
      <c r="W921" s="15"/>
      <c r="X921" s="15"/>
      <c r="Y921" s="115"/>
    </row>
    <row r="922" spans="13:25" x14ac:dyDescent="0.25">
      <c r="M922" s="4"/>
      <c r="N922" s="4"/>
      <c r="P922" s="14">
        <v>1030</v>
      </c>
      <c r="Q922" s="114"/>
      <c r="R922" s="15"/>
      <c r="S922" s="15"/>
      <c r="T922" s="15"/>
      <c r="U922" s="15"/>
      <c r="V922" s="15"/>
      <c r="W922" s="15"/>
      <c r="X922" s="15"/>
      <c r="Y922" s="115"/>
    </row>
    <row r="923" spans="13:25" x14ac:dyDescent="0.25">
      <c r="M923" s="4"/>
      <c r="N923" s="4"/>
      <c r="P923" s="14">
        <v>1025</v>
      </c>
      <c r="Q923" s="114"/>
      <c r="R923" s="15"/>
      <c r="S923" s="15"/>
      <c r="T923" s="15"/>
      <c r="U923" s="15"/>
      <c r="V923" s="15"/>
      <c r="W923" s="15"/>
      <c r="X923" s="15"/>
      <c r="Y923" s="115"/>
    </row>
    <row r="924" spans="13:25" x14ac:dyDescent="0.25">
      <c r="M924" s="4"/>
      <c r="N924" s="4"/>
      <c r="P924" s="14">
        <v>1020</v>
      </c>
      <c r="Q924" s="114"/>
      <c r="R924" s="15"/>
      <c r="S924" s="15"/>
      <c r="T924" s="15"/>
      <c r="U924" s="15"/>
      <c r="V924" s="15"/>
      <c r="W924" s="15"/>
      <c r="X924" s="15"/>
      <c r="Y924" s="115"/>
    </row>
    <row r="925" spans="13:25" x14ac:dyDescent="0.25">
      <c r="M925" s="4"/>
      <c r="N925" s="4"/>
      <c r="P925" s="14">
        <v>1015</v>
      </c>
      <c r="Q925" s="114"/>
      <c r="R925" s="15"/>
      <c r="S925" s="15"/>
      <c r="T925" s="15"/>
      <c r="U925" s="15"/>
      <c r="V925" s="15"/>
      <c r="W925" s="15"/>
      <c r="X925" s="15"/>
      <c r="Y925" s="115"/>
    </row>
    <row r="926" spans="13:25" x14ac:dyDescent="0.25">
      <c r="M926" s="4"/>
      <c r="N926" s="4"/>
      <c r="P926" s="14">
        <v>1010</v>
      </c>
      <c r="Q926" s="114"/>
      <c r="R926" s="15"/>
      <c r="S926" s="15"/>
      <c r="T926" s="15"/>
      <c r="U926" s="15"/>
      <c r="V926" s="15"/>
      <c r="W926" s="15"/>
      <c r="X926" s="15"/>
      <c r="Y926" s="115"/>
    </row>
    <row r="927" spans="13:25" x14ac:dyDescent="0.25">
      <c r="M927" s="4"/>
      <c r="N927" s="4"/>
      <c r="P927" s="14">
        <v>1005</v>
      </c>
      <c r="Q927" s="114"/>
      <c r="R927" s="15"/>
      <c r="S927" s="15"/>
      <c r="T927" s="15"/>
      <c r="U927" s="15"/>
      <c r="V927" s="15"/>
      <c r="W927" s="15"/>
      <c r="X927" s="15"/>
      <c r="Y927" s="115"/>
    </row>
    <row r="928" spans="13:25" x14ac:dyDescent="0.25">
      <c r="M928" s="4"/>
      <c r="N928" s="4"/>
      <c r="P928" s="14">
        <v>1000</v>
      </c>
      <c r="Q928" s="114"/>
      <c r="R928" s="15"/>
      <c r="S928" s="15"/>
      <c r="T928" s="15"/>
      <c r="U928" s="15"/>
      <c r="V928" s="15"/>
      <c r="W928" s="15"/>
      <c r="X928" s="15"/>
      <c r="Y928" s="115"/>
    </row>
    <row r="929" spans="13:25" x14ac:dyDescent="0.25">
      <c r="M929" s="4"/>
      <c r="N929" s="4"/>
      <c r="P929" s="14">
        <v>995</v>
      </c>
      <c r="Q929" s="114"/>
      <c r="R929" s="15"/>
      <c r="S929" s="15"/>
      <c r="T929" s="15"/>
      <c r="U929" s="15"/>
      <c r="V929" s="15"/>
      <c r="W929" s="15"/>
      <c r="X929" s="15"/>
      <c r="Y929" s="115"/>
    </row>
    <row r="930" spans="13:25" x14ac:dyDescent="0.25">
      <c r="M930" s="4"/>
      <c r="N930" s="4"/>
      <c r="P930" s="14">
        <v>990</v>
      </c>
      <c r="Q930" s="114"/>
      <c r="R930" s="15"/>
      <c r="S930" s="15"/>
      <c r="T930" s="15"/>
      <c r="U930" s="15"/>
      <c r="V930" s="15"/>
      <c r="W930" s="15"/>
      <c r="X930" s="15"/>
      <c r="Y930" s="115"/>
    </row>
    <row r="931" spans="13:25" x14ac:dyDescent="0.25">
      <c r="M931" s="4"/>
      <c r="N931" s="4"/>
      <c r="P931" s="14">
        <v>985</v>
      </c>
      <c r="Q931" s="114"/>
      <c r="R931" s="15"/>
      <c r="S931" s="15"/>
      <c r="T931" s="15"/>
      <c r="U931" s="15"/>
      <c r="V931" s="15"/>
      <c r="W931" s="15"/>
      <c r="X931" s="15"/>
      <c r="Y931" s="115"/>
    </row>
    <row r="932" spans="13:25" x14ac:dyDescent="0.25">
      <c r="M932" s="4"/>
      <c r="N932" s="4"/>
      <c r="P932" s="14">
        <v>980</v>
      </c>
      <c r="Q932" s="114"/>
      <c r="R932" s="15"/>
      <c r="S932" s="15"/>
      <c r="T932" s="15"/>
      <c r="U932" s="15"/>
      <c r="V932" s="15"/>
      <c r="W932" s="15"/>
      <c r="X932" s="15"/>
      <c r="Y932" s="115"/>
    </row>
    <row r="933" spans="13:25" x14ac:dyDescent="0.25">
      <c r="M933" s="4"/>
      <c r="N933" s="4"/>
      <c r="P933" s="14">
        <v>975</v>
      </c>
      <c r="Q933" s="114"/>
      <c r="R933" s="15"/>
      <c r="S933" s="15"/>
      <c r="T933" s="15"/>
      <c r="U933" s="15"/>
      <c r="V933" s="15"/>
      <c r="W933" s="15"/>
      <c r="X933" s="15"/>
      <c r="Y933" s="115"/>
    </row>
    <row r="934" spans="13:25" x14ac:dyDescent="0.25">
      <c r="M934" s="4"/>
      <c r="N934" s="4"/>
      <c r="P934" s="14">
        <v>970</v>
      </c>
      <c r="Q934" s="114"/>
      <c r="R934" s="15"/>
      <c r="S934" s="15"/>
      <c r="T934" s="15"/>
      <c r="U934" s="15"/>
      <c r="V934" s="15"/>
      <c r="W934" s="15"/>
      <c r="X934" s="15"/>
      <c r="Y934" s="115"/>
    </row>
    <row r="935" spans="13:25" x14ac:dyDescent="0.25">
      <c r="M935" s="4"/>
      <c r="N935" s="4"/>
      <c r="P935" s="14">
        <v>965</v>
      </c>
      <c r="Q935" s="114"/>
      <c r="R935" s="15"/>
      <c r="S935" s="15"/>
      <c r="T935" s="15"/>
      <c r="U935" s="15"/>
      <c r="V935" s="15"/>
      <c r="W935" s="15"/>
      <c r="X935" s="15"/>
      <c r="Y935" s="115"/>
    </row>
    <row r="936" spans="13:25" x14ac:dyDescent="0.25">
      <c r="M936" s="4"/>
      <c r="N936" s="4"/>
      <c r="P936" s="14">
        <v>960</v>
      </c>
      <c r="Q936" s="114"/>
      <c r="R936" s="15"/>
      <c r="S936" s="15"/>
      <c r="T936" s="15"/>
      <c r="U936" s="15"/>
      <c r="V936" s="15"/>
      <c r="W936" s="15"/>
      <c r="X936" s="15"/>
      <c r="Y936" s="115"/>
    </row>
    <row r="937" spans="13:25" x14ac:dyDescent="0.25">
      <c r="M937" s="4"/>
      <c r="N937" s="4"/>
      <c r="P937" s="14">
        <v>955</v>
      </c>
      <c r="Q937" s="114"/>
      <c r="R937" s="15"/>
      <c r="S937" s="15"/>
      <c r="T937" s="15"/>
      <c r="U937" s="15"/>
      <c r="V937" s="15"/>
      <c r="W937" s="15"/>
      <c r="X937" s="15"/>
      <c r="Y937" s="115"/>
    </row>
    <row r="938" spans="13:25" x14ac:dyDescent="0.25">
      <c r="M938" s="4"/>
      <c r="N938" s="4"/>
      <c r="P938" s="14">
        <v>950</v>
      </c>
      <c r="Q938" s="114"/>
      <c r="R938" s="15"/>
      <c r="S938" s="15"/>
      <c r="T938" s="15"/>
      <c r="U938" s="15"/>
      <c r="V938" s="15"/>
      <c r="W938" s="15"/>
      <c r="X938" s="15"/>
      <c r="Y938" s="115"/>
    </row>
    <row r="939" spans="13:25" x14ac:dyDescent="0.25">
      <c r="M939" s="4"/>
      <c r="N939" s="4"/>
      <c r="P939" s="14">
        <v>945</v>
      </c>
      <c r="Q939" s="114"/>
      <c r="R939" s="15"/>
      <c r="S939" s="15"/>
      <c r="T939" s="15"/>
      <c r="U939" s="15"/>
      <c r="V939" s="15"/>
      <c r="W939" s="15"/>
      <c r="X939" s="15"/>
      <c r="Y939" s="115"/>
    </row>
    <row r="940" spans="13:25" x14ac:dyDescent="0.25">
      <c r="M940" s="4"/>
      <c r="N940" s="4"/>
      <c r="P940" s="14">
        <v>940</v>
      </c>
      <c r="Q940" s="114"/>
      <c r="R940" s="15"/>
      <c r="S940" s="15"/>
      <c r="T940" s="15"/>
      <c r="U940" s="15"/>
      <c r="V940" s="15"/>
      <c r="W940" s="15"/>
      <c r="X940" s="15"/>
      <c r="Y940" s="115"/>
    </row>
    <row r="941" spans="13:25" x14ac:dyDescent="0.25">
      <c r="M941" s="4"/>
      <c r="N941" s="4"/>
      <c r="P941" s="14">
        <v>935</v>
      </c>
      <c r="Q941" s="114"/>
      <c r="R941" s="15"/>
      <c r="S941" s="15"/>
      <c r="T941" s="15"/>
      <c r="U941" s="15"/>
      <c r="V941" s="15"/>
      <c r="W941" s="15"/>
      <c r="X941" s="15"/>
      <c r="Y941" s="115"/>
    </row>
    <row r="942" spans="13:25" x14ac:dyDescent="0.25">
      <c r="M942" s="4"/>
      <c r="N942" s="4"/>
      <c r="P942" s="14">
        <v>930</v>
      </c>
      <c r="Q942" s="114"/>
      <c r="R942" s="15"/>
      <c r="S942" s="15"/>
      <c r="T942" s="15"/>
      <c r="U942" s="15"/>
      <c r="V942" s="15"/>
      <c r="W942" s="15"/>
      <c r="X942" s="15"/>
      <c r="Y942" s="115"/>
    </row>
    <row r="943" spans="13:25" x14ac:dyDescent="0.25">
      <c r="M943" s="4"/>
      <c r="N943" s="4"/>
      <c r="P943" s="14">
        <v>925</v>
      </c>
      <c r="Q943" s="114"/>
      <c r="R943" s="15"/>
      <c r="S943" s="15"/>
      <c r="T943" s="15"/>
      <c r="U943" s="15"/>
      <c r="V943" s="15"/>
      <c r="W943" s="15"/>
      <c r="X943" s="15"/>
      <c r="Y943" s="115"/>
    </row>
    <row r="944" spans="13:25" x14ac:dyDescent="0.25">
      <c r="M944" s="4"/>
      <c r="N944" s="4"/>
      <c r="P944" s="14">
        <v>920</v>
      </c>
      <c r="Q944" s="114"/>
      <c r="R944" s="15"/>
      <c r="S944" s="15"/>
      <c r="T944" s="15"/>
      <c r="U944" s="15"/>
      <c r="V944" s="15"/>
      <c r="W944" s="15"/>
      <c r="X944" s="15"/>
      <c r="Y944" s="115"/>
    </row>
    <row r="945" spans="13:25" x14ac:dyDescent="0.25">
      <c r="M945" s="4"/>
      <c r="N945" s="4"/>
      <c r="P945" s="14">
        <v>915</v>
      </c>
      <c r="Q945" s="114"/>
      <c r="R945" s="15"/>
      <c r="S945" s="15"/>
      <c r="T945" s="15"/>
      <c r="U945" s="15"/>
      <c r="V945" s="15"/>
      <c r="W945" s="15"/>
      <c r="X945" s="15"/>
      <c r="Y945" s="115"/>
    </row>
    <row r="946" spans="13:25" x14ac:dyDescent="0.25">
      <c r="M946" s="4"/>
      <c r="N946" s="4"/>
      <c r="P946" s="14">
        <v>910</v>
      </c>
      <c r="Q946" s="114"/>
      <c r="R946" s="15"/>
      <c r="S946" s="15"/>
      <c r="T946" s="15"/>
      <c r="U946" s="15"/>
      <c r="V946" s="15"/>
      <c r="W946" s="15"/>
      <c r="X946" s="15"/>
      <c r="Y946" s="115"/>
    </row>
    <row r="947" spans="13:25" x14ac:dyDescent="0.25">
      <c r="M947" s="4"/>
      <c r="N947" s="4"/>
      <c r="P947" s="14">
        <v>905</v>
      </c>
      <c r="Q947" s="114"/>
      <c r="R947" s="15"/>
      <c r="S947" s="15"/>
      <c r="T947" s="15"/>
      <c r="U947" s="15"/>
      <c r="V947" s="15"/>
      <c r="W947" s="15"/>
      <c r="X947" s="15"/>
      <c r="Y947" s="115"/>
    </row>
    <row r="948" spans="13:25" x14ac:dyDescent="0.25">
      <c r="M948" s="4"/>
      <c r="N948" s="4"/>
      <c r="P948" s="14">
        <v>900</v>
      </c>
      <c r="Q948" s="114"/>
      <c r="R948" s="15"/>
      <c r="S948" s="15"/>
      <c r="T948" s="15"/>
      <c r="U948" s="15"/>
      <c r="V948" s="15"/>
      <c r="W948" s="15"/>
      <c r="X948" s="15"/>
      <c r="Y948" s="115"/>
    </row>
    <row r="949" spans="13:25" x14ac:dyDescent="0.25">
      <c r="M949" s="4"/>
      <c r="N949" s="4"/>
      <c r="P949" s="14">
        <v>895</v>
      </c>
      <c r="Q949" s="114"/>
      <c r="R949" s="15"/>
      <c r="S949" s="15"/>
      <c r="T949" s="15"/>
      <c r="U949" s="15"/>
      <c r="V949" s="15"/>
      <c r="W949" s="15"/>
      <c r="X949" s="15"/>
      <c r="Y949" s="115"/>
    </row>
    <row r="950" spans="13:25" x14ac:dyDescent="0.25">
      <c r="M950" s="4"/>
      <c r="N950" s="4"/>
      <c r="P950" s="14">
        <v>890</v>
      </c>
      <c r="Q950" s="114"/>
      <c r="R950" s="15"/>
      <c r="S950" s="15"/>
      <c r="T950" s="15"/>
      <c r="U950" s="15"/>
      <c r="V950" s="15"/>
      <c r="W950" s="15"/>
      <c r="X950" s="15"/>
      <c r="Y950" s="115"/>
    </row>
    <row r="951" spans="13:25" x14ac:dyDescent="0.25">
      <c r="M951" s="4"/>
      <c r="N951" s="4"/>
      <c r="P951" s="14">
        <v>885</v>
      </c>
      <c r="Q951" s="114"/>
      <c r="R951" s="15"/>
      <c r="S951" s="15"/>
      <c r="T951" s="15"/>
      <c r="U951" s="15"/>
      <c r="V951" s="15"/>
      <c r="W951" s="15"/>
      <c r="X951" s="15"/>
      <c r="Y951" s="115"/>
    </row>
    <row r="952" spans="13:25" x14ac:dyDescent="0.25">
      <c r="M952" s="4"/>
      <c r="N952" s="4"/>
      <c r="P952" s="14">
        <v>880</v>
      </c>
      <c r="Q952" s="114"/>
      <c r="R952" s="15"/>
      <c r="S952" s="15"/>
      <c r="T952" s="15"/>
      <c r="U952" s="15"/>
      <c r="V952" s="15"/>
      <c r="W952" s="15"/>
      <c r="X952" s="15"/>
      <c r="Y952" s="115"/>
    </row>
    <row r="953" spans="13:25" x14ac:dyDescent="0.25">
      <c r="M953" s="4"/>
      <c r="N953" s="4"/>
      <c r="P953" s="14">
        <v>875</v>
      </c>
      <c r="Q953" s="114"/>
      <c r="R953" s="15"/>
      <c r="S953" s="15"/>
      <c r="T953" s="15"/>
      <c r="U953" s="15"/>
      <c r="V953" s="15"/>
      <c r="W953" s="15"/>
      <c r="X953" s="15"/>
      <c r="Y953" s="115"/>
    </row>
    <row r="954" spans="13:25" x14ac:dyDescent="0.25">
      <c r="M954" s="4"/>
      <c r="N954" s="4"/>
      <c r="P954" s="14">
        <v>870</v>
      </c>
      <c r="Q954" s="114"/>
      <c r="R954" s="15"/>
      <c r="S954" s="15"/>
      <c r="T954" s="15"/>
      <c r="U954" s="15"/>
      <c r="V954" s="15"/>
      <c r="W954" s="15"/>
      <c r="X954" s="15"/>
      <c r="Y954" s="115"/>
    </row>
    <row r="955" spans="13:25" x14ac:dyDescent="0.25">
      <c r="M955" s="4"/>
      <c r="N955" s="4"/>
      <c r="P955" s="14">
        <v>865</v>
      </c>
      <c r="Q955" s="114"/>
      <c r="R955" s="15"/>
      <c r="S955" s="15"/>
      <c r="T955" s="15"/>
      <c r="U955" s="15"/>
      <c r="V955" s="15"/>
      <c r="W955" s="15"/>
      <c r="X955" s="15"/>
      <c r="Y955" s="115"/>
    </row>
    <row r="956" spans="13:25" x14ac:dyDescent="0.25">
      <c r="M956" s="4"/>
      <c r="N956" s="4"/>
      <c r="P956" s="14">
        <v>860</v>
      </c>
      <c r="Q956" s="114"/>
      <c r="R956" s="15"/>
      <c r="S956" s="15"/>
      <c r="T956" s="15"/>
      <c r="U956" s="15"/>
      <c r="V956" s="15"/>
      <c r="W956" s="15"/>
      <c r="X956" s="15"/>
      <c r="Y956" s="115"/>
    </row>
    <row r="957" spans="13:25" x14ac:dyDescent="0.25">
      <c r="M957" s="4"/>
      <c r="N957" s="4"/>
      <c r="P957" s="14">
        <v>855</v>
      </c>
      <c r="Q957" s="114"/>
      <c r="R957" s="15"/>
      <c r="S957" s="15"/>
      <c r="T957" s="15"/>
      <c r="U957" s="15"/>
      <c r="V957" s="15"/>
      <c r="W957" s="15"/>
      <c r="X957" s="15"/>
      <c r="Y957" s="115"/>
    </row>
    <row r="958" spans="13:25" x14ac:dyDescent="0.25">
      <c r="M958" s="4"/>
      <c r="N958" s="4"/>
      <c r="P958" s="14">
        <v>850</v>
      </c>
      <c r="Q958" s="114"/>
      <c r="R958" s="15"/>
      <c r="S958" s="15"/>
      <c r="T958" s="15"/>
      <c r="U958" s="15"/>
      <c r="V958" s="15"/>
      <c r="W958" s="15"/>
      <c r="X958" s="15"/>
      <c r="Y958" s="115"/>
    </row>
    <row r="959" spans="13:25" x14ac:dyDescent="0.25">
      <c r="M959" s="4"/>
      <c r="N959" s="4"/>
      <c r="P959" s="14">
        <v>845</v>
      </c>
      <c r="Q959" s="114"/>
      <c r="R959" s="15"/>
      <c r="S959" s="15"/>
      <c r="T959" s="15"/>
      <c r="U959" s="15"/>
      <c r="V959" s="15"/>
      <c r="W959" s="15"/>
      <c r="X959" s="15"/>
      <c r="Y959" s="115"/>
    </row>
    <row r="960" spans="13:25" x14ac:dyDescent="0.25">
      <c r="M960" s="4"/>
      <c r="N960" s="4"/>
      <c r="P960" s="14">
        <v>840</v>
      </c>
      <c r="Q960" s="114"/>
      <c r="R960" s="15"/>
      <c r="S960" s="15"/>
      <c r="T960" s="15"/>
      <c r="U960" s="15"/>
      <c r="V960" s="15"/>
      <c r="W960" s="15"/>
      <c r="X960" s="15"/>
      <c r="Y960" s="115"/>
    </row>
    <row r="961" spans="13:25" x14ac:dyDescent="0.25">
      <c r="M961" s="4"/>
      <c r="N961" s="4"/>
      <c r="P961" s="14">
        <v>835</v>
      </c>
      <c r="Q961" s="114"/>
      <c r="R961" s="15"/>
      <c r="S961" s="15"/>
      <c r="T961" s="15"/>
      <c r="U961" s="15"/>
      <c r="V961" s="15"/>
      <c r="W961" s="15"/>
      <c r="X961" s="15"/>
      <c r="Y961" s="115"/>
    </row>
    <row r="962" spans="13:25" x14ac:dyDescent="0.25">
      <c r="M962" s="4"/>
      <c r="N962" s="4"/>
      <c r="P962" s="14">
        <v>830</v>
      </c>
      <c r="Q962" s="114"/>
      <c r="R962" s="15"/>
      <c r="S962" s="15"/>
      <c r="T962" s="15"/>
      <c r="U962" s="15"/>
      <c r="V962" s="15"/>
      <c r="W962" s="15"/>
      <c r="X962" s="15"/>
      <c r="Y962" s="115"/>
    </row>
    <row r="963" spans="13:25" x14ac:dyDescent="0.25">
      <c r="M963" s="4"/>
      <c r="N963" s="4"/>
      <c r="P963" s="14">
        <v>825</v>
      </c>
      <c r="Q963" s="114"/>
      <c r="R963" s="15"/>
      <c r="S963" s="15"/>
      <c r="T963" s="15"/>
      <c r="U963" s="15"/>
      <c r="V963" s="15"/>
      <c r="W963" s="15"/>
      <c r="X963" s="15"/>
      <c r="Y963" s="115"/>
    </row>
    <row r="964" spans="13:25" x14ac:dyDescent="0.25">
      <c r="M964" s="4"/>
      <c r="N964" s="4"/>
      <c r="P964" s="14">
        <v>820</v>
      </c>
      <c r="Q964" s="114"/>
      <c r="R964" s="15"/>
      <c r="S964" s="15"/>
      <c r="T964" s="15"/>
      <c r="U964" s="15"/>
      <c r="V964" s="15"/>
      <c r="W964" s="15"/>
      <c r="X964" s="15"/>
      <c r="Y964" s="115"/>
    </row>
    <row r="965" spans="13:25" x14ac:dyDescent="0.25">
      <c r="M965" s="4"/>
      <c r="N965" s="4"/>
      <c r="P965" s="14">
        <v>815</v>
      </c>
      <c r="Q965" s="114"/>
      <c r="R965" s="15"/>
      <c r="S965" s="15"/>
      <c r="T965" s="15"/>
      <c r="U965" s="15"/>
      <c r="V965" s="15"/>
      <c r="W965" s="15"/>
      <c r="X965" s="15"/>
      <c r="Y965" s="115"/>
    </row>
    <row r="966" spans="13:25" x14ac:dyDescent="0.25">
      <c r="M966" s="4"/>
      <c r="N966" s="4"/>
      <c r="P966" s="14">
        <v>810</v>
      </c>
      <c r="Q966" s="114"/>
      <c r="R966" s="15"/>
      <c r="S966" s="15"/>
      <c r="T966" s="15"/>
      <c r="U966" s="15"/>
      <c r="V966" s="15"/>
      <c r="W966" s="15"/>
      <c r="X966" s="15"/>
      <c r="Y966" s="115"/>
    </row>
    <row r="967" spans="13:25" x14ac:dyDescent="0.25">
      <c r="M967" s="4"/>
      <c r="N967" s="4"/>
      <c r="P967" s="14">
        <v>805</v>
      </c>
      <c r="Q967" s="114"/>
      <c r="R967" s="15"/>
      <c r="S967" s="15"/>
      <c r="T967" s="15"/>
      <c r="U967" s="15"/>
      <c r="V967" s="15"/>
      <c r="W967" s="15"/>
      <c r="X967" s="15"/>
      <c r="Y967" s="115"/>
    </row>
    <row r="968" spans="13:25" x14ac:dyDescent="0.25">
      <c r="M968" s="4"/>
      <c r="N968" s="4"/>
      <c r="P968" s="14">
        <v>800</v>
      </c>
      <c r="Q968" s="114"/>
      <c r="R968" s="15"/>
      <c r="S968" s="15"/>
      <c r="T968" s="15"/>
      <c r="U968" s="15"/>
      <c r="V968" s="15"/>
      <c r="W968" s="15"/>
      <c r="X968" s="15"/>
      <c r="Y968" s="115"/>
    </row>
    <row r="969" spans="13:25" x14ac:dyDescent="0.25">
      <c r="M969" s="4"/>
      <c r="N969" s="4"/>
      <c r="P969" s="14">
        <v>795</v>
      </c>
      <c r="Q969" s="114"/>
      <c r="R969" s="15"/>
      <c r="S969" s="15"/>
      <c r="T969" s="15"/>
      <c r="U969" s="15"/>
      <c r="V969" s="15"/>
      <c r="W969" s="15"/>
      <c r="X969" s="15"/>
      <c r="Y969" s="115"/>
    </row>
    <row r="970" spans="13:25" x14ac:dyDescent="0.25">
      <c r="M970" s="4"/>
      <c r="N970" s="4"/>
      <c r="P970" s="14">
        <v>790</v>
      </c>
      <c r="Q970" s="114"/>
      <c r="R970" s="15"/>
      <c r="S970" s="15"/>
      <c r="T970" s="15"/>
      <c r="U970" s="15"/>
      <c r="V970" s="15"/>
      <c r="W970" s="15"/>
      <c r="X970" s="15"/>
      <c r="Y970" s="115"/>
    </row>
    <row r="971" spans="13:25" x14ac:dyDescent="0.25">
      <c r="M971" s="4"/>
      <c r="N971" s="4"/>
      <c r="P971" s="14">
        <v>785</v>
      </c>
      <c r="Q971" s="114"/>
      <c r="R971" s="15"/>
      <c r="S971" s="15"/>
      <c r="T971" s="15"/>
      <c r="U971" s="15"/>
      <c r="V971" s="15"/>
      <c r="W971" s="15"/>
      <c r="X971" s="15"/>
      <c r="Y971" s="115"/>
    </row>
    <row r="972" spans="13:25" x14ac:dyDescent="0.25">
      <c r="M972" s="4"/>
      <c r="N972" s="4"/>
      <c r="P972" s="14">
        <v>780</v>
      </c>
      <c r="Q972" s="114"/>
      <c r="R972" s="15"/>
      <c r="S972" s="15"/>
      <c r="T972" s="15"/>
      <c r="U972" s="15"/>
      <c r="V972" s="15"/>
      <c r="W972" s="15"/>
      <c r="X972" s="15"/>
      <c r="Y972" s="115"/>
    </row>
    <row r="973" spans="13:25" x14ac:dyDescent="0.25">
      <c r="M973" s="4"/>
      <c r="N973" s="4"/>
      <c r="P973" s="14">
        <v>775</v>
      </c>
      <c r="Q973" s="114"/>
      <c r="R973" s="15"/>
      <c r="S973" s="15"/>
      <c r="T973" s="15"/>
      <c r="U973" s="15"/>
      <c r="V973" s="15"/>
      <c r="W973" s="15"/>
      <c r="X973" s="15"/>
      <c r="Y973" s="115"/>
    </row>
    <row r="974" spans="13:25" x14ac:dyDescent="0.25">
      <c r="M974" s="4"/>
      <c r="N974" s="4"/>
      <c r="P974" s="14">
        <v>770</v>
      </c>
      <c r="Q974" s="114"/>
      <c r="R974" s="15"/>
      <c r="S974" s="15"/>
      <c r="T974" s="15"/>
      <c r="U974" s="15"/>
      <c r="V974" s="15"/>
      <c r="W974" s="15"/>
      <c r="X974" s="15"/>
      <c r="Y974" s="115"/>
    </row>
    <row r="975" spans="13:25" x14ac:dyDescent="0.25">
      <c r="M975" s="4"/>
      <c r="N975" s="4"/>
      <c r="P975" s="14">
        <v>765</v>
      </c>
      <c r="Q975" s="114"/>
      <c r="R975" s="15"/>
      <c r="S975" s="15"/>
      <c r="T975" s="15"/>
      <c r="U975" s="15"/>
      <c r="V975" s="15"/>
      <c r="W975" s="15"/>
      <c r="X975" s="15"/>
      <c r="Y975" s="115"/>
    </row>
    <row r="976" spans="13:25" x14ac:dyDescent="0.25">
      <c r="M976" s="4"/>
      <c r="N976" s="4"/>
      <c r="P976" s="14">
        <v>760</v>
      </c>
      <c r="Q976" s="114"/>
      <c r="R976" s="15"/>
      <c r="S976" s="15"/>
      <c r="T976" s="15"/>
      <c r="U976" s="15"/>
      <c r="V976" s="15"/>
      <c r="W976" s="15"/>
      <c r="X976" s="15"/>
      <c r="Y976" s="115"/>
    </row>
    <row r="977" spans="13:25" x14ac:dyDescent="0.25">
      <c r="M977" s="4"/>
      <c r="N977" s="4"/>
      <c r="P977" s="14">
        <v>755</v>
      </c>
      <c r="Q977" s="114"/>
      <c r="R977" s="15"/>
      <c r="S977" s="15"/>
      <c r="T977" s="15"/>
      <c r="U977" s="15"/>
      <c r="V977" s="15"/>
      <c r="W977" s="15"/>
      <c r="X977" s="15"/>
      <c r="Y977" s="115"/>
    </row>
    <row r="978" spans="13:25" x14ac:dyDescent="0.25">
      <c r="M978" s="4"/>
      <c r="N978" s="4"/>
      <c r="P978" s="14">
        <v>750</v>
      </c>
      <c r="Q978" s="114"/>
      <c r="R978" s="15"/>
      <c r="S978" s="15"/>
      <c r="T978" s="15"/>
      <c r="U978" s="15"/>
      <c r="V978" s="15"/>
      <c r="W978" s="15"/>
      <c r="X978" s="15"/>
      <c r="Y978" s="115"/>
    </row>
    <row r="979" spans="13:25" x14ac:dyDescent="0.25">
      <c r="M979" s="4"/>
      <c r="N979" s="4"/>
      <c r="P979" s="14">
        <v>745</v>
      </c>
      <c r="Q979" s="114"/>
      <c r="R979" s="15"/>
      <c r="S979" s="15"/>
      <c r="T979" s="15"/>
      <c r="U979" s="15"/>
      <c r="V979" s="15"/>
      <c r="W979" s="15"/>
      <c r="X979" s="15"/>
      <c r="Y979" s="115"/>
    </row>
    <row r="980" spans="13:25" x14ac:dyDescent="0.25">
      <c r="M980" s="4"/>
      <c r="N980" s="4"/>
      <c r="P980" s="14">
        <v>740</v>
      </c>
      <c r="Q980" s="114"/>
      <c r="R980" s="15"/>
      <c r="S980" s="15"/>
      <c r="T980" s="15"/>
      <c r="U980" s="15"/>
      <c r="V980" s="15"/>
      <c r="W980" s="15"/>
      <c r="X980" s="15"/>
      <c r="Y980" s="115"/>
    </row>
    <row r="981" spans="13:25" x14ac:dyDescent="0.25">
      <c r="M981" s="4"/>
      <c r="N981" s="4"/>
      <c r="P981" s="14">
        <v>735</v>
      </c>
      <c r="Q981" s="114"/>
      <c r="R981" s="15"/>
      <c r="S981" s="15"/>
      <c r="T981" s="15"/>
      <c r="U981" s="15"/>
      <c r="V981" s="15"/>
      <c r="W981" s="15"/>
      <c r="X981" s="15"/>
      <c r="Y981" s="115"/>
    </row>
    <row r="982" spans="13:25" x14ac:dyDescent="0.25">
      <c r="M982" s="4"/>
      <c r="N982" s="4"/>
      <c r="P982" s="14">
        <v>730</v>
      </c>
      <c r="Q982" s="114"/>
      <c r="R982" s="15"/>
      <c r="S982" s="15"/>
      <c r="T982" s="15"/>
      <c r="U982" s="15"/>
      <c r="V982" s="15"/>
      <c r="W982" s="15"/>
      <c r="X982" s="15"/>
      <c r="Y982" s="115"/>
    </row>
    <row r="983" spans="13:25" x14ac:dyDescent="0.25">
      <c r="M983" s="4"/>
      <c r="N983" s="4"/>
      <c r="P983" s="14">
        <v>725</v>
      </c>
      <c r="Q983" s="114"/>
      <c r="R983" s="15"/>
      <c r="S983" s="15"/>
      <c r="T983" s="15"/>
      <c r="U983" s="15"/>
      <c r="V983" s="15"/>
      <c r="W983" s="15"/>
      <c r="X983" s="15"/>
      <c r="Y983" s="115"/>
    </row>
    <row r="984" spans="13:25" x14ac:dyDescent="0.25">
      <c r="M984" s="4"/>
      <c r="N984" s="4"/>
      <c r="P984" s="14">
        <v>720</v>
      </c>
      <c r="Q984" s="114"/>
      <c r="R984" s="15"/>
      <c r="S984" s="15"/>
      <c r="T984" s="15"/>
      <c r="U984" s="15"/>
      <c r="V984" s="15"/>
      <c r="W984" s="15"/>
      <c r="X984" s="15"/>
      <c r="Y984" s="115"/>
    </row>
    <row r="985" spans="13:25" x14ac:dyDescent="0.25">
      <c r="M985" s="4"/>
      <c r="N985" s="4"/>
      <c r="P985" s="14">
        <v>715</v>
      </c>
      <c r="Q985" s="114"/>
      <c r="R985" s="15"/>
      <c r="S985" s="15"/>
      <c r="T985" s="15"/>
      <c r="U985" s="15"/>
      <c r="V985" s="15"/>
      <c r="W985" s="15"/>
      <c r="X985" s="15"/>
      <c r="Y985" s="115"/>
    </row>
    <row r="986" spans="13:25" x14ac:dyDescent="0.25">
      <c r="M986" s="4"/>
      <c r="N986" s="4"/>
      <c r="P986" s="14">
        <v>710</v>
      </c>
      <c r="Q986" s="114"/>
      <c r="R986" s="15"/>
      <c r="S986" s="15"/>
      <c r="T986" s="15"/>
      <c r="U986" s="15"/>
      <c r="V986" s="15"/>
      <c r="W986" s="15"/>
      <c r="X986" s="15"/>
      <c r="Y986" s="115"/>
    </row>
    <row r="987" spans="13:25" x14ac:dyDescent="0.25">
      <c r="M987" s="4"/>
      <c r="N987" s="4"/>
      <c r="P987" s="14">
        <v>705</v>
      </c>
      <c r="Q987" s="114"/>
      <c r="R987" s="15"/>
      <c r="S987" s="15"/>
      <c r="T987" s="15"/>
      <c r="U987" s="15"/>
      <c r="V987" s="15"/>
      <c r="W987" s="15"/>
      <c r="X987" s="15"/>
      <c r="Y987" s="115"/>
    </row>
    <row r="988" spans="13:25" x14ac:dyDescent="0.25">
      <c r="M988" s="4"/>
      <c r="N988" s="4"/>
      <c r="P988" s="14">
        <v>700</v>
      </c>
      <c r="Q988" s="114"/>
      <c r="R988" s="15"/>
      <c r="S988" s="15"/>
      <c r="T988" s="15"/>
      <c r="U988" s="15"/>
      <c r="V988" s="15"/>
      <c r="W988" s="15"/>
      <c r="X988" s="15"/>
      <c r="Y988" s="115"/>
    </row>
    <row r="989" spans="13:25" x14ac:dyDescent="0.25">
      <c r="M989" s="4"/>
      <c r="N989" s="4"/>
      <c r="P989" s="14">
        <v>695</v>
      </c>
      <c r="Q989" s="114"/>
      <c r="R989" s="15"/>
      <c r="S989" s="15"/>
      <c r="T989" s="15"/>
      <c r="U989" s="15"/>
      <c r="V989" s="15"/>
      <c r="W989" s="15"/>
      <c r="X989" s="15"/>
      <c r="Y989" s="115"/>
    </row>
    <row r="990" spans="13:25" x14ac:dyDescent="0.25">
      <c r="M990" s="4"/>
      <c r="N990" s="4"/>
      <c r="P990" s="14">
        <v>690</v>
      </c>
      <c r="Q990" s="114"/>
      <c r="R990" s="15"/>
      <c r="S990" s="15"/>
      <c r="T990" s="15"/>
      <c r="U990" s="15"/>
      <c r="V990" s="15"/>
      <c r="W990" s="15"/>
      <c r="X990" s="15"/>
      <c r="Y990" s="115"/>
    </row>
    <row r="991" spans="13:25" x14ac:dyDescent="0.25">
      <c r="M991" s="4"/>
      <c r="N991" s="4"/>
      <c r="P991" s="14">
        <v>685</v>
      </c>
      <c r="Q991" s="114"/>
      <c r="R991" s="15"/>
      <c r="S991" s="15"/>
      <c r="T991" s="15"/>
      <c r="U991" s="15"/>
      <c r="V991" s="15"/>
      <c r="W991" s="15"/>
      <c r="X991" s="15"/>
      <c r="Y991" s="115"/>
    </row>
    <row r="992" spans="13:25" x14ac:dyDescent="0.25">
      <c r="M992" s="4"/>
      <c r="N992" s="4"/>
      <c r="P992" s="14">
        <v>680</v>
      </c>
      <c r="Q992" s="114"/>
      <c r="R992" s="15"/>
      <c r="S992" s="15"/>
      <c r="T992" s="15"/>
      <c r="U992" s="15"/>
      <c r="V992" s="15"/>
      <c r="W992" s="15"/>
      <c r="X992" s="15"/>
      <c r="Y992" s="115"/>
    </row>
    <row r="993" spans="13:25" x14ac:dyDescent="0.25">
      <c r="M993" s="4"/>
      <c r="N993" s="4"/>
      <c r="P993" s="14">
        <v>675</v>
      </c>
      <c r="Q993" s="114"/>
      <c r="R993" s="15"/>
      <c r="S993" s="15"/>
      <c r="T993" s="15"/>
      <c r="U993" s="15"/>
      <c r="V993" s="15"/>
      <c r="W993" s="15"/>
      <c r="X993" s="15"/>
      <c r="Y993" s="115"/>
    </row>
    <row r="994" spans="13:25" x14ac:dyDescent="0.25">
      <c r="M994" s="4"/>
      <c r="N994" s="4"/>
      <c r="P994" s="14">
        <v>670</v>
      </c>
      <c r="Q994" s="114"/>
      <c r="R994" s="15"/>
      <c r="S994" s="15"/>
      <c r="T994" s="15"/>
      <c r="U994" s="15"/>
      <c r="V994" s="15"/>
      <c r="W994" s="15"/>
      <c r="X994" s="15"/>
      <c r="Y994" s="115"/>
    </row>
    <row r="995" spans="13:25" x14ac:dyDescent="0.25">
      <c r="M995" s="4"/>
      <c r="N995" s="4"/>
      <c r="P995" s="14">
        <v>665</v>
      </c>
      <c r="Q995" s="114"/>
      <c r="R995" s="15"/>
      <c r="S995" s="15"/>
      <c r="T995" s="15"/>
      <c r="U995" s="15"/>
      <c r="V995" s="15"/>
      <c r="W995" s="15"/>
      <c r="X995" s="15"/>
      <c r="Y995" s="115"/>
    </row>
    <row r="996" spans="13:25" x14ac:dyDescent="0.25">
      <c r="M996" s="4"/>
      <c r="N996" s="4"/>
      <c r="P996" s="14">
        <v>660</v>
      </c>
      <c r="Q996" s="114"/>
      <c r="R996" s="15"/>
      <c r="S996" s="15"/>
      <c r="T996" s="15"/>
      <c r="U996" s="15"/>
      <c r="V996" s="15"/>
      <c r="W996" s="15"/>
      <c r="X996" s="15"/>
      <c r="Y996" s="115"/>
    </row>
    <row r="997" spans="13:25" x14ac:dyDescent="0.25">
      <c r="M997" s="4"/>
      <c r="N997" s="4"/>
      <c r="P997" s="14">
        <v>655</v>
      </c>
      <c r="Q997" s="114"/>
      <c r="R997" s="15"/>
      <c r="S997" s="15"/>
      <c r="T997" s="15"/>
      <c r="U997" s="15"/>
      <c r="V997" s="15"/>
      <c r="W997" s="15"/>
      <c r="X997" s="15"/>
      <c r="Y997" s="115"/>
    </row>
    <row r="998" spans="13:25" x14ac:dyDescent="0.25">
      <c r="M998" s="4"/>
      <c r="N998" s="4"/>
      <c r="P998" s="14">
        <v>650</v>
      </c>
      <c r="Q998" s="114"/>
      <c r="R998" s="15"/>
      <c r="S998" s="15"/>
      <c r="T998" s="15"/>
      <c r="U998" s="15"/>
      <c r="V998" s="15"/>
      <c r="W998" s="15"/>
      <c r="X998" s="15"/>
      <c r="Y998" s="115"/>
    </row>
    <row r="999" spans="13:25" x14ac:dyDescent="0.25">
      <c r="M999" s="4"/>
      <c r="N999" s="4"/>
      <c r="P999" s="14">
        <v>645</v>
      </c>
      <c r="Q999" s="114"/>
      <c r="R999" s="15"/>
      <c r="S999" s="15"/>
      <c r="T999" s="15"/>
      <c r="U999" s="15"/>
      <c r="V999" s="15"/>
      <c r="W999" s="15"/>
      <c r="X999" s="15"/>
      <c r="Y999" s="115"/>
    </row>
    <row r="1000" spans="13:25" x14ac:dyDescent="0.25">
      <c r="M1000" s="4"/>
      <c r="N1000" s="4"/>
      <c r="P1000" s="14">
        <v>640</v>
      </c>
      <c r="Q1000" s="114"/>
      <c r="R1000" s="15"/>
      <c r="S1000" s="15"/>
      <c r="T1000" s="15"/>
      <c r="U1000" s="15"/>
      <c r="V1000" s="15"/>
      <c r="W1000" s="15"/>
      <c r="X1000" s="15"/>
      <c r="Y1000" s="115"/>
    </row>
    <row r="1001" spans="13:25" x14ac:dyDescent="0.25">
      <c r="M1001" s="4"/>
      <c r="N1001" s="4"/>
      <c r="P1001" s="14">
        <v>635</v>
      </c>
      <c r="Q1001" s="114"/>
      <c r="R1001" s="15"/>
      <c r="S1001" s="15"/>
      <c r="T1001" s="15"/>
      <c r="U1001" s="15"/>
      <c r="V1001" s="15"/>
      <c r="W1001" s="15"/>
      <c r="X1001" s="15"/>
      <c r="Y1001" s="115"/>
    </row>
    <row r="1002" spans="13:25" x14ac:dyDescent="0.25">
      <c r="M1002" s="4"/>
      <c r="N1002" s="4"/>
      <c r="P1002" s="14">
        <v>630</v>
      </c>
      <c r="Q1002" s="114"/>
      <c r="R1002" s="15"/>
      <c r="S1002" s="15"/>
      <c r="T1002" s="15"/>
      <c r="U1002" s="15"/>
      <c r="V1002" s="15"/>
      <c r="W1002" s="15"/>
      <c r="X1002" s="15"/>
      <c r="Y1002" s="115"/>
    </row>
    <row r="1003" spans="13:25" x14ac:dyDescent="0.25">
      <c r="M1003" s="4"/>
      <c r="N1003" s="4"/>
      <c r="P1003" s="14">
        <v>625</v>
      </c>
      <c r="Q1003" s="114"/>
      <c r="R1003" s="15"/>
      <c r="S1003" s="15"/>
      <c r="T1003" s="15"/>
      <c r="U1003" s="15"/>
      <c r="V1003" s="15"/>
      <c r="W1003" s="15"/>
      <c r="X1003" s="15"/>
      <c r="Y1003" s="115"/>
    </row>
    <row r="1004" spans="13:25" x14ac:dyDescent="0.25">
      <c r="M1004" s="4"/>
      <c r="N1004" s="4"/>
      <c r="P1004" s="14">
        <v>620</v>
      </c>
      <c r="Q1004" s="114"/>
      <c r="R1004" s="15"/>
      <c r="S1004" s="15"/>
      <c r="T1004" s="15"/>
      <c r="U1004" s="15"/>
      <c r="V1004" s="15"/>
      <c r="W1004" s="15"/>
      <c r="X1004" s="15"/>
      <c r="Y1004" s="115"/>
    </row>
    <row r="1005" spans="13:25" x14ac:dyDescent="0.25">
      <c r="M1005" s="4"/>
      <c r="N1005" s="4"/>
      <c r="P1005" s="14">
        <v>615</v>
      </c>
      <c r="Q1005" s="114"/>
      <c r="R1005" s="15"/>
      <c r="S1005" s="15"/>
      <c r="T1005" s="15"/>
      <c r="U1005" s="15"/>
      <c r="V1005" s="15"/>
      <c r="W1005" s="15"/>
      <c r="X1005" s="15"/>
      <c r="Y1005" s="115"/>
    </row>
    <row r="1006" spans="13:25" x14ac:dyDescent="0.25">
      <c r="M1006" s="4"/>
      <c r="N1006" s="4"/>
      <c r="P1006" s="14">
        <v>610</v>
      </c>
      <c r="Q1006" s="114"/>
      <c r="R1006" s="15"/>
      <c r="S1006" s="15"/>
      <c r="T1006" s="15"/>
      <c r="U1006" s="15"/>
      <c r="V1006" s="15"/>
      <c r="W1006" s="15"/>
      <c r="X1006" s="15"/>
      <c r="Y1006" s="115"/>
    </row>
    <row r="1007" spans="13:25" x14ac:dyDescent="0.25">
      <c r="M1007" s="4"/>
      <c r="N1007" s="4"/>
      <c r="P1007" s="14">
        <v>605</v>
      </c>
      <c r="Q1007" s="114"/>
      <c r="R1007" s="15"/>
      <c r="S1007" s="15"/>
      <c r="T1007" s="15"/>
      <c r="U1007" s="15"/>
      <c r="V1007" s="15"/>
      <c r="W1007" s="15"/>
      <c r="X1007" s="15"/>
      <c r="Y1007" s="115"/>
    </row>
    <row r="1008" spans="13:25" x14ac:dyDescent="0.25">
      <c r="M1008" s="4"/>
      <c r="N1008" s="4"/>
      <c r="P1008" s="14">
        <v>600</v>
      </c>
      <c r="Q1008" s="114"/>
      <c r="R1008" s="15"/>
      <c r="S1008" s="15"/>
      <c r="T1008" s="15"/>
      <c r="U1008" s="15"/>
      <c r="V1008" s="15"/>
      <c r="W1008" s="15"/>
      <c r="X1008" s="15"/>
      <c r="Y1008" s="115"/>
    </row>
    <row r="1009" spans="13:25" x14ac:dyDescent="0.25">
      <c r="M1009" s="4"/>
      <c r="N1009" s="4"/>
      <c r="P1009" s="14">
        <v>595</v>
      </c>
      <c r="Q1009" s="114"/>
      <c r="R1009" s="15"/>
      <c r="S1009" s="15"/>
      <c r="T1009" s="15"/>
      <c r="U1009" s="15"/>
      <c r="V1009" s="15"/>
      <c r="W1009" s="15"/>
      <c r="X1009" s="15"/>
      <c r="Y1009" s="115"/>
    </row>
    <row r="1010" spans="13:25" x14ac:dyDescent="0.25">
      <c r="M1010" s="4"/>
      <c r="N1010" s="4"/>
      <c r="P1010" s="14">
        <v>590</v>
      </c>
      <c r="Q1010" s="114"/>
      <c r="R1010" s="15"/>
      <c r="S1010" s="15"/>
      <c r="T1010" s="15"/>
      <c r="U1010" s="15"/>
      <c r="V1010" s="15"/>
      <c r="W1010" s="15"/>
      <c r="X1010" s="15"/>
      <c r="Y1010" s="115"/>
    </row>
    <row r="1011" spans="13:25" x14ac:dyDescent="0.25">
      <c r="M1011" s="4"/>
      <c r="N1011" s="4"/>
      <c r="P1011" s="14">
        <v>585</v>
      </c>
      <c r="Q1011" s="114"/>
      <c r="R1011" s="15"/>
      <c r="S1011" s="15"/>
      <c r="T1011" s="15"/>
      <c r="U1011" s="15"/>
      <c r="V1011" s="15"/>
      <c r="W1011" s="15"/>
      <c r="X1011" s="15"/>
      <c r="Y1011" s="115"/>
    </row>
    <row r="1012" spans="13:25" x14ac:dyDescent="0.25">
      <c r="M1012" s="4"/>
      <c r="N1012" s="4"/>
      <c r="P1012" s="14">
        <v>580</v>
      </c>
      <c r="Q1012" s="114"/>
      <c r="R1012" s="15"/>
      <c r="S1012" s="15"/>
      <c r="T1012" s="15"/>
      <c r="U1012" s="15"/>
      <c r="V1012" s="15"/>
      <c r="W1012" s="15"/>
      <c r="X1012" s="15"/>
      <c r="Y1012" s="115"/>
    </row>
    <row r="1013" spans="13:25" x14ac:dyDescent="0.25">
      <c r="M1013" s="4"/>
      <c r="N1013" s="4"/>
      <c r="P1013" s="14">
        <v>575</v>
      </c>
      <c r="Q1013" s="114"/>
      <c r="R1013" s="15"/>
      <c r="S1013" s="15"/>
      <c r="T1013" s="15"/>
      <c r="U1013" s="15"/>
      <c r="V1013" s="15"/>
      <c r="W1013" s="15"/>
      <c r="X1013" s="15"/>
      <c r="Y1013" s="115"/>
    </row>
    <row r="1014" spans="13:25" x14ac:dyDescent="0.25">
      <c r="M1014" s="4"/>
      <c r="N1014" s="4"/>
      <c r="P1014" s="14">
        <v>570</v>
      </c>
      <c r="Q1014" s="114"/>
      <c r="R1014" s="15"/>
      <c r="S1014" s="15"/>
      <c r="T1014" s="15"/>
      <c r="U1014" s="15"/>
      <c r="V1014" s="15"/>
      <c r="W1014" s="15"/>
      <c r="X1014" s="15"/>
      <c r="Y1014" s="115"/>
    </row>
    <row r="1015" spans="13:25" x14ac:dyDescent="0.25">
      <c r="M1015" s="4"/>
      <c r="N1015" s="4"/>
      <c r="P1015" s="14">
        <v>565</v>
      </c>
      <c r="Q1015" s="114"/>
      <c r="R1015" s="15"/>
      <c r="S1015" s="15"/>
      <c r="T1015" s="15"/>
      <c r="U1015" s="15"/>
      <c r="V1015" s="15"/>
      <c r="W1015" s="15"/>
      <c r="X1015" s="15"/>
      <c r="Y1015" s="115"/>
    </row>
    <row r="1016" spans="13:25" x14ac:dyDescent="0.25">
      <c r="M1016" s="4"/>
      <c r="N1016" s="4"/>
      <c r="P1016" s="14">
        <v>560</v>
      </c>
      <c r="Q1016" s="114"/>
      <c r="R1016" s="15"/>
      <c r="S1016" s="15"/>
      <c r="T1016" s="15"/>
      <c r="U1016" s="15"/>
      <c r="V1016" s="15"/>
      <c r="W1016" s="15"/>
      <c r="X1016" s="15"/>
      <c r="Y1016" s="115"/>
    </row>
    <row r="1017" spans="13:25" x14ac:dyDescent="0.25">
      <c r="M1017" s="4"/>
      <c r="N1017" s="4"/>
      <c r="P1017" s="14">
        <v>555</v>
      </c>
      <c r="Q1017" s="114"/>
      <c r="R1017" s="15"/>
      <c r="S1017" s="15"/>
      <c r="T1017" s="15"/>
      <c r="U1017" s="15"/>
      <c r="V1017" s="15"/>
      <c r="W1017" s="15"/>
      <c r="X1017" s="15"/>
      <c r="Y1017" s="115"/>
    </row>
    <row r="1018" spans="13:25" x14ac:dyDescent="0.25">
      <c r="M1018" s="4"/>
      <c r="N1018" s="4"/>
      <c r="P1018" s="14">
        <v>550</v>
      </c>
      <c r="Q1018" s="114"/>
      <c r="R1018" s="15"/>
      <c r="S1018" s="15"/>
      <c r="T1018" s="15"/>
      <c r="U1018" s="15"/>
      <c r="V1018" s="15"/>
      <c r="W1018" s="15"/>
      <c r="X1018" s="15"/>
      <c r="Y1018" s="115"/>
    </row>
    <row r="1019" spans="13:25" x14ac:dyDescent="0.25">
      <c r="M1019" s="4"/>
      <c r="N1019" s="4"/>
      <c r="P1019" s="14">
        <v>545</v>
      </c>
      <c r="Q1019" s="114"/>
      <c r="R1019" s="15"/>
      <c r="S1019" s="15"/>
      <c r="T1019" s="15"/>
      <c r="U1019" s="15"/>
      <c r="V1019" s="15"/>
      <c r="W1019" s="15"/>
      <c r="X1019" s="15"/>
      <c r="Y1019" s="115"/>
    </row>
    <row r="1020" spans="13:25" x14ac:dyDescent="0.25">
      <c r="M1020" s="4"/>
      <c r="N1020" s="4"/>
      <c r="P1020" s="14">
        <v>540</v>
      </c>
      <c r="Q1020" s="114"/>
      <c r="R1020" s="15"/>
      <c r="S1020" s="15"/>
      <c r="T1020" s="15"/>
      <c r="U1020" s="15"/>
      <c r="V1020" s="15"/>
      <c r="W1020" s="15"/>
      <c r="X1020" s="15"/>
      <c r="Y1020" s="115"/>
    </row>
    <row r="1021" spans="13:25" x14ac:dyDescent="0.25">
      <c r="M1021" s="4"/>
      <c r="N1021" s="4"/>
      <c r="P1021" s="14">
        <v>535</v>
      </c>
      <c r="Q1021" s="114"/>
      <c r="R1021" s="15"/>
      <c r="S1021" s="15"/>
      <c r="T1021" s="15"/>
      <c r="U1021" s="15"/>
      <c r="V1021" s="15"/>
      <c r="W1021" s="15"/>
      <c r="X1021" s="15"/>
      <c r="Y1021" s="115"/>
    </row>
    <row r="1022" spans="13:25" x14ac:dyDescent="0.25">
      <c r="M1022" s="4"/>
      <c r="N1022" s="4"/>
      <c r="P1022" s="14">
        <v>530</v>
      </c>
      <c r="Q1022" s="114"/>
      <c r="R1022" s="15"/>
      <c r="S1022" s="15"/>
      <c r="T1022" s="15"/>
      <c r="U1022" s="15"/>
      <c r="V1022" s="15"/>
      <c r="W1022" s="15"/>
      <c r="X1022" s="15"/>
      <c r="Y1022" s="115"/>
    </row>
    <row r="1023" spans="13:25" x14ac:dyDescent="0.25">
      <c r="M1023" s="4"/>
      <c r="N1023" s="4"/>
      <c r="P1023" s="14">
        <v>525</v>
      </c>
      <c r="Q1023" s="114"/>
      <c r="R1023" s="15"/>
      <c r="S1023" s="15"/>
      <c r="T1023" s="15"/>
      <c r="U1023" s="15"/>
      <c r="V1023" s="15"/>
      <c r="W1023" s="15"/>
      <c r="X1023" s="15"/>
      <c r="Y1023" s="115"/>
    </row>
    <row r="1024" spans="13:25" x14ac:dyDescent="0.25">
      <c r="M1024" s="4"/>
      <c r="N1024" s="4"/>
      <c r="P1024" s="14">
        <v>520</v>
      </c>
      <c r="Q1024" s="114"/>
      <c r="R1024" s="15"/>
      <c r="S1024" s="15"/>
      <c r="T1024" s="15"/>
      <c r="U1024" s="15"/>
      <c r="V1024" s="15"/>
      <c r="W1024" s="15"/>
      <c r="X1024" s="15"/>
      <c r="Y1024" s="115"/>
    </row>
    <row r="1025" spans="13:25" x14ac:dyDescent="0.25">
      <c r="M1025" s="4"/>
      <c r="N1025" s="4"/>
      <c r="P1025" s="14">
        <v>515</v>
      </c>
      <c r="Q1025" s="114"/>
      <c r="R1025" s="15"/>
      <c r="S1025" s="15"/>
      <c r="T1025" s="15"/>
      <c r="U1025" s="15"/>
      <c r="V1025" s="15"/>
      <c r="W1025" s="15"/>
      <c r="X1025" s="15"/>
      <c r="Y1025" s="115"/>
    </row>
    <row r="1026" spans="13:25" x14ac:dyDescent="0.25">
      <c r="M1026" s="4"/>
      <c r="N1026" s="4"/>
      <c r="P1026" s="14">
        <v>510</v>
      </c>
      <c r="Q1026" s="114"/>
      <c r="R1026" s="15"/>
      <c r="S1026" s="15"/>
      <c r="T1026" s="15"/>
      <c r="U1026" s="15"/>
      <c r="V1026" s="15"/>
      <c r="W1026" s="15"/>
      <c r="X1026" s="15"/>
      <c r="Y1026" s="115"/>
    </row>
    <row r="1027" spans="13:25" x14ac:dyDescent="0.25">
      <c r="M1027" s="4"/>
      <c r="N1027" s="4"/>
      <c r="P1027" s="14">
        <v>505</v>
      </c>
      <c r="Q1027" s="114"/>
      <c r="R1027" s="15"/>
      <c r="S1027" s="15"/>
      <c r="T1027" s="15"/>
      <c r="U1027" s="15"/>
      <c r="V1027" s="15"/>
      <c r="W1027" s="15"/>
      <c r="X1027" s="15"/>
      <c r="Y1027" s="115"/>
    </row>
    <row r="1028" spans="13:25" x14ac:dyDescent="0.25">
      <c r="M1028" s="4"/>
      <c r="N1028" s="4"/>
      <c r="P1028" s="14">
        <v>500</v>
      </c>
      <c r="Q1028" s="114"/>
      <c r="R1028" s="15"/>
      <c r="S1028" s="15"/>
      <c r="T1028" s="15"/>
      <c r="U1028" s="15"/>
      <c r="V1028" s="15"/>
      <c r="W1028" s="15"/>
      <c r="X1028" s="15"/>
      <c r="Y1028" s="115"/>
    </row>
    <row r="1029" spans="13:25" x14ac:dyDescent="0.25">
      <c r="M1029" s="4"/>
      <c r="N1029" s="4"/>
      <c r="P1029" s="14">
        <v>495</v>
      </c>
      <c r="Q1029" s="114"/>
      <c r="R1029" s="15"/>
      <c r="S1029" s="15"/>
      <c r="T1029" s="15"/>
      <c r="U1029" s="15"/>
      <c r="V1029" s="15"/>
      <c r="W1029" s="15"/>
      <c r="X1029" s="15"/>
      <c r="Y1029" s="115"/>
    </row>
    <row r="1030" spans="13:25" x14ac:dyDescent="0.25">
      <c r="M1030" s="4"/>
      <c r="N1030" s="4"/>
      <c r="P1030" s="14">
        <v>490</v>
      </c>
      <c r="Q1030" s="114"/>
      <c r="R1030" s="15"/>
      <c r="S1030" s="15"/>
      <c r="T1030" s="15"/>
      <c r="U1030" s="15"/>
      <c r="V1030" s="15"/>
      <c r="W1030" s="15"/>
      <c r="X1030" s="15"/>
      <c r="Y1030" s="115"/>
    </row>
    <row r="1031" spans="13:25" x14ac:dyDescent="0.25">
      <c r="M1031" s="4"/>
      <c r="N1031" s="4"/>
      <c r="P1031" s="14">
        <v>485</v>
      </c>
      <c r="Q1031" s="114"/>
      <c r="R1031" s="15"/>
      <c r="S1031" s="15"/>
      <c r="T1031" s="15"/>
      <c r="U1031" s="15"/>
      <c r="V1031" s="15"/>
      <c r="W1031" s="15"/>
      <c r="X1031" s="15"/>
      <c r="Y1031" s="115"/>
    </row>
    <row r="1032" spans="13:25" x14ac:dyDescent="0.25">
      <c r="M1032" s="4"/>
      <c r="N1032" s="4"/>
      <c r="P1032" s="14">
        <v>480</v>
      </c>
      <c r="Q1032" s="114"/>
      <c r="R1032" s="15"/>
      <c r="S1032" s="15"/>
      <c r="T1032" s="15"/>
      <c r="U1032" s="15"/>
      <c r="V1032" s="15"/>
      <c r="W1032" s="15"/>
      <c r="X1032" s="15"/>
      <c r="Y1032" s="115"/>
    </row>
    <row r="1033" spans="13:25" x14ac:dyDescent="0.25">
      <c r="M1033" s="4"/>
      <c r="N1033" s="4"/>
      <c r="P1033" s="14">
        <v>475</v>
      </c>
      <c r="Q1033" s="114"/>
      <c r="R1033" s="15"/>
      <c r="S1033" s="15"/>
      <c r="T1033" s="15"/>
      <c r="U1033" s="15"/>
      <c r="V1033" s="15"/>
      <c r="W1033" s="15"/>
      <c r="X1033" s="15"/>
      <c r="Y1033" s="115"/>
    </row>
    <row r="1034" spans="13:25" x14ac:dyDescent="0.25">
      <c r="M1034" s="4"/>
      <c r="N1034" s="4"/>
      <c r="P1034" s="14">
        <v>470</v>
      </c>
      <c r="Q1034" s="114"/>
      <c r="R1034" s="15"/>
      <c r="S1034" s="15"/>
      <c r="T1034" s="15"/>
      <c r="U1034" s="15"/>
      <c r="V1034" s="15"/>
      <c r="W1034" s="15"/>
      <c r="X1034" s="15"/>
      <c r="Y1034" s="115"/>
    </row>
    <row r="1035" spans="13:25" x14ac:dyDescent="0.25">
      <c r="M1035" s="4"/>
      <c r="N1035" s="4"/>
      <c r="P1035" s="14">
        <v>465</v>
      </c>
      <c r="Q1035" s="114"/>
      <c r="R1035" s="15"/>
      <c r="S1035" s="15"/>
      <c r="T1035" s="15"/>
      <c r="U1035" s="15"/>
      <c r="V1035" s="15"/>
      <c r="W1035" s="15"/>
      <c r="X1035" s="15"/>
      <c r="Y1035" s="115"/>
    </row>
    <row r="1036" spans="13:25" x14ac:dyDescent="0.25">
      <c r="M1036" s="4"/>
      <c r="N1036" s="4"/>
      <c r="P1036" s="14">
        <v>460</v>
      </c>
      <c r="Q1036" s="114"/>
      <c r="R1036" s="15"/>
      <c r="S1036" s="15"/>
      <c r="T1036" s="15"/>
      <c r="U1036" s="15"/>
      <c r="V1036" s="15"/>
      <c r="W1036" s="15"/>
      <c r="X1036" s="15"/>
      <c r="Y1036" s="115"/>
    </row>
    <row r="1037" spans="13:25" x14ac:dyDescent="0.25">
      <c r="M1037" s="4"/>
      <c r="N1037" s="4"/>
      <c r="P1037" s="14">
        <v>455</v>
      </c>
      <c r="Q1037" s="114"/>
      <c r="R1037" s="15"/>
      <c r="S1037" s="15"/>
      <c r="T1037" s="15"/>
      <c r="U1037" s="15"/>
      <c r="V1037" s="15"/>
      <c r="W1037" s="15"/>
      <c r="X1037" s="15"/>
      <c r="Y1037" s="115"/>
    </row>
    <row r="1038" spans="13:25" x14ac:dyDescent="0.25">
      <c r="M1038" s="4"/>
      <c r="N1038" s="4"/>
      <c r="P1038" s="14">
        <v>450</v>
      </c>
      <c r="Q1038" s="114"/>
      <c r="R1038" s="15"/>
      <c r="S1038" s="15"/>
      <c r="T1038" s="15"/>
      <c r="U1038" s="15"/>
      <c r="V1038" s="15"/>
      <c r="W1038" s="15"/>
      <c r="X1038" s="15"/>
      <c r="Y1038" s="115"/>
    </row>
    <row r="1039" spans="13:25" x14ac:dyDescent="0.25">
      <c r="M1039" s="4"/>
      <c r="N1039" s="4"/>
      <c r="P1039" s="14">
        <v>445</v>
      </c>
      <c r="Q1039" s="114"/>
      <c r="R1039" s="15"/>
      <c r="S1039" s="15"/>
      <c r="T1039" s="15"/>
      <c r="U1039" s="15"/>
      <c r="V1039" s="15"/>
      <c r="W1039" s="15"/>
      <c r="X1039" s="15"/>
      <c r="Y1039" s="115"/>
    </row>
    <row r="1040" spans="13:25" x14ac:dyDescent="0.25">
      <c r="M1040" s="4"/>
      <c r="N1040" s="4"/>
      <c r="P1040" s="14">
        <v>440</v>
      </c>
      <c r="Q1040" s="114"/>
      <c r="R1040" s="15"/>
      <c r="S1040" s="15"/>
      <c r="T1040" s="15"/>
      <c r="U1040" s="15"/>
      <c r="V1040" s="15"/>
      <c r="W1040" s="15"/>
      <c r="X1040" s="15"/>
      <c r="Y1040" s="115"/>
    </row>
    <row r="1041" spans="13:25" x14ac:dyDescent="0.25">
      <c r="M1041" s="4"/>
      <c r="N1041" s="4"/>
      <c r="P1041" s="14">
        <v>435</v>
      </c>
      <c r="Q1041" s="114"/>
      <c r="R1041" s="15"/>
      <c r="S1041" s="15"/>
      <c r="T1041" s="15"/>
      <c r="U1041" s="15"/>
      <c r="V1041" s="15"/>
      <c r="W1041" s="15"/>
      <c r="X1041" s="15"/>
      <c r="Y1041" s="115"/>
    </row>
    <row r="1042" spans="13:25" x14ac:dyDescent="0.25">
      <c r="M1042" s="4"/>
      <c r="N1042" s="4"/>
      <c r="P1042" s="14">
        <v>430</v>
      </c>
      <c r="Q1042" s="114"/>
      <c r="R1042" s="15"/>
      <c r="S1042" s="15"/>
      <c r="T1042" s="15"/>
      <c r="U1042" s="15"/>
      <c r="V1042" s="15"/>
      <c r="W1042" s="15"/>
      <c r="X1042" s="15"/>
      <c r="Y1042" s="115"/>
    </row>
    <row r="1043" spans="13:25" x14ac:dyDescent="0.25">
      <c r="M1043" s="4"/>
      <c r="N1043" s="4"/>
      <c r="P1043" s="14">
        <v>425</v>
      </c>
      <c r="Q1043" s="114"/>
      <c r="R1043" s="15"/>
      <c r="S1043" s="15"/>
      <c r="T1043" s="15"/>
      <c r="U1043" s="15"/>
      <c r="V1043" s="15"/>
      <c r="W1043" s="15"/>
      <c r="X1043" s="15"/>
      <c r="Y1043" s="115"/>
    </row>
    <row r="1044" spans="13:25" x14ac:dyDescent="0.25">
      <c r="M1044" s="4"/>
      <c r="N1044" s="4"/>
      <c r="P1044" s="14">
        <v>420</v>
      </c>
      <c r="Q1044" s="114"/>
      <c r="R1044" s="15"/>
      <c r="S1044" s="15"/>
      <c r="T1044" s="15"/>
      <c r="U1044" s="15"/>
      <c r="V1044" s="15"/>
      <c r="W1044" s="15"/>
      <c r="X1044" s="15"/>
      <c r="Y1044" s="115"/>
    </row>
    <row r="1045" spans="13:25" x14ac:dyDescent="0.25">
      <c r="M1045" s="4"/>
      <c r="N1045" s="4"/>
      <c r="P1045" s="14">
        <v>415</v>
      </c>
      <c r="Q1045" s="114"/>
      <c r="R1045" s="15"/>
      <c r="S1045" s="15"/>
      <c r="T1045" s="15"/>
      <c r="U1045" s="15"/>
      <c r="V1045" s="15"/>
      <c r="W1045" s="15"/>
      <c r="X1045" s="15"/>
      <c r="Y1045" s="115"/>
    </row>
    <row r="1046" spans="13:25" x14ac:dyDescent="0.25">
      <c r="M1046" s="4"/>
      <c r="N1046" s="4"/>
      <c r="P1046" s="14">
        <v>410</v>
      </c>
      <c r="Q1046" s="114"/>
      <c r="R1046" s="15"/>
      <c r="S1046" s="15"/>
      <c r="T1046" s="15"/>
      <c r="U1046" s="15"/>
      <c r="V1046" s="15"/>
      <c r="W1046" s="15"/>
      <c r="X1046" s="15"/>
      <c r="Y1046" s="115"/>
    </row>
    <row r="1047" spans="13:25" x14ac:dyDescent="0.25">
      <c r="M1047" s="4"/>
      <c r="N1047" s="4"/>
      <c r="P1047" s="14">
        <v>405</v>
      </c>
      <c r="Q1047" s="114"/>
      <c r="R1047" s="15"/>
      <c r="S1047" s="15"/>
      <c r="T1047" s="15"/>
      <c r="U1047" s="15"/>
      <c r="V1047" s="15"/>
      <c r="W1047" s="15"/>
      <c r="X1047" s="15"/>
      <c r="Y1047" s="115"/>
    </row>
    <row r="1048" spans="13:25" x14ac:dyDescent="0.25">
      <c r="M1048" s="4"/>
      <c r="N1048" s="4"/>
      <c r="P1048" s="14">
        <v>400</v>
      </c>
      <c r="Q1048" s="114"/>
      <c r="R1048" s="15"/>
      <c r="S1048" s="15"/>
      <c r="T1048" s="15"/>
      <c r="U1048" s="15"/>
      <c r="V1048" s="15"/>
      <c r="W1048" s="15"/>
      <c r="X1048" s="15"/>
      <c r="Y1048" s="115"/>
    </row>
    <row r="1049" spans="13:25" x14ac:dyDescent="0.25">
      <c r="M1049" s="4"/>
      <c r="N1049" s="4"/>
      <c r="P1049" s="14">
        <v>395</v>
      </c>
      <c r="Q1049" s="114"/>
      <c r="R1049" s="15"/>
      <c r="S1049" s="15"/>
      <c r="T1049" s="15"/>
      <c r="U1049" s="15"/>
      <c r="V1049" s="15"/>
      <c r="W1049" s="15"/>
      <c r="X1049" s="15"/>
      <c r="Y1049" s="115"/>
    </row>
    <row r="1050" spans="13:25" x14ac:dyDescent="0.25">
      <c r="M1050" s="4"/>
      <c r="N1050" s="4"/>
      <c r="P1050" s="14">
        <v>390</v>
      </c>
      <c r="Q1050" s="114"/>
      <c r="R1050" s="15"/>
      <c r="S1050" s="15"/>
      <c r="T1050" s="15"/>
      <c r="U1050" s="15"/>
      <c r="V1050" s="15"/>
      <c r="W1050" s="15"/>
      <c r="X1050" s="15"/>
      <c r="Y1050" s="115"/>
    </row>
    <row r="1051" spans="13:25" x14ac:dyDescent="0.25">
      <c r="M1051" s="4"/>
      <c r="N1051" s="4"/>
      <c r="P1051" s="14">
        <v>385</v>
      </c>
      <c r="Q1051" s="114"/>
      <c r="R1051" s="15"/>
      <c r="S1051" s="15"/>
      <c r="T1051" s="15"/>
      <c r="U1051" s="15"/>
      <c r="V1051" s="15"/>
      <c r="W1051" s="15"/>
      <c r="X1051" s="15"/>
      <c r="Y1051" s="115"/>
    </row>
    <row r="1052" spans="13:25" x14ac:dyDescent="0.25">
      <c r="M1052" s="4"/>
      <c r="N1052" s="4"/>
      <c r="P1052" s="14">
        <v>380</v>
      </c>
      <c r="Q1052" s="114"/>
      <c r="R1052" s="15"/>
      <c r="S1052" s="15"/>
      <c r="T1052" s="15"/>
      <c r="U1052" s="15"/>
      <c r="V1052" s="15"/>
      <c r="W1052" s="15"/>
      <c r="X1052" s="15"/>
      <c r="Y1052" s="115"/>
    </row>
    <row r="1053" spans="13:25" x14ac:dyDescent="0.25">
      <c r="M1053" s="4"/>
      <c r="N1053" s="4"/>
      <c r="P1053" s="14">
        <v>375</v>
      </c>
      <c r="Q1053" s="114"/>
      <c r="R1053" s="15"/>
      <c r="S1053" s="15"/>
      <c r="T1053" s="15"/>
      <c r="U1053" s="15"/>
      <c r="V1053" s="15"/>
      <c r="W1053" s="15"/>
      <c r="X1053" s="15"/>
      <c r="Y1053" s="115"/>
    </row>
    <row r="1054" spans="13:25" x14ac:dyDescent="0.25">
      <c r="M1054" s="4"/>
      <c r="N1054" s="4"/>
      <c r="P1054" s="14">
        <v>370</v>
      </c>
      <c r="Q1054" s="114"/>
      <c r="R1054" s="15"/>
      <c r="S1054" s="15"/>
      <c r="T1054" s="15"/>
      <c r="U1054" s="15"/>
      <c r="V1054" s="15"/>
      <c r="W1054" s="15"/>
      <c r="X1054" s="15"/>
      <c r="Y1054" s="115"/>
    </row>
    <row r="1055" spans="13:25" x14ac:dyDescent="0.25">
      <c r="M1055" s="4"/>
      <c r="N1055" s="4"/>
      <c r="P1055" s="14">
        <v>365</v>
      </c>
      <c r="Q1055" s="114"/>
      <c r="R1055" s="15"/>
      <c r="S1055" s="15"/>
      <c r="T1055" s="15"/>
      <c r="U1055" s="15"/>
      <c r="V1055" s="15"/>
      <c r="W1055" s="15"/>
      <c r="X1055" s="15"/>
      <c r="Y1055" s="115"/>
    </row>
    <row r="1056" spans="13:25" x14ac:dyDescent="0.25">
      <c r="M1056" s="4"/>
      <c r="N1056" s="4"/>
      <c r="P1056" s="14">
        <v>360</v>
      </c>
      <c r="Q1056" s="114"/>
      <c r="R1056" s="15"/>
      <c r="S1056" s="15"/>
      <c r="T1056" s="15"/>
      <c r="U1056" s="15"/>
      <c r="V1056" s="15"/>
      <c r="W1056" s="15"/>
      <c r="X1056" s="15"/>
      <c r="Y1056" s="115"/>
    </row>
    <row r="1057" spans="13:25" x14ac:dyDescent="0.25">
      <c r="M1057" s="4"/>
      <c r="N1057" s="4"/>
      <c r="P1057" s="14">
        <v>355</v>
      </c>
      <c r="Q1057" s="114"/>
      <c r="R1057" s="15"/>
      <c r="S1057" s="15"/>
      <c r="T1057" s="15"/>
      <c r="U1057" s="15"/>
      <c r="V1057" s="15"/>
      <c r="W1057" s="15"/>
      <c r="X1057" s="15"/>
      <c r="Y1057" s="115"/>
    </row>
    <row r="1058" spans="13:25" x14ac:dyDescent="0.25">
      <c r="M1058" s="4"/>
      <c r="N1058" s="4"/>
      <c r="P1058" s="14">
        <v>350</v>
      </c>
      <c r="Q1058" s="114"/>
      <c r="R1058" s="15"/>
      <c r="S1058" s="15"/>
      <c r="T1058" s="15"/>
      <c r="U1058" s="15"/>
      <c r="V1058" s="15"/>
      <c r="W1058" s="15"/>
      <c r="X1058" s="15"/>
      <c r="Y1058" s="115"/>
    </row>
    <row r="1059" spans="13:25" x14ac:dyDescent="0.25">
      <c r="M1059" s="4"/>
      <c r="N1059" s="4"/>
      <c r="P1059" s="14">
        <v>345</v>
      </c>
      <c r="Q1059" s="114"/>
      <c r="R1059" s="15"/>
      <c r="S1059" s="15"/>
      <c r="T1059" s="15"/>
      <c r="U1059" s="15"/>
      <c r="V1059" s="15"/>
      <c r="W1059" s="15"/>
      <c r="X1059" s="15"/>
      <c r="Y1059" s="115"/>
    </row>
    <row r="1060" spans="13:25" x14ac:dyDescent="0.25">
      <c r="M1060" s="4"/>
      <c r="N1060" s="4"/>
      <c r="P1060" s="14">
        <v>340</v>
      </c>
      <c r="Q1060" s="114"/>
      <c r="R1060" s="15"/>
      <c r="S1060" s="15"/>
      <c r="T1060" s="15"/>
      <c r="U1060" s="15"/>
      <c r="V1060" s="15"/>
      <c r="W1060" s="15"/>
      <c r="X1060" s="15"/>
      <c r="Y1060" s="115"/>
    </row>
    <row r="1061" spans="13:25" x14ac:dyDescent="0.25">
      <c r="M1061" s="4"/>
      <c r="N1061" s="4"/>
      <c r="P1061" s="14">
        <v>335</v>
      </c>
      <c r="Q1061" s="114"/>
      <c r="R1061" s="15"/>
      <c r="S1061" s="15"/>
      <c r="T1061" s="15"/>
      <c r="U1061" s="15"/>
      <c r="V1061" s="15"/>
      <c r="W1061" s="15"/>
      <c r="X1061" s="15"/>
      <c r="Y1061" s="115"/>
    </row>
    <row r="1062" spans="13:25" x14ac:dyDescent="0.25">
      <c r="M1062" s="4"/>
      <c r="N1062" s="4"/>
      <c r="P1062" s="14">
        <v>330</v>
      </c>
      <c r="Q1062" s="114"/>
      <c r="R1062" s="15"/>
      <c r="S1062" s="15"/>
      <c r="T1062" s="15"/>
      <c r="U1062" s="15"/>
      <c r="V1062" s="15"/>
      <c r="W1062" s="15"/>
      <c r="X1062" s="15"/>
      <c r="Y1062" s="115"/>
    </row>
    <row r="1063" spans="13:25" x14ac:dyDescent="0.25">
      <c r="M1063" s="4"/>
      <c r="N1063" s="4"/>
      <c r="P1063" s="14">
        <v>325</v>
      </c>
      <c r="Q1063" s="114"/>
      <c r="R1063" s="15"/>
      <c r="S1063" s="15"/>
      <c r="T1063" s="15"/>
      <c r="U1063" s="15"/>
      <c r="V1063" s="15"/>
      <c r="W1063" s="15"/>
      <c r="X1063" s="15"/>
      <c r="Y1063" s="115"/>
    </row>
    <row r="1064" spans="13:25" x14ac:dyDescent="0.25">
      <c r="M1064" s="4"/>
      <c r="N1064" s="4"/>
      <c r="P1064" s="14">
        <v>320</v>
      </c>
      <c r="Q1064" s="114"/>
      <c r="R1064" s="15"/>
      <c r="S1064" s="15"/>
      <c r="T1064" s="15"/>
      <c r="U1064" s="15"/>
      <c r="V1064" s="15"/>
      <c r="W1064" s="15"/>
      <c r="X1064" s="15"/>
      <c r="Y1064" s="115"/>
    </row>
    <row r="1065" spans="13:25" x14ac:dyDescent="0.25">
      <c r="M1065" s="4"/>
      <c r="N1065" s="4"/>
      <c r="P1065" s="14">
        <v>315</v>
      </c>
      <c r="Q1065" s="114"/>
      <c r="R1065" s="15"/>
      <c r="S1065" s="15"/>
      <c r="T1065" s="15"/>
      <c r="U1065" s="15"/>
      <c r="V1065" s="15"/>
      <c r="W1065" s="15"/>
      <c r="X1065" s="15"/>
      <c r="Y1065" s="115"/>
    </row>
    <row r="1066" spans="13:25" x14ac:dyDescent="0.25">
      <c r="M1066" s="4"/>
      <c r="N1066" s="4"/>
      <c r="P1066" s="14">
        <v>310</v>
      </c>
      <c r="Q1066" s="114"/>
      <c r="R1066" s="15"/>
      <c r="S1066" s="15"/>
      <c r="T1066" s="15"/>
      <c r="U1066" s="15"/>
      <c r="V1066" s="15"/>
      <c r="W1066" s="15"/>
      <c r="X1066" s="15"/>
      <c r="Y1066" s="115"/>
    </row>
    <row r="1067" spans="13:25" x14ac:dyDescent="0.25">
      <c r="M1067" s="4"/>
      <c r="N1067" s="4"/>
      <c r="P1067" s="14">
        <v>305</v>
      </c>
      <c r="Q1067" s="114"/>
      <c r="R1067" s="15"/>
      <c r="S1067" s="15"/>
      <c r="T1067" s="15"/>
      <c r="U1067" s="15"/>
      <c r="V1067" s="15"/>
      <c r="W1067" s="15"/>
      <c r="X1067" s="15"/>
      <c r="Y1067" s="115"/>
    </row>
    <row r="1068" spans="13:25" x14ac:dyDescent="0.25">
      <c r="M1068" s="4"/>
      <c r="N1068" s="4"/>
      <c r="P1068" s="14">
        <v>300</v>
      </c>
      <c r="Q1068" s="114"/>
      <c r="R1068" s="15"/>
      <c r="S1068" s="15"/>
      <c r="T1068" s="15"/>
      <c r="U1068" s="15"/>
      <c r="V1068" s="15"/>
      <c r="W1068" s="15"/>
      <c r="X1068" s="15"/>
      <c r="Y1068" s="115"/>
    </row>
    <row r="1069" spans="13:25" x14ac:dyDescent="0.25">
      <c r="M1069" s="4"/>
      <c r="N1069" s="4"/>
      <c r="P1069" s="14">
        <v>295</v>
      </c>
      <c r="Q1069" s="114"/>
      <c r="R1069" s="15"/>
      <c r="S1069" s="15"/>
      <c r="T1069" s="15"/>
      <c r="U1069" s="15"/>
      <c r="V1069" s="15"/>
      <c r="W1069" s="15"/>
      <c r="X1069" s="15"/>
      <c r="Y1069" s="115"/>
    </row>
    <row r="1070" spans="13:25" x14ac:dyDescent="0.25">
      <c r="M1070" s="4"/>
      <c r="N1070" s="4"/>
      <c r="P1070" s="14">
        <v>290</v>
      </c>
      <c r="Q1070" s="114"/>
      <c r="R1070" s="15"/>
      <c r="S1070" s="15"/>
      <c r="T1070" s="15"/>
      <c r="U1070" s="15"/>
      <c r="V1070" s="15"/>
      <c r="W1070" s="15"/>
      <c r="X1070" s="15"/>
      <c r="Y1070" s="115"/>
    </row>
    <row r="1071" spans="13:25" x14ac:dyDescent="0.25">
      <c r="M1071" s="4"/>
      <c r="N1071" s="4"/>
      <c r="P1071" s="14">
        <v>285</v>
      </c>
      <c r="Q1071" s="114"/>
      <c r="R1071" s="15"/>
      <c r="S1071" s="15"/>
      <c r="T1071" s="15"/>
      <c r="U1071" s="15"/>
      <c r="V1071" s="15"/>
      <c r="W1071" s="15"/>
      <c r="X1071" s="15"/>
      <c r="Y1071" s="115"/>
    </row>
    <row r="1072" spans="13:25" x14ac:dyDescent="0.25">
      <c r="M1072" s="4"/>
      <c r="N1072" s="4"/>
      <c r="P1072" s="14">
        <v>280</v>
      </c>
      <c r="Q1072" s="114"/>
      <c r="R1072" s="15"/>
      <c r="S1072" s="15"/>
      <c r="T1072" s="15"/>
      <c r="U1072" s="15"/>
      <c r="V1072" s="15"/>
      <c r="W1072" s="15"/>
      <c r="X1072" s="15"/>
      <c r="Y1072" s="115"/>
    </row>
    <row r="1073" spans="13:25" x14ac:dyDescent="0.25">
      <c r="M1073" s="4"/>
      <c r="N1073" s="4"/>
      <c r="P1073" s="14">
        <v>275</v>
      </c>
      <c r="Q1073" s="114"/>
      <c r="R1073" s="15"/>
      <c r="S1073" s="15"/>
      <c r="T1073" s="15"/>
      <c r="U1073" s="15"/>
      <c r="V1073" s="15"/>
      <c r="W1073" s="15"/>
      <c r="X1073" s="15"/>
      <c r="Y1073" s="115"/>
    </row>
    <row r="1074" spans="13:25" x14ac:dyDescent="0.25">
      <c r="M1074" s="4"/>
      <c r="N1074" s="4"/>
      <c r="P1074" s="14">
        <v>270</v>
      </c>
      <c r="Q1074" s="114"/>
      <c r="R1074" s="15"/>
      <c r="S1074" s="15"/>
      <c r="T1074" s="15"/>
      <c r="U1074" s="15"/>
      <c r="V1074" s="15"/>
      <c r="W1074" s="15"/>
      <c r="X1074" s="15"/>
      <c r="Y1074" s="115"/>
    </row>
    <row r="1075" spans="13:25" x14ac:dyDescent="0.25">
      <c r="M1075" s="4"/>
      <c r="N1075" s="4"/>
      <c r="P1075" s="14">
        <v>265</v>
      </c>
      <c r="Q1075" s="114"/>
      <c r="R1075" s="15"/>
      <c r="S1075" s="15"/>
      <c r="T1075" s="15"/>
      <c r="U1075" s="15"/>
      <c r="V1075" s="15"/>
      <c r="W1075" s="15"/>
      <c r="X1075" s="15"/>
      <c r="Y1075" s="115"/>
    </row>
    <row r="1076" spans="13:25" x14ac:dyDescent="0.25">
      <c r="M1076" s="4"/>
      <c r="N1076" s="4"/>
      <c r="P1076" s="14">
        <v>260</v>
      </c>
      <c r="Q1076" s="114"/>
      <c r="R1076" s="15"/>
      <c r="S1076" s="15"/>
      <c r="T1076" s="15"/>
      <c r="U1076" s="15"/>
      <c r="V1076" s="15"/>
      <c r="W1076" s="15"/>
      <c r="X1076" s="15"/>
      <c r="Y1076" s="115"/>
    </row>
    <row r="1077" spans="13:25" x14ac:dyDescent="0.25">
      <c r="M1077" s="4"/>
      <c r="N1077" s="4"/>
      <c r="P1077" s="14">
        <v>255</v>
      </c>
      <c r="Q1077" s="114"/>
      <c r="R1077" s="15"/>
      <c r="S1077" s="15"/>
      <c r="T1077" s="15"/>
      <c r="U1077" s="15"/>
      <c r="V1077" s="15"/>
      <c r="W1077" s="15"/>
      <c r="X1077" s="15"/>
      <c r="Y1077" s="115"/>
    </row>
    <row r="1078" spans="13:25" ht="13" thickBot="1" x14ac:dyDescent="0.3">
      <c r="M1078" s="6"/>
      <c r="N1078" s="6"/>
      <c r="P1078" s="116">
        <v>250</v>
      </c>
      <c r="Q1078" s="117"/>
      <c r="R1078" s="118"/>
      <c r="S1078" s="118"/>
      <c r="T1078" s="118"/>
      <c r="U1078" s="118"/>
      <c r="V1078" s="118"/>
      <c r="W1078" s="118"/>
      <c r="X1078" s="118"/>
      <c r="Y1078" s="119"/>
    </row>
  </sheetData>
  <conditionalFormatting sqref="D52">
    <cfRule type="cellIs" dxfId="2" priority="1" stopIfTrue="1" operator="notEqual">
      <formula>$C$52</formula>
    </cfRule>
  </conditionalFormatting>
  <conditionalFormatting sqref="D28:D30 D34:D36">
    <cfRule type="cellIs" dxfId="1" priority="2" stopIfTrue="1" operator="greaterThan">
      <formula>0.01</formula>
    </cfRule>
  </conditionalFormatting>
  <conditionalFormatting sqref="C28:C30 E74:G74">
    <cfRule type="cellIs" dxfId="0" priority="3" stopIfTrue="1" operator="lessThan">
      <formula>0.01</formula>
    </cfRule>
  </conditionalFormatting>
  <dataValidations disablePrompts="1" count="1">
    <dataValidation type="list" errorStyle="warning" showErrorMessage="1" errorTitle="Referenzspektrum " error="Referenzspektrum ungültig" sqref="C52 C23" xr:uid="{598E37D2-111C-4962-BD57-916DE310B23C}">
      <formula1>$O$52:$O$58</formula1>
    </dataValidation>
  </dataValidations>
  <pageMargins left="0.75" right="0.75" top="1" bottom="1" header="0.4921259845" footer="0.4921259845"/>
  <pageSetup paperSize="9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26</vt:i4>
      </vt:variant>
    </vt:vector>
  </HeadingPairs>
  <TitlesOfParts>
    <vt:vector size="27" baseType="lpstr">
      <vt:lpstr>trans5_PV_5nm</vt:lpstr>
      <vt:lpstr>trans5_PV_5nm!Form1</vt:lpstr>
      <vt:lpstr>trans5_PV_5nm!Form2</vt:lpstr>
      <vt:lpstr>trans5_PV_5nm!Mes1</vt:lpstr>
      <vt:lpstr>trans5_PV_5nm!Mes2</vt:lpstr>
      <vt:lpstr>trans5_PV_5nm!Mes3</vt:lpstr>
      <vt:lpstr>trans5_PV_5nm!Mes4</vt:lpstr>
      <vt:lpstr>trans5_PV_5nm!Mes5</vt:lpstr>
      <vt:lpstr>trans5_PV_5nm!MesB1</vt:lpstr>
      <vt:lpstr>trans5_PV_5nm!MesB2</vt:lpstr>
      <vt:lpstr>trans5_PV_5nm!Mesn1</vt:lpstr>
      <vt:lpstr>trans5_PV_5nm!Mesn2</vt:lpstr>
      <vt:lpstr>trans5_PV_5nm!Mesna1</vt:lpstr>
      <vt:lpstr>trans5_PV_5nm!Mesna2</vt:lpstr>
      <vt:lpstr>trans5_PV_5nm!Mesna3</vt:lpstr>
      <vt:lpstr>trans5_PV_5nm!Mesna4</vt:lpstr>
      <vt:lpstr>trans5_PV_5nm!Mesna5</vt:lpstr>
      <vt:lpstr>trans5_PV_5nm!MesnaB1</vt:lpstr>
      <vt:lpstr>trans5_PV_5nm!MesnaB2</vt:lpstr>
      <vt:lpstr>trans5_PV_5nm!RefListeStart</vt:lpstr>
      <vt:lpstr>trans5_PV_5nm!refname</vt:lpstr>
      <vt:lpstr>trans5_PV_5nm!RefSpec</vt:lpstr>
      <vt:lpstr>trans5_PV_5nm!Sol_E891</vt:lpstr>
      <vt:lpstr>trans5_PV_5nm!Sol_G173b</vt:lpstr>
      <vt:lpstr>trans5_PV_5nm!Sol_G173g</vt:lpstr>
      <vt:lpstr>trans5_PV_5nm!Sol_I9050</vt:lpstr>
      <vt:lpstr>trans5_PV_5nm!SpecAverage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Campos Guzman, Laura</dc:creator>
  <cp:lastModifiedBy>Campos Guzman, Laura</cp:lastModifiedBy>
  <dcterms:created xsi:type="dcterms:W3CDTF">2025-05-27T13:16:22Z</dcterms:created>
  <dcterms:modified xsi:type="dcterms:W3CDTF">2026-02-19T10:46:08Z</dcterms:modified>
</cp:coreProperties>
</file>