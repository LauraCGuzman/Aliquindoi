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drawings/drawing3.xml" ContentType="application/vnd.openxmlformats-officedocument.drawingml.chartshape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mp_la\PycharmProjects\OPAC\user_templates\plantillas\"/>
    </mc:Choice>
  </mc:AlternateContent>
  <xr:revisionPtr revIDLastSave="0" documentId="13_ncr:1_{CFC20AE2-FE51-45CB-B8AA-83A4518C05F7}" xr6:coauthVersionLast="47" xr6:coauthVersionMax="47" xr10:uidLastSave="{00000000-0000-0000-0000-000000000000}"/>
  <bookViews>
    <workbookView xWindow="-110" yWindow="-110" windowWidth="25820" windowHeight="13900" activeTab="1" xr2:uid="{B1C84C85-3A86-4CF5-BC29-D2F38E843C56}"/>
  </bookViews>
  <sheets>
    <sheet name="data" sheetId="2" r:id="rId1"/>
    <sheet name="refl5" sheetId="1" r:id="rId2"/>
  </sheets>
  <definedNames>
    <definedName name="__Mes1">#REF!</definedName>
    <definedName name="__Mes2">#REF!</definedName>
    <definedName name="__Mes3">#REF!</definedName>
    <definedName name="__Mes4">#REF!</definedName>
    <definedName name="__Mes5">#REF!</definedName>
    <definedName name="_Mes1" localSheetId="1">refl5!$Q$538</definedName>
    <definedName name="_Mes2" localSheetId="1">refl5!$R$538</definedName>
    <definedName name="_Mes3" localSheetId="1">refl5!$S$538</definedName>
    <definedName name="_Mes4" localSheetId="1">refl5!$T$538</definedName>
    <definedName name="_Mes5" localSheetId="1">refl5!$Y$540</definedName>
    <definedName name="Form1" localSheetId="1">refl5!$B$1:$C$47</definedName>
    <definedName name="Form1">#REF!</definedName>
    <definedName name="Form2" localSheetId="1">refl5!$J$1:$P$50</definedName>
    <definedName name="Form2">#REF!</definedName>
    <definedName name="MesB1" localSheetId="1">refl5!$M$538</definedName>
    <definedName name="MesB1">#REF!</definedName>
    <definedName name="MesB2" localSheetId="1">refl5!$N$538</definedName>
    <definedName name="MesB2">#REF!</definedName>
    <definedName name="Mesn1" localSheetId="1">refl5!$C$59</definedName>
    <definedName name="Mesn1">#REF!</definedName>
    <definedName name="Mesn2" localSheetId="1">refl5!$C$60</definedName>
    <definedName name="Mesn2">#REF!</definedName>
    <definedName name="Mesn3" localSheetId="1">refl5!$C$61</definedName>
    <definedName name="Mesn3">#REF!</definedName>
    <definedName name="Mesn4" localSheetId="1">refl5!$C$66</definedName>
    <definedName name="Mesn4">#REF!</definedName>
    <definedName name="Mesn5" localSheetId="1">refl5!$C$67</definedName>
    <definedName name="Mesn5">#REF!</definedName>
    <definedName name="Mesna1" localSheetId="1">refl5!$Q$539</definedName>
    <definedName name="Mesna1">#REF!</definedName>
    <definedName name="Mesna2" localSheetId="1">refl5!$R$539</definedName>
    <definedName name="Mesna2">#REF!</definedName>
    <definedName name="Mesna3" localSheetId="1">refl5!$S$539</definedName>
    <definedName name="Mesna3">#REF!</definedName>
    <definedName name="Mesna4" localSheetId="1">refl5!$T$539</definedName>
    <definedName name="Mesna4">#REF!</definedName>
    <definedName name="Mesna5" localSheetId="1">refl5!$Y$541</definedName>
    <definedName name="Mesna5">#REF!</definedName>
    <definedName name="MesnaB1" localSheetId="1">refl5!$M$539</definedName>
    <definedName name="MesnaB1">#REF!</definedName>
    <definedName name="MesnaB2" localSheetId="1">refl5!$N$539</definedName>
    <definedName name="MesnaB2">#REF!</definedName>
    <definedName name="RefListeStart" localSheetId="1">refl5!$AR$75:$AY$75</definedName>
    <definedName name="RefListeStart">#REF!</definedName>
    <definedName name="refname" localSheetId="1">refl5!$C$52</definedName>
    <definedName name="refname">#REF!</definedName>
    <definedName name="RefSpec" localSheetId="1">refl5!$O$75</definedName>
    <definedName name="RefSpec">#REF!</definedName>
    <definedName name="Sol_E891" localSheetId="1">refl5!$AM$79:$AM$518</definedName>
    <definedName name="Sol_E891">#REF!</definedName>
    <definedName name="Sol_G173b" localSheetId="1">refl5!$AP$79:$AP$523</definedName>
    <definedName name="Sol_G173b">#REF!</definedName>
    <definedName name="Sol_G173g" localSheetId="1">refl5!$AO$79:$AO$523</definedName>
    <definedName name="Sol_G173g">#REF!</definedName>
    <definedName name="Sol_I9050" localSheetId="1">refl5!$AN$79:$AN$518</definedName>
    <definedName name="Sol_I9050">#REF!</definedName>
    <definedName name="SpecAverage" localSheetId="1">refl5!$AI$78:$AI$529</definedName>
    <definedName name="SpecAvera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5" i="1" l="1"/>
  <c r="AJ79" i="1"/>
  <c r="AJ71" i="1"/>
  <c r="AI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79" i="1"/>
  <c r="AB79" i="1"/>
  <c r="AC79" i="1"/>
  <c r="AD79" i="1"/>
  <c r="AE79" i="1"/>
  <c r="AF79" i="1"/>
  <c r="AG79" i="1"/>
  <c r="AH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79" i="1"/>
  <c r="D65" i="1"/>
  <c r="D64" i="1"/>
  <c r="D63" i="1"/>
  <c r="X80" i="1" a="1"/>
  <c r="X80" i="1"/>
  <c r="X81" i="1" a="1"/>
  <c r="X81" i="1"/>
  <c r="X82" i="1" a="1"/>
  <c r="X82" i="1"/>
  <c r="X83" i="1" a="1"/>
  <c r="X83" i="1"/>
  <c r="X84" i="1" a="1"/>
  <c r="X84" i="1"/>
  <c r="X85" i="1" a="1"/>
  <c r="X85" i="1"/>
  <c r="X86" i="1" a="1"/>
  <c r="X86" i="1"/>
  <c r="X87" i="1" a="1"/>
  <c r="X87" i="1"/>
  <c r="X88" i="1" a="1"/>
  <c r="X88" i="1"/>
  <c r="X89" i="1" a="1"/>
  <c r="X89" i="1"/>
  <c r="X90" i="1" a="1"/>
  <c r="X90" i="1"/>
  <c r="X91" i="1" a="1"/>
  <c r="X91" i="1"/>
  <c r="X92" i="1" a="1"/>
  <c r="X92" i="1"/>
  <c r="X93" i="1" a="1"/>
  <c r="X93" i="1"/>
  <c r="X94" i="1" a="1"/>
  <c r="X94" i="1"/>
  <c r="X95" i="1" a="1"/>
  <c r="X95" i="1"/>
  <c r="X96" i="1" a="1"/>
  <c r="X96" i="1"/>
  <c r="X97" i="1" a="1"/>
  <c r="X97" i="1"/>
  <c r="X98" i="1" a="1"/>
  <c r="X98" i="1"/>
  <c r="X99" i="1" a="1"/>
  <c r="X99" i="1"/>
  <c r="X100" i="1" a="1"/>
  <c r="X100" i="1"/>
  <c r="X101" i="1" a="1"/>
  <c r="X101" i="1"/>
  <c r="X102" i="1" a="1"/>
  <c r="X102" i="1"/>
  <c r="X103" i="1" a="1"/>
  <c r="X103" i="1"/>
  <c r="X104" i="1" a="1"/>
  <c r="X104" i="1"/>
  <c r="X105" i="1" a="1"/>
  <c r="X105" i="1"/>
  <c r="X106" i="1" a="1"/>
  <c r="X106" i="1"/>
  <c r="X107" i="1" a="1"/>
  <c r="X107" i="1"/>
  <c r="X108" i="1" a="1"/>
  <c r="X108" i="1"/>
  <c r="X109" i="1" a="1"/>
  <c r="X109" i="1"/>
  <c r="X110" i="1" a="1"/>
  <c r="X110" i="1"/>
  <c r="X111" i="1" a="1"/>
  <c r="X111" i="1"/>
  <c r="X112" i="1" a="1"/>
  <c r="X112" i="1"/>
  <c r="X113" i="1" a="1"/>
  <c r="X113" i="1"/>
  <c r="X114" i="1" a="1"/>
  <c r="X114" i="1"/>
  <c r="X115" i="1" a="1"/>
  <c r="X115" i="1"/>
  <c r="X116" i="1" a="1"/>
  <c r="X116" i="1"/>
  <c r="X117" i="1" a="1"/>
  <c r="X117" i="1"/>
  <c r="X118" i="1" a="1"/>
  <c r="X118" i="1"/>
  <c r="X119" i="1" a="1"/>
  <c r="X119" i="1"/>
  <c r="X120" i="1" a="1"/>
  <c r="X120" i="1"/>
  <c r="X121" i="1" a="1"/>
  <c r="X121" i="1"/>
  <c r="X122" i="1" a="1"/>
  <c r="X122" i="1"/>
  <c r="X123" i="1" a="1"/>
  <c r="X123" i="1"/>
  <c r="X124" i="1" a="1"/>
  <c r="X124" i="1"/>
  <c r="X125" i="1" a="1"/>
  <c r="X125" i="1"/>
  <c r="X126" i="1" a="1"/>
  <c r="X126" i="1"/>
  <c r="X127" i="1" a="1"/>
  <c r="X127" i="1"/>
  <c r="X128" i="1" a="1"/>
  <c r="X128" i="1"/>
  <c r="X129" i="1" a="1"/>
  <c r="X129" i="1"/>
  <c r="X130" i="1" a="1"/>
  <c r="X130" i="1"/>
  <c r="X131" i="1" a="1"/>
  <c r="X131" i="1"/>
  <c r="X132" i="1" a="1"/>
  <c r="X132" i="1"/>
  <c r="X133" i="1" a="1"/>
  <c r="X133" i="1"/>
  <c r="X134" i="1" a="1"/>
  <c r="X134" i="1"/>
  <c r="X135" i="1" a="1"/>
  <c r="X135" i="1"/>
  <c r="X136" i="1" a="1"/>
  <c r="X136" i="1"/>
  <c r="X137" i="1" a="1"/>
  <c r="X137" i="1"/>
  <c r="X138" i="1" a="1"/>
  <c r="X138" i="1"/>
  <c r="X139" i="1" a="1"/>
  <c r="X139" i="1"/>
  <c r="X140" i="1" a="1"/>
  <c r="X140" i="1"/>
  <c r="X141" i="1" a="1"/>
  <c r="X141" i="1"/>
  <c r="X142" i="1" a="1"/>
  <c r="X142" i="1"/>
  <c r="X143" i="1" a="1"/>
  <c r="X143" i="1"/>
  <c r="X144" i="1" a="1"/>
  <c r="X144" i="1"/>
  <c r="X145" i="1" a="1"/>
  <c r="X145" i="1"/>
  <c r="X146" i="1" a="1"/>
  <c r="X146" i="1"/>
  <c r="X147" i="1" a="1"/>
  <c r="X147" i="1"/>
  <c r="X148" i="1" a="1"/>
  <c r="X148" i="1"/>
  <c r="X149" i="1" a="1"/>
  <c r="X149" i="1"/>
  <c r="X150" i="1" a="1"/>
  <c r="X150" i="1"/>
  <c r="X151" i="1" a="1"/>
  <c r="X151" i="1"/>
  <c r="X152" i="1" a="1"/>
  <c r="X152" i="1"/>
  <c r="X153" i="1" a="1"/>
  <c r="X153" i="1"/>
  <c r="X154" i="1" a="1"/>
  <c r="X154" i="1"/>
  <c r="X155" i="1" a="1"/>
  <c r="X155" i="1"/>
  <c r="X156" i="1" a="1"/>
  <c r="X156" i="1"/>
  <c r="X157" i="1" a="1"/>
  <c r="X157" i="1"/>
  <c r="X158" i="1" a="1"/>
  <c r="X158" i="1"/>
  <c r="X159" i="1" a="1"/>
  <c r="X159" i="1"/>
  <c r="X160" i="1" a="1"/>
  <c r="X160" i="1"/>
  <c r="X161" i="1" a="1"/>
  <c r="X161" i="1"/>
  <c r="X162" i="1" a="1"/>
  <c r="X162" i="1"/>
  <c r="X163" i="1" a="1"/>
  <c r="X163" i="1"/>
  <c r="X164" i="1" a="1"/>
  <c r="X164" i="1"/>
  <c r="X165" i="1" a="1"/>
  <c r="X165" i="1"/>
  <c r="X166" i="1" a="1"/>
  <c r="X166" i="1"/>
  <c r="X167" i="1" a="1"/>
  <c r="X167" i="1"/>
  <c r="X168" i="1" a="1"/>
  <c r="X168" i="1"/>
  <c r="X169" i="1" a="1"/>
  <c r="X169" i="1"/>
  <c r="X170" i="1" a="1"/>
  <c r="X170" i="1"/>
  <c r="X171" i="1" a="1"/>
  <c r="X171" i="1"/>
  <c r="X172" i="1" a="1"/>
  <c r="X172" i="1"/>
  <c r="X173" i="1" a="1"/>
  <c r="X173" i="1"/>
  <c r="X174" i="1" a="1"/>
  <c r="X174" i="1"/>
  <c r="X175" i="1" a="1"/>
  <c r="X175" i="1"/>
  <c r="X176" i="1" a="1"/>
  <c r="X176" i="1"/>
  <c r="X177" i="1" a="1"/>
  <c r="X177" i="1"/>
  <c r="X178" i="1" a="1"/>
  <c r="X178" i="1"/>
  <c r="X179" i="1" a="1"/>
  <c r="X179" i="1"/>
  <c r="X180" i="1" a="1"/>
  <c r="X180" i="1"/>
  <c r="X181" i="1" a="1"/>
  <c r="X181" i="1"/>
  <c r="X182" i="1" a="1"/>
  <c r="X182" i="1"/>
  <c r="X183" i="1" a="1"/>
  <c r="X183" i="1"/>
  <c r="X184" i="1" a="1"/>
  <c r="X184" i="1"/>
  <c r="X185" i="1" a="1"/>
  <c r="X185" i="1"/>
  <c r="X186" i="1" a="1"/>
  <c r="X186" i="1"/>
  <c r="X187" i="1" a="1"/>
  <c r="X187" i="1"/>
  <c r="X188" i="1" a="1"/>
  <c r="X188" i="1"/>
  <c r="X189" i="1" a="1"/>
  <c r="X189" i="1"/>
  <c r="X190" i="1" a="1"/>
  <c r="X190" i="1"/>
  <c r="X191" i="1" a="1"/>
  <c r="X191" i="1"/>
  <c r="X192" i="1" a="1"/>
  <c r="X192" i="1"/>
  <c r="X193" i="1" a="1"/>
  <c r="X193" i="1"/>
  <c r="X194" i="1" a="1"/>
  <c r="X194" i="1"/>
  <c r="X195" i="1" a="1"/>
  <c r="X195" i="1"/>
  <c r="X196" i="1" a="1"/>
  <c r="X196" i="1"/>
  <c r="X197" i="1" a="1"/>
  <c r="X197" i="1"/>
  <c r="X198" i="1" a="1"/>
  <c r="X198" i="1"/>
  <c r="X199" i="1" a="1"/>
  <c r="X199" i="1"/>
  <c r="X200" i="1" a="1"/>
  <c r="X200" i="1"/>
  <c r="X201" i="1" a="1"/>
  <c r="X201" i="1"/>
  <c r="X202" i="1" a="1"/>
  <c r="X202" i="1"/>
  <c r="X203" i="1" a="1"/>
  <c r="X203" i="1"/>
  <c r="X204" i="1" a="1"/>
  <c r="X204" i="1"/>
  <c r="X205" i="1" a="1"/>
  <c r="X205" i="1"/>
  <c r="X206" i="1" a="1"/>
  <c r="X206" i="1"/>
  <c r="X207" i="1" a="1"/>
  <c r="X207" i="1"/>
  <c r="X208" i="1" a="1"/>
  <c r="X208" i="1"/>
  <c r="X209" i="1" a="1"/>
  <c r="X209" i="1"/>
  <c r="X210" i="1" a="1"/>
  <c r="X210" i="1"/>
  <c r="X211" i="1" a="1"/>
  <c r="X211" i="1"/>
  <c r="X212" i="1" a="1"/>
  <c r="X212" i="1"/>
  <c r="X213" i="1" a="1"/>
  <c r="X213" i="1"/>
  <c r="X214" i="1" a="1"/>
  <c r="X214" i="1"/>
  <c r="X215" i="1" a="1"/>
  <c r="X215" i="1"/>
  <c r="X216" i="1" a="1"/>
  <c r="X216" i="1"/>
  <c r="X217" i="1" a="1"/>
  <c r="X217" i="1"/>
  <c r="X218" i="1" a="1"/>
  <c r="X218" i="1"/>
  <c r="X219" i="1" a="1"/>
  <c r="X219" i="1"/>
  <c r="X220" i="1" a="1"/>
  <c r="X220" i="1"/>
  <c r="X221" i="1" a="1"/>
  <c r="X221" i="1"/>
  <c r="X222" i="1" a="1"/>
  <c r="X222" i="1"/>
  <c r="X223" i="1" a="1"/>
  <c r="X223" i="1"/>
  <c r="X224" i="1" a="1"/>
  <c r="X224" i="1"/>
  <c r="X225" i="1" a="1"/>
  <c r="X225" i="1"/>
  <c r="X226" i="1" a="1"/>
  <c r="X226" i="1"/>
  <c r="X227" i="1" a="1"/>
  <c r="X227" i="1"/>
  <c r="X228" i="1" a="1"/>
  <c r="X228" i="1"/>
  <c r="X229" i="1" a="1"/>
  <c r="X229" i="1"/>
  <c r="X230" i="1" a="1"/>
  <c r="X230" i="1"/>
  <c r="X231" i="1" a="1"/>
  <c r="X231" i="1"/>
  <c r="X232" i="1" a="1"/>
  <c r="X232" i="1"/>
  <c r="X233" i="1" a="1"/>
  <c r="X233" i="1"/>
  <c r="X234" i="1" a="1"/>
  <c r="X234" i="1"/>
  <c r="X235" i="1" a="1"/>
  <c r="X235" i="1"/>
  <c r="X236" i="1" a="1"/>
  <c r="X236" i="1"/>
  <c r="X237" i="1" a="1"/>
  <c r="X237" i="1"/>
  <c r="X238" i="1" a="1"/>
  <c r="X238" i="1"/>
  <c r="X239" i="1" a="1"/>
  <c r="X239" i="1"/>
  <c r="X240" i="1" a="1"/>
  <c r="X240" i="1"/>
  <c r="X241" i="1" a="1"/>
  <c r="X241" i="1"/>
  <c r="X242" i="1" a="1"/>
  <c r="X242" i="1"/>
  <c r="X243" i="1" a="1"/>
  <c r="X243" i="1"/>
  <c r="X244" i="1" a="1"/>
  <c r="X244" i="1"/>
  <c r="X245" i="1" a="1"/>
  <c r="X245" i="1"/>
  <c r="X246" i="1" a="1"/>
  <c r="X246" i="1"/>
  <c r="X247" i="1" a="1"/>
  <c r="X247" i="1"/>
  <c r="X248" i="1" a="1"/>
  <c r="X248" i="1"/>
  <c r="X249" i="1" a="1"/>
  <c r="X249" i="1"/>
  <c r="X250" i="1" a="1"/>
  <c r="X250" i="1"/>
  <c r="X251" i="1" a="1"/>
  <c r="X251" i="1"/>
  <c r="X252" i="1" a="1"/>
  <c r="X252" i="1"/>
  <c r="X253" i="1" a="1"/>
  <c r="X253" i="1"/>
  <c r="X254" i="1" a="1"/>
  <c r="X254" i="1"/>
  <c r="X255" i="1" a="1"/>
  <c r="X255" i="1"/>
  <c r="X256" i="1" a="1"/>
  <c r="X256" i="1"/>
  <c r="X257" i="1" a="1"/>
  <c r="X257" i="1"/>
  <c r="X258" i="1" a="1"/>
  <c r="X258" i="1"/>
  <c r="X259" i="1" a="1"/>
  <c r="X259" i="1"/>
  <c r="X260" i="1" a="1"/>
  <c r="X260" i="1"/>
  <c r="X261" i="1" a="1"/>
  <c r="X261" i="1"/>
  <c r="X262" i="1" a="1"/>
  <c r="X262" i="1"/>
  <c r="X263" i="1" a="1"/>
  <c r="X263" i="1"/>
  <c r="X264" i="1" a="1"/>
  <c r="X264" i="1"/>
  <c r="X265" i="1" a="1"/>
  <c r="X265" i="1"/>
  <c r="X266" i="1" a="1"/>
  <c r="X266" i="1"/>
  <c r="X267" i="1" a="1"/>
  <c r="X267" i="1"/>
  <c r="X268" i="1" a="1"/>
  <c r="X268" i="1"/>
  <c r="X269" i="1" a="1"/>
  <c r="X269" i="1"/>
  <c r="X270" i="1" a="1"/>
  <c r="X270" i="1"/>
  <c r="X271" i="1" a="1"/>
  <c r="X271" i="1"/>
  <c r="X272" i="1" a="1"/>
  <c r="X272" i="1"/>
  <c r="X273" i="1" a="1"/>
  <c r="X273" i="1"/>
  <c r="X274" i="1" a="1"/>
  <c r="X274" i="1"/>
  <c r="X275" i="1" a="1"/>
  <c r="X275" i="1"/>
  <c r="X276" i="1" a="1"/>
  <c r="X276" i="1"/>
  <c r="X277" i="1" a="1"/>
  <c r="X277" i="1"/>
  <c r="X278" i="1" a="1"/>
  <c r="X278" i="1"/>
  <c r="X279" i="1" a="1"/>
  <c r="X279" i="1"/>
  <c r="X280" i="1" a="1"/>
  <c r="X280" i="1"/>
  <c r="X281" i="1" a="1"/>
  <c r="X281" i="1"/>
  <c r="X282" i="1" a="1"/>
  <c r="X282" i="1"/>
  <c r="X283" i="1" a="1"/>
  <c r="X283" i="1"/>
  <c r="X284" i="1" a="1"/>
  <c r="X284" i="1"/>
  <c r="X285" i="1" a="1"/>
  <c r="X285" i="1"/>
  <c r="X286" i="1" a="1"/>
  <c r="X286" i="1"/>
  <c r="X287" i="1" a="1"/>
  <c r="X287" i="1"/>
  <c r="X288" i="1" a="1"/>
  <c r="X288" i="1"/>
  <c r="X289" i="1" a="1"/>
  <c r="X289" i="1"/>
  <c r="X290" i="1" a="1"/>
  <c r="X290" i="1"/>
  <c r="X291" i="1" a="1"/>
  <c r="X291" i="1"/>
  <c r="X292" i="1" a="1"/>
  <c r="X292" i="1"/>
  <c r="X293" i="1" a="1"/>
  <c r="X293" i="1"/>
  <c r="X294" i="1" a="1"/>
  <c r="X294" i="1"/>
  <c r="X295" i="1" a="1"/>
  <c r="X295" i="1"/>
  <c r="X296" i="1" a="1"/>
  <c r="X296" i="1"/>
  <c r="X297" i="1" a="1"/>
  <c r="X297" i="1"/>
  <c r="X298" i="1" a="1"/>
  <c r="X298" i="1"/>
  <c r="X299" i="1" a="1"/>
  <c r="X299" i="1"/>
  <c r="X300" i="1" a="1"/>
  <c r="X300" i="1"/>
  <c r="X301" i="1" a="1"/>
  <c r="X301" i="1"/>
  <c r="X302" i="1" a="1"/>
  <c r="X302" i="1"/>
  <c r="X303" i="1" a="1"/>
  <c r="X303" i="1"/>
  <c r="X304" i="1" a="1"/>
  <c r="X304" i="1"/>
  <c r="X305" i="1" a="1"/>
  <c r="X305" i="1"/>
  <c r="X306" i="1" a="1"/>
  <c r="X306" i="1"/>
  <c r="X307" i="1" a="1"/>
  <c r="X307" i="1"/>
  <c r="X308" i="1" a="1"/>
  <c r="X308" i="1"/>
  <c r="X309" i="1" a="1"/>
  <c r="X309" i="1"/>
  <c r="X310" i="1" a="1"/>
  <c r="X310" i="1"/>
  <c r="X311" i="1" a="1"/>
  <c r="X311" i="1"/>
  <c r="X312" i="1" a="1"/>
  <c r="X312" i="1"/>
  <c r="X313" i="1" a="1"/>
  <c r="X313" i="1"/>
  <c r="X314" i="1" a="1"/>
  <c r="X314" i="1"/>
  <c r="X315" i="1" a="1"/>
  <c r="X315" i="1"/>
  <c r="D66" i="1"/>
  <c r="X316" i="1" a="1"/>
  <c r="X316" i="1"/>
  <c r="X317" i="1" a="1"/>
  <c r="X317" i="1"/>
  <c r="X318" i="1" a="1"/>
  <c r="X318" i="1"/>
  <c r="X319" i="1" a="1"/>
  <c r="X319" i="1"/>
  <c r="X320" i="1" a="1"/>
  <c r="X320" i="1"/>
  <c r="X321" i="1" a="1"/>
  <c r="X321" i="1"/>
  <c r="X322" i="1" a="1"/>
  <c r="X322" i="1"/>
  <c r="X323" i="1" a="1"/>
  <c r="X323" i="1"/>
  <c r="X324" i="1" a="1"/>
  <c r="X324" i="1"/>
  <c r="X325" i="1" a="1"/>
  <c r="X325" i="1"/>
  <c r="X326" i="1" a="1"/>
  <c r="X326" i="1"/>
  <c r="X327" i="1" a="1"/>
  <c r="X327" i="1"/>
  <c r="X328" i="1" a="1"/>
  <c r="X328" i="1"/>
  <c r="X329" i="1" a="1"/>
  <c r="X329" i="1"/>
  <c r="X330" i="1" a="1"/>
  <c r="X330" i="1"/>
  <c r="X331" i="1" a="1"/>
  <c r="X331" i="1"/>
  <c r="X332" i="1" a="1"/>
  <c r="X332" i="1"/>
  <c r="X333" i="1" a="1"/>
  <c r="X333" i="1"/>
  <c r="X334" i="1" a="1"/>
  <c r="X334" i="1"/>
  <c r="X335" i="1" a="1"/>
  <c r="X335" i="1"/>
  <c r="X336" i="1" a="1"/>
  <c r="X336" i="1"/>
  <c r="X337" i="1" a="1"/>
  <c r="X337" i="1"/>
  <c r="X338" i="1" a="1"/>
  <c r="X338" i="1"/>
  <c r="X339" i="1" a="1"/>
  <c r="X339" i="1"/>
  <c r="X340" i="1" a="1"/>
  <c r="X340" i="1"/>
  <c r="X341" i="1" a="1"/>
  <c r="X341" i="1"/>
  <c r="X342" i="1" a="1"/>
  <c r="X342" i="1"/>
  <c r="X343" i="1" a="1"/>
  <c r="X343" i="1"/>
  <c r="X344" i="1" a="1"/>
  <c r="X344" i="1"/>
  <c r="X345" i="1" a="1"/>
  <c r="X345" i="1"/>
  <c r="X346" i="1" a="1"/>
  <c r="X346" i="1"/>
  <c r="X347" i="1" a="1"/>
  <c r="X347" i="1"/>
  <c r="X348" i="1" a="1"/>
  <c r="X348" i="1"/>
  <c r="X349" i="1" a="1"/>
  <c r="X349" i="1"/>
  <c r="X350" i="1" a="1"/>
  <c r="X350" i="1"/>
  <c r="X351" i="1" a="1"/>
  <c r="X351" i="1"/>
  <c r="X352" i="1" a="1"/>
  <c r="X352" i="1"/>
  <c r="X353" i="1" a="1"/>
  <c r="X353" i="1"/>
  <c r="X354" i="1" a="1"/>
  <c r="X354" i="1"/>
  <c r="X355" i="1" a="1"/>
  <c r="X355" i="1"/>
  <c r="X356" i="1" a="1"/>
  <c r="X356" i="1"/>
  <c r="X357" i="1" a="1"/>
  <c r="X357" i="1"/>
  <c r="X358" i="1" a="1"/>
  <c r="X358" i="1"/>
  <c r="X359" i="1" a="1"/>
  <c r="X359" i="1"/>
  <c r="X360" i="1" a="1"/>
  <c r="X360" i="1"/>
  <c r="X361" i="1" a="1"/>
  <c r="X361" i="1"/>
  <c r="X362" i="1" a="1"/>
  <c r="X362" i="1"/>
  <c r="X363" i="1" a="1"/>
  <c r="X363" i="1"/>
  <c r="X364" i="1" a="1"/>
  <c r="X364" i="1"/>
  <c r="X365" i="1" a="1"/>
  <c r="X365" i="1"/>
  <c r="X366" i="1" a="1"/>
  <c r="X366" i="1"/>
  <c r="X367" i="1" a="1"/>
  <c r="X367" i="1"/>
  <c r="X368" i="1" a="1"/>
  <c r="X368" i="1"/>
  <c r="X369" i="1" a="1"/>
  <c r="X369" i="1"/>
  <c r="X370" i="1" a="1"/>
  <c r="X370" i="1"/>
  <c r="X371" i="1" a="1"/>
  <c r="X371" i="1"/>
  <c r="X372" i="1" a="1"/>
  <c r="X372" i="1"/>
  <c r="X373" i="1" a="1"/>
  <c r="X373" i="1"/>
  <c r="X374" i="1" a="1"/>
  <c r="X374" i="1"/>
  <c r="X375" i="1" a="1"/>
  <c r="X375" i="1"/>
  <c r="X376" i="1" a="1"/>
  <c r="X376" i="1"/>
  <c r="X377" i="1" a="1"/>
  <c r="X377" i="1"/>
  <c r="X378" i="1" a="1"/>
  <c r="X378" i="1"/>
  <c r="X379" i="1" a="1"/>
  <c r="X379" i="1"/>
  <c r="X380" i="1" a="1"/>
  <c r="X380" i="1"/>
  <c r="X381" i="1" a="1"/>
  <c r="X381" i="1"/>
  <c r="X382" i="1" a="1"/>
  <c r="X382" i="1"/>
  <c r="X383" i="1" a="1"/>
  <c r="X383" i="1"/>
  <c r="X384" i="1" a="1"/>
  <c r="X384" i="1"/>
  <c r="X385" i="1" a="1"/>
  <c r="X385" i="1"/>
  <c r="X386" i="1" a="1"/>
  <c r="X386" i="1"/>
  <c r="X387" i="1" a="1"/>
  <c r="X387" i="1"/>
  <c r="X388" i="1" a="1"/>
  <c r="X388" i="1"/>
  <c r="X389" i="1" a="1"/>
  <c r="X389" i="1"/>
  <c r="X390" i="1" a="1"/>
  <c r="X390" i="1"/>
  <c r="X391" i="1" a="1"/>
  <c r="X391" i="1"/>
  <c r="X392" i="1" a="1"/>
  <c r="X392" i="1"/>
  <c r="X393" i="1" a="1"/>
  <c r="X393" i="1"/>
  <c r="X394" i="1" a="1"/>
  <c r="X394" i="1"/>
  <c r="X395" i="1" a="1"/>
  <c r="X395" i="1"/>
  <c r="X396" i="1" a="1"/>
  <c r="X396" i="1"/>
  <c r="X397" i="1" a="1"/>
  <c r="X397" i="1"/>
  <c r="X398" i="1" a="1"/>
  <c r="X398" i="1"/>
  <c r="X399" i="1" a="1"/>
  <c r="X399" i="1"/>
  <c r="X400" i="1" a="1"/>
  <c r="X400" i="1"/>
  <c r="X401" i="1" a="1"/>
  <c r="X401" i="1"/>
  <c r="X402" i="1" a="1"/>
  <c r="X402" i="1"/>
  <c r="X403" i="1" a="1"/>
  <c r="X403" i="1"/>
  <c r="X404" i="1" a="1"/>
  <c r="X404" i="1"/>
  <c r="X405" i="1" a="1"/>
  <c r="X405" i="1"/>
  <c r="X406" i="1" a="1"/>
  <c r="X406" i="1"/>
  <c r="X407" i="1" a="1"/>
  <c r="X407" i="1"/>
  <c r="X408" i="1" a="1"/>
  <c r="X408" i="1"/>
  <c r="X409" i="1" a="1"/>
  <c r="X409" i="1"/>
  <c r="X410" i="1" a="1"/>
  <c r="X410" i="1"/>
  <c r="X411" i="1" a="1"/>
  <c r="X411" i="1"/>
  <c r="X412" i="1" a="1"/>
  <c r="X412" i="1"/>
  <c r="X413" i="1" a="1"/>
  <c r="X413" i="1"/>
  <c r="X414" i="1" a="1"/>
  <c r="X414" i="1"/>
  <c r="X415" i="1" a="1"/>
  <c r="X415" i="1"/>
  <c r="X416" i="1" a="1"/>
  <c r="X416" i="1"/>
  <c r="X417" i="1" a="1"/>
  <c r="X417" i="1"/>
  <c r="X418" i="1" a="1"/>
  <c r="X418" i="1"/>
  <c r="X419" i="1" a="1"/>
  <c r="X419" i="1"/>
  <c r="X420" i="1" a="1"/>
  <c r="X420" i="1"/>
  <c r="X421" i="1" a="1"/>
  <c r="X421" i="1"/>
  <c r="X422" i="1" a="1"/>
  <c r="X422" i="1"/>
  <c r="X423" i="1" a="1"/>
  <c r="X423" i="1"/>
  <c r="X424" i="1" a="1"/>
  <c r="X424" i="1"/>
  <c r="X425" i="1" a="1"/>
  <c r="X425" i="1"/>
  <c r="X426" i="1" a="1"/>
  <c r="X426" i="1"/>
  <c r="X427" i="1" a="1"/>
  <c r="X427" i="1"/>
  <c r="X428" i="1" a="1"/>
  <c r="X428" i="1"/>
  <c r="X429" i="1" a="1"/>
  <c r="X429" i="1"/>
  <c r="X430" i="1" a="1"/>
  <c r="X430" i="1"/>
  <c r="X431" i="1" a="1"/>
  <c r="X431" i="1"/>
  <c r="X432" i="1" a="1"/>
  <c r="X432" i="1"/>
  <c r="X433" i="1" a="1"/>
  <c r="X433" i="1"/>
  <c r="X434" i="1" a="1"/>
  <c r="X434" i="1"/>
  <c r="X435" i="1" a="1"/>
  <c r="X435" i="1"/>
  <c r="X436" i="1" a="1"/>
  <c r="X436" i="1"/>
  <c r="X437" i="1" a="1"/>
  <c r="X437" i="1"/>
  <c r="X438" i="1" a="1"/>
  <c r="X438" i="1"/>
  <c r="X439" i="1" a="1"/>
  <c r="X439" i="1"/>
  <c r="X440" i="1" a="1"/>
  <c r="X440" i="1"/>
  <c r="X441" i="1" a="1"/>
  <c r="X441" i="1"/>
  <c r="X442" i="1" a="1"/>
  <c r="X442" i="1"/>
  <c r="X443" i="1" a="1"/>
  <c r="X443" i="1"/>
  <c r="X444" i="1" a="1"/>
  <c r="X444" i="1"/>
  <c r="X445" i="1" a="1"/>
  <c r="X445" i="1"/>
  <c r="X446" i="1" a="1"/>
  <c r="X446" i="1"/>
  <c r="X447" i="1" a="1"/>
  <c r="X447" i="1"/>
  <c r="X448" i="1" a="1"/>
  <c r="X448" i="1"/>
  <c r="X449" i="1" a="1"/>
  <c r="X449" i="1"/>
  <c r="X450" i="1" a="1"/>
  <c r="X450" i="1"/>
  <c r="X451" i="1" a="1"/>
  <c r="X451" i="1"/>
  <c r="X452" i="1" a="1"/>
  <c r="X452" i="1"/>
  <c r="X453" i="1" a="1"/>
  <c r="X453" i="1"/>
  <c r="X454" i="1" a="1"/>
  <c r="X454" i="1"/>
  <c r="X455" i="1" a="1"/>
  <c r="X455" i="1"/>
  <c r="X456" i="1" a="1"/>
  <c r="X456" i="1"/>
  <c r="X457" i="1" a="1"/>
  <c r="X457" i="1"/>
  <c r="X458" i="1" a="1"/>
  <c r="X458" i="1"/>
  <c r="X459" i="1" a="1"/>
  <c r="X459" i="1"/>
  <c r="X460" i="1" a="1"/>
  <c r="X460" i="1"/>
  <c r="X461" i="1" a="1"/>
  <c r="X461" i="1"/>
  <c r="X462" i="1" a="1"/>
  <c r="X462" i="1"/>
  <c r="X463" i="1" a="1"/>
  <c r="X463" i="1"/>
  <c r="X464" i="1" a="1"/>
  <c r="X464" i="1"/>
  <c r="X465" i="1" a="1"/>
  <c r="X465" i="1"/>
  <c r="X466" i="1" a="1"/>
  <c r="X466" i="1"/>
  <c r="X467" i="1" a="1"/>
  <c r="X467" i="1"/>
  <c r="X468" i="1" a="1"/>
  <c r="X468" i="1"/>
  <c r="X469" i="1" a="1"/>
  <c r="X469" i="1"/>
  <c r="X470" i="1" a="1"/>
  <c r="X470" i="1"/>
  <c r="X471" i="1" a="1"/>
  <c r="X471" i="1"/>
  <c r="X472" i="1" a="1"/>
  <c r="X472" i="1"/>
  <c r="X473" i="1" a="1"/>
  <c r="X473" i="1"/>
  <c r="X474" i="1" a="1"/>
  <c r="X474" i="1"/>
  <c r="X475" i="1" a="1"/>
  <c r="X475" i="1"/>
  <c r="X476" i="1" a="1"/>
  <c r="X476" i="1"/>
  <c r="X477" i="1" a="1"/>
  <c r="X477" i="1"/>
  <c r="X478" i="1" a="1"/>
  <c r="X478" i="1"/>
  <c r="X479" i="1" a="1"/>
  <c r="X479" i="1"/>
  <c r="X480" i="1" a="1"/>
  <c r="X480" i="1"/>
  <c r="X481" i="1" a="1"/>
  <c r="X481" i="1"/>
  <c r="X482" i="1" a="1"/>
  <c r="X482" i="1"/>
  <c r="X483" i="1" a="1"/>
  <c r="X483" i="1"/>
  <c r="X484" i="1" a="1"/>
  <c r="X484" i="1"/>
  <c r="X485" i="1" a="1"/>
  <c r="X485" i="1"/>
  <c r="X486" i="1" a="1"/>
  <c r="X486" i="1"/>
  <c r="X487" i="1" a="1"/>
  <c r="X487" i="1"/>
  <c r="X488" i="1" a="1"/>
  <c r="X488" i="1"/>
  <c r="X489" i="1" a="1"/>
  <c r="X489" i="1"/>
  <c r="X490" i="1" a="1"/>
  <c r="X490" i="1"/>
  <c r="X491" i="1" a="1"/>
  <c r="X491" i="1"/>
  <c r="X492" i="1" a="1"/>
  <c r="X492" i="1"/>
  <c r="X493" i="1" a="1"/>
  <c r="X493" i="1"/>
  <c r="X494" i="1" a="1"/>
  <c r="X494" i="1"/>
  <c r="X495" i="1" a="1"/>
  <c r="X495" i="1"/>
  <c r="X496" i="1" a="1"/>
  <c r="X496" i="1"/>
  <c r="X497" i="1" a="1"/>
  <c r="X497" i="1"/>
  <c r="X498" i="1" a="1"/>
  <c r="X498" i="1"/>
  <c r="X499" i="1" a="1"/>
  <c r="X499" i="1"/>
  <c r="X500" i="1" a="1"/>
  <c r="X500" i="1"/>
  <c r="X501" i="1" a="1"/>
  <c r="X501" i="1"/>
  <c r="X502" i="1" a="1"/>
  <c r="X502" i="1"/>
  <c r="X503" i="1" a="1"/>
  <c r="X503" i="1"/>
  <c r="X504" i="1" a="1"/>
  <c r="X504" i="1"/>
  <c r="X505" i="1" a="1"/>
  <c r="X505" i="1"/>
  <c r="X506" i="1" a="1"/>
  <c r="X506" i="1"/>
  <c r="X507" i="1" a="1"/>
  <c r="X507" i="1"/>
  <c r="X508" i="1" a="1"/>
  <c r="X508" i="1"/>
  <c r="X509" i="1" a="1"/>
  <c r="X509" i="1"/>
  <c r="X510" i="1" a="1"/>
  <c r="X510" i="1"/>
  <c r="X511" i="1" a="1"/>
  <c r="X511" i="1"/>
  <c r="X512" i="1" a="1"/>
  <c r="X512" i="1"/>
  <c r="X513" i="1" a="1"/>
  <c r="X513" i="1"/>
  <c r="X514" i="1" a="1"/>
  <c r="X514" i="1"/>
  <c r="X515" i="1" a="1"/>
  <c r="X515" i="1"/>
  <c r="X516" i="1" a="1"/>
  <c r="X516" i="1"/>
  <c r="X517" i="1" a="1"/>
  <c r="X517" i="1"/>
  <c r="X518" i="1" a="1"/>
  <c r="X518" i="1"/>
  <c r="X519" i="1" a="1"/>
  <c r="X519" i="1"/>
  <c r="X520" i="1" a="1"/>
  <c r="X520" i="1"/>
  <c r="X521" i="1" a="1"/>
  <c r="X521" i="1"/>
  <c r="X522" i="1" a="1"/>
  <c r="X522" i="1"/>
  <c r="X523" i="1" a="1"/>
  <c r="X523" i="1"/>
  <c r="X524" i="1" a="1"/>
  <c r="X524" i="1"/>
  <c r="X525" i="1" a="1"/>
  <c r="X525" i="1"/>
  <c r="X526" i="1" a="1"/>
  <c r="X526" i="1"/>
  <c r="X527" i="1" a="1"/>
  <c r="X527" i="1"/>
  <c r="X528" i="1" a="1"/>
  <c r="X528" i="1"/>
  <c r="X529" i="1" a="1"/>
  <c r="X529" i="1"/>
  <c r="W80" i="1" a="1"/>
  <c r="W80" i="1"/>
  <c r="W81" i="1" a="1"/>
  <c r="W81" i="1"/>
  <c r="W82" i="1" a="1"/>
  <c r="W82" i="1"/>
  <c r="W83" i="1" a="1"/>
  <c r="W83" i="1"/>
  <c r="W84" i="1" a="1"/>
  <c r="W84" i="1"/>
  <c r="W85" i="1" a="1"/>
  <c r="W85" i="1"/>
  <c r="W86" i="1" a="1"/>
  <c r="W86" i="1"/>
  <c r="W87" i="1" a="1"/>
  <c r="W87" i="1"/>
  <c r="W88" i="1" a="1"/>
  <c r="W88" i="1"/>
  <c r="W89" i="1" a="1"/>
  <c r="W89" i="1"/>
  <c r="W90" i="1" a="1"/>
  <c r="W90" i="1"/>
  <c r="W91" i="1" a="1"/>
  <c r="W91" i="1"/>
  <c r="W92" i="1" a="1"/>
  <c r="W92" i="1"/>
  <c r="W93" i="1" a="1"/>
  <c r="W93" i="1"/>
  <c r="W94" i="1" a="1"/>
  <c r="W94" i="1"/>
  <c r="W95" i="1" a="1"/>
  <c r="W95" i="1"/>
  <c r="W96" i="1" a="1"/>
  <c r="W96" i="1"/>
  <c r="W97" i="1" a="1"/>
  <c r="W97" i="1"/>
  <c r="W98" i="1" a="1"/>
  <c r="W98" i="1"/>
  <c r="W99" i="1" a="1"/>
  <c r="W99" i="1"/>
  <c r="W100" i="1" a="1"/>
  <c r="W100" i="1"/>
  <c r="W101" i="1" a="1"/>
  <c r="W101" i="1"/>
  <c r="W102" i="1" a="1"/>
  <c r="W102" i="1"/>
  <c r="W103" i="1" a="1"/>
  <c r="W103" i="1"/>
  <c r="W104" i="1" a="1"/>
  <c r="W104" i="1"/>
  <c r="W105" i="1" a="1"/>
  <c r="W105" i="1"/>
  <c r="W106" i="1" a="1"/>
  <c r="W106" i="1"/>
  <c r="W107" i="1" a="1"/>
  <c r="W107" i="1"/>
  <c r="W108" i="1" a="1"/>
  <c r="W108" i="1"/>
  <c r="W109" i="1" a="1"/>
  <c r="W109" i="1"/>
  <c r="W110" i="1" a="1"/>
  <c r="W110" i="1"/>
  <c r="W111" i="1" a="1"/>
  <c r="W111" i="1"/>
  <c r="W112" i="1" a="1"/>
  <c r="W112" i="1"/>
  <c r="W113" i="1" a="1"/>
  <c r="W113" i="1"/>
  <c r="W114" i="1" a="1"/>
  <c r="W114" i="1"/>
  <c r="W115" i="1" a="1"/>
  <c r="W115" i="1"/>
  <c r="W116" i="1" a="1"/>
  <c r="W116" i="1"/>
  <c r="W117" i="1" a="1"/>
  <c r="W117" i="1"/>
  <c r="W118" i="1" a="1"/>
  <c r="W118" i="1"/>
  <c r="W119" i="1" a="1"/>
  <c r="W119" i="1"/>
  <c r="W120" i="1" a="1"/>
  <c r="W120" i="1"/>
  <c r="W121" i="1" a="1"/>
  <c r="W121" i="1"/>
  <c r="W122" i="1" a="1"/>
  <c r="W122" i="1"/>
  <c r="W123" i="1" a="1"/>
  <c r="W123" i="1"/>
  <c r="W124" i="1" a="1"/>
  <c r="W124" i="1"/>
  <c r="W125" i="1" a="1"/>
  <c r="W125" i="1"/>
  <c r="W126" i="1" a="1"/>
  <c r="W126" i="1"/>
  <c r="W127" i="1" a="1"/>
  <c r="W127" i="1"/>
  <c r="W128" i="1" a="1"/>
  <c r="W128" i="1"/>
  <c r="W129" i="1" a="1"/>
  <c r="W129" i="1"/>
  <c r="W130" i="1" a="1"/>
  <c r="W130" i="1"/>
  <c r="W131" i="1" a="1"/>
  <c r="W131" i="1"/>
  <c r="W132" i="1" a="1"/>
  <c r="W132" i="1"/>
  <c r="W133" i="1" a="1"/>
  <c r="W133" i="1"/>
  <c r="W134" i="1" a="1"/>
  <c r="W134" i="1"/>
  <c r="W135" i="1" a="1"/>
  <c r="W135" i="1"/>
  <c r="W136" i="1" a="1"/>
  <c r="W136" i="1"/>
  <c r="W137" i="1" a="1"/>
  <c r="W137" i="1"/>
  <c r="W138" i="1" a="1"/>
  <c r="W138" i="1"/>
  <c r="W139" i="1" a="1"/>
  <c r="W139" i="1"/>
  <c r="W140" i="1" a="1"/>
  <c r="W140" i="1"/>
  <c r="W141" i="1" a="1"/>
  <c r="W141" i="1"/>
  <c r="W142" i="1" a="1"/>
  <c r="W142" i="1"/>
  <c r="W143" i="1" a="1"/>
  <c r="W143" i="1"/>
  <c r="W144" i="1" a="1"/>
  <c r="W144" i="1"/>
  <c r="W145" i="1" a="1"/>
  <c r="W145" i="1"/>
  <c r="W146" i="1" a="1"/>
  <c r="W146" i="1"/>
  <c r="W147" i="1" a="1"/>
  <c r="W147" i="1"/>
  <c r="W148" i="1" a="1"/>
  <c r="W148" i="1"/>
  <c r="W149" i="1" a="1"/>
  <c r="W149" i="1"/>
  <c r="W150" i="1" a="1"/>
  <c r="W150" i="1"/>
  <c r="W151" i="1" a="1"/>
  <c r="W151" i="1"/>
  <c r="W152" i="1" a="1"/>
  <c r="W152" i="1"/>
  <c r="W153" i="1" a="1"/>
  <c r="W153" i="1"/>
  <c r="W154" i="1" a="1"/>
  <c r="W154" i="1"/>
  <c r="W155" i="1" a="1"/>
  <c r="W155" i="1"/>
  <c r="W156" i="1" a="1"/>
  <c r="W156" i="1"/>
  <c r="W157" i="1" a="1"/>
  <c r="W157" i="1"/>
  <c r="W158" i="1" a="1"/>
  <c r="W158" i="1"/>
  <c r="W159" i="1" a="1"/>
  <c r="W159" i="1"/>
  <c r="W160" i="1" a="1"/>
  <c r="W160" i="1"/>
  <c r="W161" i="1" a="1"/>
  <c r="W161" i="1"/>
  <c r="W162" i="1" a="1"/>
  <c r="W162" i="1"/>
  <c r="W163" i="1" a="1"/>
  <c r="W163" i="1"/>
  <c r="W164" i="1" a="1"/>
  <c r="W164" i="1"/>
  <c r="W165" i="1" a="1"/>
  <c r="W165" i="1"/>
  <c r="W166" i="1" a="1"/>
  <c r="W166" i="1"/>
  <c r="W167" i="1" a="1"/>
  <c r="W167" i="1"/>
  <c r="W168" i="1" a="1"/>
  <c r="W168" i="1"/>
  <c r="W169" i="1" a="1"/>
  <c r="W169" i="1"/>
  <c r="W170" i="1" a="1"/>
  <c r="W170" i="1"/>
  <c r="W171" i="1" a="1"/>
  <c r="W171" i="1"/>
  <c r="W172" i="1" a="1"/>
  <c r="W172" i="1"/>
  <c r="W173" i="1" a="1"/>
  <c r="W173" i="1"/>
  <c r="W174" i="1" a="1"/>
  <c r="W174" i="1"/>
  <c r="W175" i="1" a="1"/>
  <c r="W175" i="1"/>
  <c r="W176" i="1" a="1"/>
  <c r="W176" i="1"/>
  <c r="W177" i="1" a="1"/>
  <c r="W177" i="1"/>
  <c r="W178" i="1" a="1"/>
  <c r="W178" i="1"/>
  <c r="W179" i="1" a="1"/>
  <c r="W179" i="1"/>
  <c r="W180" i="1" a="1"/>
  <c r="W180" i="1"/>
  <c r="W181" i="1" a="1"/>
  <c r="W181" i="1"/>
  <c r="W182" i="1" a="1"/>
  <c r="W182" i="1"/>
  <c r="W183" i="1" a="1"/>
  <c r="W183" i="1"/>
  <c r="W184" i="1" a="1"/>
  <c r="W184" i="1"/>
  <c r="W185" i="1" a="1"/>
  <c r="W185" i="1"/>
  <c r="W186" i="1" a="1"/>
  <c r="W186" i="1"/>
  <c r="W187" i="1" a="1"/>
  <c r="W187" i="1"/>
  <c r="W188" i="1" a="1"/>
  <c r="W188" i="1"/>
  <c r="W189" i="1" a="1"/>
  <c r="W189" i="1"/>
  <c r="W190" i="1" a="1"/>
  <c r="W190" i="1"/>
  <c r="W191" i="1" a="1"/>
  <c r="W191" i="1"/>
  <c r="W192" i="1" a="1"/>
  <c r="W192" i="1"/>
  <c r="W193" i="1" a="1"/>
  <c r="W193" i="1"/>
  <c r="W194" i="1" a="1"/>
  <c r="W194" i="1"/>
  <c r="W195" i="1" a="1"/>
  <c r="W195" i="1"/>
  <c r="W196" i="1" a="1"/>
  <c r="W196" i="1"/>
  <c r="W197" i="1" a="1"/>
  <c r="W197" i="1"/>
  <c r="W198" i="1" a="1"/>
  <c r="W198" i="1"/>
  <c r="W199" i="1" a="1"/>
  <c r="W199" i="1"/>
  <c r="W200" i="1" a="1"/>
  <c r="W200" i="1"/>
  <c r="W201" i="1" a="1"/>
  <c r="W201" i="1"/>
  <c r="W202" i="1" a="1"/>
  <c r="W202" i="1"/>
  <c r="W203" i="1" a="1"/>
  <c r="W203" i="1"/>
  <c r="W204" i="1" a="1"/>
  <c r="W204" i="1"/>
  <c r="W205" i="1" a="1"/>
  <c r="W205" i="1"/>
  <c r="W206" i="1" a="1"/>
  <c r="W206" i="1"/>
  <c r="W207" i="1" a="1"/>
  <c r="W207" i="1"/>
  <c r="W208" i="1" a="1"/>
  <c r="W208" i="1"/>
  <c r="W209" i="1" a="1"/>
  <c r="W209" i="1"/>
  <c r="W210" i="1" a="1"/>
  <c r="W210" i="1"/>
  <c r="W211" i="1" a="1"/>
  <c r="W211" i="1"/>
  <c r="W212" i="1" a="1"/>
  <c r="W212" i="1"/>
  <c r="W213" i="1" a="1"/>
  <c r="W213" i="1"/>
  <c r="W214" i="1" a="1"/>
  <c r="W214" i="1"/>
  <c r="W215" i="1" a="1"/>
  <c r="W215" i="1"/>
  <c r="W216" i="1" a="1"/>
  <c r="W216" i="1"/>
  <c r="W217" i="1" a="1"/>
  <c r="W217" i="1"/>
  <c r="W218" i="1" a="1"/>
  <c r="W218" i="1"/>
  <c r="W219" i="1" a="1"/>
  <c r="W219" i="1"/>
  <c r="W220" i="1" a="1"/>
  <c r="W220" i="1"/>
  <c r="W221" i="1" a="1"/>
  <c r="W221" i="1"/>
  <c r="W222" i="1" a="1"/>
  <c r="W222" i="1"/>
  <c r="W223" i="1" a="1"/>
  <c r="W223" i="1"/>
  <c r="W224" i="1" a="1"/>
  <c r="W224" i="1"/>
  <c r="W225" i="1" a="1"/>
  <c r="W225" i="1"/>
  <c r="W226" i="1" a="1"/>
  <c r="W226" i="1"/>
  <c r="W227" i="1" a="1"/>
  <c r="W227" i="1"/>
  <c r="W228" i="1" a="1"/>
  <c r="W228" i="1"/>
  <c r="W229" i="1" a="1"/>
  <c r="W229" i="1"/>
  <c r="W230" i="1" a="1"/>
  <c r="W230" i="1"/>
  <c r="W231" i="1" a="1"/>
  <c r="W231" i="1"/>
  <c r="W232" i="1" a="1"/>
  <c r="W232" i="1"/>
  <c r="W233" i="1" a="1"/>
  <c r="W233" i="1"/>
  <c r="W234" i="1" a="1"/>
  <c r="W234" i="1"/>
  <c r="W235" i="1" a="1"/>
  <c r="W235" i="1"/>
  <c r="W236" i="1" a="1"/>
  <c r="W236" i="1"/>
  <c r="W237" i="1" a="1"/>
  <c r="W237" i="1"/>
  <c r="W238" i="1" a="1"/>
  <c r="W238" i="1"/>
  <c r="W239" i="1" a="1"/>
  <c r="W239" i="1"/>
  <c r="W240" i="1" a="1"/>
  <c r="W240" i="1"/>
  <c r="W241" i="1" a="1"/>
  <c r="W241" i="1"/>
  <c r="W242" i="1" a="1"/>
  <c r="W242" i="1"/>
  <c r="W243" i="1" a="1"/>
  <c r="W243" i="1"/>
  <c r="W244" i="1" a="1"/>
  <c r="W244" i="1"/>
  <c r="W245" i="1" a="1"/>
  <c r="W245" i="1"/>
  <c r="W246" i="1" a="1"/>
  <c r="W246" i="1"/>
  <c r="W247" i="1" a="1"/>
  <c r="W247" i="1"/>
  <c r="W248" i="1" a="1"/>
  <c r="W248" i="1"/>
  <c r="W249" i="1" a="1"/>
  <c r="W249" i="1"/>
  <c r="W250" i="1" a="1"/>
  <c r="W250" i="1"/>
  <c r="W251" i="1" a="1"/>
  <c r="W251" i="1"/>
  <c r="W252" i="1" a="1"/>
  <c r="W252" i="1"/>
  <c r="W253" i="1" a="1"/>
  <c r="W253" i="1"/>
  <c r="W254" i="1" a="1"/>
  <c r="W254" i="1"/>
  <c r="W255" i="1" a="1"/>
  <c r="W255" i="1"/>
  <c r="W256" i="1" a="1"/>
  <c r="W256" i="1"/>
  <c r="W257" i="1" a="1"/>
  <c r="W257" i="1"/>
  <c r="W258" i="1" a="1"/>
  <c r="W258" i="1"/>
  <c r="W259" i="1" a="1"/>
  <c r="W259" i="1"/>
  <c r="W260" i="1" a="1"/>
  <c r="W260" i="1"/>
  <c r="W261" i="1" a="1"/>
  <c r="W261" i="1"/>
  <c r="W262" i="1" a="1"/>
  <c r="W262" i="1"/>
  <c r="W263" i="1" a="1"/>
  <c r="W263" i="1"/>
  <c r="W264" i="1" a="1"/>
  <c r="W264" i="1"/>
  <c r="W265" i="1" a="1"/>
  <c r="W265" i="1"/>
  <c r="W266" i="1" a="1"/>
  <c r="W266" i="1"/>
  <c r="W267" i="1" a="1"/>
  <c r="W267" i="1"/>
  <c r="W268" i="1" a="1"/>
  <c r="W268" i="1"/>
  <c r="W269" i="1" a="1"/>
  <c r="W269" i="1"/>
  <c r="W270" i="1" a="1"/>
  <c r="W270" i="1"/>
  <c r="W271" i="1" a="1"/>
  <c r="W271" i="1"/>
  <c r="W272" i="1" a="1"/>
  <c r="W272" i="1"/>
  <c r="W273" i="1" a="1"/>
  <c r="W273" i="1"/>
  <c r="W274" i="1" a="1"/>
  <c r="W274" i="1"/>
  <c r="W275" i="1" a="1"/>
  <c r="W275" i="1"/>
  <c r="W276" i="1" a="1"/>
  <c r="W276" i="1"/>
  <c r="W277" i="1" a="1"/>
  <c r="W277" i="1"/>
  <c r="W278" i="1" a="1"/>
  <c r="W278" i="1"/>
  <c r="W279" i="1" a="1"/>
  <c r="W279" i="1"/>
  <c r="W280" i="1" a="1"/>
  <c r="W280" i="1"/>
  <c r="W281" i="1" a="1"/>
  <c r="W281" i="1"/>
  <c r="W282" i="1" a="1"/>
  <c r="W282" i="1"/>
  <c r="W283" i="1" a="1"/>
  <c r="W283" i="1"/>
  <c r="W284" i="1" a="1"/>
  <c r="W284" i="1"/>
  <c r="W285" i="1" a="1"/>
  <c r="W285" i="1"/>
  <c r="W286" i="1" a="1"/>
  <c r="W286" i="1"/>
  <c r="W287" i="1" a="1"/>
  <c r="W287" i="1"/>
  <c r="W288" i="1" a="1"/>
  <c r="W288" i="1"/>
  <c r="W289" i="1" a="1"/>
  <c r="W289" i="1"/>
  <c r="W290" i="1" a="1"/>
  <c r="W290" i="1"/>
  <c r="W291" i="1" a="1"/>
  <c r="W291" i="1"/>
  <c r="W292" i="1" a="1"/>
  <c r="W292" i="1"/>
  <c r="W293" i="1" a="1"/>
  <c r="W293" i="1"/>
  <c r="W294" i="1" a="1"/>
  <c r="W294" i="1"/>
  <c r="W295" i="1" a="1"/>
  <c r="W295" i="1"/>
  <c r="W296" i="1" a="1"/>
  <c r="W296" i="1"/>
  <c r="W297" i="1" a="1"/>
  <c r="W297" i="1"/>
  <c r="W298" i="1" a="1"/>
  <c r="W298" i="1"/>
  <c r="W299" i="1" a="1"/>
  <c r="W299" i="1"/>
  <c r="W300" i="1" a="1"/>
  <c r="W300" i="1"/>
  <c r="W301" i="1" a="1"/>
  <c r="W301" i="1"/>
  <c r="W302" i="1" a="1"/>
  <c r="W302" i="1"/>
  <c r="W303" i="1" a="1"/>
  <c r="W303" i="1"/>
  <c r="W304" i="1" a="1"/>
  <c r="W304" i="1"/>
  <c r="W305" i="1" a="1"/>
  <c r="W305" i="1"/>
  <c r="W306" i="1" a="1"/>
  <c r="W306" i="1"/>
  <c r="W307" i="1" a="1"/>
  <c r="W307" i="1"/>
  <c r="W308" i="1" a="1"/>
  <c r="W308" i="1"/>
  <c r="W309" i="1" a="1"/>
  <c r="W309" i="1"/>
  <c r="W310" i="1" a="1"/>
  <c r="W310" i="1"/>
  <c r="W311" i="1" a="1"/>
  <c r="W311" i="1"/>
  <c r="W312" i="1" a="1"/>
  <c r="W312" i="1"/>
  <c r="W313" i="1" a="1"/>
  <c r="W313" i="1"/>
  <c r="W314" i="1" a="1"/>
  <c r="W314" i="1"/>
  <c r="W315" i="1" a="1"/>
  <c r="W315" i="1"/>
  <c r="W316" i="1" a="1"/>
  <c r="W316" i="1"/>
  <c r="W317" i="1" a="1"/>
  <c r="W317" i="1"/>
  <c r="W318" i="1" a="1"/>
  <c r="W318" i="1"/>
  <c r="W319" i="1" a="1"/>
  <c r="W319" i="1"/>
  <c r="W320" i="1" a="1"/>
  <c r="W320" i="1"/>
  <c r="W321" i="1" a="1"/>
  <c r="W321" i="1"/>
  <c r="W322" i="1" a="1"/>
  <c r="W322" i="1"/>
  <c r="W323" i="1" a="1"/>
  <c r="W323" i="1"/>
  <c r="W324" i="1" a="1"/>
  <c r="W324" i="1"/>
  <c r="W325" i="1" a="1"/>
  <c r="W325" i="1"/>
  <c r="W326" i="1" a="1"/>
  <c r="W326" i="1"/>
  <c r="W327" i="1" a="1"/>
  <c r="W327" i="1"/>
  <c r="W328" i="1" a="1"/>
  <c r="W328" i="1"/>
  <c r="W329" i="1" a="1"/>
  <c r="W329" i="1"/>
  <c r="W330" i="1" a="1"/>
  <c r="W330" i="1"/>
  <c r="W331" i="1" a="1"/>
  <c r="W331" i="1"/>
  <c r="W332" i="1" a="1"/>
  <c r="W332" i="1"/>
  <c r="W333" i="1" a="1"/>
  <c r="W333" i="1"/>
  <c r="W334" i="1" a="1"/>
  <c r="W334" i="1"/>
  <c r="W335" i="1" a="1"/>
  <c r="W335" i="1"/>
  <c r="W336" i="1" a="1"/>
  <c r="W336" i="1"/>
  <c r="W337" i="1" a="1"/>
  <c r="W337" i="1"/>
  <c r="W338" i="1" a="1"/>
  <c r="W338" i="1"/>
  <c r="W339" i="1" a="1"/>
  <c r="W339" i="1"/>
  <c r="W340" i="1" a="1"/>
  <c r="W340" i="1"/>
  <c r="W341" i="1" a="1"/>
  <c r="W341" i="1"/>
  <c r="W342" i="1" a="1"/>
  <c r="W342" i="1"/>
  <c r="W343" i="1" a="1"/>
  <c r="W343" i="1"/>
  <c r="W344" i="1" a="1"/>
  <c r="W344" i="1"/>
  <c r="W345" i="1" a="1"/>
  <c r="W345" i="1"/>
  <c r="W346" i="1" a="1"/>
  <c r="W346" i="1"/>
  <c r="W347" i="1" a="1"/>
  <c r="W347" i="1"/>
  <c r="W348" i="1" a="1"/>
  <c r="W348" i="1"/>
  <c r="W349" i="1" a="1"/>
  <c r="W349" i="1"/>
  <c r="W350" i="1" a="1"/>
  <c r="W350" i="1"/>
  <c r="W351" i="1" a="1"/>
  <c r="W351" i="1"/>
  <c r="W352" i="1" a="1"/>
  <c r="W352" i="1"/>
  <c r="W353" i="1" a="1"/>
  <c r="W353" i="1"/>
  <c r="W354" i="1" a="1"/>
  <c r="W354" i="1"/>
  <c r="W355" i="1" a="1"/>
  <c r="W355" i="1"/>
  <c r="W356" i="1" a="1"/>
  <c r="W356" i="1"/>
  <c r="W357" i="1" a="1"/>
  <c r="W357" i="1"/>
  <c r="W358" i="1" a="1"/>
  <c r="W358" i="1"/>
  <c r="W359" i="1" a="1"/>
  <c r="W359" i="1"/>
  <c r="W360" i="1" a="1"/>
  <c r="W360" i="1"/>
  <c r="W361" i="1" a="1"/>
  <c r="W361" i="1"/>
  <c r="W362" i="1" a="1"/>
  <c r="W362" i="1"/>
  <c r="W363" i="1" a="1"/>
  <c r="W363" i="1"/>
  <c r="W364" i="1" a="1"/>
  <c r="W364" i="1"/>
  <c r="W365" i="1" a="1"/>
  <c r="W365" i="1"/>
  <c r="W366" i="1" a="1"/>
  <c r="W366" i="1"/>
  <c r="W367" i="1" a="1"/>
  <c r="W367" i="1"/>
  <c r="W368" i="1" a="1"/>
  <c r="W368" i="1"/>
  <c r="W369" i="1" a="1"/>
  <c r="W369" i="1"/>
  <c r="W370" i="1" a="1"/>
  <c r="W370" i="1"/>
  <c r="W371" i="1" a="1"/>
  <c r="W371" i="1"/>
  <c r="W372" i="1" a="1"/>
  <c r="W372" i="1"/>
  <c r="W373" i="1" a="1"/>
  <c r="W373" i="1"/>
  <c r="W374" i="1" a="1"/>
  <c r="W374" i="1"/>
  <c r="W375" i="1" a="1"/>
  <c r="W375" i="1"/>
  <c r="W376" i="1" a="1"/>
  <c r="W376" i="1"/>
  <c r="W377" i="1" a="1"/>
  <c r="W377" i="1"/>
  <c r="W378" i="1" a="1"/>
  <c r="W378" i="1"/>
  <c r="W379" i="1" a="1"/>
  <c r="W379" i="1"/>
  <c r="W380" i="1" a="1"/>
  <c r="W380" i="1"/>
  <c r="W381" i="1" a="1"/>
  <c r="W381" i="1"/>
  <c r="W382" i="1" a="1"/>
  <c r="W382" i="1"/>
  <c r="W383" i="1" a="1"/>
  <c r="W383" i="1"/>
  <c r="W384" i="1" a="1"/>
  <c r="W384" i="1"/>
  <c r="W385" i="1" a="1"/>
  <c r="W385" i="1"/>
  <c r="W386" i="1" a="1"/>
  <c r="W386" i="1"/>
  <c r="W387" i="1" a="1"/>
  <c r="W387" i="1"/>
  <c r="W388" i="1" a="1"/>
  <c r="W388" i="1"/>
  <c r="W389" i="1" a="1"/>
  <c r="W389" i="1"/>
  <c r="W390" i="1" a="1"/>
  <c r="W390" i="1"/>
  <c r="W391" i="1" a="1"/>
  <c r="W391" i="1"/>
  <c r="W392" i="1" a="1"/>
  <c r="W392" i="1"/>
  <c r="W393" i="1" a="1"/>
  <c r="W393" i="1"/>
  <c r="W394" i="1" a="1"/>
  <c r="W394" i="1"/>
  <c r="W395" i="1" a="1"/>
  <c r="W395" i="1"/>
  <c r="W396" i="1" a="1"/>
  <c r="W396" i="1"/>
  <c r="W397" i="1" a="1"/>
  <c r="W397" i="1"/>
  <c r="W398" i="1" a="1"/>
  <c r="W398" i="1"/>
  <c r="W399" i="1" a="1"/>
  <c r="W399" i="1"/>
  <c r="W400" i="1" a="1"/>
  <c r="W400" i="1"/>
  <c r="W401" i="1" a="1"/>
  <c r="W401" i="1"/>
  <c r="W402" i="1" a="1"/>
  <c r="W402" i="1"/>
  <c r="W403" i="1" a="1"/>
  <c r="W403" i="1"/>
  <c r="W404" i="1" a="1"/>
  <c r="W404" i="1"/>
  <c r="W405" i="1" a="1"/>
  <c r="W405" i="1"/>
  <c r="W406" i="1" a="1"/>
  <c r="W406" i="1"/>
  <c r="W407" i="1" a="1"/>
  <c r="W407" i="1"/>
  <c r="W408" i="1" a="1"/>
  <c r="W408" i="1"/>
  <c r="W409" i="1" a="1"/>
  <c r="W409" i="1"/>
  <c r="W410" i="1" a="1"/>
  <c r="W410" i="1"/>
  <c r="W411" i="1" a="1"/>
  <c r="W411" i="1"/>
  <c r="W412" i="1" a="1"/>
  <c r="W412" i="1"/>
  <c r="W413" i="1" a="1"/>
  <c r="W413" i="1"/>
  <c r="W414" i="1" a="1"/>
  <c r="W414" i="1"/>
  <c r="W415" i="1" a="1"/>
  <c r="W415" i="1"/>
  <c r="W416" i="1" a="1"/>
  <c r="W416" i="1"/>
  <c r="W417" i="1" a="1"/>
  <c r="W417" i="1"/>
  <c r="W418" i="1" a="1"/>
  <c r="W418" i="1"/>
  <c r="W419" i="1" a="1"/>
  <c r="W419" i="1"/>
  <c r="W420" i="1" a="1"/>
  <c r="W420" i="1"/>
  <c r="W421" i="1" a="1"/>
  <c r="W421" i="1"/>
  <c r="W422" i="1" a="1"/>
  <c r="W422" i="1"/>
  <c r="W423" i="1" a="1"/>
  <c r="W423" i="1"/>
  <c r="W424" i="1" a="1"/>
  <c r="W424" i="1"/>
  <c r="W425" i="1" a="1"/>
  <c r="W425" i="1"/>
  <c r="W426" i="1" a="1"/>
  <c r="W426" i="1"/>
  <c r="W427" i="1" a="1"/>
  <c r="W427" i="1"/>
  <c r="W428" i="1" a="1"/>
  <c r="W428" i="1"/>
  <c r="W429" i="1" a="1"/>
  <c r="W429" i="1"/>
  <c r="W430" i="1" a="1"/>
  <c r="W430" i="1"/>
  <c r="W431" i="1" a="1"/>
  <c r="W431" i="1"/>
  <c r="W432" i="1" a="1"/>
  <c r="W432" i="1"/>
  <c r="W433" i="1" a="1"/>
  <c r="W433" i="1"/>
  <c r="W434" i="1" a="1"/>
  <c r="W434" i="1"/>
  <c r="W435" i="1" a="1"/>
  <c r="W435" i="1"/>
  <c r="W436" i="1" a="1"/>
  <c r="W436" i="1"/>
  <c r="W437" i="1" a="1"/>
  <c r="W437" i="1"/>
  <c r="W438" i="1" a="1"/>
  <c r="W438" i="1"/>
  <c r="W439" i="1" a="1"/>
  <c r="W439" i="1"/>
  <c r="W440" i="1" a="1"/>
  <c r="W440" i="1"/>
  <c r="W441" i="1" a="1"/>
  <c r="W441" i="1"/>
  <c r="W442" i="1" a="1"/>
  <c r="W442" i="1"/>
  <c r="W443" i="1" a="1"/>
  <c r="W443" i="1"/>
  <c r="W444" i="1" a="1"/>
  <c r="W444" i="1"/>
  <c r="W445" i="1" a="1"/>
  <c r="W445" i="1"/>
  <c r="W446" i="1" a="1"/>
  <c r="W446" i="1"/>
  <c r="W447" i="1" a="1"/>
  <c r="W447" i="1"/>
  <c r="W448" i="1" a="1"/>
  <c r="W448" i="1"/>
  <c r="W449" i="1" a="1"/>
  <c r="W449" i="1"/>
  <c r="W450" i="1" a="1"/>
  <c r="W450" i="1"/>
  <c r="W451" i="1" a="1"/>
  <c r="W451" i="1"/>
  <c r="W452" i="1" a="1"/>
  <c r="W452" i="1"/>
  <c r="W453" i="1" a="1"/>
  <c r="W453" i="1"/>
  <c r="W454" i="1" a="1"/>
  <c r="W454" i="1"/>
  <c r="W455" i="1" a="1"/>
  <c r="W455" i="1"/>
  <c r="W456" i="1" a="1"/>
  <c r="W456" i="1"/>
  <c r="W457" i="1" a="1"/>
  <c r="W457" i="1"/>
  <c r="W458" i="1" a="1"/>
  <c r="W458" i="1"/>
  <c r="W459" i="1" a="1"/>
  <c r="W459" i="1"/>
  <c r="W460" i="1" a="1"/>
  <c r="W460" i="1"/>
  <c r="W461" i="1" a="1"/>
  <c r="W461" i="1"/>
  <c r="W462" i="1" a="1"/>
  <c r="W462" i="1"/>
  <c r="W463" i="1" a="1"/>
  <c r="W463" i="1"/>
  <c r="W464" i="1" a="1"/>
  <c r="W464" i="1"/>
  <c r="W465" i="1" a="1"/>
  <c r="W465" i="1"/>
  <c r="W466" i="1" a="1"/>
  <c r="W466" i="1"/>
  <c r="W467" i="1" a="1"/>
  <c r="W467" i="1"/>
  <c r="W468" i="1" a="1"/>
  <c r="W468" i="1"/>
  <c r="W469" i="1" a="1"/>
  <c r="W469" i="1"/>
  <c r="W470" i="1" a="1"/>
  <c r="W470" i="1"/>
  <c r="W471" i="1" a="1"/>
  <c r="W471" i="1"/>
  <c r="W472" i="1" a="1"/>
  <c r="W472" i="1"/>
  <c r="W473" i="1" a="1"/>
  <c r="W473" i="1"/>
  <c r="W474" i="1" a="1"/>
  <c r="W474" i="1"/>
  <c r="W475" i="1" a="1"/>
  <c r="W475" i="1"/>
  <c r="W476" i="1" a="1"/>
  <c r="W476" i="1"/>
  <c r="W477" i="1" a="1"/>
  <c r="W477" i="1"/>
  <c r="W478" i="1" a="1"/>
  <c r="W478" i="1"/>
  <c r="W479" i="1" a="1"/>
  <c r="W479" i="1"/>
  <c r="W480" i="1" a="1"/>
  <c r="W480" i="1"/>
  <c r="W481" i="1" a="1"/>
  <c r="W481" i="1"/>
  <c r="W482" i="1" a="1"/>
  <c r="W482" i="1"/>
  <c r="W483" i="1" a="1"/>
  <c r="W483" i="1"/>
  <c r="W484" i="1" a="1"/>
  <c r="W484" i="1"/>
  <c r="W485" i="1" a="1"/>
  <c r="W485" i="1"/>
  <c r="W486" i="1" a="1"/>
  <c r="W486" i="1"/>
  <c r="W487" i="1" a="1"/>
  <c r="W487" i="1"/>
  <c r="W488" i="1" a="1"/>
  <c r="W488" i="1"/>
  <c r="W489" i="1" a="1"/>
  <c r="W489" i="1"/>
  <c r="W490" i="1" a="1"/>
  <c r="W490" i="1"/>
  <c r="W491" i="1" a="1"/>
  <c r="W491" i="1"/>
  <c r="W492" i="1" a="1"/>
  <c r="W492" i="1"/>
  <c r="W493" i="1" a="1"/>
  <c r="W493" i="1"/>
  <c r="W494" i="1" a="1"/>
  <c r="W494" i="1"/>
  <c r="W495" i="1" a="1"/>
  <c r="W495" i="1"/>
  <c r="W496" i="1" a="1"/>
  <c r="W496" i="1"/>
  <c r="W497" i="1" a="1"/>
  <c r="W497" i="1"/>
  <c r="W498" i="1" a="1"/>
  <c r="W498" i="1"/>
  <c r="W499" i="1" a="1"/>
  <c r="W499" i="1"/>
  <c r="W500" i="1" a="1"/>
  <c r="W500" i="1"/>
  <c r="W501" i="1" a="1"/>
  <c r="W501" i="1"/>
  <c r="W502" i="1" a="1"/>
  <c r="W502" i="1"/>
  <c r="W503" i="1" a="1"/>
  <c r="W503" i="1"/>
  <c r="W504" i="1" a="1"/>
  <c r="W504" i="1"/>
  <c r="W505" i="1" a="1"/>
  <c r="W505" i="1"/>
  <c r="W506" i="1" a="1"/>
  <c r="W506" i="1"/>
  <c r="W507" i="1" a="1"/>
  <c r="W507" i="1"/>
  <c r="W508" i="1" a="1"/>
  <c r="W508" i="1"/>
  <c r="W509" i="1" a="1"/>
  <c r="W509" i="1"/>
  <c r="W510" i="1" a="1"/>
  <c r="W510" i="1"/>
  <c r="W511" i="1" a="1"/>
  <c r="W511" i="1"/>
  <c r="W512" i="1" a="1"/>
  <c r="W512" i="1"/>
  <c r="W513" i="1" a="1"/>
  <c r="W513" i="1"/>
  <c r="W514" i="1" a="1"/>
  <c r="W514" i="1"/>
  <c r="W515" i="1" a="1"/>
  <c r="W515" i="1"/>
  <c r="W516" i="1" a="1"/>
  <c r="W516" i="1"/>
  <c r="W517" i="1" a="1"/>
  <c r="W517" i="1"/>
  <c r="W518" i="1" a="1"/>
  <c r="W518" i="1"/>
  <c r="W519" i="1" a="1"/>
  <c r="W519" i="1"/>
  <c r="W520" i="1" a="1"/>
  <c r="W520" i="1"/>
  <c r="W521" i="1" a="1"/>
  <c r="W521" i="1"/>
  <c r="W522" i="1" a="1"/>
  <c r="W522" i="1"/>
  <c r="W523" i="1" a="1"/>
  <c r="W523" i="1"/>
  <c r="W524" i="1" a="1"/>
  <c r="W524" i="1"/>
  <c r="W525" i="1" a="1"/>
  <c r="W525" i="1"/>
  <c r="W526" i="1" a="1"/>
  <c r="W526" i="1"/>
  <c r="W527" i="1" a="1"/>
  <c r="W527" i="1"/>
  <c r="W528" i="1" a="1"/>
  <c r="W528" i="1"/>
  <c r="W529" i="1" a="1"/>
  <c r="W529" i="1"/>
  <c r="V80" i="1" a="1"/>
  <c r="V80" i="1"/>
  <c r="V81" i="1" a="1"/>
  <c r="V81" i="1"/>
  <c r="V82" i="1" a="1"/>
  <c r="V82" i="1"/>
  <c r="V83" i="1" a="1"/>
  <c r="V83" i="1"/>
  <c r="V84" i="1" a="1"/>
  <c r="V84" i="1"/>
  <c r="V85" i="1" a="1"/>
  <c r="V85" i="1"/>
  <c r="V86" i="1" a="1"/>
  <c r="V86" i="1"/>
  <c r="V87" i="1" a="1"/>
  <c r="V87" i="1"/>
  <c r="V88" i="1" a="1"/>
  <c r="V88" i="1"/>
  <c r="V89" i="1" a="1"/>
  <c r="V89" i="1"/>
  <c r="V90" i="1" a="1"/>
  <c r="V90" i="1"/>
  <c r="V91" i="1" a="1"/>
  <c r="V91" i="1"/>
  <c r="V92" i="1" a="1"/>
  <c r="V92" i="1"/>
  <c r="V93" i="1" a="1"/>
  <c r="V93" i="1"/>
  <c r="V94" i="1" a="1"/>
  <c r="V94" i="1"/>
  <c r="V95" i="1" a="1"/>
  <c r="V95" i="1"/>
  <c r="V96" i="1" a="1"/>
  <c r="V96" i="1"/>
  <c r="V97" i="1" a="1"/>
  <c r="V97" i="1"/>
  <c r="V98" i="1" a="1"/>
  <c r="V98" i="1"/>
  <c r="V99" i="1" a="1"/>
  <c r="V99" i="1"/>
  <c r="V100" i="1" a="1"/>
  <c r="V100" i="1"/>
  <c r="V101" i="1" a="1"/>
  <c r="V101" i="1"/>
  <c r="V102" i="1" a="1"/>
  <c r="V102" i="1"/>
  <c r="V103" i="1" a="1"/>
  <c r="V103" i="1"/>
  <c r="V104" i="1" a="1"/>
  <c r="V104" i="1"/>
  <c r="V105" i="1" a="1"/>
  <c r="V105" i="1"/>
  <c r="V106" i="1" a="1"/>
  <c r="V106" i="1"/>
  <c r="V107" i="1" a="1"/>
  <c r="V107" i="1"/>
  <c r="V108" i="1" a="1"/>
  <c r="V108" i="1"/>
  <c r="V109" i="1" a="1"/>
  <c r="V109" i="1"/>
  <c r="V110" i="1" a="1"/>
  <c r="V110" i="1"/>
  <c r="V111" i="1" a="1"/>
  <c r="V111" i="1"/>
  <c r="V112" i="1" a="1"/>
  <c r="V112" i="1"/>
  <c r="V113" i="1" a="1"/>
  <c r="V113" i="1"/>
  <c r="V114" i="1" a="1"/>
  <c r="V114" i="1"/>
  <c r="V115" i="1" a="1"/>
  <c r="V115" i="1"/>
  <c r="V116" i="1" a="1"/>
  <c r="V116" i="1"/>
  <c r="V117" i="1" a="1"/>
  <c r="V117" i="1"/>
  <c r="V118" i="1" a="1"/>
  <c r="V118" i="1"/>
  <c r="V119" i="1" a="1"/>
  <c r="V119" i="1"/>
  <c r="V120" i="1" a="1"/>
  <c r="V120" i="1"/>
  <c r="V121" i="1" a="1"/>
  <c r="V121" i="1"/>
  <c r="V122" i="1" a="1"/>
  <c r="V122" i="1"/>
  <c r="V123" i="1" a="1"/>
  <c r="V123" i="1"/>
  <c r="V124" i="1" a="1"/>
  <c r="V124" i="1"/>
  <c r="V125" i="1" a="1"/>
  <c r="V125" i="1"/>
  <c r="V126" i="1" a="1"/>
  <c r="V126" i="1"/>
  <c r="V127" i="1" a="1"/>
  <c r="V127" i="1"/>
  <c r="V128" i="1" a="1"/>
  <c r="V128" i="1"/>
  <c r="V129" i="1" a="1"/>
  <c r="V129" i="1"/>
  <c r="V130" i="1" a="1"/>
  <c r="V130" i="1"/>
  <c r="V131" i="1" a="1"/>
  <c r="V131" i="1"/>
  <c r="V132" i="1" a="1"/>
  <c r="V132" i="1"/>
  <c r="V133" i="1" a="1"/>
  <c r="V133" i="1"/>
  <c r="V134" i="1" a="1"/>
  <c r="V134" i="1"/>
  <c r="V135" i="1" a="1"/>
  <c r="V135" i="1"/>
  <c r="V136" i="1" a="1"/>
  <c r="V136" i="1"/>
  <c r="V137" i="1" a="1"/>
  <c r="V137" i="1"/>
  <c r="V138" i="1" a="1"/>
  <c r="V138" i="1"/>
  <c r="V139" i="1" a="1"/>
  <c r="V139" i="1"/>
  <c r="V140" i="1" a="1"/>
  <c r="V140" i="1"/>
  <c r="V141" i="1" a="1"/>
  <c r="V141" i="1"/>
  <c r="V142" i="1" a="1"/>
  <c r="V142" i="1"/>
  <c r="V143" i="1" a="1"/>
  <c r="V143" i="1"/>
  <c r="V144" i="1" a="1"/>
  <c r="V144" i="1"/>
  <c r="V145" i="1" a="1"/>
  <c r="V145" i="1"/>
  <c r="V146" i="1" a="1"/>
  <c r="V146" i="1"/>
  <c r="V147" i="1" a="1"/>
  <c r="V147" i="1"/>
  <c r="V148" i="1" a="1"/>
  <c r="V148" i="1"/>
  <c r="V149" i="1" a="1"/>
  <c r="V149" i="1"/>
  <c r="V150" i="1" a="1"/>
  <c r="V150" i="1"/>
  <c r="V151" i="1" a="1"/>
  <c r="V151" i="1"/>
  <c r="V152" i="1" a="1"/>
  <c r="V152" i="1"/>
  <c r="V153" i="1" a="1"/>
  <c r="V153" i="1"/>
  <c r="V154" i="1" a="1"/>
  <c r="V154" i="1"/>
  <c r="V155" i="1" a="1"/>
  <c r="V155" i="1"/>
  <c r="V156" i="1" a="1"/>
  <c r="V156" i="1"/>
  <c r="V157" i="1" a="1"/>
  <c r="V157" i="1"/>
  <c r="V158" i="1" a="1"/>
  <c r="V158" i="1"/>
  <c r="V159" i="1" a="1"/>
  <c r="V159" i="1"/>
  <c r="V160" i="1" a="1"/>
  <c r="V160" i="1"/>
  <c r="V161" i="1" a="1"/>
  <c r="V161" i="1"/>
  <c r="V162" i="1" a="1"/>
  <c r="V162" i="1"/>
  <c r="V163" i="1" a="1"/>
  <c r="V163" i="1"/>
  <c r="V164" i="1" a="1"/>
  <c r="V164" i="1"/>
  <c r="V165" i="1" a="1"/>
  <c r="V165" i="1"/>
  <c r="V166" i="1" a="1"/>
  <c r="V166" i="1"/>
  <c r="V167" i="1" a="1"/>
  <c r="V167" i="1"/>
  <c r="V168" i="1" a="1"/>
  <c r="V168" i="1"/>
  <c r="V169" i="1" a="1"/>
  <c r="V169" i="1"/>
  <c r="V170" i="1" a="1"/>
  <c r="V170" i="1"/>
  <c r="V171" i="1" a="1"/>
  <c r="V171" i="1"/>
  <c r="V172" i="1" a="1"/>
  <c r="V172" i="1"/>
  <c r="V173" i="1" a="1"/>
  <c r="V173" i="1"/>
  <c r="V174" i="1" a="1"/>
  <c r="V174" i="1"/>
  <c r="V175" i="1" a="1"/>
  <c r="V175" i="1"/>
  <c r="V176" i="1" a="1"/>
  <c r="V176" i="1"/>
  <c r="V177" i="1" a="1"/>
  <c r="V177" i="1"/>
  <c r="V178" i="1" a="1"/>
  <c r="V178" i="1"/>
  <c r="V179" i="1" a="1"/>
  <c r="V179" i="1"/>
  <c r="V180" i="1" a="1"/>
  <c r="V180" i="1"/>
  <c r="V181" i="1" a="1"/>
  <c r="V181" i="1"/>
  <c r="V182" i="1" a="1"/>
  <c r="V182" i="1"/>
  <c r="V183" i="1" a="1"/>
  <c r="V183" i="1"/>
  <c r="V184" i="1" a="1"/>
  <c r="V184" i="1"/>
  <c r="V185" i="1" a="1"/>
  <c r="V185" i="1"/>
  <c r="V186" i="1" a="1"/>
  <c r="V186" i="1"/>
  <c r="V187" i="1" a="1"/>
  <c r="V187" i="1"/>
  <c r="V188" i="1" a="1"/>
  <c r="V188" i="1"/>
  <c r="V189" i="1" a="1"/>
  <c r="V189" i="1"/>
  <c r="V190" i="1" a="1"/>
  <c r="V190" i="1"/>
  <c r="V191" i="1" a="1"/>
  <c r="V191" i="1"/>
  <c r="V192" i="1" a="1"/>
  <c r="V192" i="1"/>
  <c r="V193" i="1" a="1"/>
  <c r="V193" i="1"/>
  <c r="V194" i="1" a="1"/>
  <c r="V194" i="1"/>
  <c r="V195" i="1" a="1"/>
  <c r="V195" i="1"/>
  <c r="V196" i="1" a="1"/>
  <c r="V196" i="1"/>
  <c r="V197" i="1" a="1"/>
  <c r="V197" i="1"/>
  <c r="V198" i="1" a="1"/>
  <c r="V198" i="1"/>
  <c r="V199" i="1" a="1"/>
  <c r="V199" i="1"/>
  <c r="V200" i="1" a="1"/>
  <c r="V200" i="1"/>
  <c r="V201" i="1" a="1"/>
  <c r="V201" i="1"/>
  <c r="V202" i="1" a="1"/>
  <c r="V202" i="1"/>
  <c r="V203" i="1" a="1"/>
  <c r="V203" i="1"/>
  <c r="V204" i="1" a="1"/>
  <c r="V204" i="1"/>
  <c r="V205" i="1" a="1"/>
  <c r="V205" i="1"/>
  <c r="V206" i="1" a="1"/>
  <c r="V206" i="1"/>
  <c r="V207" i="1" a="1"/>
  <c r="V207" i="1"/>
  <c r="V208" i="1" a="1"/>
  <c r="V208" i="1"/>
  <c r="V209" i="1" a="1"/>
  <c r="V209" i="1"/>
  <c r="V210" i="1" a="1"/>
  <c r="V210" i="1"/>
  <c r="V211" i="1" a="1"/>
  <c r="V211" i="1"/>
  <c r="V212" i="1" a="1"/>
  <c r="V212" i="1"/>
  <c r="V213" i="1" a="1"/>
  <c r="V213" i="1"/>
  <c r="V214" i="1" a="1"/>
  <c r="V214" i="1"/>
  <c r="V215" i="1" a="1"/>
  <c r="V215" i="1"/>
  <c r="V216" i="1" a="1"/>
  <c r="V216" i="1"/>
  <c r="V217" i="1" a="1"/>
  <c r="V217" i="1"/>
  <c r="V218" i="1" a="1"/>
  <c r="V218" i="1"/>
  <c r="V219" i="1" a="1"/>
  <c r="V219" i="1"/>
  <c r="V220" i="1" a="1"/>
  <c r="V220" i="1"/>
  <c r="V221" i="1" a="1"/>
  <c r="V221" i="1"/>
  <c r="V222" i="1" a="1"/>
  <c r="V222" i="1"/>
  <c r="V223" i="1" a="1"/>
  <c r="V223" i="1"/>
  <c r="V224" i="1" a="1"/>
  <c r="V224" i="1"/>
  <c r="V225" i="1" a="1"/>
  <c r="V225" i="1"/>
  <c r="V226" i="1" a="1"/>
  <c r="V226" i="1"/>
  <c r="V227" i="1" a="1"/>
  <c r="V227" i="1"/>
  <c r="V228" i="1" a="1"/>
  <c r="V228" i="1"/>
  <c r="V229" i="1" a="1"/>
  <c r="V229" i="1"/>
  <c r="V230" i="1" a="1"/>
  <c r="V230" i="1"/>
  <c r="V231" i="1" a="1"/>
  <c r="V231" i="1"/>
  <c r="V232" i="1" a="1"/>
  <c r="V232" i="1"/>
  <c r="V233" i="1" a="1"/>
  <c r="V233" i="1"/>
  <c r="V234" i="1" a="1"/>
  <c r="V234" i="1"/>
  <c r="V235" i="1" a="1"/>
  <c r="V235" i="1"/>
  <c r="V236" i="1" a="1"/>
  <c r="V236" i="1"/>
  <c r="V237" i="1" a="1"/>
  <c r="V237" i="1"/>
  <c r="V238" i="1" a="1"/>
  <c r="V238" i="1"/>
  <c r="V239" i="1" a="1"/>
  <c r="V239" i="1"/>
  <c r="V240" i="1" a="1"/>
  <c r="V240" i="1"/>
  <c r="V241" i="1" a="1"/>
  <c r="V241" i="1"/>
  <c r="V242" i="1" a="1"/>
  <c r="V242" i="1"/>
  <c r="V243" i="1" a="1"/>
  <c r="V243" i="1"/>
  <c r="V244" i="1" a="1"/>
  <c r="V244" i="1"/>
  <c r="V245" i="1" a="1"/>
  <c r="V245" i="1"/>
  <c r="V246" i="1" a="1"/>
  <c r="V246" i="1"/>
  <c r="V247" i="1" a="1"/>
  <c r="V247" i="1"/>
  <c r="V248" i="1" a="1"/>
  <c r="V248" i="1"/>
  <c r="V249" i="1" a="1"/>
  <c r="V249" i="1"/>
  <c r="V250" i="1" a="1"/>
  <c r="V250" i="1"/>
  <c r="V251" i="1" a="1"/>
  <c r="V251" i="1"/>
  <c r="V252" i="1" a="1"/>
  <c r="V252" i="1"/>
  <c r="V253" i="1" a="1"/>
  <c r="V253" i="1"/>
  <c r="V254" i="1" a="1"/>
  <c r="V254" i="1"/>
  <c r="V255" i="1" a="1"/>
  <c r="V255" i="1"/>
  <c r="V256" i="1" a="1"/>
  <c r="V256" i="1"/>
  <c r="V257" i="1" a="1"/>
  <c r="V257" i="1"/>
  <c r="V258" i="1" a="1"/>
  <c r="V258" i="1"/>
  <c r="V259" i="1" a="1"/>
  <c r="V259" i="1"/>
  <c r="V260" i="1" a="1"/>
  <c r="V260" i="1"/>
  <c r="V261" i="1" a="1"/>
  <c r="V261" i="1"/>
  <c r="V262" i="1" a="1"/>
  <c r="V262" i="1"/>
  <c r="V263" i="1" a="1"/>
  <c r="V263" i="1"/>
  <c r="V264" i="1" a="1"/>
  <c r="V264" i="1"/>
  <c r="V265" i="1" a="1"/>
  <c r="V265" i="1"/>
  <c r="V266" i="1" a="1"/>
  <c r="V266" i="1"/>
  <c r="V267" i="1" a="1"/>
  <c r="V267" i="1"/>
  <c r="V268" i="1" a="1"/>
  <c r="V268" i="1"/>
  <c r="V269" i="1" a="1"/>
  <c r="V269" i="1"/>
  <c r="V270" i="1" a="1"/>
  <c r="V270" i="1"/>
  <c r="V271" i="1" a="1"/>
  <c r="V271" i="1"/>
  <c r="V272" i="1" a="1"/>
  <c r="V272" i="1"/>
  <c r="V273" i="1" a="1"/>
  <c r="V273" i="1"/>
  <c r="V274" i="1" a="1"/>
  <c r="V274" i="1"/>
  <c r="V275" i="1" a="1"/>
  <c r="V275" i="1"/>
  <c r="V276" i="1" a="1"/>
  <c r="V276" i="1"/>
  <c r="V277" i="1" a="1"/>
  <c r="V277" i="1"/>
  <c r="V278" i="1" a="1"/>
  <c r="V278" i="1"/>
  <c r="V279" i="1" a="1"/>
  <c r="V279" i="1"/>
  <c r="V280" i="1" a="1"/>
  <c r="V280" i="1"/>
  <c r="V281" i="1" a="1"/>
  <c r="V281" i="1"/>
  <c r="V282" i="1" a="1"/>
  <c r="V282" i="1"/>
  <c r="V283" i="1" a="1"/>
  <c r="V283" i="1"/>
  <c r="V284" i="1" a="1"/>
  <c r="V284" i="1"/>
  <c r="V285" i="1" a="1"/>
  <c r="V285" i="1"/>
  <c r="V286" i="1" a="1"/>
  <c r="V286" i="1"/>
  <c r="V287" i="1" a="1"/>
  <c r="V287" i="1"/>
  <c r="V288" i="1" a="1"/>
  <c r="V288" i="1"/>
  <c r="V289" i="1" a="1"/>
  <c r="V289" i="1"/>
  <c r="V290" i="1" a="1"/>
  <c r="V290" i="1"/>
  <c r="V291" i="1" a="1"/>
  <c r="V291" i="1"/>
  <c r="V292" i="1" a="1"/>
  <c r="V292" i="1"/>
  <c r="V293" i="1" a="1"/>
  <c r="V293" i="1"/>
  <c r="V294" i="1" a="1"/>
  <c r="V294" i="1"/>
  <c r="V295" i="1" a="1"/>
  <c r="V295" i="1"/>
  <c r="V296" i="1" a="1"/>
  <c r="V296" i="1"/>
  <c r="V297" i="1" a="1"/>
  <c r="V297" i="1"/>
  <c r="V298" i="1" a="1"/>
  <c r="V298" i="1"/>
  <c r="V299" i="1" a="1"/>
  <c r="V299" i="1"/>
  <c r="V300" i="1" a="1"/>
  <c r="V300" i="1"/>
  <c r="V301" i="1" a="1"/>
  <c r="V301" i="1"/>
  <c r="V302" i="1" a="1"/>
  <c r="V302" i="1"/>
  <c r="V303" i="1" a="1"/>
  <c r="V303" i="1"/>
  <c r="V304" i="1" a="1"/>
  <c r="V304" i="1"/>
  <c r="V305" i="1" a="1"/>
  <c r="V305" i="1"/>
  <c r="V306" i="1" a="1"/>
  <c r="V306" i="1"/>
  <c r="V307" i="1" a="1"/>
  <c r="V307" i="1"/>
  <c r="V308" i="1" a="1"/>
  <c r="V308" i="1"/>
  <c r="V309" i="1" a="1"/>
  <c r="V309" i="1"/>
  <c r="V310" i="1" a="1"/>
  <c r="V310" i="1"/>
  <c r="V311" i="1" a="1"/>
  <c r="V311" i="1"/>
  <c r="V312" i="1" a="1"/>
  <c r="V312" i="1"/>
  <c r="V313" i="1" a="1"/>
  <c r="V313" i="1"/>
  <c r="V314" i="1" a="1"/>
  <c r="V314" i="1"/>
  <c r="V315" i="1" a="1"/>
  <c r="V315" i="1"/>
  <c r="V316" i="1" a="1"/>
  <c r="V316" i="1"/>
  <c r="V317" i="1" a="1"/>
  <c r="V317" i="1"/>
  <c r="V318" i="1" a="1"/>
  <c r="V318" i="1"/>
  <c r="V319" i="1" a="1"/>
  <c r="V319" i="1"/>
  <c r="V320" i="1" a="1"/>
  <c r="V320" i="1"/>
  <c r="V321" i="1" a="1"/>
  <c r="V321" i="1"/>
  <c r="V322" i="1" a="1"/>
  <c r="V322" i="1"/>
  <c r="V323" i="1" a="1"/>
  <c r="V323" i="1"/>
  <c r="V324" i="1" a="1"/>
  <c r="V324" i="1"/>
  <c r="V325" i="1" a="1"/>
  <c r="V325" i="1"/>
  <c r="V326" i="1" a="1"/>
  <c r="V326" i="1"/>
  <c r="V327" i="1" a="1"/>
  <c r="V327" i="1"/>
  <c r="V328" i="1" a="1"/>
  <c r="V328" i="1"/>
  <c r="V329" i="1" a="1"/>
  <c r="V329" i="1"/>
  <c r="V330" i="1" a="1"/>
  <c r="V330" i="1"/>
  <c r="V331" i="1" a="1"/>
  <c r="V331" i="1"/>
  <c r="V332" i="1" a="1"/>
  <c r="V332" i="1"/>
  <c r="V333" i="1" a="1"/>
  <c r="V333" i="1"/>
  <c r="V334" i="1" a="1"/>
  <c r="V334" i="1"/>
  <c r="V335" i="1" a="1"/>
  <c r="V335" i="1"/>
  <c r="V336" i="1" a="1"/>
  <c r="V336" i="1"/>
  <c r="V337" i="1" a="1"/>
  <c r="V337" i="1"/>
  <c r="V338" i="1" a="1"/>
  <c r="V338" i="1"/>
  <c r="V339" i="1" a="1"/>
  <c r="V339" i="1"/>
  <c r="V340" i="1" a="1"/>
  <c r="V340" i="1"/>
  <c r="V341" i="1" a="1"/>
  <c r="V341" i="1"/>
  <c r="V342" i="1" a="1"/>
  <c r="V342" i="1"/>
  <c r="V343" i="1" a="1"/>
  <c r="V343" i="1"/>
  <c r="V344" i="1" a="1"/>
  <c r="V344" i="1"/>
  <c r="V345" i="1" a="1"/>
  <c r="V345" i="1"/>
  <c r="V346" i="1" a="1"/>
  <c r="V346" i="1"/>
  <c r="V347" i="1" a="1"/>
  <c r="V347" i="1"/>
  <c r="V348" i="1" a="1"/>
  <c r="V348" i="1"/>
  <c r="V349" i="1" a="1"/>
  <c r="V349" i="1"/>
  <c r="V350" i="1" a="1"/>
  <c r="V350" i="1"/>
  <c r="V351" i="1" a="1"/>
  <c r="V351" i="1"/>
  <c r="V352" i="1" a="1"/>
  <c r="V352" i="1"/>
  <c r="V353" i="1" a="1"/>
  <c r="V353" i="1"/>
  <c r="V354" i="1" a="1"/>
  <c r="V354" i="1"/>
  <c r="V355" i="1" a="1"/>
  <c r="V355" i="1"/>
  <c r="V356" i="1" a="1"/>
  <c r="V356" i="1"/>
  <c r="V357" i="1" a="1"/>
  <c r="V357" i="1"/>
  <c r="V358" i="1" a="1"/>
  <c r="V358" i="1"/>
  <c r="V359" i="1" a="1"/>
  <c r="V359" i="1"/>
  <c r="V360" i="1" a="1"/>
  <c r="V360" i="1"/>
  <c r="V361" i="1" a="1"/>
  <c r="V361" i="1"/>
  <c r="V362" i="1" a="1"/>
  <c r="V362" i="1"/>
  <c r="V363" i="1" a="1"/>
  <c r="V363" i="1"/>
  <c r="V364" i="1" a="1"/>
  <c r="V364" i="1"/>
  <c r="V365" i="1" a="1"/>
  <c r="V365" i="1"/>
  <c r="V366" i="1" a="1"/>
  <c r="V366" i="1"/>
  <c r="V367" i="1" a="1"/>
  <c r="V367" i="1"/>
  <c r="V368" i="1" a="1"/>
  <c r="V368" i="1"/>
  <c r="V369" i="1" a="1"/>
  <c r="V369" i="1"/>
  <c r="V370" i="1" a="1"/>
  <c r="V370" i="1"/>
  <c r="V371" i="1" a="1"/>
  <c r="V371" i="1"/>
  <c r="V372" i="1" a="1"/>
  <c r="V372" i="1"/>
  <c r="V373" i="1" a="1"/>
  <c r="V373" i="1"/>
  <c r="V374" i="1" a="1"/>
  <c r="V374" i="1"/>
  <c r="V375" i="1" a="1"/>
  <c r="V375" i="1"/>
  <c r="V376" i="1" a="1"/>
  <c r="V376" i="1"/>
  <c r="V377" i="1" a="1"/>
  <c r="V377" i="1"/>
  <c r="V378" i="1" a="1"/>
  <c r="V378" i="1"/>
  <c r="V379" i="1" a="1"/>
  <c r="V379" i="1"/>
  <c r="V380" i="1" a="1"/>
  <c r="V380" i="1"/>
  <c r="V381" i="1" a="1"/>
  <c r="V381" i="1"/>
  <c r="V382" i="1" a="1"/>
  <c r="V382" i="1"/>
  <c r="V383" i="1" a="1"/>
  <c r="V383" i="1"/>
  <c r="V384" i="1" a="1"/>
  <c r="V384" i="1"/>
  <c r="V385" i="1" a="1"/>
  <c r="V385" i="1"/>
  <c r="V386" i="1" a="1"/>
  <c r="V386" i="1"/>
  <c r="V387" i="1" a="1"/>
  <c r="V387" i="1"/>
  <c r="V388" i="1" a="1"/>
  <c r="V388" i="1"/>
  <c r="V389" i="1" a="1"/>
  <c r="V389" i="1"/>
  <c r="V390" i="1" a="1"/>
  <c r="V390" i="1"/>
  <c r="V391" i="1" a="1"/>
  <c r="V391" i="1"/>
  <c r="V392" i="1" a="1"/>
  <c r="V392" i="1"/>
  <c r="V393" i="1" a="1"/>
  <c r="V393" i="1"/>
  <c r="V394" i="1" a="1"/>
  <c r="V394" i="1"/>
  <c r="V395" i="1" a="1"/>
  <c r="V395" i="1"/>
  <c r="V396" i="1" a="1"/>
  <c r="V396" i="1"/>
  <c r="V397" i="1" a="1"/>
  <c r="V397" i="1"/>
  <c r="V398" i="1" a="1"/>
  <c r="V398" i="1"/>
  <c r="V399" i="1" a="1"/>
  <c r="V399" i="1"/>
  <c r="V400" i="1" a="1"/>
  <c r="V400" i="1"/>
  <c r="V401" i="1" a="1"/>
  <c r="V401" i="1"/>
  <c r="V402" i="1" a="1"/>
  <c r="V402" i="1"/>
  <c r="V403" i="1" a="1"/>
  <c r="V403" i="1"/>
  <c r="V404" i="1" a="1"/>
  <c r="V404" i="1"/>
  <c r="V405" i="1" a="1"/>
  <c r="V405" i="1"/>
  <c r="V406" i="1" a="1"/>
  <c r="V406" i="1"/>
  <c r="V407" i="1" a="1"/>
  <c r="V407" i="1"/>
  <c r="V408" i="1" a="1"/>
  <c r="V408" i="1"/>
  <c r="V409" i="1" a="1"/>
  <c r="V409" i="1"/>
  <c r="V410" i="1" a="1"/>
  <c r="V410" i="1"/>
  <c r="V411" i="1" a="1"/>
  <c r="V411" i="1"/>
  <c r="V412" i="1" a="1"/>
  <c r="V412" i="1"/>
  <c r="V413" i="1" a="1"/>
  <c r="V413" i="1"/>
  <c r="V414" i="1" a="1"/>
  <c r="V414" i="1"/>
  <c r="V415" i="1" a="1"/>
  <c r="V415" i="1"/>
  <c r="V416" i="1" a="1"/>
  <c r="V416" i="1"/>
  <c r="V417" i="1" a="1"/>
  <c r="V417" i="1"/>
  <c r="V418" i="1" a="1"/>
  <c r="V418" i="1"/>
  <c r="V419" i="1" a="1"/>
  <c r="V419" i="1"/>
  <c r="V420" i="1" a="1"/>
  <c r="V420" i="1"/>
  <c r="V421" i="1" a="1"/>
  <c r="V421" i="1"/>
  <c r="V422" i="1" a="1"/>
  <c r="V422" i="1"/>
  <c r="V423" i="1" a="1"/>
  <c r="V423" i="1"/>
  <c r="V424" i="1" a="1"/>
  <c r="V424" i="1"/>
  <c r="V425" i="1" a="1"/>
  <c r="V425" i="1"/>
  <c r="V426" i="1" a="1"/>
  <c r="V426" i="1"/>
  <c r="V427" i="1" a="1"/>
  <c r="V427" i="1"/>
  <c r="V428" i="1" a="1"/>
  <c r="V428" i="1"/>
  <c r="V429" i="1" a="1"/>
  <c r="V429" i="1"/>
  <c r="V430" i="1" a="1"/>
  <c r="V430" i="1"/>
  <c r="V431" i="1" a="1"/>
  <c r="V431" i="1"/>
  <c r="V432" i="1" a="1"/>
  <c r="V432" i="1"/>
  <c r="V433" i="1" a="1"/>
  <c r="V433" i="1"/>
  <c r="V434" i="1" a="1"/>
  <c r="V434" i="1"/>
  <c r="V435" i="1" a="1"/>
  <c r="V435" i="1"/>
  <c r="V436" i="1" a="1"/>
  <c r="V436" i="1"/>
  <c r="V437" i="1" a="1"/>
  <c r="V437" i="1"/>
  <c r="V438" i="1" a="1"/>
  <c r="V438" i="1"/>
  <c r="V439" i="1" a="1"/>
  <c r="V439" i="1"/>
  <c r="V440" i="1" a="1"/>
  <c r="V440" i="1"/>
  <c r="V441" i="1" a="1"/>
  <c r="V441" i="1"/>
  <c r="V442" i="1" a="1"/>
  <c r="V442" i="1"/>
  <c r="V443" i="1" a="1"/>
  <c r="V443" i="1"/>
  <c r="V444" i="1" a="1"/>
  <c r="V444" i="1"/>
  <c r="V445" i="1" a="1"/>
  <c r="V445" i="1"/>
  <c r="V446" i="1" a="1"/>
  <c r="V446" i="1"/>
  <c r="V447" i="1" a="1"/>
  <c r="V447" i="1"/>
  <c r="V448" i="1" a="1"/>
  <c r="V448" i="1"/>
  <c r="V449" i="1" a="1"/>
  <c r="V449" i="1"/>
  <c r="V450" i="1" a="1"/>
  <c r="V450" i="1"/>
  <c r="V451" i="1" a="1"/>
  <c r="V451" i="1"/>
  <c r="V452" i="1" a="1"/>
  <c r="V452" i="1"/>
  <c r="V453" i="1" a="1"/>
  <c r="V453" i="1"/>
  <c r="V454" i="1" a="1"/>
  <c r="V454" i="1"/>
  <c r="V455" i="1" a="1"/>
  <c r="V455" i="1"/>
  <c r="V456" i="1" a="1"/>
  <c r="V456" i="1"/>
  <c r="V457" i="1" a="1"/>
  <c r="V457" i="1"/>
  <c r="V458" i="1" a="1"/>
  <c r="V458" i="1"/>
  <c r="V459" i="1" a="1"/>
  <c r="V459" i="1"/>
  <c r="V460" i="1" a="1"/>
  <c r="V460" i="1"/>
  <c r="V461" i="1" a="1"/>
  <c r="V461" i="1"/>
  <c r="V462" i="1" a="1"/>
  <c r="V462" i="1"/>
  <c r="V463" i="1" a="1"/>
  <c r="V463" i="1"/>
  <c r="V464" i="1" a="1"/>
  <c r="V464" i="1"/>
  <c r="V465" i="1" a="1"/>
  <c r="V465" i="1"/>
  <c r="V466" i="1" a="1"/>
  <c r="V466" i="1"/>
  <c r="V467" i="1" a="1"/>
  <c r="V467" i="1"/>
  <c r="V468" i="1" a="1"/>
  <c r="V468" i="1"/>
  <c r="V469" i="1" a="1"/>
  <c r="V469" i="1"/>
  <c r="V470" i="1" a="1"/>
  <c r="V470" i="1"/>
  <c r="V471" i="1" a="1"/>
  <c r="V471" i="1"/>
  <c r="V472" i="1" a="1"/>
  <c r="V472" i="1"/>
  <c r="V473" i="1" a="1"/>
  <c r="V473" i="1"/>
  <c r="V474" i="1" a="1"/>
  <c r="V474" i="1"/>
  <c r="V475" i="1" a="1"/>
  <c r="V475" i="1"/>
  <c r="V476" i="1" a="1"/>
  <c r="V476" i="1"/>
  <c r="V477" i="1" a="1"/>
  <c r="V477" i="1"/>
  <c r="V478" i="1" a="1"/>
  <c r="V478" i="1"/>
  <c r="V479" i="1" a="1"/>
  <c r="V479" i="1"/>
  <c r="V480" i="1" a="1"/>
  <c r="V480" i="1"/>
  <c r="V481" i="1" a="1"/>
  <c r="V481" i="1"/>
  <c r="V482" i="1" a="1"/>
  <c r="V482" i="1"/>
  <c r="V483" i="1" a="1"/>
  <c r="V483" i="1"/>
  <c r="V484" i="1" a="1"/>
  <c r="V484" i="1"/>
  <c r="V485" i="1" a="1"/>
  <c r="V485" i="1"/>
  <c r="V486" i="1" a="1"/>
  <c r="V486" i="1"/>
  <c r="V487" i="1" a="1"/>
  <c r="V487" i="1"/>
  <c r="V488" i="1" a="1"/>
  <c r="V488" i="1"/>
  <c r="V489" i="1" a="1"/>
  <c r="V489" i="1"/>
  <c r="V490" i="1" a="1"/>
  <c r="V490" i="1"/>
  <c r="V491" i="1" a="1"/>
  <c r="V491" i="1"/>
  <c r="V492" i="1" a="1"/>
  <c r="V492" i="1"/>
  <c r="V493" i="1" a="1"/>
  <c r="V493" i="1"/>
  <c r="V494" i="1" a="1"/>
  <c r="V494" i="1"/>
  <c r="V495" i="1" a="1"/>
  <c r="V495" i="1"/>
  <c r="V496" i="1" a="1"/>
  <c r="V496" i="1"/>
  <c r="V497" i="1" a="1"/>
  <c r="V497" i="1"/>
  <c r="V498" i="1" a="1"/>
  <c r="V498" i="1"/>
  <c r="V499" i="1" a="1"/>
  <c r="V499" i="1"/>
  <c r="V500" i="1" a="1"/>
  <c r="V500" i="1"/>
  <c r="V501" i="1" a="1"/>
  <c r="V501" i="1"/>
  <c r="V502" i="1" a="1"/>
  <c r="V502" i="1"/>
  <c r="V503" i="1" a="1"/>
  <c r="V503" i="1"/>
  <c r="V504" i="1" a="1"/>
  <c r="V504" i="1"/>
  <c r="V505" i="1" a="1"/>
  <c r="V505" i="1"/>
  <c r="V506" i="1" a="1"/>
  <c r="V506" i="1"/>
  <c r="V507" i="1" a="1"/>
  <c r="V507" i="1"/>
  <c r="V508" i="1" a="1"/>
  <c r="V508" i="1"/>
  <c r="V509" i="1" a="1"/>
  <c r="V509" i="1"/>
  <c r="V510" i="1" a="1"/>
  <c r="V510" i="1"/>
  <c r="V511" i="1" a="1"/>
  <c r="V511" i="1"/>
  <c r="V512" i="1" a="1"/>
  <c r="V512" i="1"/>
  <c r="V513" i="1" a="1"/>
  <c r="V513" i="1"/>
  <c r="V514" i="1" a="1"/>
  <c r="V514" i="1"/>
  <c r="V515" i="1" a="1"/>
  <c r="V515" i="1"/>
  <c r="V516" i="1" a="1"/>
  <c r="V516" i="1"/>
  <c r="V517" i="1" a="1"/>
  <c r="V517" i="1"/>
  <c r="V518" i="1" a="1"/>
  <c r="V518" i="1"/>
  <c r="V519" i="1" a="1"/>
  <c r="V519" i="1"/>
  <c r="V520" i="1" a="1"/>
  <c r="V520" i="1"/>
  <c r="V521" i="1" a="1"/>
  <c r="V521" i="1"/>
  <c r="V522" i="1" a="1"/>
  <c r="V522" i="1"/>
  <c r="V523" i="1" a="1"/>
  <c r="V523" i="1"/>
  <c r="V524" i="1" a="1"/>
  <c r="V524" i="1"/>
  <c r="V525" i="1" a="1"/>
  <c r="V525" i="1"/>
  <c r="V526" i="1" a="1"/>
  <c r="V526" i="1"/>
  <c r="V527" i="1" a="1"/>
  <c r="V527" i="1"/>
  <c r="V528" i="1" a="1"/>
  <c r="V528" i="1"/>
  <c r="V529" i="1" a="1"/>
  <c r="V529" i="1"/>
  <c r="V79" i="1" a="1"/>
  <c r="V79" i="1"/>
  <c r="W79" i="1" a="1"/>
  <c r="W79" i="1"/>
  <c r="X79" i="1" a="1"/>
  <c r="X79" i="1"/>
  <c r="U80" i="1" a="1"/>
  <c r="U80" i="1"/>
  <c r="U81" i="1" a="1"/>
  <c r="U81" i="1"/>
  <c r="U82" i="1" a="1"/>
  <c r="U82" i="1"/>
  <c r="U83" i="1" a="1"/>
  <c r="U83" i="1"/>
  <c r="U84" i="1" a="1"/>
  <c r="U84" i="1"/>
  <c r="U85" i="1" a="1"/>
  <c r="U85" i="1"/>
  <c r="U86" i="1" a="1"/>
  <c r="U86" i="1"/>
  <c r="U87" i="1" a="1"/>
  <c r="U87" i="1"/>
  <c r="U88" i="1" a="1"/>
  <c r="U88" i="1"/>
  <c r="U89" i="1" a="1"/>
  <c r="U89" i="1"/>
  <c r="U90" i="1" a="1"/>
  <c r="U90" i="1"/>
  <c r="U91" i="1" a="1"/>
  <c r="U91" i="1"/>
  <c r="U92" i="1" a="1"/>
  <c r="U92" i="1"/>
  <c r="U93" i="1" a="1"/>
  <c r="U93" i="1"/>
  <c r="U94" i="1" a="1"/>
  <c r="U94" i="1"/>
  <c r="U95" i="1" a="1"/>
  <c r="U95" i="1"/>
  <c r="U96" i="1" a="1"/>
  <c r="U96" i="1"/>
  <c r="U97" i="1" a="1"/>
  <c r="U97" i="1"/>
  <c r="U98" i="1" a="1"/>
  <c r="U98" i="1"/>
  <c r="U99" i="1" a="1"/>
  <c r="U99" i="1"/>
  <c r="U100" i="1" a="1"/>
  <c r="U100" i="1"/>
  <c r="U101" i="1" a="1"/>
  <c r="U101" i="1"/>
  <c r="U102" i="1" a="1"/>
  <c r="U102" i="1"/>
  <c r="U103" i="1" a="1"/>
  <c r="U103" i="1"/>
  <c r="U104" i="1" a="1"/>
  <c r="U104" i="1"/>
  <c r="U105" i="1" a="1"/>
  <c r="U105" i="1"/>
  <c r="U106" i="1" a="1"/>
  <c r="U106" i="1"/>
  <c r="U107" i="1" a="1"/>
  <c r="U107" i="1"/>
  <c r="U108" i="1" a="1"/>
  <c r="U108" i="1"/>
  <c r="U109" i="1" a="1"/>
  <c r="U109" i="1"/>
  <c r="U110" i="1" a="1"/>
  <c r="U110" i="1"/>
  <c r="U111" i="1" a="1"/>
  <c r="U111" i="1"/>
  <c r="U112" i="1" a="1"/>
  <c r="U112" i="1"/>
  <c r="U113" i="1" a="1"/>
  <c r="U113" i="1"/>
  <c r="U114" i="1" a="1"/>
  <c r="U114" i="1"/>
  <c r="U115" i="1" a="1"/>
  <c r="U115" i="1"/>
  <c r="U116" i="1" a="1"/>
  <c r="U116" i="1"/>
  <c r="U117" i="1" a="1"/>
  <c r="U117" i="1"/>
  <c r="U118" i="1" a="1"/>
  <c r="U118" i="1"/>
  <c r="U119" i="1" a="1"/>
  <c r="U119" i="1"/>
  <c r="U120" i="1" a="1"/>
  <c r="U120" i="1"/>
  <c r="U121" i="1" a="1"/>
  <c r="U121" i="1"/>
  <c r="U122" i="1" a="1"/>
  <c r="U122" i="1"/>
  <c r="U123" i="1" a="1"/>
  <c r="U123" i="1"/>
  <c r="U124" i="1" a="1"/>
  <c r="U124" i="1"/>
  <c r="U125" i="1" a="1"/>
  <c r="U125" i="1"/>
  <c r="U126" i="1" a="1"/>
  <c r="U126" i="1"/>
  <c r="U127" i="1" a="1"/>
  <c r="U127" i="1"/>
  <c r="U128" i="1" a="1"/>
  <c r="U128" i="1"/>
  <c r="U129" i="1" a="1"/>
  <c r="U129" i="1"/>
  <c r="U130" i="1" a="1"/>
  <c r="U130" i="1"/>
  <c r="U131" i="1" a="1"/>
  <c r="U131" i="1"/>
  <c r="U132" i="1" a="1"/>
  <c r="U132" i="1"/>
  <c r="U133" i="1" a="1"/>
  <c r="U133" i="1"/>
  <c r="U134" i="1" a="1"/>
  <c r="U134" i="1"/>
  <c r="U135" i="1" a="1"/>
  <c r="U135" i="1"/>
  <c r="U136" i="1" a="1"/>
  <c r="U136" i="1"/>
  <c r="U137" i="1" a="1"/>
  <c r="U137" i="1"/>
  <c r="U138" i="1" a="1"/>
  <c r="U138" i="1"/>
  <c r="U139" i="1" a="1"/>
  <c r="U139" i="1"/>
  <c r="U140" i="1" a="1"/>
  <c r="U140" i="1"/>
  <c r="U141" i="1" a="1"/>
  <c r="U141" i="1"/>
  <c r="U142" i="1" a="1"/>
  <c r="U142" i="1"/>
  <c r="U143" i="1" a="1"/>
  <c r="U143" i="1"/>
  <c r="U144" i="1" a="1"/>
  <c r="U144" i="1"/>
  <c r="U145" i="1" a="1"/>
  <c r="U145" i="1"/>
  <c r="U146" i="1" a="1"/>
  <c r="U146" i="1"/>
  <c r="U147" i="1" a="1"/>
  <c r="U147" i="1"/>
  <c r="U148" i="1" a="1"/>
  <c r="U148" i="1"/>
  <c r="U149" i="1" a="1"/>
  <c r="U149" i="1"/>
  <c r="U150" i="1" a="1"/>
  <c r="U150" i="1"/>
  <c r="U151" i="1" a="1"/>
  <c r="U151" i="1"/>
  <c r="U152" i="1" a="1"/>
  <c r="U152" i="1"/>
  <c r="U153" i="1" a="1"/>
  <c r="U153" i="1"/>
  <c r="U154" i="1" a="1"/>
  <c r="U154" i="1"/>
  <c r="U155" i="1" a="1"/>
  <c r="U155" i="1"/>
  <c r="U156" i="1" a="1"/>
  <c r="U156" i="1"/>
  <c r="U157" i="1" a="1"/>
  <c r="U157" i="1"/>
  <c r="U158" i="1" a="1"/>
  <c r="U158" i="1"/>
  <c r="U159" i="1" a="1"/>
  <c r="U159" i="1"/>
  <c r="U160" i="1" a="1"/>
  <c r="U160" i="1"/>
  <c r="U161" i="1" a="1"/>
  <c r="U161" i="1"/>
  <c r="U162" i="1" a="1"/>
  <c r="U162" i="1"/>
  <c r="U163" i="1" a="1"/>
  <c r="U163" i="1"/>
  <c r="U164" i="1" a="1"/>
  <c r="U164" i="1"/>
  <c r="U165" i="1" a="1"/>
  <c r="U165" i="1"/>
  <c r="U166" i="1" a="1"/>
  <c r="U166" i="1"/>
  <c r="U167" i="1" a="1"/>
  <c r="U167" i="1"/>
  <c r="U168" i="1" a="1"/>
  <c r="U168" i="1"/>
  <c r="U169" i="1" a="1"/>
  <c r="U169" i="1"/>
  <c r="U170" i="1" a="1"/>
  <c r="U170" i="1"/>
  <c r="U171" i="1" a="1"/>
  <c r="U171" i="1"/>
  <c r="U172" i="1" a="1"/>
  <c r="U172" i="1"/>
  <c r="U173" i="1" a="1"/>
  <c r="U173" i="1"/>
  <c r="U174" i="1" a="1"/>
  <c r="U174" i="1"/>
  <c r="U175" i="1" a="1"/>
  <c r="U175" i="1"/>
  <c r="U176" i="1" a="1"/>
  <c r="U176" i="1"/>
  <c r="U177" i="1" a="1"/>
  <c r="U177" i="1"/>
  <c r="U178" i="1" a="1"/>
  <c r="U178" i="1"/>
  <c r="U179" i="1" a="1"/>
  <c r="U179" i="1"/>
  <c r="U180" i="1" a="1"/>
  <c r="U180" i="1"/>
  <c r="U181" i="1" a="1"/>
  <c r="U181" i="1"/>
  <c r="U182" i="1" a="1"/>
  <c r="U182" i="1"/>
  <c r="U183" i="1" a="1"/>
  <c r="U183" i="1"/>
  <c r="U184" i="1" a="1"/>
  <c r="U184" i="1"/>
  <c r="U185" i="1" a="1"/>
  <c r="U185" i="1"/>
  <c r="U186" i="1" a="1"/>
  <c r="U186" i="1"/>
  <c r="U187" i="1" a="1"/>
  <c r="U187" i="1"/>
  <c r="U188" i="1" a="1"/>
  <c r="U188" i="1"/>
  <c r="U189" i="1" a="1"/>
  <c r="U189" i="1"/>
  <c r="U190" i="1" a="1"/>
  <c r="U190" i="1"/>
  <c r="U191" i="1" a="1"/>
  <c r="U191" i="1"/>
  <c r="U192" i="1" a="1"/>
  <c r="U192" i="1"/>
  <c r="U193" i="1" a="1"/>
  <c r="U193" i="1"/>
  <c r="U194" i="1" a="1"/>
  <c r="U194" i="1"/>
  <c r="U195" i="1" a="1"/>
  <c r="U195" i="1"/>
  <c r="U196" i="1" a="1"/>
  <c r="U196" i="1"/>
  <c r="U197" i="1" a="1"/>
  <c r="U197" i="1"/>
  <c r="U198" i="1" a="1"/>
  <c r="U198" i="1"/>
  <c r="U199" i="1" a="1"/>
  <c r="U199" i="1"/>
  <c r="U200" i="1" a="1"/>
  <c r="U200" i="1"/>
  <c r="U201" i="1" a="1"/>
  <c r="U201" i="1"/>
  <c r="U202" i="1" a="1"/>
  <c r="U202" i="1"/>
  <c r="U203" i="1" a="1"/>
  <c r="U203" i="1"/>
  <c r="U204" i="1" a="1"/>
  <c r="U204" i="1"/>
  <c r="U205" i="1" a="1"/>
  <c r="U205" i="1"/>
  <c r="U206" i="1" a="1"/>
  <c r="U206" i="1"/>
  <c r="U207" i="1" a="1"/>
  <c r="U207" i="1"/>
  <c r="U208" i="1" a="1"/>
  <c r="U208" i="1"/>
  <c r="U209" i="1" a="1"/>
  <c r="U209" i="1"/>
  <c r="U210" i="1" a="1"/>
  <c r="U210" i="1"/>
  <c r="U211" i="1" a="1"/>
  <c r="U211" i="1"/>
  <c r="U212" i="1" a="1"/>
  <c r="U212" i="1"/>
  <c r="U213" i="1" a="1"/>
  <c r="U213" i="1"/>
  <c r="U214" i="1" a="1"/>
  <c r="U214" i="1"/>
  <c r="U215" i="1" a="1"/>
  <c r="U215" i="1"/>
  <c r="U216" i="1" a="1"/>
  <c r="U216" i="1"/>
  <c r="U217" i="1" a="1"/>
  <c r="U217" i="1"/>
  <c r="U218" i="1" a="1"/>
  <c r="U218" i="1"/>
  <c r="U219" i="1" a="1"/>
  <c r="U219" i="1"/>
  <c r="U220" i="1" a="1"/>
  <c r="U220" i="1"/>
  <c r="U221" i="1" a="1"/>
  <c r="U221" i="1"/>
  <c r="U222" i="1" a="1"/>
  <c r="U222" i="1"/>
  <c r="U223" i="1" a="1"/>
  <c r="U223" i="1"/>
  <c r="U224" i="1" a="1"/>
  <c r="U224" i="1"/>
  <c r="U225" i="1" a="1"/>
  <c r="U225" i="1"/>
  <c r="U226" i="1" a="1"/>
  <c r="U226" i="1"/>
  <c r="U227" i="1" a="1"/>
  <c r="U227" i="1"/>
  <c r="U228" i="1" a="1"/>
  <c r="U228" i="1"/>
  <c r="U229" i="1" a="1"/>
  <c r="U229" i="1"/>
  <c r="U230" i="1" a="1"/>
  <c r="U230" i="1"/>
  <c r="U231" i="1" a="1"/>
  <c r="U231" i="1"/>
  <c r="U232" i="1" a="1"/>
  <c r="U232" i="1"/>
  <c r="U233" i="1" a="1"/>
  <c r="U233" i="1"/>
  <c r="U234" i="1" a="1"/>
  <c r="U234" i="1"/>
  <c r="U235" i="1" a="1"/>
  <c r="U235" i="1"/>
  <c r="U236" i="1" a="1"/>
  <c r="U236" i="1"/>
  <c r="U237" i="1" a="1"/>
  <c r="U237" i="1"/>
  <c r="U238" i="1" a="1"/>
  <c r="U238" i="1"/>
  <c r="U239" i="1" a="1"/>
  <c r="U239" i="1"/>
  <c r="U240" i="1" a="1"/>
  <c r="U240" i="1"/>
  <c r="U241" i="1" a="1"/>
  <c r="U241" i="1"/>
  <c r="U242" i="1" a="1"/>
  <c r="U242" i="1"/>
  <c r="U243" i="1" a="1"/>
  <c r="U243" i="1"/>
  <c r="U244" i="1" a="1"/>
  <c r="U244" i="1"/>
  <c r="U245" i="1" a="1"/>
  <c r="U245" i="1"/>
  <c r="U246" i="1" a="1"/>
  <c r="U246" i="1"/>
  <c r="U247" i="1" a="1"/>
  <c r="U247" i="1"/>
  <c r="U248" i="1" a="1"/>
  <c r="U248" i="1"/>
  <c r="U249" i="1" a="1"/>
  <c r="U249" i="1"/>
  <c r="U250" i="1" a="1"/>
  <c r="U250" i="1"/>
  <c r="U251" i="1" a="1"/>
  <c r="U251" i="1"/>
  <c r="U252" i="1" a="1"/>
  <c r="U252" i="1"/>
  <c r="U253" i="1" a="1"/>
  <c r="U253" i="1"/>
  <c r="U254" i="1" a="1"/>
  <c r="U254" i="1"/>
  <c r="U255" i="1" a="1"/>
  <c r="U255" i="1"/>
  <c r="U256" i="1" a="1"/>
  <c r="U256" i="1"/>
  <c r="U257" i="1" a="1"/>
  <c r="U257" i="1"/>
  <c r="U258" i="1" a="1"/>
  <c r="U258" i="1"/>
  <c r="U259" i="1" a="1"/>
  <c r="U259" i="1"/>
  <c r="U260" i="1" a="1"/>
  <c r="U260" i="1"/>
  <c r="U261" i="1" a="1"/>
  <c r="U261" i="1"/>
  <c r="U262" i="1" a="1"/>
  <c r="U262" i="1"/>
  <c r="U263" i="1" a="1"/>
  <c r="U263" i="1"/>
  <c r="U264" i="1" a="1"/>
  <c r="U264" i="1"/>
  <c r="U265" i="1" a="1"/>
  <c r="U265" i="1"/>
  <c r="U266" i="1" a="1"/>
  <c r="U266" i="1"/>
  <c r="U267" i="1" a="1"/>
  <c r="U267" i="1"/>
  <c r="U268" i="1" a="1"/>
  <c r="U268" i="1"/>
  <c r="U269" i="1" a="1"/>
  <c r="U269" i="1"/>
  <c r="U270" i="1" a="1"/>
  <c r="U270" i="1"/>
  <c r="U271" i="1" a="1"/>
  <c r="U271" i="1"/>
  <c r="U272" i="1" a="1"/>
  <c r="U272" i="1"/>
  <c r="U273" i="1" a="1"/>
  <c r="U273" i="1"/>
  <c r="U274" i="1" a="1"/>
  <c r="U274" i="1"/>
  <c r="U275" i="1" a="1"/>
  <c r="U275" i="1"/>
  <c r="U276" i="1" a="1"/>
  <c r="U276" i="1"/>
  <c r="U277" i="1" a="1"/>
  <c r="U277" i="1"/>
  <c r="U278" i="1" a="1"/>
  <c r="U278" i="1"/>
  <c r="U279" i="1" a="1"/>
  <c r="U279" i="1"/>
  <c r="U280" i="1" a="1"/>
  <c r="U280" i="1"/>
  <c r="U281" i="1" a="1"/>
  <c r="U281" i="1"/>
  <c r="U282" i="1" a="1"/>
  <c r="U282" i="1"/>
  <c r="U283" i="1" a="1"/>
  <c r="U283" i="1"/>
  <c r="U284" i="1" a="1"/>
  <c r="U284" i="1"/>
  <c r="U285" i="1" a="1"/>
  <c r="U285" i="1"/>
  <c r="U286" i="1" a="1"/>
  <c r="U286" i="1"/>
  <c r="U287" i="1" a="1"/>
  <c r="U287" i="1"/>
  <c r="U288" i="1" a="1"/>
  <c r="U288" i="1"/>
  <c r="U289" i="1" a="1"/>
  <c r="U289" i="1"/>
  <c r="U290" i="1" a="1"/>
  <c r="U290" i="1"/>
  <c r="U291" i="1" a="1"/>
  <c r="U291" i="1"/>
  <c r="U292" i="1" a="1"/>
  <c r="U292" i="1"/>
  <c r="U293" i="1" a="1"/>
  <c r="U293" i="1"/>
  <c r="U294" i="1" a="1"/>
  <c r="U294" i="1"/>
  <c r="U295" i="1" a="1"/>
  <c r="U295" i="1"/>
  <c r="U296" i="1" a="1"/>
  <c r="U296" i="1"/>
  <c r="U297" i="1" a="1"/>
  <c r="U297" i="1"/>
  <c r="U298" i="1" a="1"/>
  <c r="U298" i="1"/>
  <c r="U299" i="1" a="1"/>
  <c r="U299" i="1"/>
  <c r="U300" i="1" a="1"/>
  <c r="U300" i="1"/>
  <c r="U301" i="1" a="1"/>
  <c r="U301" i="1"/>
  <c r="U302" i="1" a="1"/>
  <c r="U302" i="1"/>
  <c r="U303" i="1" a="1"/>
  <c r="U303" i="1"/>
  <c r="U304" i="1" a="1"/>
  <c r="U304" i="1"/>
  <c r="U305" i="1" a="1"/>
  <c r="U305" i="1"/>
  <c r="U306" i="1" a="1"/>
  <c r="U306" i="1"/>
  <c r="U307" i="1" a="1"/>
  <c r="U307" i="1"/>
  <c r="U308" i="1" a="1"/>
  <c r="U308" i="1"/>
  <c r="U309" i="1" a="1"/>
  <c r="U309" i="1"/>
  <c r="U310" i="1" a="1"/>
  <c r="U310" i="1"/>
  <c r="U311" i="1" a="1"/>
  <c r="U311" i="1"/>
  <c r="U312" i="1" a="1"/>
  <c r="U312" i="1"/>
  <c r="U313" i="1" a="1"/>
  <c r="U313" i="1"/>
  <c r="U314" i="1" a="1"/>
  <c r="U314" i="1"/>
  <c r="U315" i="1" a="1"/>
  <c r="U315" i="1"/>
  <c r="U316" i="1" a="1"/>
  <c r="U316" i="1"/>
  <c r="U317" i="1" a="1"/>
  <c r="U317" i="1"/>
  <c r="U318" i="1" a="1"/>
  <c r="U318" i="1"/>
  <c r="U319" i="1" a="1"/>
  <c r="U319" i="1"/>
  <c r="U320" i="1" a="1"/>
  <c r="U320" i="1"/>
  <c r="U321" i="1" a="1"/>
  <c r="U321" i="1"/>
  <c r="U322" i="1" a="1"/>
  <c r="U322" i="1"/>
  <c r="U323" i="1" a="1"/>
  <c r="U323" i="1"/>
  <c r="U324" i="1" a="1"/>
  <c r="U324" i="1"/>
  <c r="U325" i="1" a="1"/>
  <c r="U325" i="1"/>
  <c r="U326" i="1" a="1"/>
  <c r="U326" i="1"/>
  <c r="U327" i="1" a="1"/>
  <c r="U327" i="1"/>
  <c r="U328" i="1" a="1"/>
  <c r="U328" i="1"/>
  <c r="U329" i="1" a="1"/>
  <c r="U329" i="1"/>
  <c r="U330" i="1" a="1"/>
  <c r="U330" i="1"/>
  <c r="U331" i="1" a="1"/>
  <c r="U331" i="1"/>
  <c r="U332" i="1" a="1"/>
  <c r="U332" i="1"/>
  <c r="U333" i="1" a="1"/>
  <c r="U333" i="1"/>
  <c r="U334" i="1" a="1"/>
  <c r="U334" i="1"/>
  <c r="U335" i="1" a="1"/>
  <c r="U335" i="1"/>
  <c r="U336" i="1" a="1"/>
  <c r="U336" i="1"/>
  <c r="U337" i="1" a="1"/>
  <c r="U337" i="1"/>
  <c r="U338" i="1" a="1"/>
  <c r="U338" i="1"/>
  <c r="U339" i="1" a="1"/>
  <c r="U339" i="1"/>
  <c r="U340" i="1" a="1"/>
  <c r="U340" i="1"/>
  <c r="U341" i="1" a="1"/>
  <c r="U341" i="1"/>
  <c r="U342" i="1" a="1"/>
  <c r="U342" i="1"/>
  <c r="U343" i="1" a="1"/>
  <c r="U343" i="1"/>
  <c r="U344" i="1" a="1"/>
  <c r="U344" i="1"/>
  <c r="U345" i="1" a="1"/>
  <c r="U345" i="1"/>
  <c r="U346" i="1" a="1"/>
  <c r="U346" i="1"/>
  <c r="U347" i="1" a="1"/>
  <c r="U347" i="1"/>
  <c r="U348" i="1" a="1"/>
  <c r="U348" i="1"/>
  <c r="U349" i="1" a="1"/>
  <c r="U349" i="1"/>
  <c r="U350" i="1" a="1"/>
  <c r="U350" i="1"/>
  <c r="U351" i="1" a="1"/>
  <c r="U351" i="1"/>
  <c r="U352" i="1" a="1"/>
  <c r="U352" i="1"/>
  <c r="U353" i="1" a="1"/>
  <c r="U353" i="1"/>
  <c r="U354" i="1" a="1"/>
  <c r="U354" i="1"/>
  <c r="U355" i="1" a="1"/>
  <c r="U355" i="1"/>
  <c r="U356" i="1" a="1"/>
  <c r="U356" i="1"/>
  <c r="U357" i="1" a="1"/>
  <c r="U357" i="1"/>
  <c r="U358" i="1" a="1"/>
  <c r="U358" i="1"/>
  <c r="U359" i="1" a="1"/>
  <c r="U359" i="1"/>
  <c r="U360" i="1" a="1"/>
  <c r="U360" i="1"/>
  <c r="U361" i="1" a="1"/>
  <c r="U361" i="1"/>
  <c r="U362" i="1" a="1"/>
  <c r="U362" i="1"/>
  <c r="U363" i="1" a="1"/>
  <c r="U363" i="1"/>
  <c r="U364" i="1" a="1"/>
  <c r="U364" i="1"/>
  <c r="U365" i="1" a="1"/>
  <c r="U365" i="1"/>
  <c r="U366" i="1" a="1"/>
  <c r="U366" i="1"/>
  <c r="U367" i="1" a="1"/>
  <c r="U367" i="1"/>
  <c r="U368" i="1" a="1"/>
  <c r="U368" i="1"/>
  <c r="U369" i="1" a="1"/>
  <c r="U369" i="1"/>
  <c r="U370" i="1" a="1"/>
  <c r="U370" i="1"/>
  <c r="U371" i="1" a="1"/>
  <c r="U371" i="1"/>
  <c r="U372" i="1" a="1"/>
  <c r="U372" i="1"/>
  <c r="U373" i="1" a="1"/>
  <c r="U373" i="1"/>
  <c r="U374" i="1" a="1"/>
  <c r="U374" i="1"/>
  <c r="U375" i="1" a="1"/>
  <c r="U375" i="1"/>
  <c r="U376" i="1" a="1"/>
  <c r="U376" i="1"/>
  <c r="U377" i="1" a="1"/>
  <c r="U377" i="1"/>
  <c r="U378" i="1" a="1"/>
  <c r="U378" i="1"/>
  <c r="U379" i="1" a="1"/>
  <c r="U379" i="1"/>
  <c r="U380" i="1" a="1"/>
  <c r="U380" i="1"/>
  <c r="U381" i="1" a="1"/>
  <c r="U381" i="1"/>
  <c r="U382" i="1" a="1"/>
  <c r="U382" i="1"/>
  <c r="U383" i="1" a="1"/>
  <c r="U383" i="1"/>
  <c r="U384" i="1" a="1"/>
  <c r="U384" i="1"/>
  <c r="U385" i="1" a="1"/>
  <c r="U385" i="1"/>
  <c r="U386" i="1" a="1"/>
  <c r="U386" i="1"/>
  <c r="U387" i="1" a="1"/>
  <c r="U387" i="1"/>
  <c r="U388" i="1" a="1"/>
  <c r="U388" i="1"/>
  <c r="U389" i="1" a="1"/>
  <c r="U389" i="1"/>
  <c r="U390" i="1" a="1"/>
  <c r="U390" i="1"/>
  <c r="U391" i="1" a="1"/>
  <c r="U391" i="1"/>
  <c r="U392" i="1" a="1"/>
  <c r="U392" i="1"/>
  <c r="U393" i="1" a="1"/>
  <c r="U393" i="1"/>
  <c r="U394" i="1" a="1"/>
  <c r="U394" i="1"/>
  <c r="U395" i="1" a="1"/>
  <c r="U395" i="1"/>
  <c r="U396" i="1" a="1"/>
  <c r="U396" i="1"/>
  <c r="U397" i="1" a="1"/>
  <c r="U397" i="1"/>
  <c r="U398" i="1" a="1"/>
  <c r="U398" i="1"/>
  <c r="U399" i="1" a="1"/>
  <c r="U399" i="1"/>
  <c r="U400" i="1" a="1"/>
  <c r="U400" i="1"/>
  <c r="U401" i="1" a="1"/>
  <c r="U401" i="1"/>
  <c r="U402" i="1" a="1"/>
  <c r="U402" i="1"/>
  <c r="U403" i="1" a="1"/>
  <c r="U403" i="1"/>
  <c r="U404" i="1" a="1"/>
  <c r="U404" i="1"/>
  <c r="U405" i="1" a="1"/>
  <c r="U405" i="1"/>
  <c r="U406" i="1" a="1"/>
  <c r="U406" i="1"/>
  <c r="U407" i="1" a="1"/>
  <c r="U407" i="1"/>
  <c r="U408" i="1" a="1"/>
  <c r="U408" i="1"/>
  <c r="U409" i="1" a="1"/>
  <c r="U409" i="1"/>
  <c r="U410" i="1" a="1"/>
  <c r="U410" i="1"/>
  <c r="U411" i="1" a="1"/>
  <c r="U411" i="1"/>
  <c r="U412" i="1" a="1"/>
  <c r="U412" i="1"/>
  <c r="U413" i="1" a="1"/>
  <c r="U413" i="1"/>
  <c r="U414" i="1" a="1"/>
  <c r="U414" i="1"/>
  <c r="U415" i="1" a="1"/>
  <c r="U415" i="1"/>
  <c r="U416" i="1" a="1"/>
  <c r="U416" i="1"/>
  <c r="U417" i="1" a="1"/>
  <c r="U417" i="1"/>
  <c r="U418" i="1" a="1"/>
  <c r="U418" i="1"/>
  <c r="U419" i="1" a="1"/>
  <c r="U419" i="1"/>
  <c r="U420" i="1" a="1"/>
  <c r="U420" i="1"/>
  <c r="U421" i="1" a="1"/>
  <c r="U421" i="1"/>
  <c r="U422" i="1" a="1"/>
  <c r="U422" i="1"/>
  <c r="U423" i="1" a="1"/>
  <c r="U423" i="1"/>
  <c r="U424" i="1" a="1"/>
  <c r="U424" i="1"/>
  <c r="U425" i="1" a="1"/>
  <c r="U425" i="1"/>
  <c r="U426" i="1" a="1"/>
  <c r="U426" i="1"/>
  <c r="U427" i="1" a="1"/>
  <c r="U427" i="1"/>
  <c r="U428" i="1" a="1"/>
  <c r="U428" i="1"/>
  <c r="U429" i="1" a="1"/>
  <c r="U429" i="1"/>
  <c r="U430" i="1" a="1"/>
  <c r="U430" i="1"/>
  <c r="U431" i="1" a="1"/>
  <c r="U431" i="1"/>
  <c r="U432" i="1" a="1"/>
  <c r="U432" i="1"/>
  <c r="U433" i="1" a="1"/>
  <c r="U433" i="1"/>
  <c r="U434" i="1" a="1"/>
  <c r="U434" i="1"/>
  <c r="U435" i="1" a="1"/>
  <c r="U435" i="1"/>
  <c r="U436" i="1" a="1"/>
  <c r="U436" i="1"/>
  <c r="U437" i="1" a="1"/>
  <c r="U437" i="1"/>
  <c r="U438" i="1" a="1"/>
  <c r="U438" i="1"/>
  <c r="U439" i="1" a="1"/>
  <c r="U439" i="1"/>
  <c r="U440" i="1" a="1"/>
  <c r="U440" i="1"/>
  <c r="U441" i="1" a="1"/>
  <c r="U441" i="1"/>
  <c r="U442" i="1" a="1"/>
  <c r="U442" i="1"/>
  <c r="U443" i="1" a="1"/>
  <c r="U443" i="1"/>
  <c r="U444" i="1" a="1"/>
  <c r="U444" i="1"/>
  <c r="U445" i="1" a="1"/>
  <c r="U445" i="1"/>
  <c r="U446" i="1" a="1"/>
  <c r="U446" i="1"/>
  <c r="U447" i="1" a="1"/>
  <c r="U447" i="1"/>
  <c r="U448" i="1" a="1"/>
  <c r="U448" i="1"/>
  <c r="U449" i="1" a="1"/>
  <c r="U449" i="1"/>
  <c r="U450" i="1" a="1"/>
  <c r="U450" i="1"/>
  <c r="U451" i="1" a="1"/>
  <c r="U451" i="1"/>
  <c r="U452" i="1" a="1"/>
  <c r="U452" i="1"/>
  <c r="U453" i="1" a="1"/>
  <c r="U453" i="1"/>
  <c r="U454" i="1" a="1"/>
  <c r="U454" i="1"/>
  <c r="U455" i="1" a="1"/>
  <c r="U455" i="1"/>
  <c r="U456" i="1" a="1"/>
  <c r="U456" i="1"/>
  <c r="U457" i="1" a="1"/>
  <c r="U457" i="1"/>
  <c r="U458" i="1" a="1"/>
  <c r="U458" i="1"/>
  <c r="U459" i="1" a="1"/>
  <c r="U459" i="1"/>
  <c r="U460" i="1" a="1"/>
  <c r="U460" i="1"/>
  <c r="U461" i="1" a="1"/>
  <c r="U461" i="1"/>
  <c r="U462" i="1" a="1"/>
  <c r="U462" i="1"/>
  <c r="U463" i="1" a="1"/>
  <c r="U463" i="1"/>
  <c r="U464" i="1" a="1"/>
  <c r="U464" i="1"/>
  <c r="U465" i="1" a="1"/>
  <c r="U465" i="1"/>
  <c r="U466" i="1" a="1"/>
  <c r="U466" i="1"/>
  <c r="U467" i="1" a="1"/>
  <c r="U467" i="1"/>
  <c r="U468" i="1" a="1"/>
  <c r="U468" i="1"/>
  <c r="U469" i="1" a="1"/>
  <c r="U469" i="1"/>
  <c r="U470" i="1" a="1"/>
  <c r="U470" i="1"/>
  <c r="U471" i="1" a="1"/>
  <c r="U471" i="1"/>
  <c r="U472" i="1" a="1"/>
  <c r="U472" i="1"/>
  <c r="U473" i="1" a="1"/>
  <c r="U473" i="1"/>
  <c r="U474" i="1" a="1"/>
  <c r="U474" i="1"/>
  <c r="U475" i="1" a="1"/>
  <c r="U475" i="1"/>
  <c r="U476" i="1" a="1"/>
  <c r="U476" i="1"/>
  <c r="U477" i="1" a="1"/>
  <c r="U477" i="1"/>
  <c r="U478" i="1" a="1"/>
  <c r="U478" i="1"/>
  <c r="U479" i="1" a="1"/>
  <c r="U479" i="1"/>
  <c r="U480" i="1" a="1"/>
  <c r="U480" i="1"/>
  <c r="U481" i="1" a="1"/>
  <c r="U481" i="1"/>
  <c r="U482" i="1" a="1"/>
  <c r="U482" i="1"/>
  <c r="U483" i="1" a="1"/>
  <c r="U483" i="1"/>
  <c r="U484" i="1" a="1"/>
  <c r="U484" i="1"/>
  <c r="U485" i="1" a="1"/>
  <c r="U485" i="1"/>
  <c r="U486" i="1" a="1"/>
  <c r="U486" i="1"/>
  <c r="U487" i="1" a="1"/>
  <c r="U487" i="1"/>
  <c r="U488" i="1" a="1"/>
  <c r="U488" i="1"/>
  <c r="U489" i="1" a="1"/>
  <c r="U489" i="1"/>
  <c r="U490" i="1" a="1"/>
  <c r="U490" i="1"/>
  <c r="U491" i="1" a="1"/>
  <c r="U491" i="1"/>
  <c r="U492" i="1" a="1"/>
  <c r="U492" i="1"/>
  <c r="U493" i="1" a="1"/>
  <c r="U493" i="1"/>
  <c r="U494" i="1" a="1"/>
  <c r="U494" i="1"/>
  <c r="U495" i="1" a="1"/>
  <c r="U495" i="1"/>
  <c r="U496" i="1" a="1"/>
  <c r="U496" i="1"/>
  <c r="U497" i="1" a="1"/>
  <c r="U497" i="1"/>
  <c r="U498" i="1" a="1"/>
  <c r="U498" i="1"/>
  <c r="U499" i="1" a="1"/>
  <c r="U499" i="1"/>
  <c r="U500" i="1" a="1"/>
  <c r="U500" i="1"/>
  <c r="U501" i="1" a="1"/>
  <c r="U501" i="1"/>
  <c r="U502" i="1" a="1"/>
  <c r="U502" i="1"/>
  <c r="U503" i="1" a="1"/>
  <c r="U503" i="1"/>
  <c r="U504" i="1" a="1"/>
  <c r="U504" i="1"/>
  <c r="U505" i="1" a="1"/>
  <c r="U505" i="1"/>
  <c r="U506" i="1" a="1"/>
  <c r="U506" i="1"/>
  <c r="U507" i="1" a="1"/>
  <c r="U507" i="1"/>
  <c r="U508" i="1" a="1"/>
  <c r="U508" i="1"/>
  <c r="U509" i="1" a="1"/>
  <c r="U509" i="1"/>
  <c r="U510" i="1" a="1"/>
  <c r="U510" i="1"/>
  <c r="U511" i="1" a="1"/>
  <c r="U511" i="1"/>
  <c r="U512" i="1" a="1"/>
  <c r="U512" i="1"/>
  <c r="U513" i="1" a="1"/>
  <c r="U513" i="1"/>
  <c r="U514" i="1" a="1"/>
  <c r="U514" i="1"/>
  <c r="U515" i="1" a="1"/>
  <c r="U515" i="1"/>
  <c r="U516" i="1" a="1"/>
  <c r="U516" i="1"/>
  <c r="U517" i="1" a="1"/>
  <c r="U517" i="1"/>
  <c r="U518" i="1" a="1"/>
  <c r="U518" i="1"/>
  <c r="U519" i="1" a="1"/>
  <c r="U519" i="1"/>
  <c r="U520" i="1" a="1"/>
  <c r="U520" i="1"/>
  <c r="U521" i="1" a="1"/>
  <c r="U521" i="1"/>
  <c r="U522" i="1" a="1"/>
  <c r="U522" i="1"/>
  <c r="U523" i="1" a="1"/>
  <c r="U523" i="1"/>
  <c r="U524" i="1" a="1"/>
  <c r="U524" i="1"/>
  <c r="U525" i="1" a="1"/>
  <c r="U525" i="1"/>
  <c r="U526" i="1" a="1"/>
  <c r="U526" i="1"/>
  <c r="U527" i="1" a="1"/>
  <c r="U527" i="1"/>
  <c r="U528" i="1" a="1"/>
  <c r="U528" i="1"/>
  <c r="U529" i="1" a="1"/>
  <c r="U529" i="1"/>
  <c r="U79" i="1" a="1"/>
  <c r="U79" i="1"/>
  <c r="S538" i="1"/>
  <c r="R538" i="1"/>
  <c r="Q538" i="1"/>
  <c r="AP531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D57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Q521" i="1"/>
  <c r="Q520" i="1"/>
  <c r="Q451" i="1"/>
  <c r="Q450" i="1"/>
  <c r="Q449" i="1"/>
  <c r="Q445" i="1"/>
  <c r="Q433" i="1"/>
  <c r="Q429" i="1"/>
  <c r="Q361" i="1"/>
  <c r="Q305" i="1" a="1"/>
  <c r="Q492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G80" i="1"/>
  <c r="F80" i="1"/>
  <c r="E80" i="1"/>
  <c r="Y198" i="1"/>
  <c r="Y180" i="1"/>
  <c r="Y90" i="1"/>
  <c r="Y89" i="1"/>
  <c r="T444" i="1"/>
  <c r="T243" i="1"/>
  <c r="T144" i="1"/>
  <c r="T142" i="1"/>
  <c r="S524" i="1"/>
  <c r="S522" i="1"/>
  <c r="S521" i="1"/>
  <c r="S520" i="1"/>
  <c r="S509" i="1"/>
  <c r="S506" i="1"/>
  <c r="S502" i="1"/>
  <c r="S497" i="1"/>
  <c r="S496" i="1"/>
  <c r="S484" i="1"/>
  <c r="S475" i="1"/>
  <c r="S474" i="1"/>
  <c r="S473" i="1"/>
  <c r="S447" i="1"/>
  <c r="S446" i="1"/>
  <c r="S445" i="1"/>
  <c r="S444" i="1"/>
  <c r="S443" i="1"/>
  <c r="S424" i="1"/>
  <c r="S422" i="1"/>
  <c r="S421" i="1"/>
  <c r="S419" i="1"/>
  <c r="S408" i="1"/>
  <c r="S407" i="1"/>
  <c r="S405" i="1"/>
  <c r="S400" i="1"/>
  <c r="S390" i="1"/>
  <c r="S363" i="1"/>
  <c r="S359" i="1"/>
  <c r="S354" i="1"/>
  <c r="S353" i="1"/>
  <c r="S352" i="1"/>
  <c r="S345" i="1"/>
  <c r="S343" i="1"/>
  <c r="S342" i="1"/>
  <c r="S339" i="1"/>
  <c r="S338" i="1"/>
  <c r="S330" i="1"/>
  <c r="S329" i="1"/>
  <c r="S307" i="1"/>
  <c r="S306" i="1"/>
  <c r="S305" i="1"/>
  <c r="S301" i="1"/>
  <c r="S275" i="1"/>
  <c r="S274" i="1"/>
  <c r="S268" i="1"/>
  <c r="S266" i="1"/>
  <c r="S263" i="1"/>
  <c r="S261" i="1"/>
  <c r="S257" i="1"/>
  <c r="S254" i="1"/>
  <c r="S250" i="1"/>
  <c r="S248" i="1"/>
  <c r="S247" i="1"/>
  <c r="S245" i="1"/>
  <c r="S232" i="1"/>
  <c r="S229" i="1"/>
  <c r="S217" i="1"/>
  <c r="S216" i="1"/>
  <c r="S202" i="1"/>
  <c r="S190" i="1"/>
  <c r="S185" i="1"/>
  <c r="S181" i="1"/>
  <c r="S169" i="1"/>
  <c r="S168" i="1"/>
  <c r="S167" i="1"/>
  <c r="S166" i="1"/>
  <c r="S164" i="1"/>
  <c r="S161" i="1"/>
  <c r="S160" i="1"/>
  <c r="S155" i="1"/>
  <c r="S139" i="1"/>
  <c r="S138" i="1"/>
  <c r="S137" i="1"/>
  <c r="S120" i="1"/>
  <c r="S114" i="1"/>
  <c r="S113" i="1"/>
  <c r="S112" i="1"/>
  <c r="S95" i="1"/>
  <c r="S94" i="1"/>
  <c r="S92" i="1"/>
  <c r="S79" i="1" a="1"/>
  <c r="S452" i="1"/>
  <c r="Q302" i="1"/>
  <c r="Q301" i="1"/>
  <c r="Q299" i="1"/>
  <c r="Q298" i="1"/>
  <c r="Q297" i="1"/>
  <c r="Q296" i="1"/>
  <c r="Q211" i="1"/>
  <c r="Q210" i="1"/>
  <c r="Q209" i="1"/>
  <c r="Q177" i="1"/>
  <c r="Q165" i="1"/>
  <c r="Q164" i="1"/>
  <c r="Q163" i="1"/>
  <c r="Q79" i="1" a="1"/>
  <c r="Q262" i="1"/>
  <c r="N79" i="1"/>
  <c r="M79" i="1"/>
  <c r="G79" i="1"/>
  <c r="F79" i="1"/>
  <c r="E79" i="1"/>
  <c r="AJ78" i="1"/>
  <c r="AI78" i="1"/>
  <c r="G78" i="1"/>
  <c r="F78" i="1"/>
  <c r="E78" i="1"/>
  <c r="AH66" i="1"/>
  <c r="AC66" i="1"/>
  <c r="AB66" i="1"/>
  <c r="AA66" i="1"/>
  <c r="Z66" i="1"/>
  <c r="Y79" i="1" a="1"/>
  <c r="Y527" i="1"/>
  <c r="T79" i="1" a="1"/>
  <c r="T251" i="1"/>
  <c r="R79" i="1" a="1"/>
  <c r="R436" i="1"/>
  <c r="G77" i="1"/>
  <c r="F77" i="1"/>
  <c r="E77" i="1"/>
  <c r="G76" i="1"/>
  <c r="F76" i="1"/>
  <c r="E76" i="1"/>
  <c r="E81" i="1"/>
  <c r="AJ66" i="1"/>
  <c r="AI66" i="1"/>
  <c r="C52" i="1"/>
  <c r="O74" i="1"/>
  <c r="H41" i="1"/>
  <c r="G41" i="1"/>
  <c r="F41" i="1"/>
  <c r="E41" i="1"/>
  <c r="H40" i="1"/>
  <c r="G40" i="1"/>
  <c r="C40" i="1"/>
  <c r="F40" i="1"/>
  <c r="E40" i="1"/>
  <c r="H39" i="1"/>
  <c r="G39" i="1"/>
  <c r="F39" i="1"/>
  <c r="E39" i="1"/>
  <c r="C39" i="1"/>
  <c r="I36" i="1"/>
  <c r="H36" i="1"/>
  <c r="G36" i="1"/>
  <c r="F36" i="1"/>
  <c r="E36" i="1"/>
  <c r="D36" i="1"/>
  <c r="C36" i="1"/>
  <c r="J35" i="1"/>
  <c r="I35" i="1"/>
  <c r="H35" i="1"/>
  <c r="G35" i="1"/>
  <c r="D35" i="1"/>
  <c r="F35" i="1"/>
  <c r="E35" i="1"/>
  <c r="I34" i="1"/>
  <c r="H34" i="1"/>
  <c r="G34" i="1"/>
  <c r="F34" i="1"/>
  <c r="E34" i="1"/>
  <c r="G24" i="1"/>
  <c r="G23" i="1"/>
  <c r="G22" i="1"/>
  <c r="G21" i="1"/>
  <c r="AO10" i="1"/>
  <c r="AL10" i="1"/>
  <c r="AO9" i="1"/>
  <c r="AL9" i="1"/>
  <c r="AL8" i="1"/>
  <c r="AO7" i="1"/>
  <c r="AL7" i="1"/>
  <c r="R161" i="1"/>
  <c r="R494" i="1"/>
  <c r="R471" i="1"/>
  <c r="R448" i="1"/>
  <c r="R424" i="1"/>
  <c r="R378" i="1"/>
  <c r="R355" i="1"/>
  <c r="R332" i="1"/>
  <c r="R279" i="1"/>
  <c r="R255" i="1"/>
  <c r="R182" i="1"/>
  <c r="R307" i="1"/>
  <c r="R282" i="1"/>
  <c r="R129" i="1"/>
  <c r="R104" i="1"/>
  <c r="R524" i="1"/>
  <c r="R467" i="1"/>
  <c r="R440" i="1"/>
  <c r="R413" i="1"/>
  <c r="R245" i="1"/>
  <c r="R520" i="1"/>
  <c r="R352" i="1"/>
  <c r="R324" i="1"/>
  <c r="R297" i="1"/>
  <c r="R269" i="1"/>
  <c r="R242" i="1"/>
  <c r="R404" i="1"/>
  <c r="R369" i="1"/>
  <c r="R338" i="1"/>
  <c r="R302" i="1"/>
  <c r="R335" i="1"/>
  <c r="R229" i="1"/>
  <c r="R460" i="1"/>
  <c r="R426" i="1"/>
  <c r="R392" i="1"/>
  <c r="R361" i="1"/>
  <c r="R322" i="1"/>
  <c r="R254" i="1"/>
  <c r="R526" i="1"/>
  <c r="R280" i="1"/>
  <c r="R238" i="1"/>
  <c r="R193" i="1"/>
  <c r="R146" i="1"/>
  <c r="R108" i="1"/>
  <c r="R500" i="1"/>
  <c r="R452" i="1"/>
  <c r="R407" i="1"/>
  <c r="R318" i="1"/>
  <c r="R277" i="1"/>
  <c r="R235" i="1"/>
  <c r="R444" i="1"/>
  <c r="R395" i="1"/>
  <c r="R308" i="1"/>
  <c r="R85" i="1"/>
  <c r="R516" i="1"/>
  <c r="R515" i="1"/>
  <c r="R124" i="1"/>
  <c r="R512" i="1"/>
  <c r="R200" i="1"/>
  <c r="R118" i="1"/>
  <c r="R490" i="1"/>
  <c r="R418" i="1"/>
  <c r="R341" i="1"/>
  <c r="R259" i="1"/>
  <c r="R198" i="1"/>
  <c r="R115" i="1"/>
  <c r="R481" i="1"/>
  <c r="R417" i="1"/>
  <c r="R477" i="1"/>
  <c r="R250" i="1"/>
  <c r="O75" i="1" a="1"/>
  <c r="AO8" i="1"/>
  <c r="T495" i="1"/>
  <c r="T473" i="1"/>
  <c r="T451" i="1"/>
  <c r="T429" i="1"/>
  <c r="T407" i="1"/>
  <c r="T483" i="1"/>
  <c r="T460" i="1"/>
  <c r="T437" i="1"/>
  <c r="T521" i="1"/>
  <c r="T448" i="1"/>
  <c r="T291" i="1"/>
  <c r="T269" i="1"/>
  <c r="T247" i="1"/>
  <c r="T225" i="1"/>
  <c r="T159" i="1"/>
  <c r="T522" i="1"/>
  <c r="T496" i="1"/>
  <c r="T470" i="1"/>
  <c r="T445" i="1"/>
  <c r="T420" i="1"/>
  <c r="T396" i="1"/>
  <c r="T373" i="1"/>
  <c r="T258" i="1"/>
  <c r="T235" i="1"/>
  <c r="T212" i="1"/>
  <c r="T189" i="1"/>
  <c r="T166" i="1"/>
  <c r="T466" i="1"/>
  <c r="T389" i="1"/>
  <c r="T365" i="1"/>
  <c r="T317" i="1"/>
  <c r="T293" i="1"/>
  <c r="T268" i="1"/>
  <c r="T196" i="1"/>
  <c r="T172" i="1"/>
  <c r="T513" i="1"/>
  <c r="T487" i="1"/>
  <c r="T461" i="1"/>
  <c r="T434" i="1"/>
  <c r="T360" i="1"/>
  <c r="T336" i="1"/>
  <c r="T311" i="1"/>
  <c r="T509" i="1"/>
  <c r="T480" i="1"/>
  <c r="T263" i="1"/>
  <c r="T238" i="1"/>
  <c r="T213" i="1"/>
  <c r="T187" i="1"/>
  <c r="T162" i="1"/>
  <c r="T136" i="1"/>
  <c r="T421" i="1"/>
  <c r="T393" i="1"/>
  <c r="T367" i="1"/>
  <c r="T340" i="1"/>
  <c r="T314" i="1"/>
  <c r="T262" i="1"/>
  <c r="T237" i="1"/>
  <c r="T161" i="1"/>
  <c r="T85" i="1"/>
  <c r="T500" i="1"/>
  <c r="T467" i="1"/>
  <c r="T286" i="1"/>
  <c r="T259" i="1"/>
  <c r="T231" i="1"/>
  <c r="T149" i="1"/>
  <c r="T121" i="1"/>
  <c r="T92" i="1"/>
  <c r="T499" i="1"/>
  <c r="T403" i="1"/>
  <c r="T374" i="1"/>
  <c r="T316" i="1"/>
  <c r="T285" i="1"/>
  <c r="T202" i="1"/>
  <c r="T175" i="1"/>
  <c r="T91" i="1"/>
  <c r="T498" i="1"/>
  <c r="T464" i="1"/>
  <c r="T432" i="1"/>
  <c r="T201" i="1"/>
  <c r="T174" i="1"/>
  <c r="T146" i="1"/>
  <c r="T118" i="1"/>
  <c r="T90" i="1"/>
  <c r="T527" i="1"/>
  <c r="T494" i="1"/>
  <c r="T463" i="1"/>
  <c r="T310" i="1"/>
  <c r="T283" i="1"/>
  <c r="T255" i="1"/>
  <c r="T228" i="1"/>
  <c r="T173" i="1"/>
  <c r="T145" i="1"/>
  <c r="T520" i="1"/>
  <c r="T488" i="1"/>
  <c r="T392" i="1"/>
  <c r="T194" i="1"/>
  <c r="T167" i="1"/>
  <c r="T139" i="1"/>
  <c r="T109" i="1"/>
  <c r="T485" i="1"/>
  <c r="T454" i="1"/>
  <c r="T419" i="1"/>
  <c r="T331" i="1"/>
  <c r="T302" i="1"/>
  <c r="T275" i="1"/>
  <c r="T248" i="1"/>
  <c r="T219" i="1"/>
  <c r="T192" i="1"/>
  <c r="T484" i="1"/>
  <c r="T356" i="1"/>
  <c r="T278" i="1"/>
  <c r="T241" i="1"/>
  <c r="T205" i="1"/>
  <c r="T163" i="1"/>
  <c r="T127" i="1"/>
  <c r="T354" i="1"/>
  <c r="T319" i="1"/>
  <c r="T274" i="1"/>
  <c r="T239" i="1"/>
  <c r="T198" i="1"/>
  <c r="T158" i="1"/>
  <c r="T125" i="1"/>
  <c r="T84" i="1"/>
  <c r="T438" i="1"/>
  <c r="T353" i="1"/>
  <c r="T309" i="1"/>
  <c r="T273" i="1"/>
  <c r="T236" i="1"/>
  <c r="T197" i="1"/>
  <c r="T157" i="1"/>
  <c r="T477" i="1"/>
  <c r="T436" i="1"/>
  <c r="T388" i="1"/>
  <c r="T308" i="1"/>
  <c r="T272" i="1"/>
  <c r="T195" i="1"/>
  <c r="T156" i="1"/>
  <c r="T512" i="1"/>
  <c r="T471" i="1"/>
  <c r="T426" i="1"/>
  <c r="T383" i="1"/>
  <c r="T347" i="1"/>
  <c r="T266" i="1"/>
  <c r="T226" i="1"/>
  <c r="T188" i="1"/>
  <c r="T510" i="1"/>
  <c r="T468" i="1"/>
  <c r="T418" i="1"/>
  <c r="T381" i="1"/>
  <c r="T338" i="1"/>
  <c r="T264" i="1"/>
  <c r="T184" i="1"/>
  <c r="T518" i="1"/>
  <c r="T458" i="1"/>
  <c r="T406" i="1"/>
  <c r="T294" i="1"/>
  <c r="T242" i="1"/>
  <c r="T183" i="1"/>
  <c r="T132" i="1"/>
  <c r="T80" i="1"/>
  <c r="T339" i="1"/>
  <c r="T292" i="1"/>
  <c r="T240" i="1"/>
  <c r="T182" i="1"/>
  <c r="T131" i="1"/>
  <c r="T79" i="1"/>
  <c r="T507" i="1"/>
  <c r="T449" i="1"/>
  <c r="T282" i="1"/>
  <c r="T227" i="1"/>
  <c r="T514" i="1"/>
  <c r="T455" i="1"/>
  <c r="T399" i="1"/>
  <c r="T337" i="1"/>
  <c r="T290" i="1"/>
  <c r="T511" i="1"/>
  <c r="T453" i="1"/>
  <c r="T397" i="1"/>
  <c r="T289" i="1"/>
  <c r="T232" i="1"/>
  <c r="T179" i="1"/>
  <c r="T129" i="1"/>
  <c r="T380" i="1"/>
  <c r="T326" i="1"/>
  <c r="T271" i="1"/>
  <c r="T217" i="1"/>
  <c r="T169" i="1"/>
  <c r="T113" i="1"/>
  <c r="T441" i="1"/>
  <c r="T378" i="1"/>
  <c r="T168" i="1"/>
  <c r="T108" i="1"/>
  <c r="T493" i="1"/>
  <c r="T430" i="1"/>
  <c r="T377" i="1"/>
  <c r="T267" i="1"/>
  <c r="T491" i="1"/>
  <c r="T428" i="1"/>
  <c r="T376" i="1"/>
  <c r="T323" i="1"/>
  <c r="T265" i="1"/>
  <c r="T214" i="1"/>
  <c r="T160" i="1"/>
  <c r="T105" i="1"/>
  <c r="T526" i="1"/>
  <c r="T224" i="1"/>
  <c r="T505" i="1"/>
  <c r="T412" i="1"/>
  <c r="T307" i="1"/>
  <c r="T221" i="1"/>
  <c r="T504" i="1"/>
  <c r="T411" i="1"/>
  <c r="T138" i="1"/>
  <c r="T503" i="1"/>
  <c r="T410" i="1"/>
  <c r="T133" i="1"/>
  <c r="T490" i="1"/>
  <c r="T408" i="1"/>
  <c r="T300" i="1"/>
  <c r="T489" i="1"/>
  <c r="T386" i="1"/>
  <c r="T298" i="1"/>
  <c r="T208" i="1"/>
  <c r="T116" i="1"/>
  <c r="T385" i="1"/>
  <c r="T297" i="1"/>
  <c r="T207" i="1"/>
  <c r="T382" i="1"/>
  <c r="T296" i="1"/>
  <c r="T206" i="1"/>
  <c r="T447" i="1"/>
  <c r="T358" i="1"/>
  <c r="T254" i="1"/>
  <c r="T95" i="1"/>
  <c r="T253" i="1"/>
  <c r="T94" i="1"/>
  <c r="T476" i="1"/>
  <c r="T370" i="1"/>
  <c r="T295" i="1"/>
  <c r="T199" i="1"/>
  <c r="T103" i="1"/>
  <c r="T469" i="1"/>
  <c r="T99" i="1"/>
  <c r="T475" i="1"/>
  <c r="T369" i="1"/>
  <c r="T280" i="1"/>
  <c r="T193" i="1"/>
  <c r="T102" i="1"/>
  <c r="T474" i="1"/>
  <c r="T366" i="1"/>
  <c r="T462" i="1"/>
  <c r="T261" i="1"/>
  <c r="T185" i="1"/>
  <c r="T98" i="1"/>
  <c r="T459" i="1"/>
  <c r="T260" i="1"/>
  <c r="T245" i="1"/>
  <c r="T246" i="1"/>
  <c r="T252" i="1"/>
  <c r="R156" i="1"/>
  <c r="R446" i="1"/>
  <c r="T328" i="1"/>
  <c r="R211" i="1"/>
  <c r="T329" i="1"/>
  <c r="T330" i="1"/>
  <c r="R225" i="1"/>
  <c r="T415" i="1"/>
  <c r="Y425" i="1"/>
  <c r="Y334" i="1"/>
  <c r="Y307" i="1"/>
  <c r="Y285" i="1"/>
  <c r="Y219" i="1"/>
  <c r="Y237" i="1"/>
  <c r="Y305" i="1"/>
  <c r="Y406" i="1"/>
  <c r="Y380" i="1"/>
  <c r="Y353" i="1"/>
  <c r="Y85" i="1"/>
  <c r="Y435" i="1"/>
  <c r="Y259" i="1"/>
  <c r="Y79" i="1"/>
  <c r="Y473" i="1"/>
  <c r="Y303" i="1"/>
  <c r="Y328" i="1"/>
  <c r="Y295" i="1"/>
  <c r="Y264" i="1"/>
  <c r="Y159" i="1"/>
  <c r="Y119" i="1"/>
  <c r="Y481" i="1"/>
  <c r="Y190" i="1"/>
  <c r="Y382" i="1"/>
  <c r="Y316" i="1"/>
  <c r="Y428" i="1"/>
  <c r="Y226" i="1"/>
  <c r="Y478" i="1"/>
  <c r="Y161" i="1"/>
  <c r="Y234" i="1"/>
  <c r="Y345" i="1"/>
  <c r="Y462" i="1"/>
  <c r="Y154" i="1"/>
  <c r="S523" i="1"/>
  <c r="S501" i="1"/>
  <c r="S479" i="1"/>
  <c r="S457" i="1"/>
  <c r="S435" i="1"/>
  <c r="S413" i="1"/>
  <c r="S391" i="1"/>
  <c r="S369" i="1"/>
  <c r="S325" i="1"/>
  <c r="S303" i="1"/>
  <c r="S281" i="1"/>
  <c r="S259" i="1"/>
  <c r="S237" i="1"/>
  <c r="S193" i="1"/>
  <c r="S171" i="1"/>
  <c r="S149" i="1"/>
  <c r="S127" i="1"/>
  <c r="S105" i="1"/>
  <c r="S83" i="1"/>
  <c r="S503" i="1"/>
  <c r="S480" i="1"/>
  <c r="S456" i="1"/>
  <c r="S433" i="1"/>
  <c r="S410" i="1"/>
  <c r="S387" i="1"/>
  <c r="S364" i="1"/>
  <c r="S341" i="1"/>
  <c r="S318" i="1"/>
  <c r="S272" i="1"/>
  <c r="S249" i="1"/>
  <c r="S226" i="1"/>
  <c r="S203" i="1"/>
  <c r="S180" i="1"/>
  <c r="S134" i="1"/>
  <c r="S111" i="1"/>
  <c r="S88" i="1"/>
  <c r="S528" i="1"/>
  <c r="S504" i="1"/>
  <c r="S454" i="1"/>
  <c r="S430" i="1"/>
  <c r="S406" i="1"/>
  <c r="S382" i="1"/>
  <c r="S358" i="1"/>
  <c r="S334" i="1"/>
  <c r="S310" i="1"/>
  <c r="S286" i="1"/>
  <c r="S262" i="1"/>
  <c r="S238" i="1"/>
  <c r="S189" i="1"/>
  <c r="S165" i="1"/>
  <c r="S141" i="1"/>
  <c r="S117" i="1"/>
  <c r="S93" i="1"/>
  <c r="S488" i="1"/>
  <c r="S463" i="1"/>
  <c r="S438" i="1"/>
  <c r="S412" i="1"/>
  <c r="S361" i="1"/>
  <c r="S336" i="1"/>
  <c r="S311" i="1"/>
  <c r="S285" i="1"/>
  <c r="S260" i="1"/>
  <c r="S234" i="1"/>
  <c r="S209" i="1"/>
  <c r="S184" i="1"/>
  <c r="S159" i="1"/>
  <c r="S133" i="1"/>
  <c r="S108" i="1"/>
  <c r="S512" i="1"/>
  <c r="S487" i="1"/>
  <c r="S462" i="1"/>
  <c r="S437" i="1"/>
  <c r="S411" i="1"/>
  <c r="S360" i="1"/>
  <c r="S335" i="1"/>
  <c r="S309" i="1"/>
  <c r="S258" i="1"/>
  <c r="S233" i="1"/>
  <c r="S208" i="1"/>
  <c r="S183" i="1"/>
  <c r="S158" i="1"/>
  <c r="S132" i="1"/>
  <c r="S107" i="1"/>
  <c r="S81" i="1"/>
  <c r="S517" i="1"/>
  <c r="S490" i="1"/>
  <c r="S461" i="1"/>
  <c r="S432" i="1"/>
  <c r="S377" i="1"/>
  <c r="S350" i="1"/>
  <c r="S322" i="1"/>
  <c r="S294" i="1"/>
  <c r="S267" i="1"/>
  <c r="S211" i="1"/>
  <c r="S182" i="1"/>
  <c r="S126" i="1"/>
  <c r="S99" i="1"/>
  <c r="S516" i="1"/>
  <c r="S489" i="1"/>
  <c r="S460" i="1"/>
  <c r="S431" i="1"/>
  <c r="S403" i="1"/>
  <c r="S376" i="1"/>
  <c r="S349" i="1"/>
  <c r="S515" i="1"/>
  <c r="S486" i="1"/>
  <c r="S459" i="1"/>
  <c r="S429" i="1"/>
  <c r="S375" i="1"/>
  <c r="S348" i="1"/>
  <c r="S320" i="1"/>
  <c r="S292" i="1"/>
  <c r="S265" i="1"/>
  <c r="S207" i="1"/>
  <c r="S152" i="1"/>
  <c r="S124" i="1"/>
  <c r="S97" i="1"/>
  <c r="S514" i="1"/>
  <c r="S485" i="1"/>
  <c r="S458" i="1"/>
  <c r="S428" i="1"/>
  <c r="S401" i="1"/>
  <c r="S374" i="1"/>
  <c r="S346" i="1"/>
  <c r="S319" i="1"/>
  <c r="S291" i="1"/>
  <c r="S264" i="1"/>
  <c r="S235" i="1"/>
  <c r="S178" i="1"/>
  <c r="S151" i="1"/>
  <c r="S123" i="1"/>
  <c r="S96" i="1"/>
  <c r="S507" i="1"/>
  <c r="S423" i="1"/>
  <c r="S396" i="1"/>
  <c r="S368" i="1"/>
  <c r="S340" i="1"/>
  <c r="S313" i="1"/>
  <c r="S283" i="1"/>
  <c r="S255" i="1"/>
  <c r="S228" i="1"/>
  <c r="S200" i="1"/>
  <c r="S173" i="1"/>
  <c r="S145" i="1"/>
  <c r="S118" i="1"/>
  <c r="S90" i="1"/>
  <c r="S505" i="1"/>
  <c r="S470" i="1"/>
  <c r="S397" i="1"/>
  <c r="S362" i="1"/>
  <c r="S327" i="1"/>
  <c r="S293" i="1"/>
  <c r="S256" i="1"/>
  <c r="S156" i="1"/>
  <c r="S121" i="1"/>
  <c r="S87" i="1"/>
  <c r="S500" i="1"/>
  <c r="S468" i="1"/>
  <c r="S427" i="1"/>
  <c r="S394" i="1"/>
  <c r="S357" i="1"/>
  <c r="S324" i="1"/>
  <c r="S289" i="1"/>
  <c r="S253" i="1"/>
  <c r="S221" i="1"/>
  <c r="S188" i="1"/>
  <c r="S153" i="1"/>
  <c r="S119" i="1"/>
  <c r="S499" i="1"/>
  <c r="S467" i="1"/>
  <c r="S426" i="1"/>
  <c r="S393" i="1"/>
  <c r="S323" i="1"/>
  <c r="S252" i="1"/>
  <c r="S220" i="1"/>
  <c r="S187" i="1"/>
  <c r="S150" i="1"/>
  <c r="S116" i="1"/>
  <c r="S84" i="1"/>
  <c r="S498" i="1"/>
  <c r="S466" i="1"/>
  <c r="S425" i="1"/>
  <c r="S392" i="1"/>
  <c r="S355" i="1"/>
  <c r="S321" i="1"/>
  <c r="S287" i="1"/>
  <c r="S251" i="1"/>
  <c r="S219" i="1"/>
  <c r="S148" i="1"/>
  <c r="S115" i="1"/>
  <c r="S80" i="1"/>
  <c r="S494" i="1"/>
  <c r="S453" i="1"/>
  <c r="S384" i="1"/>
  <c r="S351" i="1"/>
  <c r="S314" i="1"/>
  <c r="S278" i="1"/>
  <c r="S246" i="1"/>
  <c r="S214" i="1"/>
  <c r="S176" i="1"/>
  <c r="S143" i="1"/>
  <c r="S110" i="1"/>
  <c r="S525" i="1"/>
  <c r="S492" i="1"/>
  <c r="S451" i="1"/>
  <c r="S418" i="1"/>
  <c r="S381" i="1"/>
  <c r="S344" i="1"/>
  <c r="S276" i="1"/>
  <c r="S244" i="1"/>
  <c r="S174" i="1"/>
  <c r="S140" i="1"/>
  <c r="S106" i="1"/>
  <c r="S129" i="1"/>
  <c r="S170" i="1"/>
  <c r="S222" i="1"/>
  <c r="S269" i="1"/>
  <c r="S312" i="1"/>
  <c r="S365" i="1"/>
  <c r="S414" i="1"/>
  <c r="S464" i="1"/>
  <c r="S510" i="1"/>
  <c r="S79" i="1"/>
  <c r="S130" i="1"/>
  <c r="S172" i="1"/>
  <c r="S224" i="1"/>
  <c r="S270" i="1"/>
  <c r="S315" i="1"/>
  <c r="D61" i="1"/>
  <c r="S415" i="1"/>
  <c r="S465" i="1"/>
  <c r="S86" i="1"/>
  <c r="S131" i="1"/>
  <c r="S175" i="1"/>
  <c r="S225" i="1"/>
  <c r="S271" i="1"/>
  <c r="S316" i="1"/>
  <c r="S367" i="1"/>
  <c r="S416" i="1"/>
  <c r="S469" i="1"/>
  <c r="S518" i="1"/>
  <c r="S89" i="1"/>
  <c r="S135" i="1"/>
  <c r="S177" i="1"/>
  <c r="S227" i="1"/>
  <c r="S273" i="1"/>
  <c r="S317" i="1"/>
  <c r="S370" i="1"/>
  <c r="S417" i="1"/>
  <c r="S519" i="1"/>
  <c r="S142" i="1"/>
  <c r="S194" i="1"/>
  <c r="S239" i="1"/>
  <c r="S280" i="1"/>
  <c r="S331" i="1"/>
  <c r="S379" i="1"/>
  <c r="S434" i="1"/>
  <c r="S476" i="1"/>
  <c r="S527" i="1"/>
  <c r="S100" i="1"/>
  <c r="S144" i="1"/>
  <c r="S195" i="1"/>
  <c r="S241" i="1"/>
  <c r="S282" i="1"/>
  <c r="S332" i="1"/>
  <c r="S380" i="1"/>
  <c r="S439" i="1"/>
  <c r="S101" i="1"/>
  <c r="S146" i="1"/>
  <c r="S196" i="1"/>
  <c r="S242" i="1"/>
  <c r="S333" i="1"/>
  <c r="S383" i="1"/>
  <c r="S440" i="1"/>
  <c r="S482" i="1"/>
  <c r="S102" i="1"/>
  <c r="S147" i="1"/>
  <c r="S197" i="1"/>
  <c r="S243" i="1"/>
  <c r="S296" i="1"/>
  <c r="S337" i="1"/>
  <c r="S388" i="1"/>
  <c r="S441" i="1"/>
  <c r="S483" i="1"/>
  <c r="C41" i="1"/>
  <c r="Q512" i="1"/>
  <c r="Q490" i="1"/>
  <c r="Q446" i="1"/>
  <c r="Q424" i="1"/>
  <c r="Q402" i="1"/>
  <c r="Q380" i="1"/>
  <c r="Q389" i="1"/>
  <c r="Q366" i="1"/>
  <c r="Q343" i="1"/>
  <c r="Q489" i="1"/>
  <c r="Q321" i="1"/>
  <c r="Q513" i="1"/>
  <c r="Q464" i="1"/>
  <c r="Q510" i="1"/>
  <c r="Q414" i="1"/>
  <c r="Q365" i="1"/>
  <c r="Q317" i="1"/>
  <c r="Q428" i="1"/>
  <c r="Q400" i="1"/>
  <c r="Q373" i="1"/>
  <c r="Q346" i="1"/>
  <c r="Q318" i="1"/>
  <c r="Q529" i="1"/>
  <c r="Q499" i="1"/>
  <c r="Q470" i="1"/>
  <c r="Q437" i="1"/>
  <c r="Q407" i="1"/>
  <c r="Q522" i="1"/>
  <c r="Q493" i="1"/>
  <c r="Q460" i="1"/>
  <c r="Q398" i="1"/>
  <c r="Q335" i="1"/>
  <c r="Q306" i="1"/>
  <c r="Q432" i="1"/>
  <c r="Q420" i="1"/>
  <c r="Q340" i="1"/>
  <c r="Q330" i="1"/>
  <c r="Q502" i="1"/>
  <c r="Q457" i="1"/>
  <c r="Q448" i="1"/>
  <c r="Q404" i="1"/>
  <c r="Q525" i="1"/>
  <c r="Q477" i="1"/>
  <c r="Q423" i="1"/>
  <c r="Q476" i="1"/>
  <c r="Q422" i="1"/>
  <c r="Q391" i="1"/>
  <c r="Q338" i="1"/>
  <c r="Q484" i="1"/>
  <c r="Q378" i="1"/>
  <c r="Q307" i="1"/>
  <c r="Q381" i="1"/>
  <c r="Q443" i="1"/>
  <c r="Q191" i="1"/>
  <c r="Q167" i="1"/>
  <c r="Q144" i="1"/>
  <c r="Q121" i="1"/>
  <c r="Y362" i="1"/>
  <c r="Y162" i="1"/>
  <c r="Y333" i="1"/>
  <c r="Y358" i="1"/>
  <c r="Y195" i="1"/>
  <c r="Y438" i="1"/>
  <c r="Y497" i="1"/>
  <c r="Y507" i="1"/>
  <c r="Y262" i="1"/>
  <c r="Y379" i="1"/>
  <c r="Y311" i="1"/>
  <c r="Y255" i="1"/>
  <c r="Y475" i="1"/>
  <c r="Y508" i="1"/>
  <c r="Y335" i="1"/>
  <c r="Y209" i="1"/>
  <c r="Y290" i="1"/>
  <c r="Y407" i="1"/>
  <c r="Y166" i="1"/>
  <c r="Y318" i="1"/>
  <c r="Y479" i="1"/>
  <c r="Y416" i="1"/>
  <c r="Y132" i="1"/>
  <c r="Y405" i="1"/>
  <c r="Y123" i="1"/>
  <c r="Y168" i="1"/>
  <c r="Y402" i="1"/>
  <c r="Y86" i="1"/>
  <c r="Y400" i="1"/>
  <c r="Y442" i="1"/>
  <c r="Y235" i="1"/>
  <c r="Y432" i="1"/>
  <c r="Y415" i="1"/>
  <c r="Y268" i="1"/>
  <c r="Y505" i="1"/>
  <c r="Y189" i="1"/>
  <c r="Y253" i="1"/>
  <c r="Y408" i="1"/>
  <c r="Y84" i="1"/>
  <c r="Y304" i="1"/>
  <c r="Y160" i="1"/>
  <c r="Y294" i="1"/>
  <c r="Y152" i="1"/>
  <c r="Y245" i="1"/>
  <c r="Y454" i="1"/>
  <c r="Y238" i="1"/>
  <c r="Y348" i="1"/>
  <c r="Y368" i="1"/>
  <c r="Y239" i="1"/>
  <c r="Y205" i="1"/>
  <c r="Y419" i="1"/>
  <c r="Y355" i="1"/>
  <c r="Y483" i="1"/>
  <c r="Y499" i="1"/>
  <c r="Y227" i="1"/>
  <c r="Y312" i="1"/>
  <c r="Y170" i="1"/>
  <c r="Y129" i="1"/>
  <c r="Y249" i="1"/>
  <c r="Y150" i="1"/>
  <c r="Y500" i="1"/>
  <c r="Y147" i="1"/>
  <c r="Y461" i="1"/>
  <c r="Y215" i="1"/>
  <c r="Y398" i="1"/>
  <c r="Y148" i="1"/>
  <c r="Y319" i="1"/>
  <c r="Y207" i="1"/>
  <c r="Y504" i="1"/>
  <c r="Y98" i="1"/>
  <c r="Y526" i="1"/>
  <c r="Y164" i="1"/>
  <c r="Y520" i="1"/>
  <c r="Y281" i="1"/>
  <c r="Y108" i="1"/>
  <c r="Y102" i="1"/>
  <c r="Y437" i="1"/>
  <c r="Y477" i="1"/>
  <c r="Y457" i="1"/>
  <c r="Y401" i="1"/>
  <c r="Y96" i="1"/>
  <c r="Y351" i="1"/>
  <c r="Y192" i="1"/>
  <c r="Y372" i="1"/>
  <c r="Y121" i="1"/>
  <c r="Y204" i="1"/>
  <c r="Y498" i="1"/>
  <c r="Y211" i="1"/>
  <c r="Y480" i="1"/>
  <c r="Y448" i="1"/>
  <c r="Y298" i="1"/>
  <c r="Y357" i="1"/>
  <c r="Y242" i="1"/>
  <c r="Y389" i="1"/>
  <c r="Y269" i="1"/>
  <c r="Y110" i="1"/>
  <c r="Y115" i="1"/>
  <c r="Y465" i="1"/>
  <c r="Y146" i="1"/>
  <c r="Y216" i="1"/>
  <c r="Y390" i="1"/>
  <c r="Y453" i="1"/>
  <c r="Y283" i="1"/>
  <c r="Y434" i="1"/>
  <c r="Y142" i="1"/>
  <c r="Y133" i="1"/>
  <c r="Y525" i="1"/>
  <c r="Y418" i="1"/>
  <c r="Y302" i="1"/>
  <c r="Y240" i="1"/>
  <c r="Y436" i="1"/>
  <c r="Y95" i="1"/>
  <c r="Y169" i="1"/>
  <c r="Y393" i="1"/>
  <c r="Y330" i="1"/>
  <c r="Y482" i="1"/>
  <c r="Y410" i="1"/>
  <c r="Y469" i="1"/>
  <c r="Y450" i="1"/>
  <c r="Y156" i="1"/>
  <c r="Y521" i="1"/>
  <c r="Y488" i="1"/>
  <c r="Y337" i="1"/>
  <c r="Y476" i="1"/>
  <c r="Y88" i="1"/>
  <c r="Y171" i="1"/>
  <c r="Y396" i="1"/>
  <c r="Y384" i="1"/>
  <c r="Y126" i="1"/>
  <c r="Y381" i="1"/>
  <c r="Y80" i="1"/>
  <c r="Y440" i="1"/>
  <c r="Y248" i="1"/>
  <c r="Y222" i="1"/>
  <c r="Y492" i="1"/>
  <c r="Y327" i="1"/>
  <c r="Y399" i="1"/>
  <c r="Y267" i="1"/>
  <c r="Y309" i="1"/>
  <c r="Y501" i="1"/>
  <c r="Y200" i="1"/>
  <c r="Y509" i="1"/>
  <c r="Y322" i="1"/>
  <c r="Y191" i="1"/>
  <c r="Y138" i="1"/>
  <c r="Y274" i="1"/>
  <c r="Y515" i="1"/>
  <c r="Y217" i="1"/>
  <c r="Y266" i="1"/>
  <c r="Y97" i="1"/>
  <c r="Y365" i="1"/>
  <c r="Y387" i="1"/>
  <c r="Y270" i="1"/>
  <c r="Y173" i="1"/>
  <c r="Y326" i="1"/>
  <c r="Y213" i="1"/>
  <c r="Y175" i="1"/>
  <c r="Y321" i="1"/>
  <c r="Y155" i="1"/>
  <c r="Y199" i="1"/>
  <c r="Y310" i="1"/>
  <c r="Y246" i="1"/>
  <c r="Y225" i="1"/>
  <c r="Y236" i="1"/>
  <c r="Y252" i="1"/>
  <c r="Y347" i="1"/>
  <c r="Y361" i="1"/>
  <c r="Y113" i="1"/>
  <c r="Y300" i="1"/>
  <c r="Y87" i="1"/>
  <c r="Y122" i="1"/>
  <c r="Y392" i="1"/>
  <c r="Y231" i="1"/>
  <c r="Y81" i="1"/>
  <c r="Y182" i="1"/>
  <c r="Y366" i="1"/>
  <c r="Y105" i="1"/>
  <c r="Y286" i="1"/>
  <c r="Y91" i="1"/>
  <c r="Y230" i="1"/>
  <c r="Y149" i="1"/>
  <c r="Y468" i="1"/>
  <c r="Y251" i="1"/>
  <c r="Y445" i="1"/>
  <c r="Y183" i="1"/>
  <c r="Y356" i="1"/>
  <c r="Y99" i="1"/>
  <c r="Y411" i="1"/>
  <c r="Y136" i="1"/>
  <c r="Y458" i="1"/>
  <c r="Y517" i="1"/>
  <c r="Y301" i="1"/>
  <c r="Y179" i="1"/>
  <c r="Y422" i="1"/>
  <c r="Y323" i="1"/>
  <c r="Y395" i="1"/>
  <c r="Y153" i="1"/>
  <c r="Y354" i="1"/>
  <c r="Y100" i="1"/>
  <c r="Y287" i="1"/>
  <c r="Y474" i="1"/>
  <c r="Y196" i="1"/>
  <c r="Y360" i="1"/>
  <c r="Y512" i="1"/>
  <c r="Y221" i="1"/>
  <c r="Y378" i="1"/>
  <c r="Y522" i="1"/>
  <c r="Y203" i="1"/>
  <c r="Y340" i="1"/>
  <c r="Y273" i="1"/>
  <c r="Y371" i="1"/>
  <c r="Y441" i="1"/>
  <c r="Y506" i="1"/>
  <c r="Y137" i="1"/>
  <c r="Y228" i="1"/>
  <c r="Y293" i="1"/>
  <c r="Y299" i="1"/>
  <c r="Y250" i="1"/>
  <c r="Y202" i="1"/>
  <c r="Y157" i="1"/>
  <c r="Y104" i="1"/>
  <c r="Y510" i="1"/>
  <c r="Y278" i="1"/>
  <c r="Y332" i="1"/>
  <c r="Y439" i="1"/>
  <c r="Y308" i="1"/>
  <c r="Y165" i="1"/>
  <c r="Y94" i="1"/>
  <c r="Y291" i="1"/>
  <c r="Y485" i="1"/>
  <c r="Y374" i="1"/>
  <c r="Y404" i="1"/>
  <c r="Y463" i="1"/>
  <c r="Y487" i="1"/>
  <c r="Y344" i="1"/>
  <c r="Y519" i="1"/>
  <c r="Y186" i="1"/>
  <c r="Y243" i="1"/>
  <c r="Y313" i="1"/>
  <c r="Y414" i="1"/>
  <c r="Y256" i="1"/>
  <c r="Y513" i="1"/>
  <c r="Y83" i="1"/>
  <c r="Y452" i="1"/>
  <c r="Y320" i="1"/>
  <c r="Y451" i="1"/>
  <c r="Y131" i="1"/>
  <c r="Y455" i="1"/>
  <c r="Y297" i="1"/>
  <c r="Y412" i="1"/>
  <c r="Y167" i="1"/>
  <c r="Y376" i="1"/>
  <c r="Y409" i="1"/>
  <c r="Y403" i="1"/>
  <c r="Y460" i="1"/>
  <c r="Y444" i="1"/>
  <c r="Y158" i="1"/>
  <c r="Y375" i="1"/>
  <c r="Y288" i="1"/>
  <c r="Y317" i="1"/>
  <c r="Y364" i="1"/>
  <c r="Y277" i="1"/>
  <c r="Y417" i="1"/>
  <c r="Y284" i="1"/>
  <c r="Y141" i="1"/>
  <c r="Y272" i="1"/>
  <c r="Y486" i="1"/>
  <c r="Y260" i="1"/>
  <c r="Y456" i="1"/>
  <c r="Y341" i="1"/>
  <c r="Y370" i="1"/>
  <c r="Y429" i="1"/>
  <c r="Y296" i="1"/>
  <c r="Y470" i="1"/>
  <c r="Y130" i="1"/>
  <c r="Y244" i="1"/>
  <c r="Y352" i="1"/>
  <c r="Y350" i="1"/>
  <c r="Y511" i="1"/>
  <c r="Y82" i="1"/>
  <c r="Y420" i="1"/>
  <c r="Y112" i="1"/>
  <c r="Y109" i="1"/>
  <c r="Y431" i="1"/>
  <c r="Y386" i="1"/>
  <c r="Y140" i="1"/>
  <c r="Y346" i="1"/>
  <c r="Y427" i="1"/>
  <c r="Y339" i="1"/>
  <c r="Y369" i="1"/>
  <c r="Y426" i="1"/>
  <c r="Y391" i="1"/>
  <c r="Y118" i="1"/>
  <c r="Y324" i="1"/>
  <c r="Y125" i="1"/>
  <c r="Y224" i="1"/>
  <c r="Y413" i="1"/>
  <c r="Y276" i="1"/>
  <c r="Y111" i="1"/>
  <c r="Y373" i="1"/>
  <c r="Y261" i="1"/>
  <c r="Y117" i="1"/>
  <c r="Y247" i="1"/>
  <c r="Y459" i="1"/>
  <c r="Y232" i="1"/>
  <c r="Y306" i="1"/>
  <c r="Y338" i="1"/>
  <c r="Y528" i="1"/>
  <c r="Y93" i="1"/>
  <c r="Y145" i="1"/>
  <c r="Y201" i="1"/>
  <c r="Y176" i="1"/>
  <c r="Y101" i="1"/>
  <c r="Y349" i="1"/>
  <c r="Y342" i="1"/>
  <c r="Y516" i="1"/>
  <c r="Y367" i="1"/>
  <c r="Y92" i="1"/>
  <c r="Y218" i="1"/>
  <c r="Y329" i="1"/>
  <c r="Y446" i="1"/>
  <c r="Y194" i="1"/>
  <c r="Y144" i="1"/>
  <c r="Y143" i="1"/>
  <c r="Y443" i="1"/>
  <c r="Y271" i="1"/>
  <c r="Y206" i="1"/>
  <c r="Y106" i="1"/>
  <c r="Y529" i="1"/>
  <c r="Y292" i="1"/>
  <c r="Y502" i="1"/>
  <c r="Y289" i="1"/>
  <c r="Y223" i="1"/>
  <c r="Y471" i="1"/>
  <c r="Y275" i="1"/>
  <c r="Y423" i="1"/>
  <c r="Y503" i="1"/>
  <c r="Y524" i="1"/>
  <c r="Y120" i="1"/>
  <c r="Y174" i="1"/>
  <c r="Y114" i="1"/>
  <c r="Y172" i="1"/>
  <c r="Y496" i="1"/>
  <c r="Y254" i="1"/>
  <c r="Y467" i="1"/>
  <c r="Y447" i="1"/>
  <c r="Y314" i="1"/>
  <c r="Y210" i="1"/>
  <c r="Y258" i="1"/>
  <c r="Y493" i="1"/>
  <c r="Y193" i="1"/>
  <c r="Y377" i="1"/>
  <c r="Y449" i="1"/>
  <c r="Y518" i="1"/>
  <c r="Y523" i="1"/>
  <c r="Y107" i="1"/>
  <c r="Y163" i="1"/>
  <c r="Y280" i="1"/>
  <c r="Y315" i="1"/>
  <c r="D67" i="1"/>
  <c r="Y184" i="1"/>
  <c r="Y135" i="1"/>
  <c r="Y151" i="1"/>
  <c r="Y188" i="1"/>
  <c r="Y212" i="1"/>
  <c r="Y134" i="1"/>
  <c r="Y263" i="1"/>
  <c r="Y383" i="1"/>
  <c r="Y494" i="1"/>
  <c r="Y514" i="1"/>
  <c r="Y208" i="1"/>
  <c r="Y177" i="1"/>
  <c r="Y394" i="1"/>
  <c r="Y325" i="1"/>
  <c r="Y388" i="1"/>
  <c r="Y116" i="1"/>
  <c r="Y185" i="1"/>
  <c r="Y282" i="1"/>
  <c r="Y385" i="1"/>
  <c r="Y490" i="1"/>
  <c r="Y331" i="1"/>
  <c r="Y359" i="1"/>
  <c r="Y424" i="1"/>
  <c r="Y491" i="1"/>
  <c r="Y433" i="1"/>
  <c r="Y495" i="1"/>
  <c r="Y472" i="1"/>
  <c r="Y124" i="1"/>
  <c r="Y343" i="1"/>
  <c r="Y233" i="1"/>
  <c r="Y127" i="1"/>
  <c r="Y484" i="1"/>
  <c r="Y265" i="1"/>
  <c r="Y181" i="1"/>
  <c r="Y214" i="1"/>
  <c r="Y229" i="1"/>
  <c r="Y241" i="1"/>
  <c r="Y466" i="1"/>
  <c r="Y464" i="1"/>
  <c r="Y397" i="1"/>
  <c r="Y178" i="1"/>
  <c r="Y139" i="1"/>
  <c r="Y363" i="1"/>
  <c r="Y257" i="1"/>
  <c r="Y421" i="1"/>
  <c r="Y187" i="1"/>
  <c r="Y128" i="1"/>
  <c r="Y220" i="1"/>
  <c r="Y336" i="1"/>
  <c r="Y489" i="1"/>
  <c r="T508" i="1"/>
  <c r="T211" i="1"/>
  <c r="T346" i="1"/>
  <c r="T465" i="1"/>
  <c r="T147" i="1"/>
  <c r="T284" i="1"/>
  <c r="T431" i="1"/>
  <c r="T117" i="1"/>
  <c r="T250" i="1"/>
  <c r="T390" i="1"/>
  <c r="T442" i="1"/>
  <c r="T481" i="1"/>
  <c r="T524" i="1"/>
  <c r="T83" i="1"/>
  <c r="T122" i="1"/>
  <c r="T152" i="1"/>
  <c r="T150" i="1"/>
  <c r="T515" i="1"/>
  <c r="T387" i="1"/>
  <c r="T233" i="1"/>
  <c r="T502" i="1"/>
  <c r="T325" i="1"/>
  <c r="T165" i="1"/>
  <c r="T413" i="1"/>
  <c r="T306" i="1"/>
  <c r="T209" i="1"/>
  <c r="T114" i="1"/>
  <c r="T446" i="1"/>
  <c r="T364" i="1"/>
  <c r="T279" i="1"/>
  <c r="T177" i="1"/>
  <c r="T349" i="1"/>
  <c r="T427" i="1"/>
  <c r="T87" i="1"/>
  <c r="T529" i="1"/>
  <c r="T379" i="1"/>
  <c r="T137" i="1"/>
  <c r="T327" i="1"/>
  <c r="T519" i="1"/>
  <c r="T244" i="1"/>
  <c r="T409" i="1"/>
  <c r="T342" i="1"/>
  <c r="T479" i="1"/>
  <c r="T186" i="1"/>
  <c r="T318" i="1"/>
  <c r="T433" i="1"/>
  <c r="T119" i="1"/>
  <c r="T256" i="1"/>
  <c r="T400" i="1"/>
  <c r="T89" i="1"/>
  <c r="T222" i="1"/>
  <c r="T361" i="1"/>
  <c r="T398" i="1"/>
  <c r="T439" i="1"/>
  <c r="T478" i="1"/>
  <c r="T523" i="1"/>
  <c r="T81" i="1"/>
  <c r="T112" i="1"/>
  <c r="T107" i="1"/>
  <c r="T457" i="1"/>
  <c r="T332" i="1"/>
  <c r="T180" i="1"/>
  <c r="T443" i="1"/>
  <c r="T270" i="1"/>
  <c r="T106" i="1"/>
  <c r="T320" i="1"/>
  <c r="T218" i="1"/>
  <c r="T126" i="1"/>
  <c r="T482" i="1"/>
  <c r="T355" i="1"/>
  <c r="T276" i="1"/>
  <c r="T191" i="1"/>
  <c r="T96" i="1"/>
  <c r="T351" i="1"/>
  <c r="T423" i="1"/>
  <c r="T506" i="1"/>
  <c r="T357" i="1"/>
  <c r="T115" i="1"/>
  <c r="T304" i="1"/>
  <c r="T492" i="1"/>
  <c r="T220" i="1"/>
  <c r="T384" i="1"/>
  <c r="T315" i="1"/>
  <c r="D62" i="1"/>
  <c r="T249" i="1"/>
  <c r="T155" i="1"/>
  <c r="T134" i="1"/>
  <c r="T516" i="1"/>
  <c r="T425" i="1"/>
  <c r="T343" i="1"/>
  <c r="T312" i="1"/>
  <c r="T230" i="1"/>
  <c r="T176" i="1"/>
  <c r="T110" i="1"/>
  <c r="T450" i="1"/>
  <c r="T322" i="1"/>
  <c r="T422" i="1"/>
  <c r="T100" i="1"/>
  <c r="T414" i="1"/>
  <c r="T281" i="1"/>
  <c r="T181" i="1"/>
  <c r="T472" i="1"/>
  <c r="T517" i="1"/>
  <c r="T416" i="1"/>
  <c r="T362" i="1"/>
  <c r="T190" i="1"/>
  <c r="T171" i="1"/>
  <c r="T486" i="1"/>
  <c r="T303" i="1"/>
  <c r="T141" i="1"/>
  <c r="T215" i="1"/>
  <c r="T501" i="1"/>
  <c r="T334" i="1"/>
  <c r="T178" i="1"/>
  <c r="T405" i="1"/>
  <c r="T223" i="1"/>
  <c r="T301" i="1"/>
  <c r="T352" i="1"/>
  <c r="T391" i="1"/>
  <c r="T525" i="1"/>
  <c r="T164" i="1"/>
  <c r="T82" i="1"/>
  <c r="T456" i="1"/>
  <c r="T371" i="1"/>
  <c r="T344" i="1"/>
  <c r="T257" i="1"/>
  <c r="T204" i="1"/>
  <c r="T135" i="1"/>
  <c r="T86" i="1"/>
  <c r="T452" i="1"/>
  <c r="T124" i="1"/>
  <c r="T440" i="1"/>
  <c r="T350" i="1"/>
  <c r="T203" i="1"/>
  <c r="T497" i="1"/>
  <c r="T417" i="1"/>
  <c r="G59" i="1"/>
  <c r="S162" i="1"/>
  <c r="S230" i="1"/>
  <c r="S302" i="1"/>
  <c r="S378" i="1"/>
  <c r="S449" i="1"/>
  <c r="S481" i="1"/>
  <c r="S471" i="1"/>
  <c r="S511" i="1"/>
  <c r="S210" i="1"/>
  <c r="S529" i="1"/>
  <c r="S356" i="1"/>
  <c r="S223" i="1"/>
  <c r="S450" i="1"/>
  <c r="S179" i="1"/>
  <c r="S154" i="1"/>
  <c r="S284" i="1"/>
  <c r="S386" i="1"/>
  <c r="S478" i="1"/>
  <c r="S526" i="1"/>
  <c r="S91" i="1"/>
  <c r="S163" i="1"/>
  <c r="S231" i="1"/>
  <c r="S304" i="1"/>
  <c r="S389" i="1"/>
  <c r="R271" i="1"/>
  <c r="R217" i="1"/>
  <c r="R386" i="1"/>
  <c r="R215" i="1"/>
  <c r="R486" i="1"/>
  <c r="R267" i="1"/>
  <c r="R397" i="1"/>
  <c r="R222" i="1"/>
  <c r="R371" i="1"/>
  <c r="R276" i="1"/>
  <c r="R191" i="1"/>
  <c r="R89" i="1"/>
  <c r="R429" i="1"/>
  <c r="R121" i="1"/>
  <c r="R258" i="1"/>
  <c r="R391" i="1"/>
  <c r="R94" i="1"/>
  <c r="R194" i="1"/>
  <c r="R134" i="1"/>
  <c r="R483" i="1"/>
  <c r="R457" i="1"/>
  <c r="R234" i="1"/>
  <c r="R366" i="1"/>
  <c r="R189" i="1"/>
  <c r="R326" i="1"/>
  <c r="R233" i="1"/>
  <c r="R144" i="1"/>
  <c r="R485" i="1"/>
  <c r="R362" i="1"/>
  <c r="R499" i="1"/>
  <c r="R184" i="1"/>
  <c r="R329" i="1"/>
  <c r="R475" i="1"/>
  <c r="R157" i="1"/>
  <c r="R529" i="1"/>
  <c r="R227" i="1"/>
  <c r="R171" i="1"/>
  <c r="R328" i="1"/>
  <c r="R199" i="1"/>
  <c r="R334" i="1"/>
  <c r="R152" i="1"/>
  <c r="R283" i="1"/>
  <c r="R186" i="1"/>
  <c r="R100" i="1"/>
  <c r="R443" i="1"/>
  <c r="R288" i="1"/>
  <c r="R420" i="1"/>
  <c r="R114" i="1"/>
  <c r="R170" i="1"/>
  <c r="R388" i="1"/>
  <c r="R450" i="1"/>
  <c r="R527" i="1"/>
  <c r="R205" i="1"/>
  <c r="R148" i="1"/>
  <c r="R86" i="1"/>
  <c r="R433" i="1"/>
  <c r="R300" i="1"/>
  <c r="R119" i="1"/>
  <c r="R239" i="1"/>
  <c r="R143" i="1"/>
  <c r="R488" i="1"/>
  <c r="R394" i="1"/>
  <c r="R210" i="1"/>
  <c r="R343" i="1"/>
  <c r="R472" i="1"/>
  <c r="R479" i="1"/>
  <c r="R314" i="1"/>
  <c r="R525" i="1"/>
  <c r="R183" i="1"/>
  <c r="R125" i="1"/>
  <c r="R509" i="1"/>
  <c r="R408" i="1"/>
  <c r="R273" i="1"/>
  <c r="R103" i="1"/>
  <c r="R373" i="1"/>
  <c r="R133" i="1"/>
  <c r="R195" i="1"/>
  <c r="R348" i="1"/>
  <c r="R140" i="1"/>
  <c r="R274" i="1"/>
  <c r="R387" i="1"/>
  <c r="R405" i="1"/>
  <c r="R246" i="1"/>
  <c r="R304" i="1"/>
  <c r="R142" i="1"/>
  <c r="R139" i="1"/>
  <c r="R79" i="1"/>
  <c r="R459" i="1"/>
  <c r="R357" i="1"/>
  <c r="R218" i="1"/>
  <c r="R492" i="1"/>
  <c r="R319" i="1"/>
  <c r="R503" i="1"/>
  <c r="R196" i="1"/>
  <c r="R454" i="1"/>
  <c r="R350" i="1"/>
  <c r="R261" i="1"/>
  <c r="R244" i="1"/>
  <c r="R251" i="1"/>
  <c r="R91" i="1"/>
  <c r="R451" i="1"/>
  <c r="R301" i="1"/>
  <c r="R379" i="1"/>
  <c r="R117" i="1"/>
  <c r="R521" i="1"/>
  <c r="R434" i="1"/>
  <c r="R331" i="1"/>
  <c r="R190" i="1"/>
  <c r="R464" i="1"/>
  <c r="R291" i="1"/>
  <c r="R470" i="1"/>
  <c r="R164" i="1"/>
  <c r="R414" i="1"/>
  <c r="R312" i="1"/>
  <c r="R219" i="1"/>
  <c r="R360" i="1"/>
  <c r="R498" i="1"/>
  <c r="R372" i="1"/>
  <c r="R81" i="1"/>
  <c r="R295" i="1"/>
  <c r="R95" i="1"/>
  <c r="R497" i="1"/>
  <c r="R409" i="1"/>
  <c r="R306" i="1"/>
  <c r="R163" i="1"/>
  <c r="R437" i="1"/>
  <c r="R264" i="1"/>
  <c r="R435" i="1"/>
  <c r="R126" i="1"/>
  <c r="R421" i="1"/>
  <c r="R268" i="1"/>
  <c r="R174" i="1"/>
  <c r="R285" i="1"/>
  <c r="R419" i="1"/>
  <c r="R83" i="1"/>
  <c r="R112" i="1"/>
  <c r="R374" i="1"/>
  <c r="R517" i="1"/>
  <c r="R473" i="1"/>
  <c r="R384" i="1"/>
  <c r="R281" i="1"/>
  <c r="R135" i="1"/>
  <c r="R410" i="1"/>
  <c r="R236" i="1"/>
  <c r="R398" i="1"/>
  <c r="R92" i="1"/>
  <c r="R390" i="1"/>
  <c r="R415" i="1"/>
  <c r="R136" i="1"/>
  <c r="R208" i="1"/>
  <c r="R342" i="1"/>
  <c r="R463" i="1"/>
  <c r="R519" i="1"/>
  <c r="R153" i="1"/>
  <c r="R181" i="1"/>
  <c r="R272" i="1"/>
  <c r="R347" i="1"/>
  <c r="R528" i="1"/>
  <c r="R439" i="1"/>
  <c r="R243" i="1"/>
  <c r="R204" i="1"/>
  <c r="R303" i="1"/>
  <c r="R315" i="1"/>
  <c r="R224" i="1"/>
  <c r="R253" i="1"/>
  <c r="R201" i="1"/>
  <c r="R416" i="1"/>
  <c r="R431" i="1"/>
  <c r="R474" i="1"/>
  <c r="R270" i="1"/>
  <c r="R230" i="1"/>
  <c r="R327" i="1"/>
  <c r="R337" i="1"/>
  <c r="R339" i="1"/>
  <c r="R202" i="1"/>
  <c r="R442" i="1"/>
  <c r="R453" i="1"/>
  <c r="R505" i="1"/>
  <c r="R298" i="1"/>
  <c r="R256" i="1"/>
  <c r="R351" i="1"/>
  <c r="R359" i="1"/>
  <c r="R377" i="1"/>
  <c r="R406" i="1"/>
  <c r="R504" i="1"/>
  <c r="R510" i="1"/>
  <c r="R501" i="1"/>
  <c r="R96" i="1"/>
  <c r="R325" i="1"/>
  <c r="R383" i="1"/>
  <c r="R375" i="1"/>
  <c r="R381" i="1"/>
  <c r="R518" i="1"/>
  <c r="R141" i="1"/>
  <c r="R480" i="1"/>
  <c r="R344" i="1"/>
  <c r="R88" i="1"/>
  <c r="R228" i="1"/>
  <c r="R123" i="1"/>
  <c r="R353" i="1"/>
  <c r="R80" i="1"/>
  <c r="R399" i="1"/>
  <c r="R168" i="1"/>
  <c r="R82" i="1"/>
  <c r="R422" i="1"/>
  <c r="R310" i="1"/>
  <c r="R145" i="1"/>
  <c r="R116" i="1"/>
  <c r="R432" i="1"/>
  <c r="R151" i="1"/>
  <c r="R382" i="1"/>
  <c r="R105" i="1"/>
  <c r="R423" i="1"/>
  <c r="R425" i="1"/>
  <c r="R169" i="1"/>
  <c r="R162" i="1"/>
  <c r="R511" i="1"/>
  <c r="R149" i="1"/>
  <c r="R468" i="1"/>
  <c r="R178" i="1"/>
  <c r="R449" i="1"/>
  <c r="R447" i="1"/>
  <c r="R226" i="1"/>
  <c r="R247" i="1"/>
  <c r="R241" i="1"/>
  <c r="R122" i="1"/>
  <c r="R175" i="1"/>
  <c r="R237" i="1"/>
  <c r="R185" i="1"/>
  <c r="R502" i="1"/>
  <c r="R209" i="1"/>
  <c r="R438" i="1"/>
  <c r="R155" i="1"/>
  <c r="R102" i="1"/>
  <c r="R469" i="1"/>
  <c r="R290" i="1"/>
  <c r="R462" i="1"/>
  <c r="R203" i="1"/>
  <c r="R220" i="1"/>
  <c r="R93" i="1"/>
  <c r="R346" i="1"/>
  <c r="R465" i="1"/>
  <c r="R180" i="1"/>
  <c r="R240" i="1"/>
  <c r="R491" i="1"/>
  <c r="R292" i="1"/>
  <c r="R212" i="1"/>
  <c r="R389" i="1"/>
  <c r="R385" i="1"/>
  <c r="R284" i="1"/>
  <c r="R266" i="1"/>
  <c r="R506" i="1"/>
  <c r="R252" i="1"/>
  <c r="R127" i="1"/>
  <c r="R514" i="1"/>
  <c r="R493" i="1"/>
  <c r="R206" i="1"/>
  <c r="R313" i="1"/>
  <c r="R345" i="1"/>
  <c r="R311" i="1"/>
  <c r="R317" i="1"/>
  <c r="R287" i="1"/>
  <c r="R165" i="1"/>
  <c r="R101" i="1"/>
  <c r="R522" i="1"/>
  <c r="R232" i="1"/>
  <c r="R286" i="1"/>
  <c r="R150" i="1"/>
  <c r="R98" i="1"/>
  <c r="R340" i="1"/>
  <c r="R427" i="1"/>
  <c r="R349" i="1"/>
  <c r="R364" i="1"/>
  <c r="R320" i="1"/>
  <c r="R197" i="1"/>
  <c r="R131" i="1"/>
  <c r="R309" i="1"/>
  <c r="Q82" i="1"/>
  <c r="Q216" i="1"/>
  <c r="Q218" i="1"/>
  <c r="Q281" i="1"/>
  <c r="Q247" i="1"/>
  <c r="Q241" i="1"/>
  <c r="Q123" i="1"/>
  <c r="Q248" i="1"/>
  <c r="Q265" i="1"/>
  <c r="Q125" i="1"/>
  <c r="Q249" i="1"/>
  <c r="Q289" i="1"/>
  <c r="Q126" i="1"/>
  <c r="Q288" i="1"/>
  <c r="Q261" i="1"/>
  <c r="Q232" i="1"/>
  <c r="Q203" i="1"/>
  <c r="Q176" i="1"/>
  <c r="Q92" i="1"/>
  <c r="Q256" i="1"/>
  <c r="Q193" i="1"/>
  <c r="Q227" i="1"/>
  <c r="Q173" i="1"/>
  <c r="Q116" i="1"/>
  <c r="Q190" i="1"/>
  <c r="Q282" i="1"/>
  <c r="Q252" i="1"/>
  <c r="Q225" i="1"/>
  <c r="Q198" i="1"/>
  <c r="Q171" i="1"/>
  <c r="Q141" i="1"/>
  <c r="Q114" i="1"/>
  <c r="Q87" i="1"/>
  <c r="Q146" i="1"/>
  <c r="Q104" i="1"/>
  <c r="Q279" i="1"/>
  <c r="Q251" i="1"/>
  <c r="Q170" i="1"/>
  <c r="Q140" i="1"/>
  <c r="Q113" i="1"/>
  <c r="Q86" i="1"/>
  <c r="Q124" i="1"/>
  <c r="Q277" i="1"/>
  <c r="Q250" i="1"/>
  <c r="Q223" i="1"/>
  <c r="Q196" i="1"/>
  <c r="Q166" i="1"/>
  <c r="Q139" i="1"/>
  <c r="Q112" i="1"/>
  <c r="Q85" i="1"/>
  <c r="Q102" i="1"/>
  <c r="Q154" i="1"/>
  <c r="Q287" i="1"/>
  <c r="Q259" i="1"/>
  <c r="Q231" i="1"/>
  <c r="Q202" i="1"/>
  <c r="Q118" i="1"/>
  <c r="Q91" i="1"/>
  <c r="Q234" i="1"/>
  <c r="Q169" i="1"/>
  <c r="Q286" i="1"/>
  <c r="Q258" i="1"/>
  <c r="Q228" i="1"/>
  <c r="Q174" i="1"/>
  <c r="Q147" i="1"/>
  <c r="Q117" i="1"/>
  <c r="Q90" i="1"/>
  <c r="Q212" i="1"/>
  <c r="Q143" i="1"/>
  <c r="Q285" i="1"/>
  <c r="Q200" i="1"/>
  <c r="Q145" i="1"/>
  <c r="Q89" i="1"/>
  <c r="Q119" i="1"/>
  <c r="Q284" i="1"/>
  <c r="Q199" i="1"/>
  <c r="Q172" i="1"/>
  <c r="Q142" i="1"/>
  <c r="Q115" i="1"/>
  <c r="Q88" i="1"/>
  <c r="Q168" i="1"/>
  <c r="Q95" i="1"/>
  <c r="Q294" i="1"/>
  <c r="Q246" i="1"/>
  <c r="Q160" i="1"/>
  <c r="Q122" i="1"/>
  <c r="Q217" i="1"/>
  <c r="Q293" i="1"/>
  <c r="Q245" i="1"/>
  <c r="Q207" i="1"/>
  <c r="Q159" i="1"/>
  <c r="Q111" i="1"/>
  <c r="Q179" i="1"/>
  <c r="Q291" i="1"/>
  <c r="Q157" i="1"/>
  <c r="Q109" i="1"/>
  <c r="Q229" i="1"/>
  <c r="Q290" i="1"/>
  <c r="Q242" i="1"/>
  <c r="Q194" i="1"/>
  <c r="Q156" i="1"/>
  <c r="Q108" i="1"/>
  <c r="Q254" i="1"/>
  <c r="Q276" i="1"/>
  <c r="Q240" i="1"/>
  <c r="Q153" i="1"/>
  <c r="Q107" i="1"/>
  <c r="Q280" i="1"/>
  <c r="Q275" i="1"/>
  <c r="Q239" i="1"/>
  <c r="Q189" i="1"/>
  <c r="Q152" i="1"/>
  <c r="Q106" i="1"/>
  <c r="Q238" i="1"/>
  <c r="Q188" i="1"/>
  <c r="Q151" i="1"/>
  <c r="Q103" i="1"/>
  <c r="Q300" i="1"/>
  <c r="Q105" i="1"/>
  <c r="Q273" i="1"/>
  <c r="Q236" i="1"/>
  <c r="Q187" i="1"/>
  <c r="Q101" i="1"/>
  <c r="Q130" i="1"/>
  <c r="Q272" i="1"/>
  <c r="Q186" i="1"/>
  <c r="Q100" i="1"/>
  <c r="Q80" i="1"/>
  <c r="Q155" i="1"/>
  <c r="Q271" i="1"/>
  <c r="Q233" i="1"/>
  <c r="Q185" i="1"/>
  <c r="Q180" i="1"/>
  <c r="Q270" i="1"/>
  <c r="Q136" i="1"/>
  <c r="Q260" i="1"/>
  <c r="Q269" i="1"/>
  <c r="Q183" i="1"/>
  <c r="Q96" i="1"/>
  <c r="Q304" i="1"/>
  <c r="Q220" i="1"/>
  <c r="Q134" i="1"/>
  <c r="Q214" i="1"/>
  <c r="Q219" i="1"/>
  <c r="Q292" i="1"/>
  <c r="Q244" i="1"/>
  <c r="Q206" i="1"/>
  <c r="Q110" i="1"/>
  <c r="Q204" i="1"/>
  <c r="Q150" i="1"/>
  <c r="Q278" i="1"/>
  <c r="Q222" i="1"/>
  <c r="Q184" i="1"/>
  <c r="Q97" i="1"/>
  <c r="Q205" i="1"/>
  <c r="Q221" i="1"/>
  <c r="Q135" i="1"/>
  <c r="Q237" i="1"/>
  <c r="Q230" i="1"/>
  <c r="Q268" i="1"/>
  <c r="Q182" i="1"/>
  <c r="Q94" i="1"/>
  <c r="Q255" i="1"/>
  <c r="Q303" i="1"/>
  <c r="Q267" i="1"/>
  <c r="Q181" i="1"/>
  <c r="Q133" i="1"/>
  <c r="Q93" i="1"/>
  <c r="Q81" i="1"/>
  <c r="Q215" i="1"/>
  <c r="Q98" i="1"/>
  <c r="Q127" i="1"/>
  <c r="Q263" i="1"/>
  <c r="Q497" i="1"/>
  <c r="Q413" i="1"/>
  <c r="Q427" i="1"/>
  <c r="Q344" i="1"/>
  <c r="Q435" i="1"/>
  <c r="Q322" i="1"/>
  <c r="Q326" i="1"/>
  <c r="Q401" i="1"/>
  <c r="Q480" i="1"/>
  <c r="Q329" i="1"/>
  <c r="Q312" i="1"/>
  <c r="Q509" i="1"/>
  <c r="Q416" i="1"/>
  <c r="Q504" i="1"/>
  <c r="Q327" i="1"/>
  <c r="Q403" i="1"/>
  <c r="Q487" i="1"/>
  <c r="Q370" i="1"/>
  <c r="Q394" i="1"/>
  <c r="Q436" i="1"/>
  <c r="Q399" i="1"/>
  <c r="Q348" i="1"/>
  <c r="Q315" i="1"/>
  <c r="Q440" i="1"/>
  <c r="Q527" i="1"/>
  <c r="Q408" i="1"/>
  <c r="I59" i="1"/>
  <c r="H59" i="1"/>
  <c r="F50" i="1"/>
  <c r="D60" i="1"/>
  <c r="F59" i="1"/>
  <c r="E59" i="1"/>
  <c r="D59" i="1"/>
  <c r="C34" i="1"/>
  <c r="D34" i="1"/>
  <c r="D33" i="1"/>
  <c r="C35" i="1"/>
  <c r="Q425" i="1"/>
  <c r="Q505" i="1"/>
  <c r="Q419" i="1"/>
  <c r="Q526" i="1"/>
  <c r="Q411" i="1"/>
  <c r="Q523" i="1"/>
  <c r="Q385" i="1"/>
  <c r="Q434" i="1"/>
  <c r="Q345" i="1"/>
  <c r="Q342" i="1"/>
  <c r="Q430" i="1"/>
  <c r="Q496" i="1"/>
  <c r="Q355" i="1"/>
  <c r="Q494" i="1"/>
  <c r="Q352" i="1"/>
  <c r="Q474" i="1"/>
  <c r="Q351" i="1"/>
  <c r="Q518" i="1"/>
  <c r="Q334" i="1"/>
  <c r="Q467" i="1"/>
  <c r="Q333" i="1"/>
  <c r="Q320" i="1"/>
  <c r="Q483" i="1"/>
  <c r="Q376" i="1"/>
  <c r="Q503" i="1"/>
  <c r="Q363" i="1"/>
  <c r="Q528" i="1"/>
  <c r="Q319" i="1"/>
  <c r="Q466" i="1"/>
  <c r="Q332" i="1"/>
  <c r="Q514" i="1"/>
  <c r="Q455" i="1"/>
  <c r="Q347" i="1"/>
  <c r="Q459" i="1"/>
  <c r="Q309" i="1"/>
  <c r="Q482" i="1"/>
  <c r="Q412" i="1"/>
  <c r="Q426" i="1"/>
  <c r="Q410" i="1"/>
  <c r="Q393" i="1"/>
  <c r="Q501" i="1"/>
  <c r="Q507" i="1"/>
  <c r="Q360" i="1"/>
  <c r="Q444" i="1"/>
  <c r="Q506" i="1"/>
  <c r="Q475" i="1"/>
  <c r="Q387" i="1"/>
  <c r="Q354" i="1"/>
  <c r="Q369" i="1"/>
  <c r="Q472" i="1"/>
  <c r="Q473" i="1"/>
  <c r="Q316" i="1"/>
  <c r="Q516" i="1"/>
  <c r="Q392" i="1"/>
  <c r="Q469" i="1"/>
  <c r="Q386" i="1"/>
  <c r="Q465" i="1"/>
  <c r="Q313" i="1"/>
  <c r="Q395" i="1"/>
  <c r="Q364" i="1"/>
  <c r="Q405" i="1"/>
  <c r="Q453" i="1"/>
  <c r="Q384" i="1"/>
  <c r="Q441" i="1"/>
  <c r="Q442" i="1"/>
  <c r="Q356" i="1"/>
  <c r="Q310" i="1"/>
  <c r="Q500" i="1"/>
  <c r="Q498" i="1"/>
  <c r="Q362" i="1"/>
  <c r="Q417" i="1"/>
  <c r="Q409" i="1"/>
  <c r="Q323" i="1"/>
  <c r="Q524" i="1"/>
  <c r="Q481" i="1"/>
  <c r="Q368" i="1"/>
  <c r="Q349" i="1"/>
  <c r="Q421" i="1"/>
  <c r="Q486" i="1"/>
  <c r="Q377" i="1"/>
  <c r="Q415" i="1"/>
  <c r="Q471" i="1"/>
  <c r="Q388" i="1"/>
  <c r="Q339" i="1"/>
  <c r="Q485" i="1"/>
  <c r="Q462" i="1"/>
  <c r="Q406" i="1"/>
  <c r="Q328" i="1"/>
  <c r="Q454" i="1"/>
  <c r="Q325" i="1"/>
  <c r="Q337" i="1"/>
  <c r="Q375" i="1"/>
  <c r="Q438" i="1"/>
  <c r="Q311" i="1"/>
  <c r="Q491" i="1"/>
  <c r="Q458" i="1"/>
  <c r="Q479" i="1"/>
  <c r="Q359" i="1"/>
  <c r="Q468" i="1"/>
  <c r="Q511" i="1"/>
  <c r="Q495" i="1"/>
  <c r="Q439" i="1"/>
  <c r="Q431" i="1"/>
  <c r="Q447" i="1"/>
  <c r="Q358" i="1"/>
  <c r="Q372" i="1"/>
  <c r="Q305" i="1"/>
  <c r="Q515" i="1"/>
  <c r="Q396" i="1"/>
  <c r="Q517" i="1"/>
  <c r="Q336" i="1"/>
  <c r="Q379" i="1"/>
  <c r="Q418" i="1"/>
  <c r="Q308" i="1"/>
  <c r="Q478" i="1"/>
  <c r="Q371" i="1"/>
  <c r="Q314" i="1"/>
  <c r="Q350" i="1"/>
  <c r="Q374" i="1"/>
  <c r="Q382" i="1"/>
  <c r="Q353" i="1"/>
  <c r="Q357" i="1"/>
  <c r="Q488" i="1"/>
  <c r="Q367" i="1"/>
  <c r="Q508" i="1"/>
  <c r="Q397" i="1"/>
  <c r="Q331" i="1"/>
  <c r="Q519" i="1"/>
  <c r="Q390" i="1"/>
  <c r="Q456" i="1"/>
  <c r="Q461" i="1"/>
  <c r="Q463" i="1"/>
  <c r="Q452" i="1"/>
  <c r="Q341" i="1"/>
  <c r="Q383" i="1"/>
  <c r="Q324" i="1"/>
  <c r="D56" i="1"/>
  <c r="R476" i="1"/>
  <c r="R305" i="1"/>
  <c r="R192" i="1"/>
  <c r="R84" i="1"/>
  <c r="R466" i="1"/>
  <c r="R147" i="1"/>
  <c r="R294" i="1"/>
  <c r="R177" i="1"/>
  <c r="R120" i="1"/>
  <c r="R445" i="1"/>
  <c r="R296" i="1"/>
  <c r="R458" i="1"/>
  <c r="R249" i="1"/>
  <c r="R487" i="1"/>
  <c r="R367" i="1"/>
  <c r="R207" i="1"/>
  <c r="Q295" i="1"/>
  <c r="Q266" i="1"/>
  <c r="Q264" i="1"/>
  <c r="Q178" i="1"/>
  <c r="Q162" i="1"/>
  <c r="Q161" i="1"/>
  <c r="Q132" i="1"/>
  <c r="Q149" i="1"/>
  <c r="Q224" i="1"/>
  <c r="Q175" i="1"/>
  <c r="Q253" i="1"/>
  <c r="Q243" i="1"/>
  <c r="Q79" i="1"/>
  <c r="Q137" i="1"/>
  <c r="Q235" i="1"/>
  <c r="Q83" i="1"/>
  <c r="Q120" i="1"/>
  <c r="Q197" i="1"/>
  <c r="Q148" i="1"/>
  <c r="Q226" i="1"/>
  <c r="Q195" i="1"/>
  <c r="Q274" i="1"/>
  <c r="Q283" i="1"/>
  <c r="Q99" i="1"/>
  <c r="Q84" i="1"/>
  <c r="Q213" i="1"/>
  <c r="Q158" i="1"/>
  <c r="Q138" i="1"/>
  <c r="Q192" i="1"/>
  <c r="Q208" i="1"/>
  <c r="Q201" i="1"/>
  <c r="Q129" i="1"/>
  <c r="Q257" i="1"/>
  <c r="R263" i="1"/>
  <c r="R316" i="1"/>
  <c r="R137" i="1"/>
  <c r="R106" i="1"/>
  <c r="R461" i="1"/>
  <c r="R365" i="1"/>
  <c r="R376" i="1"/>
  <c r="R166" i="1"/>
  <c r="R428" i="1"/>
  <c r="R99" i="1"/>
  <c r="R132" i="1"/>
  <c r="R110" i="1"/>
  <c r="R523" i="1"/>
  <c r="R441" i="1"/>
  <c r="R172" i="1"/>
  <c r="R396" i="1"/>
  <c r="R97" i="1"/>
  <c r="R231" i="1"/>
  <c r="Q128" i="1"/>
  <c r="R484" i="1"/>
  <c r="R214" i="1"/>
  <c r="R354" i="1"/>
  <c r="R260" i="1"/>
  <c r="R248" i="1"/>
  <c r="R358" i="1"/>
  <c r="R187" i="1"/>
  <c r="R370" i="1"/>
  <c r="R216" i="1"/>
  <c r="R478" i="1"/>
  <c r="R333" i="1"/>
  <c r="R159" i="1"/>
  <c r="R323" i="1"/>
  <c r="R173" i="1"/>
  <c r="R400" i="1"/>
  <c r="R293" i="1"/>
  <c r="R496" i="1"/>
  <c r="R495" i="1"/>
  <c r="R138" i="1"/>
  <c r="R113" i="1"/>
  <c r="R401" i="1"/>
  <c r="R380" i="1"/>
  <c r="R289" i="1"/>
  <c r="R128" i="1"/>
  <c r="R111" i="1"/>
  <c r="R179" i="1"/>
  <c r="R299" i="1"/>
  <c r="R176" i="1"/>
  <c r="R336" i="1"/>
  <c r="R158" i="1"/>
  <c r="R356" i="1"/>
  <c r="R160" i="1"/>
  <c r="R402" i="1"/>
  <c r="R262" i="1"/>
  <c r="R489" i="1"/>
  <c r="R455" i="1"/>
  <c r="R456" i="1"/>
  <c r="R321" i="1"/>
  <c r="R393" i="1"/>
  <c r="R275" i="1"/>
  <c r="R403" i="1"/>
  <c r="R411" i="1"/>
  <c r="R221" i="1"/>
  <c r="R513" i="1"/>
  <c r="R107" i="1"/>
  <c r="R154" i="1"/>
  <c r="R265" i="1"/>
  <c r="R90" i="1"/>
  <c r="R330" i="1"/>
  <c r="R508" i="1"/>
  <c r="R188" i="1"/>
  <c r="R430" i="1"/>
  <c r="R167" i="1"/>
  <c r="R87" i="1"/>
  <c r="R109" i="1"/>
  <c r="R507" i="1"/>
  <c r="R368" i="1"/>
  <c r="R223" i="1"/>
  <c r="R412" i="1"/>
  <c r="R482" i="1"/>
  <c r="R213" i="1"/>
  <c r="R130" i="1"/>
  <c r="R278" i="1"/>
  <c r="R363" i="1"/>
  <c r="R257" i="1"/>
  <c r="Q131" i="1"/>
  <c r="S472" i="1"/>
  <c r="S373" i="1"/>
  <c r="S299" i="1"/>
  <c r="S212" i="1"/>
  <c r="S136" i="1"/>
  <c r="S455" i="1"/>
  <c r="S372" i="1"/>
  <c r="S298" i="1"/>
  <c r="S205" i="1"/>
  <c r="S128" i="1"/>
  <c r="S448" i="1"/>
  <c r="S371" i="1"/>
  <c r="S297" i="1"/>
  <c r="S204" i="1"/>
  <c r="S125" i="1"/>
  <c r="S508" i="1"/>
  <c r="S409" i="1"/>
  <c r="S326" i="1"/>
  <c r="S218" i="1"/>
  <c r="S122" i="1"/>
  <c r="S347" i="1"/>
  <c r="S295" i="1"/>
  <c r="S213" i="1"/>
  <c r="S82" i="1"/>
  <c r="S404" i="1"/>
  <c r="S402" i="1"/>
  <c r="S206" i="1"/>
  <c r="S436" i="1"/>
  <c r="S85" i="1"/>
  <c r="S186" i="1"/>
  <c r="S308" i="1"/>
  <c r="S366" i="1"/>
  <c r="S98" i="1"/>
  <c r="S290" i="1"/>
  <c r="S495" i="1"/>
  <c r="S399" i="1"/>
  <c r="S300" i="1"/>
  <c r="S199" i="1"/>
  <c r="S109" i="1"/>
  <c r="S493" i="1"/>
  <c r="S398" i="1"/>
  <c r="S279" i="1"/>
  <c r="S198" i="1"/>
  <c r="S104" i="1"/>
  <c r="S215" i="1"/>
  <c r="S157" i="1"/>
  <c r="S513" i="1"/>
  <c r="S385" i="1"/>
  <c r="S240" i="1"/>
  <c r="S236" i="1"/>
  <c r="S477" i="1"/>
  <c r="S191" i="1"/>
  <c r="S288" i="1"/>
  <c r="S420" i="1"/>
  <c r="S491" i="1"/>
  <c r="S395" i="1"/>
  <c r="S277" i="1"/>
  <c r="S192" i="1"/>
  <c r="S103" i="1"/>
  <c r="S201" i="1"/>
  <c r="S328" i="1"/>
  <c r="S442" i="1"/>
  <c r="T154" i="1"/>
  <c r="T424" i="1"/>
  <c r="T143" i="1"/>
  <c r="T394" i="1"/>
  <c r="T435" i="1"/>
  <c r="T402" i="1"/>
  <c r="T333" i="1"/>
  <c r="T153" i="1"/>
  <c r="T401" i="1"/>
  <c r="T120" i="1"/>
  <c r="T368" i="1"/>
  <c r="T404" i="1"/>
  <c r="T372" i="1"/>
  <c r="T305" i="1"/>
  <c r="T151" i="1"/>
  <c r="T335" i="1"/>
  <c r="T97" i="1"/>
  <c r="T288" i="1"/>
  <c r="T375" i="1"/>
  <c r="T229" i="1"/>
  <c r="T277" i="1"/>
  <c r="T88" i="1"/>
  <c r="Y103" i="1"/>
  <c r="Y279" i="1"/>
  <c r="T359" i="1"/>
  <c r="T170" i="1"/>
  <c r="T210" i="1"/>
  <c r="T324" i="1"/>
  <c r="T130" i="1"/>
  <c r="T348" i="1"/>
  <c r="T234" i="1"/>
  <c r="T395" i="1"/>
  <c r="T363" i="1"/>
  <c r="T528" i="1"/>
  <c r="T287" i="1"/>
  <c r="T148" i="1"/>
  <c r="T93" i="1"/>
  <c r="Y197" i="1"/>
  <c r="Y430" i="1"/>
  <c r="T101" i="1"/>
  <c r="T104" i="1"/>
  <c r="T140" i="1"/>
  <c r="T216" i="1"/>
  <c r="T128" i="1"/>
  <c r="T299" i="1"/>
  <c r="T123" i="1"/>
  <c r="T321" i="1"/>
  <c r="T200" i="1"/>
  <c r="T345" i="1"/>
  <c r="T111" i="1"/>
  <c r="T341" i="1"/>
  <c r="T313" i="1"/>
  <c r="E50" i="1"/>
  <c r="AQ15" i="1"/>
  <c r="F81" i="1"/>
  <c r="G81" i="1"/>
  <c r="AB69" i="1"/>
  <c r="G30" i="1"/>
  <c r="AB67" i="1"/>
  <c r="G28" i="1"/>
  <c r="AG67" i="1"/>
  <c r="L28" i="1"/>
  <c r="AB68" i="1"/>
  <c r="G29" i="1"/>
  <c r="AA67" i="1"/>
  <c r="F28" i="1"/>
  <c r="AA68" i="1"/>
  <c r="F29" i="1"/>
  <c r="AA69" i="1"/>
  <c r="F30" i="1"/>
  <c r="AC68" i="1"/>
  <c r="H29" i="1"/>
  <c r="AE67" i="1"/>
  <c r="J28" i="1"/>
  <c r="AD68" i="1"/>
  <c r="AE69" i="1"/>
  <c r="J30" i="1"/>
  <c r="AE68" i="1"/>
  <c r="Z69" i="1"/>
  <c r="E30" i="1"/>
  <c r="Z67" i="1"/>
  <c r="E28" i="1"/>
  <c r="Z68" i="1"/>
  <c r="E29" i="1"/>
  <c r="AG68" i="1"/>
  <c r="AG69" i="1"/>
  <c r="L30" i="1"/>
  <c r="AD67" i="1"/>
  <c r="I28" i="1"/>
  <c r="AD69" i="1"/>
  <c r="I30" i="1"/>
  <c r="AC67" i="1"/>
  <c r="H28" i="1"/>
  <c r="AC69" i="1"/>
  <c r="H30" i="1"/>
  <c r="AF68" i="1"/>
  <c r="AF69" i="1"/>
  <c r="K30" i="1"/>
  <c r="AF67" i="1"/>
  <c r="K28" i="1"/>
  <c r="AH69" i="1"/>
  <c r="M30" i="1"/>
  <c r="AH68" i="1"/>
  <c r="I29" i="1"/>
  <c r="D29" i="1"/>
  <c r="AH67" i="1"/>
  <c r="M28" i="1"/>
  <c r="AI71" i="1"/>
  <c r="AI69" i="1"/>
  <c r="C30" i="1"/>
  <c r="AI68" i="1"/>
  <c r="C29" i="1"/>
  <c r="F84" i="1"/>
  <c r="AI67" i="1"/>
  <c r="C28" i="1"/>
  <c r="E31" i="1"/>
  <c r="D31" i="1"/>
  <c r="C31" i="1"/>
  <c r="AK207" i="1"/>
  <c r="AK206" i="1"/>
  <c r="D30" i="1"/>
  <c r="C32" i="1"/>
  <c r="AM15" i="1"/>
  <c r="D28" i="1"/>
  <c r="D27" i="1"/>
  <c r="C47" i="1"/>
  <c r="AO15" i="1"/>
  <c r="L50" i="1"/>
  <c r="H50" i="1"/>
  <c r="J50" i="1"/>
  <c r="F86" i="1"/>
  <c r="F93" i="1"/>
  <c r="F90" i="1"/>
  <c r="F95" i="1"/>
  <c r="F87" i="1"/>
  <c r="F88" i="1"/>
  <c r="F91" i="1"/>
  <c r="F94" i="1"/>
  <c r="F85" i="1"/>
  <c r="C37" i="1"/>
  <c r="AP15" i="1"/>
  <c r="G50" i="1"/>
  <c r="I50" i="1"/>
  <c r="G86" i="1"/>
  <c r="G94" i="1"/>
  <c r="G92" i="1"/>
  <c r="G93" i="1"/>
  <c r="G87" i="1"/>
  <c r="G83" i="1"/>
  <c r="AL15" i="1"/>
  <c r="G90" i="1"/>
  <c r="G95" i="1"/>
  <c r="G88" i="1"/>
  <c r="G85" i="1"/>
  <c r="K50" i="1"/>
  <c r="G84" i="1"/>
  <c r="G91" i="1"/>
  <c r="E85" i="1"/>
  <c r="E93" i="1"/>
  <c r="E86" i="1"/>
  <c r="E90" i="1"/>
  <c r="E95" i="1"/>
  <c r="E91" i="1"/>
  <c r="E94" i="1"/>
  <c r="E92" i="1"/>
  <c r="E84" i="1"/>
  <c r="E87" i="1"/>
  <c r="E88" i="1"/>
  <c r="E83" i="1"/>
  <c r="E89" i="1"/>
  <c r="C44" i="1"/>
  <c r="F92" i="1"/>
  <c r="F83" i="1"/>
  <c r="F89" i="1"/>
  <c r="C45" i="1"/>
  <c r="AJ67" i="1"/>
  <c r="AJ68" i="1"/>
  <c r="AJ69" i="1"/>
  <c r="E46" i="1"/>
  <c r="N50" i="1"/>
  <c r="G89" i="1"/>
  <c r="C46" i="1"/>
  <c r="M50" i="1"/>
  <c r="AN15" i="1"/>
  <c r="O449" i="1" l="1"/>
  <c r="O167" i="1"/>
  <c r="O171" i="1"/>
  <c r="O149" i="1"/>
  <c r="O431" i="1"/>
  <c r="O195" i="1"/>
  <c r="O232" i="1"/>
  <c r="O113" i="1"/>
  <c r="O99" i="1"/>
  <c r="O456" i="1"/>
  <c r="O331" i="1"/>
  <c r="O413" i="1"/>
  <c r="O198" i="1"/>
  <c r="O165" i="1"/>
  <c r="O416" i="1"/>
  <c r="O287" i="1"/>
  <c r="O133" i="1"/>
  <c r="O234" i="1"/>
  <c r="O469" i="1"/>
  <c r="O183" i="1"/>
  <c r="O420" i="1"/>
  <c r="O344" i="1"/>
  <c r="O515" i="1"/>
  <c r="O334" i="1"/>
  <c r="O162" i="1"/>
  <c r="O122" i="1"/>
  <c r="O140" i="1"/>
  <c r="O406" i="1"/>
  <c r="O161" i="1"/>
  <c r="O414" i="1"/>
  <c r="O509" i="1"/>
  <c r="O527" i="1"/>
  <c r="O86" i="1"/>
  <c r="O216" i="1"/>
  <c r="O217" i="1"/>
  <c r="O146" i="1"/>
  <c r="O503" i="1"/>
  <c r="O277" i="1"/>
  <c r="O302" i="1"/>
  <c r="O461" i="1"/>
  <c r="O312" i="1"/>
  <c r="O259" i="1"/>
  <c r="O186" i="1"/>
  <c r="O282" i="1"/>
  <c r="O280" i="1"/>
  <c r="O189" i="1"/>
  <c r="O521" i="1"/>
  <c r="O298" i="1"/>
  <c r="O378" i="1"/>
  <c r="O92" i="1"/>
  <c r="O103" i="1"/>
  <c r="O492" i="1"/>
  <c r="O510" i="1"/>
  <c r="O77" i="1"/>
  <c r="O273" i="1"/>
  <c r="O236" i="1"/>
  <c r="O201" i="1"/>
  <c r="O306" i="1"/>
  <c r="O220" i="1"/>
  <c r="O243" i="1"/>
  <c r="O206" i="1"/>
  <c r="O241" i="1"/>
  <c r="O322" i="1"/>
  <c r="O408" i="1"/>
  <c r="O197" i="1"/>
  <c r="O230" i="1"/>
  <c r="O516" i="1"/>
  <c r="O479" i="1"/>
  <c r="O394" i="1"/>
  <c r="O387" i="1"/>
  <c r="O346" i="1"/>
  <c r="O484" i="1"/>
  <c r="O87" i="1"/>
  <c r="O120" i="1"/>
  <c r="O228" i="1"/>
  <c r="O296" i="1"/>
  <c r="O293" i="1"/>
  <c r="O88" i="1"/>
  <c r="O204" i="1"/>
  <c r="O374" i="1"/>
  <c r="O153" i="1"/>
  <c r="O488" i="1"/>
  <c r="O360" i="1"/>
  <c r="O294" i="1"/>
  <c r="O410" i="1"/>
  <c r="O417" i="1"/>
  <c r="O210" i="1"/>
  <c r="O447" i="1"/>
  <c r="O136" i="1"/>
  <c r="O267" i="1"/>
  <c r="O271" i="1"/>
  <c r="O473" i="1"/>
  <c r="O152" i="1"/>
  <c r="O82" i="1"/>
  <c r="O288" i="1"/>
  <c r="O436" i="1"/>
  <c r="O219" i="1"/>
  <c r="O255" i="1"/>
  <c r="O134" i="1"/>
  <c r="O121" i="1"/>
  <c r="O102" i="1"/>
  <c r="O260" i="1"/>
  <c r="O289" i="1"/>
  <c r="O117" i="1"/>
  <c r="O107" i="1"/>
  <c r="O519" i="1"/>
  <c r="O279" i="1"/>
  <c r="O311" i="1"/>
  <c r="O253" i="1"/>
  <c r="O300" i="1"/>
  <c r="O433" i="1"/>
  <c r="O142" i="1"/>
  <c r="O191" i="1"/>
  <c r="O341" i="1"/>
  <c r="O353" i="1"/>
  <c r="O283" i="1"/>
  <c r="O111" i="1"/>
  <c r="O370" i="1"/>
  <c r="O157" i="1"/>
  <c r="O203" i="1"/>
  <c r="O507" i="1"/>
  <c r="O336" i="1"/>
  <c r="O362" i="1"/>
  <c r="O100" i="1"/>
  <c r="O498" i="1"/>
  <c r="O478" i="1"/>
  <c r="O101" i="1"/>
  <c r="O476" i="1"/>
  <c r="O475" i="1"/>
  <c r="O123" i="1"/>
  <c r="O276" i="1"/>
  <c r="O437" i="1"/>
  <c r="O365" i="1"/>
  <c r="O423" i="1"/>
  <c r="O489" i="1"/>
  <c r="O522" i="1"/>
  <c r="O248" i="1"/>
  <c r="O487" i="1"/>
  <c r="O145" i="1"/>
  <c r="O407" i="1"/>
  <c r="O491" i="1"/>
  <c r="O443" i="1"/>
  <c r="O212" i="1"/>
  <c r="O163" i="1"/>
  <c r="O209" i="1"/>
  <c r="O470" i="1"/>
  <c r="O147" i="1"/>
  <c r="O229" i="1"/>
  <c r="O389" i="1"/>
  <c r="O524" i="1"/>
  <c r="O496" i="1"/>
  <c r="O497" i="1"/>
  <c r="O79" i="1"/>
  <c r="O512" i="1"/>
  <c r="O90" i="1"/>
  <c r="O213" i="1"/>
  <c r="O314" i="1"/>
  <c r="O274" i="1"/>
  <c r="O159" i="1"/>
  <c r="O239" i="1"/>
  <c r="O275" i="1"/>
  <c r="O403" i="1"/>
  <c r="O106" i="1"/>
  <c r="O137" i="1"/>
  <c r="O400" i="1"/>
  <c r="O156" i="1"/>
  <c r="O327" i="1"/>
  <c r="O83" i="1"/>
  <c r="O428" i="1"/>
  <c r="O263" i="1"/>
  <c r="O432" i="1"/>
  <c r="O143" i="1"/>
  <c r="O330" i="1"/>
  <c r="O175" i="1"/>
  <c r="O418" i="1"/>
  <c r="O251" i="1"/>
  <c r="O223" i="1"/>
  <c r="O368" i="1"/>
  <c r="O384" i="1"/>
  <c r="O215" i="1"/>
  <c r="O419" i="1"/>
  <c r="O348" i="1"/>
  <c r="O409" i="1"/>
  <c r="O453" i="1"/>
  <c r="O455" i="1"/>
  <c r="O192" i="1"/>
  <c r="O427" i="1"/>
  <c r="O313" i="1"/>
  <c r="O452" i="1"/>
  <c r="O108" i="1"/>
  <c r="O465" i="1"/>
  <c r="O131" i="1"/>
  <c r="O118" i="1"/>
  <c r="O474" i="1"/>
  <c r="O174" i="1"/>
  <c r="O335" i="1"/>
  <c r="O268" i="1"/>
  <c r="O508" i="1"/>
  <c r="O244" i="1"/>
  <c r="O89" i="1"/>
  <c r="O208" i="1"/>
  <c r="O323" i="1"/>
  <c r="O477" i="1"/>
  <c r="O176" i="1"/>
  <c r="O315" i="1"/>
  <c r="O388" i="1"/>
  <c r="O354" i="1"/>
  <c r="O332" i="1"/>
  <c r="O454" i="1"/>
  <c r="O148" i="1"/>
  <c r="O109" i="1"/>
  <c r="O75" i="1"/>
  <c r="D52" i="1" s="1"/>
  <c r="O363" i="1"/>
  <c r="O369" i="1"/>
  <c r="O356" i="1"/>
  <c r="O249" i="1"/>
  <c r="O383" i="1"/>
  <c r="O246" i="1"/>
  <c r="O221" i="1"/>
  <c r="O160" i="1"/>
  <c r="O411" i="1"/>
  <c r="O266" i="1"/>
  <c r="O434" i="1"/>
  <c r="O457" i="1"/>
  <c r="O310" i="1"/>
  <c r="O291" i="1"/>
  <c r="O169" i="1"/>
  <c r="O184" i="1"/>
  <c r="O81" i="1"/>
  <c r="O257" i="1"/>
  <c r="O128" i="1"/>
  <c r="O96" i="1"/>
  <c r="O376" i="1"/>
  <c r="O339" i="1"/>
  <c r="O78" i="1"/>
  <c r="O129" i="1"/>
  <c r="O481" i="1"/>
  <c r="O238" i="1"/>
  <c r="O425" i="1"/>
  <c r="O269" i="1"/>
  <c r="O200" i="1"/>
  <c r="O194" i="1"/>
  <c r="O112" i="1"/>
  <c r="O435" i="1"/>
  <c r="O438" i="1"/>
  <c r="O381" i="1"/>
  <c r="O451" i="1"/>
  <c r="O328" i="1"/>
  <c r="O501" i="1"/>
  <c r="O463" i="1"/>
  <c r="O448" i="1"/>
  <c r="O124" i="1"/>
  <c r="O262" i="1"/>
  <c r="O514" i="1"/>
  <c r="O278" i="1"/>
  <c r="O76" i="1"/>
  <c r="O505" i="1"/>
  <c r="O179" i="1"/>
  <c r="O93" i="1"/>
  <c r="O523" i="1"/>
  <c r="O441" i="1"/>
  <c r="O180" i="1"/>
  <c r="O231" i="1"/>
  <c r="O130" i="1"/>
  <c r="O188" i="1"/>
  <c r="O526" i="1"/>
  <c r="O320" i="1"/>
  <c r="O421" i="1"/>
  <c r="O290" i="1"/>
  <c r="O258" i="1"/>
  <c r="O422" i="1"/>
  <c r="O380" i="1"/>
  <c r="O359" i="1"/>
  <c r="O281" i="1"/>
  <c r="O319" i="1"/>
  <c r="O138" i="1"/>
  <c r="O164" i="1"/>
  <c r="O240" i="1"/>
  <c r="O395" i="1"/>
  <c r="O342" i="1"/>
  <c r="O502" i="1"/>
  <c r="O499" i="1"/>
  <c r="O139" i="1"/>
  <c r="O190" i="1"/>
  <c r="O301" i="1"/>
  <c r="O95" i="1"/>
  <c r="O525" i="1"/>
  <c r="O382" i="1"/>
  <c r="O446" i="1"/>
  <c r="O214" i="1"/>
  <c r="O385" i="1"/>
  <c r="O439" i="1"/>
  <c r="O445" i="1"/>
  <c r="O226" i="1"/>
  <c r="O222" i="1"/>
  <c r="O440" i="1"/>
  <c r="O490" i="1"/>
  <c r="O518" i="1"/>
  <c r="O84" i="1"/>
  <c r="O466" i="1"/>
  <c r="O150" i="1"/>
  <c r="O132" i="1"/>
  <c r="O170" i="1"/>
  <c r="O444" i="1"/>
  <c r="O105" i="1"/>
  <c r="O316" i="1"/>
  <c r="O284" i="1"/>
  <c r="O404" i="1"/>
  <c r="O185" i="1"/>
  <c r="O125" i="1"/>
  <c r="O358" i="1"/>
  <c r="O392" i="1"/>
  <c r="O397" i="1"/>
  <c r="O154" i="1"/>
  <c r="O110" i="1"/>
  <c r="O485" i="1"/>
  <c r="O168" i="1"/>
  <c r="O237" i="1"/>
  <c r="O513" i="1"/>
  <c r="O367" i="1"/>
  <c r="O308" i="1"/>
  <c r="O450" i="1"/>
  <c r="O261" i="1"/>
  <c r="O256" i="1"/>
  <c r="O429" i="1"/>
  <c r="O80" i="1"/>
  <c r="O352" i="1"/>
  <c r="O391" i="1"/>
  <c r="O286" i="1"/>
  <c r="O504" i="1"/>
  <c r="O468" i="1"/>
  <c r="O299" i="1"/>
  <c r="O98" i="1"/>
  <c r="O227" i="1"/>
  <c r="O304" i="1"/>
  <c r="O399" i="1"/>
  <c r="O442" i="1"/>
  <c r="O361" i="1"/>
  <c r="O218" i="1"/>
  <c r="O471" i="1"/>
  <c r="O517" i="1"/>
  <c r="O205" i="1"/>
  <c r="O364" i="1"/>
  <c r="O529" i="1"/>
  <c r="O402" i="1"/>
  <c r="O333" i="1"/>
  <c r="O177" i="1"/>
  <c r="O247" i="1"/>
  <c r="O182" i="1"/>
  <c r="O303" i="1"/>
  <c r="O460" i="1"/>
  <c r="O482" i="1"/>
  <c r="O373" i="1"/>
  <c r="O196" i="1"/>
  <c r="O486" i="1"/>
  <c r="O372" i="1"/>
  <c r="O343" i="1"/>
  <c r="O224" i="1"/>
  <c r="O270" i="1"/>
  <c r="O326" i="1"/>
  <c r="O424" i="1"/>
  <c r="O338" i="1"/>
  <c r="O141" i="1"/>
  <c r="O295" i="1"/>
  <c r="O415" i="1"/>
  <c r="O426" i="1"/>
  <c r="O462" i="1"/>
  <c r="O126" i="1"/>
  <c r="O318" i="1"/>
  <c r="O405" i="1"/>
  <c r="O345" i="1"/>
  <c r="O173" i="1"/>
  <c r="O116" i="1"/>
  <c r="O166" i="1"/>
  <c r="O158" i="1"/>
  <c r="O377" i="1"/>
  <c r="O357" i="1"/>
  <c r="O127" i="1"/>
  <c r="O202" i="1"/>
  <c r="O254" i="1"/>
  <c r="O366" i="1"/>
  <c r="O151" i="1"/>
  <c r="O265" i="1"/>
  <c r="O193" i="1"/>
  <c r="O324" i="1"/>
  <c r="O285" i="1"/>
  <c r="O297" i="1"/>
  <c r="O520" i="1"/>
  <c r="O337" i="1"/>
  <c r="O187" i="1"/>
  <c r="O119" i="1"/>
  <c r="O211" i="1"/>
  <c r="O309" i="1"/>
  <c r="O97" i="1"/>
  <c r="O480" i="1"/>
  <c r="O264" i="1"/>
  <c r="O115" i="1"/>
  <c r="O355" i="1"/>
  <c r="O242" i="1"/>
  <c r="O350" i="1"/>
  <c r="O390" i="1"/>
  <c r="O207" i="1"/>
  <c r="O464" i="1"/>
  <c r="O340" i="1"/>
  <c r="O305" i="1"/>
  <c r="O430" i="1"/>
  <c r="O104" i="1"/>
  <c r="O321" i="1"/>
  <c r="O292" i="1"/>
  <c r="O144" i="1"/>
  <c r="O325" i="1"/>
  <c r="O245" i="1"/>
  <c r="O172" i="1"/>
  <c r="O347" i="1"/>
  <c r="O375" i="1"/>
  <c r="O396" i="1"/>
  <c r="O386" i="1"/>
  <c r="O371" i="1"/>
  <c r="O272" i="1"/>
  <c r="O317" i="1"/>
  <c r="O233" i="1"/>
  <c r="O393" i="1"/>
  <c r="O135" i="1"/>
  <c r="O155" i="1"/>
  <c r="O252" i="1"/>
  <c r="O250" i="1"/>
  <c r="O401" i="1"/>
  <c r="O235" i="1"/>
  <c r="O495" i="1"/>
  <c r="O472" i="1"/>
  <c r="O91" i="1"/>
  <c r="O459" i="1"/>
  <c r="O349" i="1"/>
  <c r="O307" i="1"/>
  <c r="O178" i="1"/>
  <c r="O483" i="1"/>
  <c r="O528" i="1"/>
  <c r="O458" i="1"/>
  <c r="O181" i="1"/>
  <c r="O199" i="1"/>
  <c r="O500" i="1"/>
  <c r="O225" i="1"/>
  <c r="O467" i="1"/>
  <c r="O329" i="1"/>
  <c r="O94" i="1"/>
  <c r="O351" i="1"/>
  <c r="O494" i="1"/>
  <c r="O114" i="1"/>
  <c r="O506" i="1"/>
  <c r="O511" i="1"/>
  <c r="O379" i="1"/>
  <c r="O493" i="1"/>
  <c r="O398" i="1"/>
  <c r="O412" i="1"/>
  <c r="O8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E. Lüpfert</author>
  </authors>
  <commentList>
    <comment ref="C52" authorId="0" shapeId="0" xr:uid="{3224C0A9-73C0-4176-B21A-65B83C891DDC}">
      <text>
        <r>
          <rPr>
            <b/>
            <sz val="8"/>
            <color indexed="81"/>
            <rFont val="Tahoma"/>
            <family val="2"/>
          </rPr>
          <t>Choose correct reference spectrum</t>
        </r>
      </text>
    </comment>
  </commentList>
</comments>
</file>

<file path=xl/sharedStrings.xml><?xml version="1.0" encoding="utf-8"?>
<sst xmlns="http://schemas.openxmlformats.org/spreadsheetml/2006/main" count="569" uniqueCount="228">
  <si>
    <t>Reflectivity of mirror materials</t>
  </si>
  <si>
    <t>report print area "Form1"</t>
  </si>
  <si>
    <t>Sample Code</t>
  </si>
  <si>
    <t>Name (Test)</t>
  </si>
  <si>
    <t xml:space="preserve"> </t>
  </si>
  <si>
    <t>reference-spectra and solarspectra included</t>
  </si>
  <si>
    <t>Report:</t>
  </si>
  <si>
    <t>OPAC Code</t>
  </si>
  <si>
    <t>Sample</t>
  </si>
  <si>
    <t>intern comments</t>
  </si>
  <si>
    <t>overview</t>
  </si>
  <si>
    <t>Material Code</t>
  </si>
  <si>
    <t>Manufacturer</t>
  </si>
  <si>
    <t>Name Sample (Kd)</t>
  </si>
  <si>
    <t>Measurement information</t>
  </si>
  <si>
    <t>Project</t>
  </si>
  <si>
    <t>Name Sample (intern)</t>
  </si>
  <si>
    <t>Site/Test</t>
  </si>
  <si>
    <t>Origin/Manufacturer</t>
  </si>
  <si>
    <t>Sample ID</t>
  </si>
  <si>
    <t>Meas date</t>
  </si>
  <si>
    <t>Position/Observation</t>
  </si>
  <si>
    <t>Sample name</t>
  </si>
  <si>
    <t>Reference</t>
  </si>
  <si>
    <t>Sample type</t>
  </si>
  <si>
    <t>Comment</t>
  </si>
  <si>
    <t>Operator</t>
  </si>
  <si>
    <t>Date of measurement</t>
  </si>
  <si>
    <t>Lambda</t>
  </si>
  <si>
    <t>ID measurement</t>
  </si>
  <si>
    <t>Sample Area (cm²)</t>
  </si>
  <si>
    <t>Results</t>
  </si>
  <si>
    <t>Thickness</t>
  </si>
  <si>
    <t>Corrosion data</t>
  </si>
  <si>
    <t>Size</t>
  </si>
  <si>
    <t>Number of corrosion spots &gt;200µm</t>
  </si>
  <si>
    <t>Solar norm</t>
  </si>
  <si>
    <r>
      <t>ρ</t>
    </r>
    <r>
      <rPr>
        <b/>
        <vertAlign val="subscript"/>
        <sz val="10"/>
        <rFont val="Arial"/>
        <family val="2"/>
      </rPr>
      <t>h</t>
    </r>
    <r>
      <rPr>
        <sz val="10"/>
        <rFont val="Arial"/>
        <family val="2"/>
      </rPr>
      <t>(SW,8°,h)</t>
    </r>
  </si>
  <si>
    <t>Stdv</t>
  </si>
  <si>
    <r>
      <t>ρ</t>
    </r>
    <r>
      <rPr>
        <b/>
        <vertAlign val="subscript"/>
        <sz val="10"/>
        <rFont val="Arial"/>
        <family val="2"/>
      </rPr>
      <t>S</t>
    </r>
    <r>
      <rPr>
        <sz val="10"/>
        <rFont val="Arial"/>
        <family val="2"/>
      </rPr>
      <t>(SW,15°,12.5)</t>
    </r>
  </si>
  <si>
    <r>
      <t>ρ</t>
    </r>
    <r>
      <rPr>
        <b/>
        <vertAlign val="subscript"/>
        <sz val="10"/>
        <rFont val="Arial"/>
        <family val="2"/>
      </rPr>
      <t>h</t>
    </r>
    <r>
      <rPr>
        <sz val="10"/>
        <rFont val="Arial"/>
        <family val="2"/>
      </rPr>
      <t>(660,8°,h)</t>
    </r>
  </si>
  <si>
    <r>
      <t>ρ</t>
    </r>
    <r>
      <rPr>
        <b/>
        <vertAlign val="subscript"/>
        <sz val="10"/>
        <rFont val="Arial"/>
        <family val="2"/>
      </rPr>
      <t>s</t>
    </r>
    <r>
      <rPr>
        <sz val="10"/>
        <rFont val="Arial"/>
        <family val="2"/>
      </rPr>
      <t>(660,15°,12.5)</t>
    </r>
  </si>
  <si>
    <t>Measurement Date</t>
  </si>
  <si>
    <t>Test/Site</t>
  </si>
  <si>
    <t>Max. original edge corrosion penetrat.</t>
  </si>
  <si>
    <t>ASTM G173-03</t>
  </si>
  <si>
    <t>Date exposed</t>
  </si>
  <si>
    <t>Position/Observations</t>
  </si>
  <si>
    <t>Max. cut edge corrosion penetration</t>
  </si>
  <si>
    <t>Date collected</t>
  </si>
  <si>
    <t>Thickness (mm)</t>
  </si>
  <si>
    <t>Edge corrosion area</t>
  </si>
  <si>
    <t>Expsosure Duration</t>
  </si>
  <si>
    <t>Size (cm x cm)</t>
  </si>
  <si>
    <t>Corrosion spot area</t>
  </si>
  <si>
    <t>solar-weighted hemispherical reflectance</t>
  </si>
  <si>
    <t>Number of Blisters in paint layer</t>
  </si>
  <si>
    <t>Cycles</t>
  </si>
  <si>
    <t>Blistering Level paint layer</t>
  </si>
  <si>
    <t>Duration (hours)</t>
  </si>
  <si>
    <t>Spot density (1/cm²)</t>
  </si>
  <si>
    <t>hemispherical reflectance at 660nm</t>
  </si>
  <si>
    <t>Duration (months)</t>
  </si>
  <si>
    <t>Edge corrosion area fraction</t>
  </si>
  <si>
    <t>Reference-mirror</t>
  </si>
  <si>
    <t>Corrosion spot area fraction</t>
  </si>
  <si>
    <t>Comments</t>
  </si>
  <si>
    <t>specular reflectance</t>
  </si>
  <si>
    <r>
      <t xml:space="preserve">Solar weighted hemispherical reflectance </t>
    </r>
    <r>
      <rPr>
        <sz val="11"/>
        <rFont val="Arial"/>
        <family val="2"/>
      </rPr>
      <t>ρ</t>
    </r>
    <r>
      <rPr>
        <vertAlign val="subscript"/>
        <sz val="10"/>
        <rFont val="Arial"/>
        <family val="2"/>
      </rPr>
      <t>SWH</t>
    </r>
  </si>
  <si>
    <r>
      <t>ρ</t>
    </r>
    <r>
      <rPr>
        <vertAlign val="subscript"/>
        <sz val="10"/>
        <rFont val="Arial"/>
        <family val="2"/>
      </rPr>
      <t>h</t>
    </r>
    <r>
      <rPr>
        <sz val="10"/>
        <rFont val="Arial"/>
        <family val="2"/>
      </rPr>
      <t>(SW,8°,h)  ISO9050</t>
    </r>
  </si>
  <si>
    <t>Number of corrosion spots</t>
  </si>
  <si>
    <r>
      <t>ρ</t>
    </r>
    <r>
      <rPr>
        <vertAlign val="subscript"/>
        <sz val="10"/>
        <color indexed="23"/>
        <rFont val="Arial"/>
        <family val="2"/>
      </rPr>
      <t>SWH</t>
    </r>
    <r>
      <rPr>
        <sz val="10"/>
        <color indexed="23"/>
        <rFont val="Arial"/>
        <family val="2"/>
      </rPr>
      <t xml:space="preserve">  ASTM E891</t>
    </r>
  </si>
  <si>
    <t>corrosion spot density&gt;200µm (1/cm²)</t>
  </si>
  <si>
    <r>
      <t>ρ</t>
    </r>
    <r>
      <rPr>
        <b/>
        <vertAlign val="subscript"/>
        <sz val="11"/>
        <rFont val="Arial"/>
        <family val="2"/>
      </rPr>
      <t>h</t>
    </r>
    <r>
      <rPr>
        <b/>
        <sz val="10"/>
        <rFont val="Arial"/>
        <family val="2"/>
      </rPr>
      <t>(SW,8°,h)  ASTM G173-03</t>
    </r>
  </si>
  <si>
    <t>maximum original edge corrosion penetration</t>
  </si>
  <si>
    <r>
      <t>ρ</t>
    </r>
    <r>
      <rPr>
        <vertAlign val="subscript"/>
        <sz val="10"/>
        <rFont val="Arial"/>
        <family val="2"/>
      </rPr>
      <t>h</t>
    </r>
    <r>
      <rPr>
        <sz val="10"/>
        <rFont val="Arial"/>
        <family val="2"/>
      </rPr>
      <t>(660nm,8°,h)</t>
    </r>
  </si>
  <si>
    <t>maximum cut edge corrosion penetration</t>
  </si>
  <si>
    <t>cut</t>
  </si>
  <si>
    <t>StDv</t>
  </si>
  <si>
    <t>Direct reflectivity (at 660nm, not weighted)</t>
  </si>
  <si>
    <r>
      <t>ρ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>(660nm,15°,7.5mrad)</t>
    </r>
  </si>
  <si>
    <t>Number of Blisters in paint</t>
  </si>
  <si>
    <r>
      <t>ρ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>(660nm,15°,12.5mrad)</t>
    </r>
  </si>
  <si>
    <t>Number of Blisters in paint layer per cm²</t>
  </si>
  <si>
    <r>
      <t>ρ</t>
    </r>
    <r>
      <rPr>
        <vertAlign val="subscript"/>
        <sz val="10"/>
        <rFont val="Arial"/>
        <family val="2"/>
      </rPr>
      <t>s</t>
    </r>
    <r>
      <rPr>
        <sz val="10"/>
        <rFont val="Arial"/>
        <family val="2"/>
      </rPr>
      <t>(660nm,15°,23mrad)</t>
    </r>
  </si>
  <si>
    <t>lev</t>
  </si>
  <si>
    <t>Gloss (spec660 / hem660)</t>
  </si>
  <si>
    <t>hemispherical reflectance spectrum</t>
  </si>
  <si>
    <t>Averaged beamdiversion α in mrad (halfwidthangle)</t>
  </si>
  <si>
    <t>α circular</t>
  </si>
  <si>
    <t>α horizontal</t>
  </si>
  <si>
    <t>α vertical:</t>
  </si>
  <si>
    <r>
      <t xml:space="preserve">Solar weighted direct reflectance </t>
    </r>
    <r>
      <rPr>
        <sz val="11"/>
        <rFont val="Arial"/>
        <family val="2"/>
      </rPr>
      <t>ρ</t>
    </r>
    <r>
      <rPr>
        <vertAlign val="subscript"/>
        <sz val="10"/>
        <rFont val="Arial"/>
        <family val="2"/>
      </rPr>
      <t>SWD</t>
    </r>
    <r>
      <rPr>
        <sz val="10"/>
        <rFont val="Arial"/>
        <family val="2"/>
      </rPr>
      <t xml:space="preserve"> (25mrad acceptanceangle)</t>
    </r>
  </si>
  <si>
    <r>
      <t>ρ</t>
    </r>
    <r>
      <rPr>
        <vertAlign val="subscript"/>
        <sz val="11"/>
        <rFont val="Arial"/>
        <family val="2"/>
      </rPr>
      <t>s</t>
    </r>
    <r>
      <rPr>
        <sz val="11"/>
        <rFont val="Arial"/>
        <family val="2"/>
      </rPr>
      <t>(SW,15°,12.5mrad)</t>
    </r>
    <r>
      <rPr>
        <sz val="10"/>
        <rFont val="Arial"/>
        <family val="2"/>
      </rPr>
      <t xml:space="preserve"> ISO9050:</t>
    </r>
  </si>
  <si>
    <t>Aperture 25 mrad</t>
  </si>
  <si>
    <r>
      <t>ρ</t>
    </r>
    <r>
      <rPr>
        <vertAlign val="subscript"/>
        <sz val="10"/>
        <color indexed="23"/>
        <rFont val="Arial"/>
        <family val="2"/>
      </rPr>
      <t>SWD25</t>
    </r>
    <r>
      <rPr>
        <sz val="10"/>
        <color indexed="23"/>
        <rFont val="Arial"/>
        <family val="2"/>
      </rPr>
      <t xml:space="preserve">  ASTM E891:</t>
    </r>
  </si>
  <si>
    <r>
      <t>ρ</t>
    </r>
    <r>
      <rPr>
        <b/>
        <vertAlign val="subscript"/>
        <sz val="11"/>
        <rFont val="Arial"/>
        <family val="2"/>
      </rPr>
      <t>s</t>
    </r>
    <r>
      <rPr>
        <b/>
        <sz val="11"/>
        <rFont val="Arial"/>
        <family val="2"/>
      </rPr>
      <t>(SW,15°,12.5mrad)</t>
    </r>
    <r>
      <rPr>
        <b/>
        <vertAlign val="subscript"/>
        <sz val="10"/>
        <rFont val="Arial"/>
        <family val="2"/>
      </rPr>
      <t xml:space="preserve"> </t>
    </r>
    <r>
      <rPr>
        <b/>
        <sz val="10"/>
        <rFont val="Arial"/>
        <family val="2"/>
      </rPr>
      <t xml:space="preserve"> ASTM G173-03:</t>
    </r>
  </si>
  <si>
    <t xml:space="preserve">   Values for reports</t>
  </si>
  <si>
    <t>usa tablas en AC5</t>
  </si>
  <si>
    <t>Intern comments about measurements</t>
  </si>
  <si>
    <r>
      <t>ρ</t>
    </r>
    <r>
      <rPr>
        <b/>
        <i/>
        <vertAlign val="subscript"/>
        <sz val="10"/>
        <rFont val="Arial"/>
        <family val="2"/>
      </rPr>
      <t>s</t>
    </r>
  </si>
  <si>
    <t>s</t>
  </si>
  <si>
    <r>
      <t>ρ</t>
    </r>
    <r>
      <rPr>
        <b/>
        <i/>
        <vertAlign val="subscript"/>
        <sz val="10"/>
        <rFont val="Arial"/>
        <family val="2"/>
      </rPr>
      <t>h</t>
    </r>
    <r>
      <rPr>
        <b/>
        <i/>
        <sz val="10"/>
        <rFont val="Arial"/>
        <family val="2"/>
      </rPr>
      <t/>
    </r>
  </si>
  <si>
    <r>
      <t>ρ</t>
    </r>
    <r>
      <rPr>
        <b/>
        <i/>
        <vertAlign val="subscript"/>
        <sz val="10"/>
        <rFont val="Arial"/>
        <family val="2"/>
      </rPr>
      <t>d</t>
    </r>
  </si>
  <si>
    <r>
      <t>ρ</t>
    </r>
    <r>
      <rPr>
        <b/>
        <i/>
        <vertAlign val="subscript"/>
        <sz val="10"/>
        <rFont val="Arial"/>
        <family val="2"/>
      </rPr>
      <t>h</t>
    </r>
    <r>
      <rPr>
        <b/>
        <i/>
        <sz val="10"/>
        <rFont val="Arial"/>
        <family val="2"/>
      </rPr>
      <t xml:space="preserve"> SW</t>
    </r>
  </si>
  <si>
    <r>
      <t>ρ</t>
    </r>
    <r>
      <rPr>
        <b/>
        <i/>
        <vertAlign val="subscript"/>
        <sz val="10"/>
        <color indexed="10"/>
        <rFont val="Arial"/>
        <family val="2"/>
      </rPr>
      <t>s</t>
    </r>
    <r>
      <rPr>
        <b/>
        <i/>
        <sz val="10"/>
        <color indexed="10"/>
        <rFont val="Arial"/>
        <family val="2"/>
      </rPr>
      <t xml:space="preserve"> SW</t>
    </r>
  </si>
  <si>
    <t>Instrument</t>
  </si>
  <si>
    <t>Perkin Elmer Lambda1050 Spectrophotometer</t>
  </si>
  <si>
    <t>Used referencestandard:</t>
  </si>
  <si>
    <t>MASTER OMT</t>
  </si>
  <si>
    <t>Used method:</t>
  </si>
  <si>
    <t>Spiegel5 2500-250 Zeiten</t>
  </si>
  <si>
    <t>FBW5</t>
  </si>
  <si>
    <t xml:space="preserve">Used sample holder: </t>
  </si>
  <si>
    <t>Standard</t>
  </si>
  <si>
    <t>FBW6</t>
  </si>
  <si>
    <t>Used light trap:</t>
  </si>
  <si>
    <t>FBW7</t>
  </si>
  <si>
    <t>Quality Baseline 100%:</t>
  </si>
  <si>
    <t>ok</t>
  </si>
  <si>
    <t>Quality Zeroline 0%:</t>
  </si>
  <si>
    <t>FL-8905-1</t>
  </si>
  <si>
    <t>Sequence</t>
  </si>
  <si>
    <t>SaintG3</t>
  </si>
  <si>
    <t>average solar weighted</t>
  </si>
  <si>
    <t>ISO 9050</t>
  </si>
  <si>
    <t>Intervall</t>
  </si>
  <si>
    <t>5 nm</t>
  </si>
  <si>
    <t>ASTM E891</t>
  </si>
  <si>
    <t>Sample treating</t>
  </si>
  <si>
    <t>Sample was turned 45° per measurement</t>
  </si>
  <si>
    <t>ASTM 173 direct</t>
  </si>
  <si>
    <t>Sample cleaning</t>
  </si>
  <si>
    <t>Other comments</t>
  </si>
  <si>
    <r>
      <t>average R</t>
    </r>
    <r>
      <rPr>
        <vertAlign val="subscript"/>
        <sz val="10"/>
        <rFont val="Arial"/>
        <family val="2"/>
      </rPr>
      <t>hem</t>
    </r>
  </si>
  <si>
    <t>Spectrum PE-100123 is only calibrated from 250-2200nm</t>
  </si>
  <si>
    <t>Weighting factor neu ermittelt Steffi 201101</t>
  </si>
  <si>
    <t>MASTER 0,95mm</t>
  </si>
  <si>
    <t>MASTER 1,6 mm</t>
  </si>
  <si>
    <t>MASTER 3mm</t>
  </si>
  <si>
    <t>MASTER 4mm</t>
  </si>
  <si>
    <t>MASTER 1st silver</t>
  </si>
  <si>
    <t>MASTER 1st alu</t>
  </si>
  <si>
    <t>Devices&amp;Services Reflektometer</t>
  </si>
  <si>
    <t>R15, SNr., Referenz 97.9</t>
  </si>
  <si>
    <t>ISO9050</t>
  </si>
  <si>
    <t>Referenz-Spektren</t>
  </si>
  <si>
    <t>Messdaten hemisphärisch</t>
  </si>
  <si>
    <t>Auswertung Reflexionsgrad hemisphärisch</t>
  </si>
  <si>
    <t>Solar Spectra</t>
  </si>
  <si>
    <t>Reference Spectra</t>
  </si>
  <si>
    <t>Working</t>
  </si>
  <si>
    <t>Aperture 46 mrad (or 7 mrad)</t>
  </si>
  <si>
    <t>Sun</t>
  </si>
  <si>
    <t>Labsphere WT 3612</t>
  </si>
  <si>
    <t>1. Messung</t>
  </si>
  <si>
    <t>E891</t>
  </si>
  <si>
    <t>ASTM 173 global tilt (Smarts2)</t>
  </si>
  <si>
    <t>ASTM 173 direct (Smarts2)</t>
  </si>
  <si>
    <t>2. Messung</t>
  </si>
  <si>
    <t>λ [nm]</t>
  </si>
  <si>
    <t>Zeroline</t>
  </si>
  <si>
    <t>Baseline</t>
  </si>
  <si>
    <t>ρ gemittelt</t>
  </si>
  <si>
    <t>interpolation</t>
  </si>
  <si>
    <t>3. Messung</t>
  </si>
  <si>
    <t>4. Messung</t>
  </si>
  <si>
    <t>5. Messung</t>
  </si>
  <si>
    <t>Mean</t>
  </si>
  <si>
    <t>6. Messung</t>
  </si>
  <si>
    <t>Aperture 15 mrad</t>
  </si>
  <si>
    <t>CHARM</t>
  </si>
  <si>
    <t>α Effektiver Strahldurchmesser [mrad]</t>
  </si>
  <si>
    <t>α Streuung waagerecht [mrad]</t>
  </si>
  <si>
    <t>α Streuung senkrecht [mrad]</t>
  </si>
  <si>
    <t>Einstellungen:</t>
  </si>
  <si>
    <t>Belichtungszeit [ms]</t>
  </si>
  <si>
    <t>Gain</t>
  </si>
  <si>
    <t>Schwellwert Dunkelbild</t>
  </si>
  <si>
    <t>Schwellwert Strahldurchmesser</t>
  </si>
  <si>
    <t>Dateiname Bild</t>
  </si>
  <si>
    <t>Messungen</t>
  </si>
  <si>
    <t>D:\Eigene Dateien\Quarz\Spiegel\Originaldaten\081002_Labsphere\Zeroline.asc</t>
  </si>
  <si>
    <t>D:\Eigene Dateien\Quarz\Spiegel\Originaldaten\081002_Labsphere\Baseline.asc</t>
  </si>
  <si>
    <t>D:\Eigene Dateien\Quarz\Spiegel\Originaldaten\081002_Labsphere\Miro2-5162 front.asc</t>
  </si>
  <si>
    <t>D:\Eigene Dateien\Quarz\Spiegel\Originaldaten\081002_Labsphere\Miro2-5163.asc</t>
  </si>
  <si>
    <t xml:space="preserve">PE UV       SUBTECH     SPECTRUM    ASCII       PEDS        4.00        </t>
  </si>
  <si>
    <t>Zeroline.asc</t>
  </si>
  <si>
    <t>Baseline.asc</t>
  </si>
  <si>
    <t>Miro2-5162 front.asc</t>
  </si>
  <si>
    <t>Miro2-5163.asc</t>
  </si>
  <si>
    <t>11:19:18.00</t>
  </si>
  <si>
    <t>11:15:28.00</t>
  </si>
  <si>
    <t>11:28:38.00</t>
  </si>
  <si>
    <t>11:44:29.00</t>
  </si>
  <si>
    <t>Analyst</t>
  </si>
  <si>
    <t>Lambda 950</t>
  </si>
  <si>
    <t>950N6110204</t>
  </si>
  <si>
    <t>PerkinElmer UV WinLab 5.2.0.0646 / 1.61.00 Lambda 900</t>
  </si>
  <si>
    <t>3350/servo 860,8/2</t>
  </si>
  <si>
    <t>UV/VIS</t>
  </si>
  <si>
    <t>CommonBeamDepol,RBeamAtt,SBeamAtt,150mm sphere / downward view</t>
  </si>
  <si>
    <t>Program</t>
  </si>
  <si>
    <t>3350/0,2 860,8/0,2</t>
  </si>
  <si>
    <t>Front</t>
  </si>
  <si>
    <t>on</t>
  </si>
  <si>
    <t>S:0 R:100</t>
  </si>
  <si>
    <t>S:100 R:100</t>
  </si>
  <si>
    <t>#HDR</t>
  </si>
  <si>
    <t>#GR</t>
  </si>
  <si>
    <t>nm</t>
  </si>
  <si>
    <t>%T</t>
  </si>
  <si>
    <t>1.0</t>
  </si>
  <si>
    <t>0.0</t>
  </si>
  <si>
    <t>#DATA</t>
  </si>
  <si>
    <t>4</t>
  </si>
  <si>
    <t>10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</si>
  <si>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</si>
  <si>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</si>
  <si>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</si>
  <si>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</si>
  <si>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</si>
  <si>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</si>
  <si>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</si>
  <si>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</si>
  <si>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</si>
  <si>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±</t>
  </si>
  <si>
    <t>Number of cut edges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</si>
</sst>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dd/mm/yy;@"/>
  </numFmts>
  <fonts count="30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sz val="10"/>
      <color indexed="17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vertAlign val="subscript"/>
      <sz val="10"/>
      <name val="Arial"/>
      <family val="2"/>
    </font>
    <font>
      <sz val="11"/>
      <name val="Arial"/>
      <family val="2"/>
    </font>
    <font>
      <vertAlign val="subscript"/>
      <sz val="10"/>
      <name val="Arial"/>
      <family val="2"/>
    </font>
    <font>
      <sz val="10"/>
      <color indexed="10"/>
      <name val="Arial"/>
      <family val="2"/>
    </font>
    <font>
      <sz val="11"/>
      <color indexed="23"/>
      <name val="Arial"/>
      <family val="2"/>
    </font>
    <font>
      <vertAlign val="subscript"/>
      <sz val="10"/>
      <color indexed="23"/>
      <name val="Arial"/>
      <family val="2"/>
    </font>
    <font>
      <sz val="10"/>
      <color indexed="23"/>
      <name val="Arial"/>
      <family val="2"/>
    </font>
    <font>
      <b/>
      <sz val="11"/>
      <name val="Arial"/>
      <family val="2"/>
    </font>
    <font>
      <b/>
      <vertAlign val="subscript"/>
      <sz val="11"/>
      <name val="Arial"/>
      <family val="2"/>
    </font>
    <font>
      <sz val="10"/>
      <color indexed="9"/>
      <name val="Arial"/>
      <family val="2"/>
    </font>
    <font>
      <vertAlign val="subscript"/>
      <sz val="11"/>
      <name val="Arial"/>
      <family val="2"/>
    </font>
    <font>
      <b/>
      <i/>
      <sz val="12"/>
      <name val="Arial"/>
      <family val="2"/>
    </font>
    <font>
      <b/>
      <i/>
      <sz val="10"/>
      <name val="Arial"/>
      <family val="2"/>
    </font>
    <font>
      <b/>
      <i/>
      <vertAlign val="subscript"/>
      <sz val="10"/>
      <name val="Arial"/>
      <family val="2"/>
    </font>
    <font>
      <sz val="11"/>
      <name val="Symbol"/>
      <family val="1"/>
      <charset val="2"/>
    </font>
    <font>
      <b/>
      <i/>
      <sz val="10"/>
      <color indexed="10"/>
      <name val="Arial"/>
      <family val="2"/>
    </font>
    <font>
      <b/>
      <i/>
      <vertAlign val="subscript"/>
      <sz val="10"/>
      <color indexed="1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0"/>
      <color indexed="22"/>
      <name val="Arial"/>
      <family val="2"/>
    </font>
    <font>
      <b/>
      <sz val="10"/>
      <color indexed="23"/>
      <name val="Arial"/>
      <family val="2"/>
    </font>
    <font>
      <u/>
      <sz val="10"/>
      <color indexed="12"/>
      <name val="Arial"/>
      <family val="2"/>
    </font>
    <font>
      <b/>
      <sz val="8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80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3" fillId="0" borderId="1" xfId="0" applyFont="1" applyBorder="1"/>
    <xf numFmtId="0" fontId="4" fillId="2" borderId="0" xfId="0" applyFont="1" applyFill="1"/>
    <xf numFmtId="0" fontId="0" fillId="2" borderId="0" xfId="0" applyFill="1"/>
    <xf numFmtId="0" fontId="5" fillId="0" borderId="0" xfId="0" applyFont="1" applyFill="1"/>
    <xf numFmtId="0" fontId="6" fillId="0" borderId="0" xfId="0" applyFont="1"/>
    <xf numFmtId="0" fontId="0" fillId="0" borderId="0" xfId="0" applyFill="1"/>
    <xf numFmtId="0" fontId="6" fillId="0" borderId="0" xfId="0" applyFont="1" applyFill="1"/>
    <xf numFmtId="0" fontId="6" fillId="0" borderId="3" xfId="0" applyFont="1" applyBorder="1"/>
    <xf numFmtId="0" fontId="6" fillId="0" borderId="3" xfId="0" applyFont="1" applyBorder="1" applyAlignment="1">
      <alignment horizontal="left"/>
    </xf>
    <xf numFmtId="0" fontId="4" fillId="2" borderId="4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6" fillId="0" borderId="7" xfId="0" applyFont="1" applyBorder="1"/>
    <xf numFmtId="49" fontId="6" fillId="0" borderId="7" xfId="0" applyNumberFormat="1" applyFont="1" applyBorder="1" applyAlignment="1">
      <alignment horizontal="left"/>
    </xf>
    <xf numFmtId="0" fontId="4" fillId="0" borderId="2" xfId="0" applyFont="1" applyBorder="1"/>
    <xf numFmtId="0" fontId="0" fillId="0" borderId="0" xfId="0" applyBorder="1" applyAlignment="1">
      <alignment horizontal="left"/>
    </xf>
    <xf numFmtId="0" fontId="4" fillId="0" borderId="0" xfId="0" applyFont="1" applyBorder="1"/>
    <xf numFmtId="14" fontId="0" fillId="0" borderId="0" xfId="0" applyNumberFormat="1" applyBorder="1" applyAlignment="1">
      <alignment horizontal="left"/>
    </xf>
    <xf numFmtId="49" fontId="0" fillId="0" borderId="0" xfId="0" applyNumberFormat="1" applyBorder="1"/>
    <xf numFmtId="14" fontId="6" fillId="0" borderId="7" xfId="0" applyNumberFormat="1" applyFont="1" applyBorder="1" applyAlignment="1">
      <alignment horizontal="left"/>
    </xf>
    <xf numFmtId="0" fontId="4" fillId="0" borderId="2" xfId="0" applyFont="1" applyFill="1" applyBorder="1"/>
    <xf numFmtId="49" fontId="6" fillId="0" borderId="8" xfId="0" applyNumberFormat="1" applyFont="1" applyBorder="1" applyAlignment="1">
      <alignment horizontal="left"/>
    </xf>
    <xf numFmtId="0" fontId="4" fillId="0" borderId="0" xfId="0" applyFont="1" applyFill="1" applyBorder="1"/>
    <xf numFmtId="0" fontId="6" fillId="0" borderId="9" xfId="0" applyFont="1" applyBorder="1"/>
    <xf numFmtId="14" fontId="6" fillId="0" borderId="9" xfId="0" applyNumberFormat="1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6" fillId="0" borderId="7" xfId="0" applyNumberFormat="1" applyFon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4" fillId="0" borderId="7" xfId="0" applyFont="1" applyBorder="1"/>
    <xf numFmtId="0" fontId="6" fillId="0" borderId="8" xfId="0" applyFont="1" applyBorder="1"/>
    <xf numFmtId="0" fontId="0" fillId="0" borderId="15" xfId="0" applyBorder="1"/>
    <xf numFmtId="0" fontId="0" fillId="0" borderId="16" xfId="0" applyBorder="1"/>
    <xf numFmtId="0" fontId="4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9" fontId="6" fillId="0" borderId="9" xfId="0" applyNumberFormat="1" applyFont="1" applyBorder="1" applyAlignment="1">
      <alignment horizontal="left" wrapText="1"/>
    </xf>
    <xf numFmtId="0" fontId="0" fillId="0" borderId="17" xfId="0" applyBorder="1"/>
    <xf numFmtId="0" fontId="0" fillId="0" borderId="18" xfId="0" applyBorder="1"/>
    <xf numFmtId="164" fontId="6" fillId="0" borderId="0" xfId="0" applyNumberFormat="1" applyFont="1" applyFill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164" fontId="6" fillId="0" borderId="0" xfId="0" applyNumberFormat="1" applyFont="1" applyBorder="1" applyAlignment="1"/>
    <xf numFmtId="164" fontId="0" fillId="0" borderId="1" xfId="0" applyNumberFormat="1" applyBorder="1" applyAlignment="1"/>
    <xf numFmtId="49" fontId="6" fillId="0" borderId="7" xfId="0" applyNumberFormat="1" applyFont="1" applyBorder="1" applyAlignment="1">
      <alignment horizontal="left" wrapText="1"/>
    </xf>
    <xf numFmtId="0" fontId="4" fillId="0" borderId="10" xfId="0" applyFont="1" applyBorder="1"/>
    <xf numFmtId="164" fontId="6" fillId="0" borderId="11" xfId="0" applyNumberFormat="1" applyFont="1" applyFill="1" applyBorder="1" applyAlignment="1">
      <alignment horizontal="center"/>
    </xf>
    <xf numFmtId="164" fontId="6" fillId="0" borderId="11" xfId="0" applyNumberFormat="1" applyFont="1" applyBorder="1" applyAlignment="1">
      <alignment horizontal="center"/>
    </xf>
    <xf numFmtId="0" fontId="8" fillId="0" borderId="0" xfId="0" applyFont="1" applyFill="1" applyBorder="1"/>
    <xf numFmtId="0" fontId="0" fillId="0" borderId="19" xfId="0" applyBorder="1"/>
    <xf numFmtId="0" fontId="6" fillId="0" borderId="0" xfId="0" applyFont="1" applyAlignment="1">
      <alignment horizontal="center"/>
    </xf>
    <xf numFmtId="0" fontId="0" fillId="0" borderId="9" xfId="0" applyBorder="1"/>
    <xf numFmtId="0" fontId="0" fillId="0" borderId="20" xfId="0" applyBorder="1"/>
    <xf numFmtId="0" fontId="0" fillId="0" borderId="21" xfId="0" applyBorder="1"/>
    <xf numFmtId="0" fontId="6" fillId="0" borderId="7" xfId="0" applyNumberFormat="1" applyFont="1" applyBorder="1" applyAlignment="1"/>
    <xf numFmtId="0" fontId="0" fillId="0" borderId="8" xfId="0" applyBorder="1"/>
    <xf numFmtId="0" fontId="6" fillId="0" borderId="15" xfId="0" applyFont="1" applyBorder="1"/>
    <xf numFmtId="0" fontId="6" fillId="0" borderId="8" xfId="0" applyNumberFormat="1" applyFont="1" applyBorder="1" applyAlignment="1"/>
    <xf numFmtId="0" fontId="6" fillId="0" borderId="17" xfId="0" applyFont="1" applyBorder="1"/>
    <xf numFmtId="0" fontId="6" fillId="0" borderId="7" xfId="0" applyFont="1" applyBorder="1" applyAlignment="1">
      <alignment wrapText="1"/>
    </xf>
    <xf numFmtId="0" fontId="6" fillId="0" borderId="13" xfId="0" applyFont="1" applyFill="1" applyBorder="1"/>
    <xf numFmtId="0" fontId="6" fillId="0" borderId="13" xfId="0" applyFont="1" applyBorder="1"/>
    <xf numFmtId="0" fontId="6" fillId="0" borderId="11" xfId="0" applyFont="1" applyFill="1" applyBorder="1"/>
    <xf numFmtId="0" fontId="10" fillId="0" borderId="1" xfId="0" applyFont="1" applyBorder="1"/>
    <xf numFmtId="0" fontId="8" fillId="0" borderId="7" xfId="0" applyFont="1" applyBorder="1"/>
    <xf numFmtId="164" fontId="6" fillId="0" borderId="6" xfId="2" applyNumberFormat="1" applyFont="1" applyBorder="1" applyAlignment="1">
      <alignment horizontal="center"/>
    </xf>
    <xf numFmtId="164" fontId="1" fillId="0" borderId="1" xfId="2" applyNumberFormat="1" applyBorder="1"/>
    <xf numFmtId="2" fontId="0" fillId="0" borderId="2" xfId="0" applyNumberFormat="1" applyBorder="1"/>
    <xf numFmtId="2" fontId="0" fillId="0" borderId="0" xfId="0" applyNumberFormat="1" applyBorder="1"/>
    <xf numFmtId="0" fontId="11" fillId="0" borderId="7" xfId="0" applyFont="1" applyBorder="1"/>
    <xf numFmtId="164" fontId="13" fillId="0" borderId="1" xfId="2" applyNumberFormat="1" applyFont="1" applyBorder="1" applyAlignment="1">
      <alignment horizontal="center"/>
    </xf>
    <xf numFmtId="0" fontId="14" fillId="0" borderId="13" xfId="0" applyFont="1" applyBorder="1"/>
    <xf numFmtId="164" fontId="4" fillId="0" borderId="12" xfId="2" applyNumberFormat="1" applyFont="1" applyBorder="1" applyAlignment="1">
      <alignment horizontal="center"/>
    </xf>
    <xf numFmtId="0" fontId="6" fillId="0" borderId="22" xfId="0" applyFont="1" applyFill="1" applyBorder="1"/>
    <xf numFmtId="164" fontId="6" fillId="0" borderId="14" xfId="0" applyNumberFormat="1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164" fontId="0" fillId="0" borderId="2" xfId="0" applyNumberFormat="1" applyBorder="1"/>
    <xf numFmtId="0" fontId="6" fillId="0" borderId="14" xfId="0" applyFont="1" applyFill="1" applyBorder="1"/>
    <xf numFmtId="164" fontId="6" fillId="0" borderId="14" xfId="0" applyNumberFormat="1" applyFont="1" applyBorder="1"/>
    <xf numFmtId="164" fontId="6" fillId="0" borderId="0" xfId="0" applyNumberFormat="1" applyFont="1" applyFill="1"/>
    <xf numFmtId="164" fontId="6" fillId="0" borderId="6" xfId="2" applyNumberFormat="1" applyFont="1" applyFill="1" applyBorder="1" applyAlignment="1">
      <alignment horizontal="center"/>
    </xf>
    <xf numFmtId="164" fontId="6" fillId="0" borderId="1" xfId="2" applyNumberFormat="1" applyFont="1" applyBorder="1" applyAlignment="1">
      <alignment horizontal="center"/>
    </xf>
    <xf numFmtId="164" fontId="6" fillId="0" borderId="12" xfId="2" applyNumberFormat="1" applyFont="1" applyBorder="1" applyAlignment="1">
      <alignment horizontal="center"/>
    </xf>
    <xf numFmtId="164" fontId="6" fillId="0" borderId="0" xfId="0" applyNumberFormat="1" applyFont="1"/>
    <xf numFmtId="0" fontId="8" fillId="0" borderId="3" xfId="0" applyFont="1" applyBorder="1"/>
    <xf numFmtId="0" fontId="6" fillId="0" borderId="14" xfId="0" applyFont="1" applyBorder="1"/>
    <xf numFmtId="0" fontId="4" fillId="3" borderId="10" xfId="0" applyFont="1" applyFill="1" applyBorder="1"/>
    <xf numFmtId="0" fontId="4" fillId="3" borderId="11" xfId="0" applyFont="1" applyFill="1" applyBorder="1"/>
    <xf numFmtId="0" fontId="4" fillId="3" borderId="0" xfId="0" applyFont="1" applyFill="1" applyBorder="1"/>
    <xf numFmtId="0" fontId="0" fillId="3" borderId="0" xfId="0" applyFill="1" applyBorder="1"/>
    <xf numFmtId="0" fontId="18" fillId="4" borderId="0" xfId="0" applyFont="1" applyFill="1"/>
    <xf numFmtId="0" fontId="0" fillId="4" borderId="0" xfId="0" applyFill="1"/>
    <xf numFmtId="164" fontId="19" fillId="5" borderId="0" xfId="0" applyNumberFormat="1" applyFont="1" applyFill="1" applyAlignment="1">
      <alignment horizontal="center" vertical="center"/>
    </xf>
    <xf numFmtId="164" fontId="21" fillId="5" borderId="0" xfId="0" applyNumberFormat="1" applyFont="1" applyFill="1" applyAlignment="1">
      <alignment horizontal="center" vertical="center"/>
    </xf>
    <xf numFmtId="164" fontId="19" fillId="5" borderId="0" xfId="0" applyNumberFormat="1" applyFont="1" applyFill="1" applyAlignment="1">
      <alignment horizontal="center" vertical="center" wrapText="1"/>
    </xf>
    <xf numFmtId="164" fontId="22" fillId="5" borderId="0" xfId="0" applyNumberFormat="1" applyFont="1" applyFill="1" applyAlignment="1">
      <alignment horizontal="center" vertical="center" wrapText="1"/>
    </xf>
    <xf numFmtId="164" fontId="0" fillId="5" borderId="2" xfId="0" applyNumberFormat="1" applyFill="1" applyBorder="1"/>
    <xf numFmtId="164" fontId="0" fillId="5" borderId="0" xfId="0" applyNumberFormat="1" applyFill="1" applyBorder="1"/>
    <xf numFmtId="164" fontId="0" fillId="5" borderId="0" xfId="0" applyNumberFormat="1" applyFill="1"/>
    <xf numFmtId="0" fontId="4" fillId="0" borderId="0" xfId="0" applyFont="1" applyFill="1"/>
    <xf numFmtId="0" fontId="0" fillId="0" borderId="3" xfId="0" applyBorder="1"/>
    <xf numFmtId="0" fontId="10" fillId="0" borderId="6" xfId="0" applyFont="1" applyBorder="1"/>
    <xf numFmtId="0" fontId="4" fillId="6" borderId="0" xfId="0" applyFont="1" applyFill="1" applyBorder="1" applyAlignment="1"/>
    <xf numFmtId="0" fontId="0" fillId="0" borderId="7" xfId="0" applyBorder="1"/>
    <xf numFmtId="0" fontId="0" fillId="0" borderId="1" xfId="0" applyBorder="1" applyAlignment="1">
      <alignment horizontal="right"/>
    </xf>
    <xf numFmtId="0" fontId="0" fillId="0" borderId="6" xfId="0" applyBorder="1"/>
    <xf numFmtId="0" fontId="24" fillId="0" borderId="1" xfId="0" applyFont="1" applyBorder="1" applyAlignment="1">
      <alignment horizontal="right"/>
    </xf>
    <xf numFmtId="0" fontId="25" fillId="0" borderId="2" xfId="0" applyFont="1" applyBorder="1" applyAlignment="1">
      <alignment horizontal="right"/>
    </xf>
    <xf numFmtId="0" fontId="25" fillId="0" borderId="0" xfId="0" applyFont="1" applyBorder="1" applyAlignment="1">
      <alignment horizontal="right"/>
    </xf>
    <xf numFmtId="0" fontId="6" fillId="0" borderId="12" xfId="0" applyFont="1" applyBorder="1" applyAlignment="1">
      <alignment horizontal="right"/>
    </xf>
    <xf numFmtId="0" fontId="4" fillId="0" borderId="11" xfId="0" applyFont="1" applyBorder="1" applyAlignment="1">
      <alignment horizontal="center"/>
    </xf>
    <xf numFmtId="0" fontId="4" fillId="0" borderId="1" xfId="0" applyFont="1" applyFill="1" applyBorder="1" applyAlignment="1">
      <alignment horizontal="right"/>
    </xf>
    <xf numFmtId="166" fontId="4" fillId="0" borderId="0" xfId="0" applyNumberFormat="1" applyFont="1" applyFill="1" applyAlignment="1">
      <alignment horizontal="center"/>
    </xf>
    <xf numFmtId="0" fontId="0" fillId="0" borderId="22" xfId="0" applyBorder="1"/>
    <xf numFmtId="2" fontId="0" fillId="0" borderId="23" xfId="0" applyNumberFormat="1" applyBorder="1"/>
    <xf numFmtId="0" fontId="10" fillId="0" borderId="0" xfId="0" applyFont="1"/>
    <xf numFmtId="0" fontId="4" fillId="0" borderId="0" xfId="0" applyFont="1"/>
    <xf numFmtId="10" fontId="6" fillId="0" borderId="2" xfId="2" applyNumberFormat="1" applyFont="1" applyBorder="1" applyAlignment="1">
      <alignment horizontal="right"/>
    </xf>
    <xf numFmtId="10" fontId="6" fillId="0" borderId="0" xfId="2" applyNumberFormat="1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6" fillId="0" borderId="0" xfId="0" applyFont="1" applyBorder="1"/>
    <xf numFmtId="0" fontId="4" fillId="7" borderId="24" xfId="0" applyFont="1" applyFill="1" applyBorder="1"/>
    <xf numFmtId="0" fontId="4" fillId="7" borderId="0" xfId="0" applyFont="1" applyFill="1" applyBorder="1"/>
    <xf numFmtId="0" fontId="4" fillId="7" borderId="18" xfId="0" applyFont="1" applyFill="1" applyBorder="1"/>
    <xf numFmtId="0" fontId="0" fillId="8" borderId="25" xfId="0" applyFill="1" applyBorder="1"/>
    <xf numFmtId="0" fontId="4" fillId="8" borderId="26" xfId="0" applyFont="1" applyFill="1" applyBorder="1"/>
    <xf numFmtId="0" fontId="0" fillId="8" borderId="26" xfId="0" applyFill="1" applyBorder="1"/>
    <xf numFmtId="0" fontId="0" fillId="8" borderId="16" xfId="0" applyFill="1" applyBorder="1"/>
    <xf numFmtId="0" fontId="4" fillId="8" borderId="25" xfId="0" applyFont="1" applyFill="1" applyBorder="1"/>
    <xf numFmtId="0" fontId="4" fillId="8" borderId="16" xfId="0" applyFont="1" applyFill="1" applyBorder="1"/>
    <xf numFmtId="0" fontId="0" fillId="8" borderId="24" xfId="0" applyFill="1" applyBorder="1"/>
    <xf numFmtId="0" fontId="6" fillId="9" borderId="25" xfId="0" applyFont="1" applyFill="1" applyBorder="1"/>
    <xf numFmtId="0" fontId="4" fillId="9" borderId="26" xfId="0" applyFont="1" applyFill="1" applyBorder="1"/>
    <xf numFmtId="0" fontId="6" fillId="9" borderId="26" xfId="0" applyFont="1" applyFill="1" applyBorder="1"/>
    <xf numFmtId="0" fontId="6" fillId="9" borderId="16" xfId="0" applyFont="1" applyFill="1" applyBorder="1"/>
    <xf numFmtId="0" fontId="4" fillId="6" borderId="25" xfId="0" applyFont="1" applyFill="1" applyBorder="1"/>
    <xf numFmtId="0" fontId="0" fillId="6" borderId="26" xfId="0" applyFill="1" applyBorder="1"/>
    <xf numFmtId="0" fontId="0" fillId="6" borderId="16" xfId="0" applyFill="1" applyBorder="1"/>
    <xf numFmtId="0" fontId="0" fillId="6" borderId="25" xfId="0" applyFill="1" applyBorder="1"/>
    <xf numFmtId="0" fontId="0" fillId="10" borderId="0" xfId="0" applyFill="1" applyBorder="1"/>
    <xf numFmtId="0" fontId="0" fillId="10" borderId="0" xfId="0" applyFill="1"/>
    <xf numFmtId="0" fontId="4" fillId="7" borderId="27" xfId="0" applyFont="1" applyFill="1" applyBorder="1"/>
    <xf numFmtId="0" fontId="4" fillId="7" borderId="28" xfId="0" applyFont="1" applyFill="1" applyBorder="1"/>
    <xf numFmtId="0" fontId="4" fillId="7" borderId="18" xfId="0" applyFont="1" applyFill="1" applyBorder="1" applyAlignment="1">
      <alignment horizontal="right"/>
    </xf>
    <xf numFmtId="0" fontId="6" fillId="7" borderId="21" xfId="0" applyFont="1" applyFill="1" applyBorder="1" applyAlignment="1">
      <alignment horizontal="right"/>
    </xf>
    <xf numFmtId="0" fontId="6" fillId="7" borderId="18" xfId="0" applyFont="1" applyFill="1" applyBorder="1" applyAlignment="1">
      <alignment horizontal="right"/>
    </xf>
    <xf numFmtId="2" fontId="6" fillId="7" borderId="18" xfId="0" applyNumberFormat="1" applyFont="1" applyFill="1" applyBorder="1" applyAlignment="1">
      <alignment horizontal="right"/>
    </xf>
    <xf numFmtId="2" fontId="4" fillId="7" borderId="18" xfId="0" applyNumberFormat="1" applyFont="1" applyFill="1" applyBorder="1" applyAlignment="1">
      <alignment horizontal="right"/>
    </xf>
    <xf numFmtId="2" fontId="6" fillId="7" borderId="21" xfId="0" applyNumberFormat="1" applyFont="1" applyFill="1" applyBorder="1" applyAlignment="1">
      <alignment horizontal="right"/>
    </xf>
    <xf numFmtId="0" fontId="0" fillId="8" borderId="28" xfId="0" applyFill="1" applyBorder="1"/>
    <xf numFmtId="0" fontId="0" fillId="8" borderId="0" xfId="0" applyFill="1" applyBorder="1"/>
    <xf numFmtId="0" fontId="0" fillId="8" borderId="18" xfId="0" applyFill="1" applyBorder="1"/>
    <xf numFmtId="0" fontId="4" fillId="8" borderId="28" xfId="0" applyFont="1" applyFill="1" applyBorder="1"/>
    <xf numFmtId="0" fontId="4" fillId="8" borderId="0" xfId="0" applyFont="1" applyFill="1" applyBorder="1"/>
    <xf numFmtId="0" fontId="4" fillId="8" borderId="18" xfId="0" applyFont="1" applyFill="1" applyBorder="1"/>
    <xf numFmtId="0" fontId="0" fillId="8" borderId="27" xfId="0" applyFill="1" applyBorder="1"/>
    <xf numFmtId="0" fontId="6" fillId="9" borderId="28" xfId="0" applyFont="1" applyFill="1" applyBorder="1"/>
    <xf numFmtId="0" fontId="6" fillId="9" borderId="0" xfId="0" applyFont="1" applyFill="1" applyBorder="1" applyAlignment="1">
      <alignment horizontal="center"/>
    </xf>
    <xf numFmtId="0" fontId="6" fillId="9" borderId="0" xfId="0" applyFont="1" applyFill="1" applyBorder="1"/>
    <xf numFmtId="0" fontId="6" fillId="9" borderId="18" xfId="0" applyFont="1" applyFill="1" applyBorder="1"/>
    <xf numFmtId="0" fontId="4" fillId="6" borderId="28" xfId="0" applyFont="1" applyFill="1" applyBorder="1"/>
    <xf numFmtId="0" fontId="0" fillId="0" borderId="7" xfId="0" applyFill="1" applyBorder="1"/>
    <xf numFmtId="0" fontId="0" fillId="0" borderId="1" xfId="0" applyFill="1" applyBorder="1" applyAlignment="1">
      <alignment horizontal="center"/>
    </xf>
    <xf numFmtId="10" fontId="26" fillId="0" borderId="2" xfId="0" applyNumberFormat="1" applyFont="1" applyBorder="1"/>
    <xf numFmtId="10" fontId="26" fillId="0" borderId="0" xfId="0" applyNumberFormat="1" applyFont="1" applyBorder="1"/>
    <xf numFmtId="0" fontId="27" fillId="9" borderId="0" xfId="0" applyFont="1" applyFill="1" applyBorder="1" applyAlignment="1">
      <alignment horizontal="left"/>
    </xf>
    <xf numFmtId="0" fontId="4" fillId="9" borderId="18" xfId="0" applyFont="1" applyFill="1" applyBorder="1" applyAlignment="1">
      <alignment horizontal="left"/>
    </xf>
    <xf numFmtId="0" fontId="6" fillId="6" borderId="0" xfId="0" applyFont="1" applyFill="1" applyBorder="1" applyAlignment="1"/>
    <xf numFmtId="0" fontId="6" fillId="6" borderId="18" xfId="0" applyFont="1" applyFill="1" applyBorder="1" applyAlignment="1"/>
    <xf numFmtId="0" fontId="6" fillId="6" borderId="28" xfId="0" applyFont="1" applyFill="1" applyBorder="1"/>
    <xf numFmtId="0" fontId="4" fillId="7" borderId="29" xfId="0" applyFont="1" applyFill="1" applyBorder="1"/>
    <xf numFmtId="0" fontId="4" fillId="7" borderId="30" xfId="0" applyFont="1" applyFill="1" applyBorder="1"/>
    <xf numFmtId="0" fontId="4" fillId="7" borderId="31" xfId="0" applyFont="1" applyFill="1" applyBorder="1"/>
    <xf numFmtId="0" fontId="4" fillId="8" borderId="30" xfId="0" applyFont="1" applyFill="1" applyBorder="1" applyAlignment="1">
      <alignment horizontal="center"/>
    </xf>
    <xf numFmtId="0" fontId="4" fillId="8" borderId="31" xfId="0" applyFont="1" applyFill="1" applyBorder="1" applyAlignment="1">
      <alignment horizontal="center"/>
    </xf>
    <xf numFmtId="0" fontId="4" fillId="8" borderId="21" xfId="0" applyFont="1" applyFill="1" applyBorder="1" applyAlignment="1">
      <alignment horizontal="center"/>
    </xf>
    <xf numFmtId="0" fontId="4" fillId="8" borderId="29" xfId="0" applyFont="1" applyFill="1" applyBorder="1" applyAlignment="1">
      <alignment horizontal="center"/>
    </xf>
    <xf numFmtId="0" fontId="13" fillId="9" borderId="0" xfId="0" applyFont="1" applyFill="1" applyBorder="1"/>
    <xf numFmtId="0" fontId="3" fillId="9" borderId="18" xfId="0" applyFont="1" applyFill="1" applyBorder="1"/>
    <xf numFmtId="0" fontId="0" fillId="6" borderId="28" xfId="0" applyFill="1" applyBorder="1"/>
    <xf numFmtId="0" fontId="0" fillId="6" borderId="0" xfId="0" applyFill="1" applyBorder="1"/>
    <xf numFmtId="0" fontId="0" fillId="6" borderId="18" xfId="0" applyFill="1" applyBorder="1"/>
    <xf numFmtId="0" fontId="0" fillId="0" borderId="0" xfId="0" applyFill="1" applyBorder="1"/>
    <xf numFmtId="0" fontId="0" fillId="7" borderId="27" xfId="0" applyFill="1" applyBorder="1"/>
    <xf numFmtId="0" fontId="0" fillId="7" borderId="28" xfId="0" applyFill="1" applyBorder="1"/>
    <xf numFmtId="0" fontId="0" fillId="7" borderId="0" xfId="0" applyFill="1" applyBorder="1"/>
    <xf numFmtId="0" fontId="4" fillId="8" borderId="24" xfId="0" applyFont="1" applyFill="1" applyBorder="1"/>
    <xf numFmtId="0" fontId="27" fillId="9" borderId="0" xfId="0" applyFont="1" applyFill="1" applyBorder="1" applyAlignment="1"/>
    <xf numFmtId="0" fontId="4" fillId="9" borderId="18" xfId="0" applyFont="1" applyFill="1" applyBorder="1" applyAlignment="1"/>
    <xf numFmtId="0" fontId="0" fillId="0" borderId="1" xfId="0" applyBorder="1" applyAlignment="1">
      <alignment horizontal="center"/>
    </xf>
    <xf numFmtId="2" fontId="0" fillId="7" borderId="28" xfId="0" applyNumberFormat="1" applyFill="1" applyBorder="1"/>
    <xf numFmtId="2" fontId="0" fillId="7" borderId="0" xfId="0" applyNumberFormat="1" applyFill="1" applyBorder="1"/>
    <xf numFmtId="2" fontId="0" fillId="8" borderId="28" xfId="0" applyNumberFormat="1" applyFill="1" applyBorder="1"/>
    <xf numFmtId="2" fontId="6" fillId="8" borderId="28" xfId="0" applyNumberFormat="1" applyFont="1" applyFill="1" applyBorder="1"/>
    <xf numFmtId="2" fontId="0" fillId="8" borderId="0" xfId="0" applyNumberFormat="1" applyFill="1" applyBorder="1"/>
    <xf numFmtId="2" fontId="6" fillId="8" borderId="0" xfId="0" applyNumberFormat="1" applyFont="1" applyFill="1" applyBorder="1"/>
    <xf numFmtId="2" fontId="4" fillId="8" borderId="0" xfId="0" applyNumberFormat="1" applyFont="1" applyFill="1" applyBorder="1"/>
    <xf numFmtId="2" fontId="0" fillId="8" borderId="31" xfId="0" applyNumberFormat="1" applyFill="1" applyBorder="1"/>
    <xf numFmtId="2" fontId="0" fillId="8" borderId="18" xfId="0" applyNumberFormat="1" applyFill="1" applyBorder="1"/>
    <xf numFmtId="2" fontId="6" fillId="8" borderId="18" xfId="0" applyNumberFormat="1" applyFont="1" applyFill="1" applyBorder="1"/>
    <xf numFmtId="2" fontId="4" fillId="8" borderId="18" xfId="0" applyNumberFormat="1" applyFont="1" applyFill="1" applyBorder="1"/>
    <xf numFmtId="2" fontId="0" fillId="8" borderId="21" xfId="0" applyNumberFormat="1" applyFill="1" applyBorder="1"/>
    <xf numFmtId="2" fontId="0" fillId="8" borderId="27" xfId="0" applyNumberFormat="1" applyFill="1" applyBorder="1"/>
    <xf numFmtId="0" fontId="13" fillId="9" borderId="0" xfId="0" applyFont="1" applyFill="1" applyBorder="1" applyAlignment="1">
      <alignment horizontal="center"/>
    </xf>
    <xf numFmtId="2" fontId="0" fillId="6" borderId="28" xfId="0" applyNumberFormat="1" applyFill="1" applyBorder="1"/>
    <xf numFmtId="2" fontId="0" fillId="6" borderId="0" xfId="0" applyNumberFormat="1" applyFill="1" applyBorder="1"/>
    <xf numFmtId="2" fontId="0" fillId="6" borderId="18" xfId="0" applyNumberFormat="1" applyFill="1" applyBorder="1"/>
    <xf numFmtId="165" fontId="0" fillId="0" borderId="0" xfId="0" applyNumberFormat="1" applyAlignment="1">
      <alignment horizontal="left"/>
    </xf>
    <xf numFmtId="0" fontId="0" fillId="0" borderId="13" xfId="0" applyFill="1" applyBorder="1"/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10" fontId="0" fillId="0" borderId="2" xfId="0" applyNumberFormat="1" applyBorder="1"/>
    <xf numFmtId="10" fontId="0" fillId="0" borderId="0" xfId="0" applyNumberFormat="1" applyBorder="1"/>
    <xf numFmtId="0" fontId="0" fillId="0" borderId="6" xfId="0" applyBorder="1" applyAlignment="1">
      <alignment horizontal="center"/>
    </xf>
    <xf numFmtId="0" fontId="28" fillId="0" borderId="0" xfId="1" applyAlignment="1" applyProtection="1"/>
    <xf numFmtId="0" fontId="4" fillId="4" borderId="0" xfId="0" applyFont="1" applyFill="1"/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left"/>
    </xf>
    <xf numFmtId="0" fontId="1" fillId="0" borderId="0" xfId="0" applyFont="1" applyFill="1" applyBorder="1"/>
    <xf numFmtId="0" fontId="6" fillId="7" borderId="27" xfId="0" applyFont="1" applyFill="1" applyBorder="1"/>
    <xf numFmtId="2" fontId="6" fillId="7" borderId="28" xfId="0" applyNumberFormat="1" applyFont="1" applyFill="1" applyBorder="1"/>
    <xf numFmtId="2" fontId="6" fillId="7" borderId="0" xfId="0" applyNumberFormat="1" applyFont="1" applyFill="1" applyBorder="1"/>
    <xf numFmtId="2" fontId="6" fillId="6" borderId="28" xfId="0" applyNumberFormat="1" applyFont="1" applyFill="1" applyBorder="1"/>
    <xf numFmtId="2" fontId="6" fillId="6" borderId="0" xfId="0" applyNumberFormat="1" applyFont="1" applyFill="1" applyBorder="1"/>
    <xf numFmtId="2" fontId="4" fillId="8" borderId="28" xfId="0" applyNumberFormat="1" applyFont="1" applyFill="1" applyBorder="1"/>
    <xf numFmtId="2" fontId="0" fillId="8" borderId="30" xfId="0" applyNumberFormat="1" applyFill="1" applyBorder="1"/>
    <xf numFmtId="0" fontId="4" fillId="0" borderId="1" xfId="0" applyFont="1" applyBorder="1"/>
    <xf numFmtId="2" fontId="4" fillId="7" borderId="28" xfId="0" applyNumberFormat="1" applyFont="1" applyFill="1" applyBorder="1"/>
    <xf numFmtId="2" fontId="4" fillId="7" borderId="0" xfId="0" applyNumberFormat="1" applyFont="1" applyFill="1" applyBorder="1"/>
    <xf numFmtId="0" fontId="4" fillId="9" borderId="28" xfId="0" applyFont="1" applyFill="1" applyBorder="1"/>
    <xf numFmtId="0" fontId="27" fillId="9" borderId="0" xfId="0" applyFont="1" applyFill="1" applyBorder="1" applyAlignment="1">
      <alignment horizontal="center"/>
    </xf>
    <xf numFmtId="0" fontId="27" fillId="9" borderId="0" xfId="0" applyFont="1" applyFill="1" applyBorder="1"/>
    <xf numFmtId="0" fontId="4" fillId="9" borderId="18" xfId="0" applyFont="1" applyFill="1" applyBorder="1"/>
    <xf numFmtId="2" fontId="4" fillId="6" borderId="28" xfId="0" applyNumberFormat="1" applyFont="1" applyFill="1" applyBorder="1"/>
    <xf numFmtId="2" fontId="4" fillId="6" borderId="0" xfId="0" applyNumberFormat="1" applyFont="1" applyFill="1" applyBorder="1"/>
    <xf numFmtId="2" fontId="4" fillId="6" borderId="18" xfId="0" applyNumberFormat="1" applyFont="1" applyFill="1" applyBorder="1"/>
    <xf numFmtId="165" fontId="4" fillId="0" borderId="0" xfId="0" applyNumberFormat="1" applyFont="1" applyAlignment="1">
      <alignment horizontal="left"/>
    </xf>
    <xf numFmtId="0" fontId="6" fillId="0" borderId="1" xfId="0" applyFont="1" applyBorder="1"/>
    <xf numFmtId="0" fontId="6" fillId="0" borderId="2" xfId="0" applyFont="1" applyBorder="1"/>
    <xf numFmtId="2" fontId="6" fillId="6" borderId="18" xfId="0" applyNumberFormat="1" applyFont="1" applyFill="1" applyBorder="1"/>
    <xf numFmtId="0" fontId="3" fillId="9" borderId="0" xfId="0" applyFont="1" applyFill="1" applyBorder="1"/>
    <xf numFmtId="0" fontId="6" fillId="9" borderId="18" xfId="0" applyFont="1" applyFill="1" applyBorder="1" applyAlignment="1">
      <alignment horizontal="center"/>
    </xf>
    <xf numFmtId="0" fontId="0" fillId="7" borderId="29" xfId="0" applyFill="1" applyBorder="1"/>
    <xf numFmtId="2" fontId="0" fillId="7" borderId="30" xfId="0" applyNumberFormat="1" applyFill="1" applyBorder="1"/>
    <xf numFmtId="2" fontId="0" fillId="7" borderId="31" xfId="0" applyNumberFormat="1" applyFill="1" applyBorder="1"/>
    <xf numFmtId="0" fontId="6" fillId="9" borderId="30" xfId="0" applyFont="1" applyFill="1" applyBorder="1"/>
    <xf numFmtId="0" fontId="3" fillId="9" borderId="31" xfId="0" applyFont="1" applyFill="1" applyBorder="1"/>
    <xf numFmtId="0" fontId="6" fillId="9" borderId="31" xfId="0" applyFont="1" applyFill="1" applyBorder="1" applyAlignment="1">
      <alignment horizontal="center"/>
    </xf>
    <xf numFmtId="0" fontId="6" fillId="9" borderId="21" xfId="0" applyFont="1" applyFill="1" applyBorder="1" applyAlignment="1">
      <alignment horizontal="center"/>
    </xf>
    <xf numFmtId="2" fontId="0" fillId="6" borderId="30" xfId="0" applyNumberFormat="1" applyFill="1" applyBorder="1"/>
    <xf numFmtId="2" fontId="0" fillId="6" borderId="31" xfId="0" applyNumberFormat="1" applyFill="1" applyBorder="1"/>
    <xf numFmtId="2" fontId="0" fillId="6" borderId="21" xfId="0" applyNumberFormat="1" applyFill="1" applyBorder="1"/>
    <xf numFmtId="2" fontId="0" fillId="0" borderId="0" xfId="0" applyNumberFormat="1" applyFill="1" applyBorder="1"/>
    <xf numFmtId="2" fontId="0" fillId="0" borderId="0" xfId="0" applyNumberFormat="1" applyFill="1" applyBorder="1" applyAlignment="1">
      <alignment horizontal="right"/>
    </xf>
    <xf numFmtId="0" fontId="6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4" fillId="0" borderId="25" xfId="0" applyFont="1" applyBorder="1"/>
    <xf numFmtId="0" fontId="4" fillId="0" borderId="26" xfId="0" applyFont="1" applyBorder="1"/>
    <xf numFmtId="0" fontId="4" fillId="0" borderId="28" xfId="0" applyFont="1" applyBorder="1"/>
    <xf numFmtId="0" fontId="24" fillId="0" borderId="7" xfId="0" applyFont="1" applyBorder="1" applyAlignment="1">
      <alignment horizontal="right"/>
    </xf>
    <xf numFmtId="0" fontId="24" fillId="0" borderId="0" xfId="0" applyFont="1" applyAlignment="1">
      <alignment horizontal="right"/>
    </xf>
    <xf numFmtId="0" fontId="24" fillId="0" borderId="0" xfId="0" applyFont="1" applyBorder="1" applyAlignment="1">
      <alignment horizontal="right"/>
    </xf>
    <xf numFmtId="0" fontId="24" fillId="0" borderId="28" xfId="0" applyFont="1" applyBorder="1" applyAlignment="1">
      <alignment horizontal="right"/>
    </xf>
    <xf numFmtId="0" fontId="4" fillId="0" borderId="16" xfId="0" applyFont="1" applyBorder="1"/>
    <xf numFmtId="2" fontId="0" fillId="0" borderId="28" xfId="0" applyNumberFormat="1" applyBorder="1"/>
    <xf numFmtId="0" fontId="24" fillId="0" borderId="18" xfId="0" applyFont="1" applyBorder="1" applyAlignment="1">
      <alignment horizontal="right"/>
    </xf>
    <xf numFmtId="2" fontId="0" fillId="0" borderId="18" xfId="0" applyNumberFormat="1" applyBorder="1"/>
    <xf numFmtId="167" fontId="0" fillId="0" borderId="7" xfId="0" applyNumberFormat="1" applyBorder="1"/>
    <xf numFmtId="0" fontId="0" fillId="0" borderId="28" xfId="0" applyBorder="1"/>
    <xf numFmtId="0" fontId="0" fillId="0" borderId="29" xfId="0" applyBorder="1"/>
    <xf numFmtId="2" fontId="0" fillId="0" borderId="30" xfId="0" applyNumberFormat="1" applyBorder="1"/>
    <xf numFmtId="2" fontId="0" fillId="0" borderId="31" xfId="0" applyNumberFormat="1" applyBorder="1"/>
    <xf numFmtId="2" fontId="0" fillId="0" borderId="21" xfId="0" applyNumberFormat="1" applyBorder="1"/>
    <xf numFmtId="0" fontId="0" fillId="0" borderId="17" xfId="0" applyFill="1" applyBorder="1"/>
  </cellXfs>
  <cellStyles count="3">
    <cellStyle name="Hyperlink" xfId="1" builtinId="8"/>
    <cellStyle name="Normal" xfId="0" builtinId="0"/>
    <cellStyle name="Percent" xfId="2" builtinId="5"/>
  </cellStyles>
  <dxfs count="3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refl5!$C$3</c:f>
          <c:strCache>
            <c:ptCount val="1"/>
          </c:strCache>
        </c:strRef>
      </c:tx>
      <c:layout>
        <c:manualLayout>
          <c:xMode val="edge"/>
          <c:yMode val="edge"/>
          <c:x val="0.41218713640176424"/>
          <c:y val="3.291127553779395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9.8566480746109061E-2"/>
          <c:y val="0.13164556962025317"/>
          <c:w val="0.85842444140702256"/>
          <c:h val="0.66835443037974684"/>
        </c:manualLayout>
      </c:layout>
      <c:scatterChart>
        <c:scatterStyle val="lineMarker"/>
        <c:varyColors val="0"/>
        <c:ser>
          <c:idx val="0"/>
          <c:order val="0"/>
          <c:tx>
            <c:strRef>
              <c:f>refl5!$Z$77</c:f>
              <c:strCache>
                <c:ptCount val="1"/>
                <c:pt idx="0">
                  <c:v>M1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refl5!$Z$79:$Z$529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22-4908-A5C7-F3F1F745CBA2}"/>
            </c:ext>
          </c:extLst>
        </c:ser>
        <c:ser>
          <c:idx val="1"/>
          <c:order val="1"/>
          <c:tx>
            <c:strRef>
              <c:f>refl5!$AA$77</c:f>
              <c:strCache>
                <c:ptCount val="1"/>
                <c:pt idx="0">
                  <c:v>M2</c:v>
                </c:pt>
              </c:strCache>
            </c:strRef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refl5!$AA$79:$AA$529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22-4908-A5C7-F3F1F745CBA2}"/>
            </c:ext>
          </c:extLst>
        </c:ser>
        <c:ser>
          <c:idx val="2"/>
          <c:order val="2"/>
          <c:tx>
            <c:strRef>
              <c:f>refl5!$AB$77</c:f>
              <c:strCache>
                <c:ptCount val="1"/>
                <c:pt idx="0">
                  <c:v>M3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refl5!$AB$79:$AB$529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22-4908-A5C7-F3F1F745CBA2}"/>
            </c:ext>
          </c:extLst>
        </c:ser>
        <c:ser>
          <c:idx val="3"/>
          <c:order val="3"/>
          <c:tx>
            <c:strRef>
              <c:f>refl5!$AC$77</c:f>
              <c:strCache>
                <c:ptCount val="1"/>
                <c:pt idx="0">
                  <c:v>M4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refl5!$AC$79:$AC$529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22-4908-A5C7-F3F1F745C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618943"/>
        <c:axId val="1"/>
      </c:scatterChart>
      <c:valAx>
        <c:axId val="1426618943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19355647554365"/>
              <c:y val="0.878481119508302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Reflectivity in %</a:t>
                </a:r>
              </a:p>
            </c:rich>
          </c:tx>
          <c:layout>
            <c:manualLayout>
              <c:xMode val="edge"/>
              <c:yMode val="edge"/>
              <c:x val="8.9605036483841587E-3"/>
              <c:y val="0.334177185138289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426618943"/>
        <c:crosses val="autoZero"/>
        <c:crossBetween val="midCat"/>
        <c:majorUnit val="2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0223808943483093"/>
          <c:y val="0.92719582241478027"/>
          <c:w val="0.57602986852817362"/>
          <c:h val="5.708849012744932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Averaged  Hemispherical Reflectivity </a:t>
            </a:r>
          </a:p>
        </c:rich>
      </c:tx>
      <c:layout>
        <c:manualLayout>
          <c:xMode val="edge"/>
          <c:yMode val="edge"/>
          <c:x val="0.28657667065576148"/>
          <c:y val="2.91059895602937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7657940436962E-2"/>
          <c:y val="0.13513527231604924"/>
          <c:w val="0.85067998603646133"/>
          <c:h val="0.73804648726457667"/>
        </c:manualLayout>
      </c:layout>
      <c:scatterChart>
        <c:scatterStyle val="lineMarker"/>
        <c:varyColors val="0"/>
        <c:ser>
          <c:idx val="4"/>
          <c:order val="0"/>
          <c:tx>
            <c:strRef>
              <c:f>refl5!$AI$78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refl5!$AI$79:$AI$529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76-4CBA-B351-CE3CFA5FA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617023"/>
        <c:axId val="1"/>
      </c:scatterChart>
      <c:valAx>
        <c:axId val="1426617023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1779847702967432"/>
              <c:y val="0.931393656551358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lgDashDot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Reflectivity in %</a:t>
                </a:r>
              </a:p>
            </c:rich>
          </c:tx>
          <c:layout>
            <c:manualLayout>
              <c:xMode val="edge"/>
              <c:yMode val="edge"/>
              <c:x val="7.5416758771562073E-3"/>
              <c:y val="0.370062594001592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426617023"/>
        <c:crosses val="autoZero"/>
        <c:crossBetween val="midCat"/>
        <c:majorUnit val="10"/>
        <c:minorUnit val="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75993497576685"/>
          <c:y val="0.64581875823730606"/>
          <c:w val="0.21791019120018942"/>
          <c:h val="0.171339670552754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refl5!$C$3</c:f>
          <c:strCache>
            <c:ptCount val="1"/>
          </c:strCache>
        </c:strRef>
      </c:tx>
      <c:layout>
        <c:manualLayout>
          <c:xMode val="edge"/>
          <c:yMode val="edge"/>
          <c:x val="0.42397184388439474"/>
          <c:y val="3.488361171553356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8.7656606084216798E-2"/>
          <c:y val="0.13372093023255813"/>
          <c:w val="0.87298824018566934"/>
          <c:h val="0.65988372093023251"/>
        </c:manualLayout>
      </c:layout>
      <c:scatterChart>
        <c:scatterStyle val="lineMarker"/>
        <c:varyColors val="0"/>
        <c:ser>
          <c:idx val="0"/>
          <c:order val="0"/>
          <c:tx>
            <c:strRef>
              <c:f>refl5!$Z$77</c:f>
              <c:strCache>
                <c:ptCount val="1"/>
                <c:pt idx="0">
                  <c:v>M1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refl5!$Z$79:$Z$529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DC-4897-9679-3B47EA65A1E6}"/>
            </c:ext>
          </c:extLst>
        </c:ser>
        <c:ser>
          <c:idx val="1"/>
          <c:order val="1"/>
          <c:tx>
            <c:strRef>
              <c:f>refl5!$AA$77</c:f>
              <c:strCache>
                <c:ptCount val="1"/>
                <c:pt idx="0">
                  <c:v>M2</c:v>
                </c:pt>
              </c:strCache>
            </c:strRef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refl5!$AA$79:$AA$529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DC-4897-9679-3B47EA65A1E6}"/>
            </c:ext>
          </c:extLst>
        </c:ser>
        <c:ser>
          <c:idx val="2"/>
          <c:order val="2"/>
          <c:tx>
            <c:strRef>
              <c:f>refl5!$AB$77</c:f>
              <c:strCache>
                <c:ptCount val="1"/>
                <c:pt idx="0">
                  <c:v>M3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refl5!$AB$79:$AB$529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DC-4897-9679-3B47EA65A1E6}"/>
            </c:ext>
          </c:extLst>
        </c:ser>
        <c:ser>
          <c:idx val="3"/>
          <c:order val="3"/>
          <c:tx>
            <c:strRef>
              <c:f>refl5!$AC$77</c:f>
              <c:strCache>
                <c:ptCount val="1"/>
                <c:pt idx="0">
                  <c:v>M4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refl5!$AC$79:$AC$529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DC-4897-9679-3B47EA65A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704191"/>
        <c:axId val="1"/>
      </c:scatterChart>
      <c:valAx>
        <c:axId val="1434704191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3291625889979257"/>
              <c:y val="0.872093110627573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8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Reflectivity in %</a:t>
                </a:r>
              </a:p>
            </c:rich>
          </c:tx>
          <c:layout>
            <c:manualLayout>
              <c:xMode val="edge"/>
              <c:yMode val="edge"/>
              <c:x val="8.9445945824616849E-3"/>
              <c:y val="0.3343022181869413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434704191"/>
        <c:crosses val="autoZero"/>
        <c:crossBetween val="midCat"/>
        <c:majorUnit val="4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195160988977256"/>
          <c:y val="0.92077703367227015"/>
          <c:w val="0.51112690083494794"/>
          <c:h val="6.527027074132547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Averaged Hemispherical Reflectivity </a:t>
            </a:r>
          </a:p>
        </c:rich>
      </c:tx>
      <c:layout>
        <c:manualLayout>
          <c:xMode val="edge"/>
          <c:yMode val="edge"/>
          <c:x val="0.28915670874055316"/>
          <c:y val="3.07692667688455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397663454842411E-2"/>
          <c:y val="0.13626373626373625"/>
          <c:w val="0.85090424018160549"/>
          <c:h val="0.72967032967032963"/>
        </c:manualLayout>
      </c:layout>
      <c:scatterChart>
        <c:scatterStyle val="lineMarker"/>
        <c:varyColors val="0"/>
        <c:ser>
          <c:idx val="4"/>
          <c:order val="0"/>
          <c:tx>
            <c:strRef>
              <c:f>refl5!$AI$78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refl5!$AI$79:$AI$529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74-406A-8D35-1B79D27FA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699391"/>
        <c:axId val="1"/>
      </c:scatterChart>
      <c:valAx>
        <c:axId val="1434699391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1716891544335855"/>
              <c:y val="0.927472476044506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00"/>
          <c:min val="8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Reflectivity in %</a:t>
                </a:r>
              </a:p>
            </c:rich>
          </c:tx>
          <c:layout>
            <c:manualLayout>
              <c:xMode val="edge"/>
              <c:yMode val="edge"/>
              <c:x val="7.5301705377280106E-3"/>
              <c:y val="0.3604394472979138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434699391"/>
        <c:crosses val="autoZero"/>
        <c:crossBetween val="midCat"/>
        <c:majorUnit val="4"/>
        <c:minorUnit val="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30524313161123"/>
          <c:y val="0.63590971695357745"/>
          <c:w val="0.21576802712290336"/>
          <c:h val="0.2142928635213425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Solar spectra </a:t>
            </a:r>
          </a:p>
        </c:rich>
      </c:tx>
      <c:layout>
        <c:manualLayout>
          <c:xMode val="edge"/>
          <c:yMode val="edge"/>
          <c:x val="0.40766591050423484"/>
          <c:y val="3.35195051409434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14645557700175"/>
          <c:y val="0.16480469405318998"/>
          <c:w val="0.80836305698349109"/>
          <c:h val="0.67597857560799968"/>
        </c:manualLayout>
      </c:layout>
      <c:scatterChart>
        <c:scatterStyle val="lineMarker"/>
        <c:varyColors val="0"/>
        <c:ser>
          <c:idx val="4"/>
          <c:order val="0"/>
          <c:tx>
            <c:strRef>
              <c:f>refl5!$AM$78</c:f>
              <c:strCache>
                <c:ptCount val="1"/>
                <c:pt idx="0">
                  <c:v>E891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refl5!$AL$79:$AL$529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refl5!$AM$79:$AM$529</c:f>
              <c:numCache>
                <c:formatCode>General</c:formatCode>
                <c:ptCount val="451"/>
                <c:pt idx="0">
                  <c:v>1.3767591169662572E-4</c:v>
                </c:pt>
                <c:pt idx="1">
                  <c:v>1.165356565416736E-4</c:v>
                </c:pt>
                <c:pt idx="2">
                  <c:v>1.1395918794466382E-4</c:v>
                </c:pt>
                <c:pt idx="3">
                  <c:v>1.1607321346015902E-4</c:v>
                </c:pt>
                <c:pt idx="4">
                  <c:v>1.1818723897565425E-4</c:v>
                </c:pt>
                <c:pt idx="5">
                  <c:v>1.2030126449114945E-4</c:v>
                </c:pt>
                <c:pt idx="6">
                  <c:v>1.2241529000664466E-4</c:v>
                </c:pt>
                <c:pt idx="7">
                  <c:v>1.245293155221399E-4</c:v>
                </c:pt>
                <c:pt idx="8">
                  <c:v>1.2657727774027585E-4</c:v>
                </c:pt>
                <c:pt idx="9">
                  <c:v>1.2869130325577109E-4</c:v>
                </c:pt>
                <c:pt idx="10">
                  <c:v>1.3080532877126629E-4</c:v>
                </c:pt>
                <c:pt idx="11">
                  <c:v>1.4467862121670362E-4</c:v>
                </c:pt>
                <c:pt idx="12">
                  <c:v>1.5855191366214095E-4</c:v>
                </c:pt>
                <c:pt idx="13">
                  <c:v>1.724252061075783E-4</c:v>
                </c:pt>
                <c:pt idx="14">
                  <c:v>1.8629849855301563E-4</c:v>
                </c:pt>
                <c:pt idx="15">
                  <c:v>2.0017179099845295E-4</c:v>
                </c:pt>
                <c:pt idx="16">
                  <c:v>2.1404508344389028E-4</c:v>
                </c:pt>
                <c:pt idx="17">
                  <c:v>2.2791837588932763E-4</c:v>
                </c:pt>
                <c:pt idx="18">
                  <c:v>2.4179166833476496E-4</c:v>
                </c:pt>
                <c:pt idx="19">
                  <c:v>2.5566496078020232E-4</c:v>
                </c:pt>
                <c:pt idx="20">
                  <c:v>2.6953825322563961E-4</c:v>
                </c:pt>
                <c:pt idx="21">
                  <c:v>2.8341154567107697E-4</c:v>
                </c:pt>
                <c:pt idx="22">
                  <c:v>2.9728483811651427E-4</c:v>
                </c:pt>
                <c:pt idx="23">
                  <c:v>3.1115813056195162E-4</c:v>
                </c:pt>
                <c:pt idx="24">
                  <c:v>3.2503142300738898E-4</c:v>
                </c:pt>
                <c:pt idx="25">
                  <c:v>3.3890471545282628E-4</c:v>
                </c:pt>
                <c:pt idx="26">
                  <c:v>3.5277800789826363E-4</c:v>
                </c:pt>
                <c:pt idx="27">
                  <c:v>3.6665130034370093E-4</c:v>
                </c:pt>
                <c:pt idx="28">
                  <c:v>3.8052459278913828E-4</c:v>
                </c:pt>
                <c:pt idx="29">
                  <c:v>3.8323318798086652E-4</c:v>
                </c:pt>
                <c:pt idx="30">
                  <c:v>3.8594178317259481E-4</c:v>
                </c:pt>
                <c:pt idx="31">
                  <c:v>3.8865037836432299E-4</c:v>
                </c:pt>
                <c:pt idx="32">
                  <c:v>3.9135897355605128E-4</c:v>
                </c:pt>
                <c:pt idx="33">
                  <c:v>3.9413363204513868E-4</c:v>
                </c:pt>
                <c:pt idx="34">
                  <c:v>3.9684222723686697E-4</c:v>
                </c:pt>
                <c:pt idx="35">
                  <c:v>3.9955082242859521E-4</c:v>
                </c:pt>
                <c:pt idx="36">
                  <c:v>4.0225941762032344E-4</c:v>
                </c:pt>
                <c:pt idx="37">
                  <c:v>4.0496801281205167E-4</c:v>
                </c:pt>
                <c:pt idx="38">
                  <c:v>4.0767660800377991E-4</c:v>
                </c:pt>
                <c:pt idx="39">
                  <c:v>4.1038520319550814E-4</c:v>
                </c:pt>
                <c:pt idx="40">
                  <c:v>4.1309379838723643E-4</c:v>
                </c:pt>
                <c:pt idx="41">
                  <c:v>4.1580239357896461E-4</c:v>
                </c:pt>
                <c:pt idx="42">
                  <c:v>4.1857705206805213E-4</c:v>
                </c:pt>
                <c:pt idx="43">
                  <c:v>4.2128564725978036E-4</c:v>
                </c:pt>
                <c:pt idx="44">
                  <c:v>4.2399424245150865E-4</c:v>
                </c:pt>
                <c:pt idx="45">
                  <c:v>4.2670283764323689E-4</c:v>
                </c:pt>
                <c:pt idx="46">
                  <c:v>4.2941143283496507E-4</c:v>
                </c:pt>
                <c:pt idx="47">
                  <c:v>4.3007206580855732E-4</c:v>
                </c:pt>
                <c:pt idx="48">
                  <c:v>4.3066663548479035E-4</c:v>
                </c:pt>
                <c:pt idx="49">
                  <c:v>4.3132726845838265E-4</c:v>
                </c:pt>
                <c:pt idx="50">
                  <c:v>4.319879014319749E-4</c:v>
                </c:pt>
                <c:pt idx="51">
                  <c:v>4.326485344055671E-4</c:v>
                </c:pt>
                <c:pt idx="52">
                  <c:v>4.3324310408180013E-4</c:v>
                </c:pt>
                <c:pt idx="53">
                  <c:v>4.3390373705539244E-4</c:v>
                </c:pt>
                <c:pt idx="54">
                  <c:v>4.3456437002898469E-4</c:v>
                </c:pt>
                <c:pt idx="55">
                  <c:v>4.3522500300257689E-4</c:v>
                </c:pt>
                <c:pt idx="56">
                  <c:v>4.3581957267880991E-4</c:v>
                </c:pt>
                <c:pt idx="57">
                  <c:v>4.3648020565240217E-4</c:v>
                </c:pt>
                <c:pt idx="58">
                  <c:v>4.3714083862599447E-4</c:v>
                </c:pt>
                <c:pt idx="59">
                  <c:v>4.377354083022275E-4</c:v>
                </c:pt>
                <c:pt idx="60">
                  <c:v>4.3839604127581975E-4</c:v>
                </c:pt>
                <c:pt idx="61">
                  <c:v>4.4255802900945089E-4</c:v>
                </c:pt>
                <c:pt idx="62">
                  <c:v>4.4903223215065502E-4</c:v>
                </c:pt>
                <c:pt idx="63">
                  <c:v>4.5550643529185914E-4</c:v>
                </c:pt>
                <c:pt idx="64">
                  <c:v>4.6198063843306327E-4</c:v>
                </c:pt>
                <c:pt idx="65">
                  <c:v>4.6845484157426729E-4</c:v>
                </c:pt>
                <c:pt idx="66">
                  <c:v>4.7492904471547136E-4</c:v>
                </c:pt>
                <c:pt idx="67">
                  <c:v>4.8140324785667549E-4</c:v>
                </c:pt>
                <c:pt idx="68">
                  <c:v>4.8787745099787951E-4</c:v>
                </c:pt>
                <c:pt idx="69">
                  <c:v>4.9435165413908369E-4</c:v>
                </c:pt>
                <c:pt idx="70">
                  <c:v>5.0082585728028776E-4</c:v>
                </c:pt>
                <c:pt idx="71">
                  <c:v>5.0611092106902578E-4</c:v>
                </c:pt>
                <c:pt idx="72">
                  <c:v>5.1053716199209393E-4</c:v>
                </c:pt>
                <c:pt idx="73">
                  <c:v>5.1502946621252114E-4</c:v>
                </c:pt>
                <c:pt idx="74">
                  <c:v>5.1952177043294856E-4</c:v>
                </c:pt>
                <c:pt idx="75">
                  <c:v>5.239480113560166E-4</c:v>
                </c:pt>
                <c:pt idx="76">
                  <c:v>5.2844031557644391E-4</c:v>
                </c:pt>
                <c:pt idx="77">
                  <c:v>5.3293261979687134E-4</c:v>
                </c:pt>
                <c:pt idx="78">
                  <c:v>5.3742492401729854E-4</c:v>
                </c:pt>
                <c:pt idx="79">
                  <c:v>5.4185116494036669E-4</c:v>
                </c:pt>
                <c:pt idx="80">
                  <c:v>5.4634346916079401E-4</c:v>
                </c:pt>
                <c:pt idx="81">
                  <c:v>5.2143760605636615E-4</c:v>
                </c:pt>
                <c:pt idx="82">
                  <c:v>4.9653174295193807E-4</c:v>
                </c:pt>
                <c:pt idx="83">
                  <c:v>4.716258798475101E-4</c:v>
                </c:pt>
                <c:pt idx="84">
                  <c:v>4.4665395344572291E-4</c:v>
                </c:pt>
                <c:pt idx="85">
                  <c:v>4.2174809034129494E-4</c:v>
                </c:pt>
                <c:pt idx="86">
                  <c:v>3.9684222723686697E-4</c:v>
                </c:pt>
                <c:pt idx="87">
                  <c:v>3.7193636413243895E-4</c:v>
                </c:pt>
                <c:pt idx="88">
                  <c:v>4.1289560849515876E-4</c:v>
                </c:pt>
                <c:pt idx="89">
                  <c:v>4.5385485285787851E-4</c:v>
                </c:pt>
                <c:pt idx="90">
                  <c:v>4.9481409722059821E-4</c:v>
                </c:pt>
                <c:pt idx="91">
                  <c:v>5.357072782859588E-4</c:v>
                </c:pt>
                <c:pt idx="92">
                  <c:v>5.7666652264867855E-4</c:v>
                </c:pt>
                <c:pt idx="93">
                  <c:v>5.9952442353497048E-4</c:v>
                </c:pt>
                <c:pt idx="94">
                  <c:v>5.2711904962925952E-4</c:v>
                </c:pt>
                <c:pt idx="95">
                  <c:v>4.5471367572354839E-4</c:v>
                </c:pt>
                <c:pt idx="96">
                  <c:v>3.8230830181783736E-4</c:v>
                </c:pt>
                <c:pt idx="97">
                  <c:v>3.0996899120948557E-4</c:v>
                </c:pt>
                <c:pt idx="98">
                  <c:v>2.3756361730377455E-4</c:v>
                </c:pt>
                <c:pt idx="99">
                  <c:v>1.651582433980635E-4</c:v>
                </c:pt>
                <c:pt idx="100">
                  <c:v>2.6405499954482392E-4</c:v>
                </c:pt>
                <c:pt idx="101">
                  <c:v>3.630178189889436E-4</c:v>
                </c:pt>
                <c:pt idx="102">
                  <c:v>4.6198063843306327E-4</c:v>
                </c:pt>
                <c:pt idx="103">
                  <c:v>5.6087739457982367E-4</c:v>
                </c:pt>
                <c:pt idx="104">
                  <c:v>4.7189013303694706E-4</c:v>
                </c:pt>
                <c:pt idx="105">
                  <c:v>3.8290287149407039E-4</c:v>
                </c:pt>
                <c:pt idx="106">
                  <c:v>2.9391560995119378E-4</c:v>
                </c:pt>
                <c:pt idx="107">
                  <c:v>2.0492834840831717E-4</c:v>
                </c:pt>
                <c:pt idx="108">
                  <c:v>1.2776641709274191E-4</c:v>
                </c:pt>
                <c:pt idx="109">
                  <c:v>1.1270398529483852E-4</c:v>
                </c:pt>
                <c:pt idx="110">
                  <c:v>9.764155349693513E-5</c:v>
                </c:pt>
                <c:pt idx="111">
                  <c:v>8.2579121699031749E-5</c:v>
                </c:pt>
                <c:pt idx="112">
                  <c:v>6.7516689901128354E-5</c:v>
                </c:pt>
                <c:pt idx="113">
                  <c:v>5.2454258103224966E-5</c:v>
                </c:pt>
                <c:pt idx="114">
                  <c:v>3.7391826305321579E-5</c:v>
                </c:pt>
                <c:pt idx="115">
                  <c:v>2.2329394507418184E-5</c:v>
                </c:pt>
                <c:pt idx="116">
                  <c:v>7.2669627095147946E-6</c:v>
                </c:pt>
                <c:pt idx="117">
                  <c:v>7.6633424936701461E-6</c:v>
                </c:pt>
                <c:pt idx="118">
                  <c:v>8.0597222778254975E-6</c:v>
                </c:pt>
                <c:pt idx="119">
                  <c:v>8.3900387646216253E-6</c:v>
                </c:pt>
                <c:pt idx="120">
                  <c:v>8.7864185487769785E-6</c:v>
                </c:pt>
                <c:pt idx="121">
                  <c:v>9.1827983329323299E-6</c:v>
                </c:pt>
                <c:pt idx="122">
                  <c:v>9.579178117087683E-6</c:v>
                </c:pt>
                <c:pt idx="123">
                  <c:v>9.9755579012430344E-6</c:v>
                </c:pt>
                <c:pt idx="124">
                  <c:v>1.0371937685398388E-5</c:v>
                </c:pt>
                <c:pt idx="125">
                  <c:v>1.0768317469553739E-5</c:v>
                </c:pt>
                <c:pt idx="126">
                  <c:v>1.1098633956349867E-5</c:v>
                </c:pt>
                <c:pt idx="127">
                  <c:v>1.149501374050522E-5</c:v>
                </c:pt>
                <c:pt idx="128">
                  <c:v>1.1891393524660571E-5</c:v>
                </c:pt>
                <c:pt idx="129">
                  <c:v>2.6623508835767838E-5</c:v>
                </c:pt>
                <c:pt idx="130">
                  <c:v>4.1421687444234318E-5</c:v>
                </c:pt>
                <c:pt idx="131">
                  <c:v>5.6153802755341586E-5</c:v>
                </c:pt>
                <c:pt idx="132">
                  <c:v>7.0885918066448855E-5</c:v>
                </c:pt>
                <c:pt idx="133">
                  <c:v>8.5684096674915348E-5</c:v>
                </c:pt>
                <c:pt idx="134">
                  <c:v>1.004162119860226E-4</c:v>
                </c:pt>
                <c:pt idx="135">
                  <c:v>1.1514832729712987E-4</c:v>
                </c:pt>
                <c:pt idx="136">
                  <c:v>1.2994650590559637E-4</c:v>
                </c:pt>
                <c:pt idx="137">
                  <c:v>1.4467862121670362E-4</c:v>
                </c:pt>
                <c:pt idx="138">
                  <c:v>1.5941073652781087E-4</c:v>
                </c:pt>
                <c:pt idx="139">
                  <c:v>1.7420891513627738E-4</c:v>
                </c:pt>
                <c:pt idx="140">
                  <c:v>1.8894103044738464E-4</c:v>
                </c:pt>
                <c:pt idx="141">
                  <c:v>2.6028939159534808E-4</c:v>
                </c:pt>
                <c:pt idx="142">
                  <c:v>3.316377527433115E-4</c:v>
                </c:pt>
                <c:pt idx="143">
                  <c:v>4.0298611389127492E-4</c:v>
                </c:pt>
                <c:pt idx="144">
                  <c:v>4.7433447503923834E-4</c:v>
                </c:pt>
                <c:pt idx="145">
                  <c:v>5.4568283618720175E-4</c:v>
                </c:pt>
                <c:pt idx="146">
                  <c:v>6.1703119733516523E-4</c:v>
                </c:pt>
                <c:pt idx="147">
                  <c:v>6.883795584831287E-4</c:v>
                </c:pt>
                <c:pt idx="148">
                  <c:v>7.5972791963109206E-4</c:v>
                </c:pt>
                <c:pt idx="149">
                  <c:v>8.3107628077905553E-4</c:v>
                </c:pt>
                <c:pt idx="150">
                  <c:v>9.024246419270189E-4</c:v>
                </c:pt>
                <c:pt idx="151">
                  <c:v>9.7377300307498237E-4</c:v>
                </c:pt>
                <c:pt idx="152">
                  <c:v>1.0451213642229456E-3</c:v>
                </c:pt>
                <c:pt idx="153">
                  <c:v>1.0689041512722669E-3</c:v>
                </c:pt>
                <c:pt idx="154">
                  <c:v>1.0926208750242287E-3</c:v>
                </c:pt>
                <c:pt idx="155">
                  <c:v>1.11640366207355E-3</c:v>
                </c:pt>
                <c:pt idx="156">
                  <c:v>1.1401864491228711E-3</c:v>
                </c:pt>
                <c:pt idx="157">
                  <c:v>1.1639031728748331E-3</c:v>
                </c:pt>
                <c:pt idx="158">
                  <c:v>1.1876859599241542E-3</c:v>
                </c:pt>
                <c:pt idx="159">
                  <c:v>1.2114687469734753E-3</c:v>
                </c:pt>
                <c:pt idx="160">
                  <c:v>1.2351854707254373E-3</c:v>
                </c:pt>
                <c:pt idx="161">
                  <c:v>1.2589682577747584E-3</c:v>
                </c:pt>
                <c:pt idx="162">
                  <c:v>1.2827510448240795E-3</c:v>
                </c:pt>
                <c:pt idx="163">
                  <c:v>1.3064677685760413E-3</c:v>
                </c:pt>
                <c:pt idx="164">
                  <c:v>1.3302505556253626E-3</c:v>
                </c:pt>
                <c:pt idx="165">
                  <c:v>1.3478894560202757E-3</c:v>
                </c:pt>
                <c:pt idx="166">
                  <c:v>1.3613663686815576E-3</c:v>
                </c:pt>
                <c:pt idx="167">
                  <c:v>1.3749093446401991E-3</c:v>
                </c:pt>
                <c:pt idx="168">
                  <c:v>1.3884523205988401E-3</c:v>
                </c:pt>
                <c:pt idx="169">
                  <c:v>1.4019952965574813E-3</c:v>
                </c:pt>
                <c:pt idx="170">
                  <c:v>1.4154722092187633E-3</c:v>
                </c:pt>
                <c:pt idx="171">
                  <c:v>1.4299400713404335E-3</c:v>
                </c:pt>
                <c:pt idx="172">
                  <c:v>1.4481074781142207E-3</c:v>
                </c:pt>
                <c:pt idx="173">
                  <c:v>1.4662748848880075E-3</c:v>
                </c:pt>
                <c:pt idx="174">
                  <c:v>1.4844422916617946E-3</c:v>
                </c:pt>
                <c:pt idx="175">
                  <c:v>1.4609898210992697E-3</c:v>
                </c:pt>
                <c:pt idx="176">
                  <c:v>1.4375373505367446E-3</c:v>
                </c:pt>
                <c:pt idx="177">
                  <c:v>1.4140848799742197E-3</c:v>
                </c:pt>
                <c:pt idx="178">
                  <c:v>1.3906324094116946E-3</c:v>
                </c:pt>
                <c:pt idx="179">
                  <c:v>1.4214839692784527E-3</c:v>
                </c:pt>
                <c:pt idx="180">
                  <c:v>1.452269465847852E-3</c:v>
                </c:pt>
                <c:pt idx="181">
                  <c:v>1.4831210257146101E-3</c:v>
                </c:pt>
                <c:pt idx="182">
                  <c:v>1.4969282548626883E-3</c:v>
                </c:pt>
                <c:pt idx="183">
                  <c:v>1.485102924635387E-3</c:v>
                </c:pt>
                <c:pt idx="184">
                  <c:v>1.4732775944080855E-3</c:v>
                </c:pt>
                <c:pt idx="185">
                  <c:v>1.4964658117811737E-3</c:v>
                </c:pt>
                <c:pt idx="186">
                  <c:v>1.5429083098247092E-3</c:v>
                </c:pt>
                <c:pt idx="187">
                  <c:v>1.5893508078682447E-3</c:v>
                </c:pt>
                <c:pt idx="188">
                  <c:v>1.6357933059117803E-3</c:v>
                </c:pt>
                <c:pt idx="189">
                  <c:v>1.6462973701918968E-3</c:v>
                </c:pt>
                <c:pt idx="190">
                  <c:v>1.6455046106235863E-3</c:v>
                </c:pt>
                <c:pt idx="191">
                  <c:v>1.6446457877579161E-3</c:v>
                </c:pt>
                <c:pt idx="192">
                  <c:v>1.6438530281896056E-3</c:v>
                </c:pt>
                <c:pt idx="193">
                  <c:v>1.630442178825683E-3</c:v>
                </c:pt>
                <c:pt idx="194">
                  <c:v>1.6139263544858765E-3</c:v>
                </c:pt>
                <c:pt idx="195">
                  <c:v>1.5974105301460701E-3</c:v>
                </c:pt>
                <c:pt idx="196">
                  <c:v>1.5808947058062639E-3</c:v>
                </c:pt>
                <c:pt idx="197">
                  <c:v>1.4771753289522798E-3</c:v>
                </c:pt>
                <c:pt idx="198">
                  <c:v>1.3735220153956553E-3</c:v>
                </c:pt>
                <c:pt idx="199">
                  <c:v>1.2698026385416714E-3</c:v>
                </c:pt>
                <c:pt idx="200">
                  <c:v>1.1661493249850467E-3</c:v>
                </c:pt>
                <c:pt idx="201">
                  <c:v>1.0578055173159171E-3</c:v>
                </c:pt>
                <c:pt idx="202">
                  <c:v>9.4252506342406867E-4</c:v>
                </c:pt>
                <c:pt idx="203">
                  <c:v>8.2724460953222047E-4</c:v>
                </c:pt>
                <c:pt idx="204">
                  <c:v>7.1196415564037205E-4</c:v>
                </c:pt>
                <c:pt idx="205">
                  <c:v>6.4253163011582628E-4</c:v>
                </c:pt>
                <c:pt idx="206">
                  <c:v>6.4187099714223391E-4</c:v>
                </c:pt>
                <c:pt idx="207">
                  <c:v>6.4114430087128249E-4</c:v>
                </c:pt>
                <c:pt idx="208">
                  <c:v>6.0329003148444627E-4</c:v>
                </c:pt>
                <c:pt idx="209">
                  <c:v>5.2830818898172546E-4</c:v>
                </c:pt>
                <c:pt idx="210">
                  <c:v>4.5339240977636388E-4</c:v>
                </c:pt>
                <c:pt idx="211">
                  <c:v>3.7841056727364308E-4</c:v>
                </c:pt>
                <c:pt idx="212">
                  <c:v>3.2344590387076757E-4</c:v>
                </c:pt>
                <c:pt idx="213">
                  <c:v>2.8849841956773731E-4</c:v>
                </c:pt>
                <c:pt idx="214">
                  <c:v>2.5361699856206628E-4</c:v>
                </c:pt>
                <c:pt idx="215">
                  <c:v>2.187355775563953E-4</c:v>
                </c:pt>
                <c:pt idx="216">
                  <c:v>1.8378809325336507E-4</c:v>
                </c:pt>
                <c:pt idx="217">
                  <c:v>1.4890667224769404E-4</c:v>
                </c:pt>
                <c:pt idx="218">
                  <c:v>1.1395918794466382E-4</c:v>
                </c:pt>
                <c:pt idx="219">
                  <c:v>7.9077766938992811E-5</c:v>
                </c:pt>
                <c:pt idx="220">
                  <c:v>4.4130282635962566E-5</c:v>
                </c:pt>
                <c:pt idx="221">
                  <c:v>9.2488616302915551E-6</c:v>
                </c:pt>
                <c:pt idx="222">
                  <c:v>3.0323053487884458E-5</c:v>
                </c:pt>
                <c:pt idx="223">
                  <c:v>5.1397245345477363E-5</c:v>
                </c:pt>
                <c:pt idx="224">
                  <c:v>7.247143720307026E-5</c:v>
                </c:pt>
                <c:pt idx="225">
                  <c:v>9.3545629060663165E-5</c:v>
                </c:pt>
                <c:pt idx="226">
                  <c:v>1.1455375762089684E-4</c:v>
                </c:pt>
                <c:pt idx="227">
                  <c:v>1.3562794947848974E-4</c:v>
                </c:pt>
                <c:pt idx="228">
                  <c:v>1.5670214133608264E-4</c:v>
                </c:pt>
                <c:pt idx="229">
                  <c:v>1.7777633319367554E-4</c:v>
                </c:pt>
                <c:pt idx="230">
                  <c:v>1.9885052505126845E-4</c:v>
                </c:pt>
                <c:pt idx="231">
                  <c:v>4.117064691426927E-4</c:v>
                </c:pt>
                <c:pt idx="232">
                  <c:v>6.2449634993675773E-4</c:v>
                </c:pt>
                <c:pt idx="233">
                  <c:v>8.3735229402818188E-4</c:v>
                </c:pt>
                <c:pt idx="234">
                  <c:v>1.0502082381196062E-3</c:v>
                </c:pt>
                <c:pt idx="235">
                  <c:v>1.2629981189136712E-3</c:v>
                </c:pt>
                <c:pt idx="236">
                  <c:v>1.4758540630050955E-3</c:v>
                </c:pt>
                <c:pt idx="237">
                  <c:v>1.6325562043411779E-3</c:v>
                </c:pt>
                <c:pt idx="238">
                  <c:v>1.7891922823799014E-3</c:v>
                </c:pt>
                <c:pt idx="239">
                  <c:v>1.9458944237159841E-3</c:v>
                </c:pt>
                <c:pt idx="240">
                  <c:v>2.1025965650520667E-3</c:v>
                </c:pt>
                <c:pt idx="241">
                  <c:v>2.2592326430907902E-3</c:v>
                </c:pt>
                <c:pt idx="242">
                  <c:v>2.4159347844268726E-3</c:v>
                </c:pt>
                <c:pt idx="243">
                  <c:v>2.450684078837825E-3</c:v>
                </c:pt>
                <c:pt idx="244">
                  <c:v>2.4854994365461373E-3</c:v>
                </c:pt>
                <c:pt idx="245">
                  <c:v>2.5202487309570897E-3</c:v>
                </c:pt>
                <c:pt idx="246">
                  <c:v>2.554998025368042E-3</c:v>
                </c:pt>
                <c:pt idx="247">
                  <c:v>2.5898133830763539E-3</c:v>
                </c:pt>
                <c:pt idx="248">
                  <c:v>2.6245626774873063E-3</c:v>
                </c:pt>
                <c:pt idx="249">
                  <c:v>2.6593780351956186E-3</c:v>
                </c:pt>
                <c:pt idx="250">
                  <c:v>2.6941273296065709E-3</c:v>
                </c:pt>
                <c:pt idx="251">
                  <c:v>2.7288766240175233E-3</c:v>
                </c:pt>
                <c:pt idx="252">
                  <c:v>2.7636919817258352E-3</c:v>
                </c:pt>
                <c:pt idx="253">
                  <c:v>2.798441276136788E-3</c:v>
                </c:pt>
                <c:pt idx="254">
                  <c:v>2.7527915376615629E-3</c:v>
                </c:pt>
                <c:pt idx="255">
                  <c:v>2.7070757358889789E-3</c:v>
                </c:pt>
                <c:pt idx="256">
                  <c:v>2.6614259974137543E-3</c:v>
                </c:pt>
                <c:pt idx="257">
                  <c:v>2.6157101956411702E-3</c:v>
                </c:pt>
                <c:pt idx="258">
                  <c:v>2.5700604571659456E-3</c:v>
                </c:pt>
                <c:pt idx="259">
                  <c:v>2.524344655393362E-3</c:v>
                </c:pt>
                <c:pt idx="260">
                  <c:v>2.4786949169181369E-3</c:v>
                </c:pt>
                <c:pt idx="261">
                  <c:v>2.5308849218319252E-3</c:v>
                </c:pt>
                <c:pt idx="262">
                  <c:v>2.583074926745713E-3</c:v>
                </c:pt>
                <c:pt idx="263">
                  <c:v>2.6352649316595009E-3</c:v>
                </c:pt>
                <c:pt idx="264">
                  <c:v>2.6874549365732891E-3</c:v>
                </c:pt>
                <c:pt idx="265">
                  <c:v>2.505054172564468E-3</c:v>
                </c:pt>
                <c:pt idx="266">
                  <c:v>2.3227194718530055E-3</c:v>
                </c:pt>
                <c:pt idx="267">
                  <c:v>2.1403187078441847E-3</c:v>
                </c:pt>
                <c:pt idx="268">
                  <c:v>1.9440446513899257E-3</c:v>
                </c:pt>
                <c:pt idx="269">
                  <c:v>1.6918810453697625E-3</c:v>
                </c:pt>
                <c:pt idx="270">
                  <c:v>1.4397174393495991E-3</c:v>
                </c:pt>
                <c:pt idx="271">
                  <c:v>1.1876198966267949E-3</c:v>
                </c:pt>
                <c:pt idx="272">
                  <c:v>9.3545629060663162E-4</c:v>
                </c:pt>
                <c:pt idx="273">
                  <c:v>8.800291841222416E-4</c:v>
                </c:pt>
                <c:pt idx="274">
                  <c:v>1.1197728902388705E-3</c:v>
                </c:pt>
                <c:pt idx="275">
                  <c:v>8.8392691866643594E-4</c:v>
                </c:pt>
                <c:pt idx="276">
                  <c:v>6.4808094709400109E-4</c:v>
                </c:pt>
                <c:pt idx="277">
                  <c:v>1.090903229292889E-3</c:v>
                </c:pt>
                <c:pt idx="278">
                  <c:v>1.5336594481944177E-3</c:v>
                </c:pt>
                <c:pt idx="279">
                  <c:v>1.9764156670959462E-3</c:v>
                </c:pt>
                <c:pt idx="280">
                  <c:v>2.419237949294834E-3</c:v>
                </c:pt>
                <c:pt idx="281">
                  <c:v>2.610293005257714E-3</c:v>
                </c:pt>
                <c:pt idx="282">
                  <c:v>2.8012819979232341E-3</c:v>
                </c:pt>
                <c:pt idx="283">
                  <c:v>2.9923370538861142E-3</c:v>
                </c:pt>
                <c:pt idx="284">
                  <c:v>3.1833921098489942E-3</c:v>
                </c:pt>
                <c:pt idx="285">
                  <c:v>3.3743811025145148E-3</c:v>
                </c:pt>
                <c:pt idx="286">
                  <c:v>3.5654361584773948E-3</c:v>
                </c:pt>
                <c:pt idx="287">
                  <c:v>3.613001732576037E-3</c:v>
                </c:pt>
                <c:pt idx="288">
                  <c:v>3.6605673066746796E-3</c:v>
                </c:pt>
                <c:pt idx="289">
                  <c:v>3.7081328807733213E-3</c:v>
                </c:pt>
                <c:pt idx="290">
                  <c:v>3.7556984548719639E-3</c:v>
                </c:pt>
                <c:pt idx="291">
                  <c:v>3.8032640289706065E-3</c:v>
                </c:pt>
                <c:pt idx="292">
                  <c:v>3.8508296030692482E-3</c:v>
                </c:pt>
                <c:pt idx="293">
                  <c:v>3.8843897581277349E-3</c:v>
                </c:pt>
                <c:pt idx="294">
                  <c:v>3.917883849888862E-3</c:v>
                </c:pt>
                <c:pt idx="295">
                  <c:v>3.9514440049473491E-3</c:v>
                </c:pt>
                <c:pt idx="296">
                  <c:v>3.9849380967084767E-3</c:v>
                </c:pt>
                <c:pt idx="297">
                  <c:v>4.018498251766962E-3</c:v>
                </c:pt>
                <c:pt idx="298">
                  <c:v>4.0519923435280896E-3</c:v>
                </c:pt>
                <c:pt idx="299">
                  <c:v>4.0855524985865758E-3</c:v>
                </c:pt>
                <c:pt idx="300">
                  <c:v>4.1190465903477034E-3</c:v>
                </c:pt>
                <c:pt idx="301">
                  <c:v>4.1526067454061904E-3</c:v>
                </c:pt>
                <c:pt idx="302">
                  <c:v>4.0249724549081666E-3</c:v>
                </c:pt>
                <c:pt idx="303">
                  <c:v>3.8282359553723933E-3</c:v>
                </c:pt>
                <c:pt idx="304">
                  <c:v>3.6314994558366205E-3</c:v>
                </c:pt>
                <c:pt idx="305">
                  <c:v>3.4146136506062832E-3</c:v>
                </c:pt>
                <c:pt idx="306">
                  <c:v>3.1976617820785869E-3</c:v>
                </c:pt>
                <c:pt idx="307">
                  <c:v>2.98077597684825E-3</c:v>
                </c:pt>
                <c:pt idx="308">
                  <c:v>2.6314332604126661E-3</c:v>
                </c:pt>
                <c:pt idx="309">
                  <c:v>2.2820905439770822E-3</c:v>
                </c:pt>
                <c:pt idx="310">
                  <c:v>1.932681764244139E-3</c:v>
                </c:pt>
                <c:pt idx="311">
                  <c:v>1.707934426628054E-3</c:v>
                </c:pt>
                <c:pt idx="312">
                  <c:v>1.5661625904951565E-3</c:v>
                </c:pt>
                <c:pt idx="313">
                  <c:v>1.7150031994454915E-3</c:v>
                </c:pt>
                <c:pt idx="314">
                  <c:v>2.2996633810746362E-3</c:v>
                </c:pt>
                <c:pt idx="315">
                  <c:v>3.873951757144977E-3</c:v>
                </c:pt>
                <c:pt idx="316">
                  <c:v>3.803924661944198E-3</c:v>
                </c:pt>
                <c:pt idx="317">
                  <c:v>3.7338975667434199E-3</c:v>
                </c:pt>
                <c:pt idx="318">
                  <c:v>3.9492639161344944E-3</c:v>
                </c:pt>
                <c:pt idx="319">
                  <c:v>4.1646302655255693E-3</c:v>
                </c:pt>
                <c:pt idx="320">
                  <c:v>4.3600454991141579E-3</c:v>
                </c:pt>
                <c:pt idx="321">
                  <c:v>4.5554607327027465E-3</c:v>
                </c:pt>
                <c:pt idx="322">
                  <c:v>4.750875966291335E-3</c:v>
                </c:pt>
                <c:pt idx="323">
                  <c:v>4.9462911998799245E-3</c:v>
                </c:pt>
                <c:pt idx="324">
                  <c:v>5.1417064334685122E-3</c:v>
                </c:pt>
                <c:pt idx="325">
                  <c:v>5.2026828569310775E-3</c:v>
                </c:pt>
                <c:pt idx="326">
                  <c:v>5.2635932170962832E-3</c:v>
                </c:pt>
                <c:pt idx="327">
                  <c:v>5.3245035772614899E-3</c:v>
                </c:pt>
                <c:pt idx="328">
                  <c:v>5.3854800007240543E-3</c:v>
                </c:pt>
                <c:pt idx="329">
                  <c:v>5.3600456312407532E-3</c:v>
                </c:pt>
                <c:pt idx="330">
                  <c:v>5.3346112617574512E-3</c:v>
                </c:pt>
                <c:pt idx="331">
                  <c:v>5.3091768922741492E-3</c:v>
                </c:pt>
                <c:pt idx="332">
                  <c:v>5.2837425227908472E-3</c:v>
                </c:pt>
                <c:pt idx="333">
                  <c:v>5.1504267887199301E-3</c:v>
                </c:pt>
                <c:pt idx="334">
                  <c:v>4.9233672356962729E-3</c:v>
                </c:pt>
                <c:pt idx="335">
                  <c:v>4.4774399785215014E-3</c:v>
                </c:pt>
                <c:pt idx="336">
                  <c:v>4.525930438783173E-3</c:v>
                </c:pt>
                <c:pt idx="337">
                  <c:v>4.7703646390123066E-3</c:v>
                </c:pt>
                <c:pt idx="338">
                  <c:v>5.1035879108922398E-3</c:v>
                </c:pt>
                <c:pt idx="339">
                  <c:v>5.4367451194748135E-3</c:v>
                </c:pt>
                <c:pt idx="340">
                  <c:v>5.7699683913547458E-3</c:v>
                </c:pt>
                <c:pt idx="341">
                  <c:v>5.8286325994097382E-3</c:v>
                </c:pt>
                <c:pt idx="342">
                  <c:v>5.8872307441673712E-3</c:v>
                </c:pt>
                <c:pt idx="343">
                  <c:v>5.9458949522223636E-3</c:v>
                </c:pt>
                <c:pt idx="344">
                  <c:v>6.0044930969799966E-3</c:v>
                </c:pt>
                <c:pt idx="345">
                  <c:v>5.7978471028403396E-3</c:v>
                </c:pt>
                <c:pt idx="346">
                  <c:v>5.5912011087006826E-3</c:v>
                </c:pt>
                <c:pt idx="347">
                  <c:v>4.4774399785215014E-3</c:v>
                </c:pt>
                <c:pt idx="348">
                  <c:v>4.8457428612991831E-3</c:v>
                </c:pt>
                <c:pt idx="349">
                  <c:v>6.2710585018244712E-3</c:v>
                </c:pt>
                <c:pt idx="350">
                  <c:v>6.3370557358863374E-3</c:v>
                </c:pt>
                <c:pt idx="351">
                  <c:v>6.3759009547335616E-3</c:v>
                </c:pt>
                <c:pt idx="352">
                  <c:v>6.4147461735807858E-3</c:v>
                </c:pt>
                <c:pt idx="353">
                  <c:v>6.1432920847317284E-3</c:v>
                </c:pt>
                <c:pt idx="354">
                  <c:v>5.8718379958826719E-3</c:v>
                </c:pt>
                <c:pt idx="355">
                  <c:v>5.6003839070336145E-3</c:v>
                </c:pt>
                <c:pt idx="356">
                  <c:v>5.4501559688387357E-3</c:v>
                </c:pt>
                <c:pt idx="357">
                  <c:v>5.8562470577058949E-3</c:v>
                </c:pt>
                <c:pt idx="358">
                  <c:v>6.6221849272887533E-3</c:v>
                </c:pt>
                <c:pt idx="359">
                  <c:v>6.3856783227427272E-3</c:v>
                </c:pt>
                <c:pt idx="360">
                  <c:v>6.1491717181966993E-3</c:v>
                </c:pt>
                <c:pt idx="361">
                  <c:v>5.9126651136506732E-3</c:v>
                </c:pt>
                <c:pt idx="362">
                  <c:v>5.6761585091046462E-3</c:v>
                </c:pt>
                <c:pt idx="363">
                  <c:v>5.985004424259025E-3</c:v>
                </c:pt>
                <c:pt idx="364">
                  <c:v>6.2938503394134038E-3</c:v>
                </c:pt>
                <c:pt idx="365">
                  <c:v>6.6026962545677826E-3</c:v>
                </c:pt>
                <c:pt idx="366">
                  <c:v>6.9115421697221614E-3</c:v>
                </c:pt>
                <c:pt idx="367">
                  <c:v>6.9371086658001806E-3</c:v>
                </c:pt>
                <c:pt idx="368">
                  <c:v>6.9627412251755611E-3</c:v>
                </c:pt>
                <c:pt idx="369">
                  <c:v>6.9883077212535803E-3</c:v>
                </c:pt>
                <c:pt idx="370">
                  <c:v>7.0139402806289608E-3</c:v>
                </c:pt>
                <c:pt idx="371">
                  <c:v>7.0146009136025523E-3</c:v>
                </c:pt>
                <c:pt idx="372">
                  <c:v>7.0152615465761455E-3</c:v>
                </c:pt>
                <c:pt idx="373">
                  <c:v>7.015922179549737E-3</c:v>
                </c:pt>
                <c:pt idx="374">
                  <c:v>7.0165828125233285E-3</c:v>
                </c:pt>
                <c:pt idx="375">
                  <c:v>7.0607130951592916E-3</c:v>
                </c:pt>
                <c:pt idx="376">
                  <c:v>7.1047773144978961E-3</c:v>
                </c:pt>
                <c:pt idx="377">
                  <c:v>7.1489075971338583E-3</c:v>
                </c:pt>
                <c:pt idx="378">
                  <c:v>7.1929718164724611E-3</c:v>
                </c:pt>
                <c:pt idx="379">
                  <c:v>7.0864777811293902E-3</c:v>
                </c:pt>
                <c:pt idx="380">
                  <c:v>6.979917682488959E-3</c:v>
                </c:pt>
                <c:pt idx="381">
                  <c:v>6.8734236471458881E-3</c:v>
                </c:pt>
                <c:pt idx="382">
                  <c:v>6.7668635485054569E-3</c:v>
                </c:pt>
                <c:pt idx="383">
                  <c:v>6.8710453684409558E-3</c:v>
                </c:pt>
                <c:pt idx="384">
                  <c:v>6.9752932516738133E-3</c:v>
                </c:pt>
                <c:pt idx="385">
                  <c:v>7.0795411349066717E-3</c:v>
                </c:pt>
                <c:pt idx="386">
                  <c:v>7.1837229548421706E-3</c:v>
                </c:pt>
                <c:pt idx="387">
                  <c:v>7.2081663748650828E-3</c:v>
                </c:pt>
                <c:pt idx="388">
                  <c:v>7.2326097948879958E-3</c:v>
                </c:pt>
                <c:pt idx="389">
                  <c:v>7.2570532149109097E-3</c:v>
                </c:pt>
                <c:pt idx="390">
                  <c:v>7.2814966349338235E-3</c:v>
                </c:pt>
                <c:pt idx="391">
                  <c:v>7.2160939705481902E-3</c:v>
                </c:pt>
                <c:pt idx="392">
                  <c:v>7.1506913061625578E-3</c:v>
                </c:pt>
                <c:pt idx="393">
                  <c:v>7.158949218332461E-3</c:v>
                </c:pt>
                <c:pt idx="394">
                  <c:v>7.1672071305023642E-3</c:v>
                </c:pt>
                <c:pt idx="395">
                  <c:v>6.9247548291940068E-3</c:v>
                </c:pt>
                <c:pt idx="396">
                  <c:v>6.6823025278856486E-3</c:v>
                </c:pt>
                <c:pt idx="397">
                  <c:v>6.8646372285971107E-3</c:v>
                </c:pt>
                <c:pt idx="398">
                  <c:v>7.0469719293085736E-3</c:v>
                </c:pt>
                <c:pt idx="399">
                  <c:v>6.9148453345901223E-3</c:v>
                </c:pt>
                <c:pt idx="400">
                  <c:v>6.7827187398716718E-3</c:v>
                </c:pt>
                <c:pt idx="401">
                  <c:v>6.7113703787237081E-3</c:v>
                </c:pt>
                <c:pt idx="402">
                  <c:v>6.6400220175757444E-3</c:v>
                </c:pt>
                <c:pt idx="403">
                  <c:v>6.7754517771621559E-3</c:v>
                </c:pt>
                <c:pt idx="404">
                  <c:v>6.9108815367485681E-3</c:v>
                </c:pt>
                <c:pt idx="405">
                  <c:v>6.7519993065996318E-3</c:v>
                </c:pt>
                <c:pt idx="406">
                  <c:v>6.5931170764506946E-3</c:v>
                </c:pt>
                <c:pt idx="407">
                  <c:v>6.5666917575070045E-3</c:v>
                </c:pt>
                <c:pt idx="408">
                  <c:v>6.5402664385633144E-3</c:v>
                </c:pt>
                <c:pt idx="409">
                  <c:v>6.4299407319734075E-3</c:v>
                </c:pt>
                <c:pt idx="410">
                  <c:v>6.3196150253835015E-3</c:v>
                </c:pt>
                <c:pt idx="411">
                  <c:v>5.7973846597588249E-3</c:v>
                </c:pt>
                <c:pt idx="412">
                  <c:v>5.2751542941341482E-3</c:v>
                </c:pt>
                <c:pt idx="413">
                  <c:v>4.757878675811413E-3</c:v>
                </c:pt>
                <c:pt idx="414">
                  <c:v>4.2406030574886778E-3</c:v>
                </c:pt>
                <c:pt idx="415">
                  <c:v>4.4021278195319844E-3</c:v>
                </c:pt>
                <c:pt idx="416">
                  <c:v>4.5636525815752902E-3</c:v>
                </c:pt>
                <c:pt idx="417">
                  <c:v>4.4496933936306266E-3</c:v>
                </c:pt>
                <c:pt idx="418">
                  <c:v>4.3357342056859621E-3</c:v>
                </c:pt>
                <c:pt idx="419">
                  <c:v>4.0044267694294474E-3</c:v>
                </c:pt>
                <c:pt idx="420">
                  <c:v>3.6731193331729322E-3</c:v>
                </c:pt>
                <c:pt idx="421">
                  <c:v>3.0973776966872831E-3</c:v>
                </c:pt>
                <c:pt idx="422">
                  <c:v>2.5216360602016335E-3</c:v>
                </c:pt>
                <c:pt idx="423">
                  <c:v>2.457884978249981E-3</c:v>
                </c:pt>
                <c:pt idx="424">
                  <c:v>2.3941338962983282E-3</c:v>
                </c:pt>
                <c:pt idx="425">
                  <c:v>2.2672923653686157E-3</c:v>
                </c:pt>
                <c:pt idx="426">
                  <c:v>2.1404508344389029E-3</c:v>
                </c:pt>
                <c:pt idx="427">
                  <c:v>1.8646365679641369E-3</c:v>
                </c:pt>
                <c:pt idx="428">
                  <c:v>1.5888223014893707E-3</c:v>
                </c:pt>
                <c:pt idx="429">
                  <c:v>1.4946821027524747E-3</c:v>
                </c:pt>
                <c:pt idx="430">
                  <c:v>1.4005419040155785E-3</c:v>
                </c:pt>
                <c:pt idx="431">
                  <c:v>1.2334017616967381E-3</c:v>
                </c:pt>
                <c:pt idx="432">
                  <c:v>1.1851755546245038E-3</c:v>
                </c:pt>
                <c:pt idx="433">
                  <c:v>1.0279449069095471E-3</c:v>
                </c:pt>
                <c:pt idx="434">
                  <c:v>1.006804651754595E-3</c:v>
                </c:pt>
                <c:pt idx="435">
                  <c:v>6.6195423953943849E-4</c:v>
                </c:pt>
                <c:pt idx="436">
                  <c:v>4.7037067719768488E-4</c:v>
                </c:pt>
                <c:pt idx="437">
                  <c:v>2.7152015214641637E-4</c:v>
                </c:pt>
                <c:pt idx="438">
                  <c:v>1.0305874388039161E-4</c:v>
                </c:pt>
                <c:pt idx="439">
                  <c:v>2.2461521102136635E-5</c:v>
                </c:pt>
                <c:pt idx="4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C2-4D5C-BF96-BD63012657CD}"/>
            </c:ext>
          </c:extLst>
        </c:ser>
        <c:ser>
          <c:idx val="0"/>
          <c:order val="1"/>
          <c:tx>
            <c:strRef>
              <c:f>refl5!$AN$78</c:f>
              <c:strCache>
                <c:ptCount val="1"/>
                <c:pt idx="0">
                  <c:v>ISO 9050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refl5!$AL$79:$AL$529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refl5!$AN$79:$AN$529</c:f>
              <c:numCache>
                <c:formatCode>General</c:formatCode>
                <c:ptCount val="451"/>
                <c:pt idx="0">
                  <c:v>4.7522846608507064E-5</c:v>
                </c:pt>
                <c:pt idx="1">
                  <c:v>5.4796343342061727E-5</c:v>
                </c:pt>
                <c:pt idx="2">
                  <c:v>6.2069840075616375E-5</c:v>
                </c:pt>
                <c:pt idx="3">
                  <c:v>6.9343336809171038E-5</c:v>
                </c:pt>
                <c:pt idx="4">
                  <c:v>7.66168335427257E-5</c:v>
                </c:pt>
                <c:pt idx="5">
                  <c:v>8.3890330276280363E-5</c:v>
                </c:pt>
                <c:pt idx="6">
                  <c:v>9.1163827009835025E-5</c:v>
                </c:pt>
                <c:pt idx="7">
                  <c:v>9.8437323743389674E-5</c:v>
                </c:pt>
                <c:pt idx="8">
                  <c:v>1.0571082047694434E-4</c:v>
                </c:pt>
                <c:pt idx="9">
                  <c:v>1.12984317210499E-4</c:v>
                </c:pt>
                <c:pt idx="10">
                  <c:v>1.2025781394405366E-4</c:v>
                </c:pt>
                <c:pt idx="11">
                  <c:v>1.3057277286055279E-4</c:v>
                </c:pt>
                <c:pt idx="12">
                  <c:v>1.408877317770519E-4</c:v>
                </c:pt>
                <c:pt idx="13">
                  <c:v>1.5120269069355101E-4</c:v>
                </c:pt>
                <c:pt idx="14">
                  <c:v>1.615176496100501E-4</c:v>
                </c:pt>
                <c:pt idx="15">
                  <c:v>1.7183260852654926E-4</c:v>
                </c:pt>
                <c:pt idx="16">
                  <c:v>1.8214756744304835E-4</c:v>
                </c:pt>
                <c:pt idx="17">
                  <c:v>1.9246252635954749E-4</c:v>
                </c:pt>
                <c:pt idx="18">
                  <c:v>2.0277748527604657E-4</c:v>
                </c:pt>
                <c:pt idx="19">
                  <c:v>2.1309244419254574E-4</c:v>
                </c:pt>
                <c:pt idx="20">
                  <c:v>2.2340740310904483E-4</c:v>
                </c:pt>
                <c:pt idx="21">
                  <c:v>2.3271187623449989E-4</c:v>
                </c:pt>
                <c:pt idx="22">
                  <c:v>2.4201634935995495E-4</c:v>
                </c:pt>
                <c:pt idx="23">
                  <c:v>2.5132082248541005E-4</c:v>
                </c:pt>
                <c:pt idx="24">
                  <c:v>2.6062529561086511E-4</c:v>
                </c:pt>
                <c:pt idx="25">
                  <c:v>2.6992976873632018E-4</c:v>
                </c:pt>
                <c:pt idx="26">
                  <c:v>2.7923424186177524E-4</c:v>
                </c:pt>
                <c:pt idx="27">
                  <c:v>2.885387149872303E-4</c:v>
                </c:pt>
                <c:pt idx="28">
                  <c:v>2.9784318811268542E-4</c:v>
                </c:pt>
                <c:pt idx="29">
                  <c:v>3.0714766123814043E-4</c:v>
                </c:pt>
                <c:pt idx="30">
                  <c:v>3.164521343635955E-4</c:v>
                </c:pt>
                <c:pt idx="31">
                  <c:v>3.1918344744235819E-4</c:v>
                </c:pt>
                <c:pt idx="32">
                  <c:v>3.2191476052112082E-4</c:v>
                </c:pt>
                <c:pt idx="33">
                  <c:v>3.2464607359988329E-4</c:v>
                </c:pt>
                <c:pt idx="34">
                  <c:v>3.2737738667864592E-4</c:v>
                </c:pt>
                <c:pt idx="35">
                  <c:v>3.3010869975740861E-4</c:v>
                </c:pt>
                <c:pt idx="36">
                  <c:v>3.3284001283617124E-4</c:v>
                </c:pt>
                <c:pt idx="37">
                  <c:v>3.3557132591493382E-4</c:v>
                </c:pt>
                <c:pt idx="38">
                  <c:v>3.3830263899369646E-4</c:v>
                </c:pt>
                <c:pt idx="39">
                  <c:v>3.4103395207245909E-4</c:v>
                </c:pt>
                <c:pt idx="40">
                  <c:v>3.4376526515122167E-4</c:v>
                </c:pt>
                <c:pt idx="41">
                  <c:v>3.4532601548194317E-4</c:v>
                </c:pt>
                <c:pt idx="42">
                  <c:v>3.4688676581266466E-4</c:v>
                </c:pt>
                <c:pt idx="43">
                  <c:v>3.4844751614338611E-4</c:v>
                </c:pt>
                <c:pt idx="44">
                  <c:v>3.500082664741076E-4</c:v>
                </c:pt>
                <c:pt idx="45">
                  <c:v>3.5156901680482916E-4</c:v>
                </c:pt>
                <c:pt idx="46">
                  <c:v>3.531297671355506E-4</c:v>
                </c:pt>
                <c:pt idx="47">
                  <c:v>3.546905174662721E-4</c:v>
                </c:pt>
                <c:pt idx="48">
                  <c:v>3.5625126779699359E-4</c:v>
                </c:pt>
                <c:pt idx="49">
                  <c:v>3.5781201812771514E-4</c:v>
                </c:pt>
                <c:pt idx="50">
                  <c:v>3.5937276845843659E-4</c:v>
                </c:pt>
                <c:pt idx="51">
                  <c:v>3.603532398200437E-4</c:v>
                </c:pt>
                <c:pt idx="52">
                  <c:v>3.6133371118165082E-4</c:v>
                </c:pt>
                <c:pt idx="53">
                  <c:v>3.6231418254325783E-4</c:v>
                </c:pt>
                <c:pt idx="54">
                  <c:v>3.6329465390486494E-4</c:v>
                </c:pt>
                <c:pt idx="55">
                  <c:v>3.6427512526647206E-4</c:v>
                </c:pt>
                <c:pt idx="56">
                  <c:v>3.6525559662807912E-4</c:v>
                </c:pt>
                <c:pt idx="57">
                  <c:v>3.6623606798968624E-4</c:v>
                </c:pt>
                <c:pt idx="58">
                  <c:v>3.6721653935129341E-4</c:v>
                </c:pt>
                <c:pt idx="59">
                  <c:v>3.6819701071290041E-4</c:v>
                </c:pt>
                <c:pt idx="60">
                  <c:v>3.6917748207450753E-4</c:v>
                </c:pt>
                <c:pt idx="61">
                  <c:v>3.7369965610967496E-4</c:v>
                </c:pt>
                <c:pt idx="62">
                  <c:v>3.7822183014484239E-4</c:v>
                </c:pt>
                <c:pt idx="63">
                  <c:v>3.8274400418000971E-4</c:v>
                </c:pt>
                <c:pt idx="64">
                  <c:v>3.8726617821517709E-4</c:v>
                </c:pt>
                <c:pt idx="65">
                  <c:v>3.9178835225034457E-4</c:v>
                </c:pt>
                <c:pt idx="66">
                  <c:v>3.9631052628551189E-4</c:v>
                </c:pt>
                <c:pt idx="67">
                  <c:v>4.0083270032067927E-4</c:v>
                </c:pt>
                <c:pt idx="68">
                  <c:v>4.0535487435584675E-4</c:v>
                </c:pt>
                <c:pt idx="69">
                  <c:v>4.0987704839101413E-4</c:v>
                </c:pt>
                <c:pt idx="70">
                  <c:v>4.1439922242618151E-4</c:v>
                </c:pt>
                <c:pt idx="71">
                  <c:v>4.152696408798531E-4</c:v>
                </c:pt>
                <c:pt idx="72">
                  <c:v>4.1614005933352476E-4</c:v>
                </c:pt>
                <c:pt idx="73">
                  <c:v>4.1701047778719636E-4</c:v>
                </c:pt>
                <c:pt idx="74">
                  <c:v>4.1788089624086801E-4</c:v>
                </c:pt>
                <c:pt idx="75">
                  <c:v>4.1875131469453961E-4</c:v>
                </c:pt>
                <c:pt idx="76">
                  <c:v>4.1962173314821115E-4</c:v>
                </c:pt>
                <c:pt idx="77">
                  <c:v>4.2049215160188281E-4</c:v>
                </c:pt>
                <c:pt idx="78">
                  <c:v>4.2136257005555446E-4</c:v>
                </c:pt>
                <c:pt idx="79">
                  <c:v>4.2223298850922606E-4</c:v>
                </c:pt>
                <c:pt idx="80">
                  <c:v>4.2310340696289766E-4</c:v>
                </c:pt>
                <c:pt idx="81">
                  <c:v>4.206922477981292E-4</c:v>
                </c:pt>
                <c:pt idx="82">
                  <c:v>4.1828108863336074E-4</c:v>
                </c:pt>
                <c:pt idx="83">
                  <c:v>4.1586992946859223E-4</c:v>
                </c:pt>
                <c:pt idx="84">
                  <c:v>4.1345877030382378E-4</c:v>
                </c:pt>
                <c:pt idx="85">
                  <c:v>4.1104761113905537E-4</c:v>
                </c:pt>
                <c:pt idx="86">
                  <c:v>4.0863645197428692E-4</c:v>
                </c:pt>
                <c:pt idx="87">
                  <c:v>4.0622529280951841E-4</c:v>
                </c:pt>
                <c:pt idx="88">
                  <c:v>4.0381413364475E-4</c:v>
                </c:pt>
                <c:pt idx="89">
                  <c:v>4.0140297447998149E-4</c:v>
                </c:pt>
                <c:pt idx="90">
                  <c:v>3.9899181531521304E-4</c:v>
                </c:pt>
                <c:pt idx="91">
                  <c:v>3.8934717865613921E-4</c:v>
                </c:pt>
                <c:pt idx="92">
                  <c:v>3.7970254199706538E-4</c:v>
                </c:pt>
                <c:pt idx="93">
                  <c:v>3.700579053379915E-4</c:v>
                </c:pt>
                <c:pt idx="94">
                  <c:v>3.6041326867891757E-4</c:v>
                </c:pt>
                <c:pt idx="95">
                  <c:v>3.5076863201984374E-4</c:v>
                </c:pt>
                <c:pt idx="96">
                  <c:v>3.4112399536076991E-4</c:v>
                </c:pt>
                <c:pt idx="97">
                  <c:v>3.3147935870169603E-4</c:v>
                </c:pt>
                <c:pt idx="98">
                  <c:v>3.2183472204262221E-4</c:v>
                </c:pt>
                <c:pt idx="99">
                  <c:v>3.1219008538354833E-4</c:v>
                </c:pt>
                <c:pt idx="100">
                  <c:v>3.0254544872447445E-4</c:v>
                </c:pt>
                <c:pt idx="101">
                  <c:v>2.8316613211801591E-4</c:v>
                </c:pt>
                <c:pt idx="102">
                  <c:v>2.6378681551155733E-4</c:v>
                </c:pt>
                <c:pt idx="103">
                  <c:v>2.4440749890509875E-4</c:v>
                </c:pt>
                <c:pt idx="104">
                  <c:v>2.2502818229864021E-4</c:v>
                </c:pt>
                <c:pt idx="105">
                  <c:v>2.0564886569218163E-4</c:v>
                </c:pt>
                <c:pt idx="106">
                  <c:v>1.8626954908572304E-4</c:v>
                </c:pt>
                <c:pt idx="107">
                  <c:v>1.6689023247926451E-4</c:v>
                </c:pt>
                <c:pt idx="108">
                  <c:v>1.4751091587280593E-4</c:v>
                </c:pt>
                <c:pt idx="109">
                  <c:v>1.2813159926634737E-4</c:v>
                </c:pt>
                <c:pt idx="110">
                  <c:v>1.087522826598888E-4</c:v>
                </c:pt>
                <c:pt idx="111">
                  <c:v>9.8697448798509946E-5</c:v>
                </c:pt>
                <c:pt idx="112">
                  <c:v>8.8642614937131078E-5</c:v>
                </c:pt>
                <c:pt idx="113">
                  <c:v>7.8587781075752197E-5</c:v>
                </c:pt>
                <c:pt idx="114">
                  <c:v>6.8532947214373344E-5</c:v>
                </c:pt>
                <c:pt idx="115">
                  <c:v>5.8478113352994476E-5</c:v>
                </c:pt>
                <c:pt idx="116">
                  <c:v>4.8423279491615629E-5</c:v>
                </c:pt>
                <c:pt idx="117">
                  <c:v>3.8368445630236755E-5</c:v>
                </c:pt>
                <c:pt idx="118">
                  <c:v>2.8313611768857898E-5</c:v>
                </c:pt>
                <c:pt idx="119">
                  <c:v>1.8258777907479034E-5</c:v>
                </c:pt>
                <c:pt idx="120">
                  <c:v>8.2039440461001695E-6</c:v>
                </c:pt>
                <c:pt idx="121">
                  <c:v>1.1365463946792429E-5</c:v>
                </c:pt>
                <c:pt idx="122">
                  <c:v>1.4526983847484687E-5</c:v>
                </c:pt>
                <c:pt idx="123">
                  <c:v>1.7688503748176945E-5</c:v>
                </c:pt>
                <c:pt idx="124">
                  <c:v>2.0850023648869208E-5</c:v>
                </c:pt>
                <c:pt idx="125">
                  <c:v>2.4011543549561468E-5</c:v>
                </c:pt>
                <c:pt idx="126">
                  <c:v>2.7173063450253724E-5</c:v>
                </c:pt>
                <c:pt idx="127">
                  <c:v>3.0334583350945983E-5</c:v>
                </c:pt>
                <c:pt idx="128">
                  <c:v>3.3496103251638243E-5</c:v>
                </c:pt>
                <c:pt idx="129">
                  <c:v>3.6657623152330503E-5</c:v>
                </c:pt>
                <c:pt idx="130">
                  <c:v>3.9819143053022762E-5</c:v>
                </c:pt>
                <c:pt idx="131">
                  <c:v>5.7417603512888857E-5</c:v>
                </c:pt>
                <c:pt idx="132">
                  <c:v>7.5016063972754951E-5</c:v>
                </c:pt>
                <c:pt idx="133">
                  <c:v>9.2614524432621032E-5</c:v>
                </c:pt>
                <c:pt idx="134">
                  <c:v>1.1021298489248713E-4</c:v>
                </c:pt>
                <c:pt idx="135">
                  <c:v>1.2781144535235322E-4</c:v>
                </c:pt>
                <c:pt idx="136">
                  <c:v>1.4540990581221928E-4</c:v>
                </c:pt>
                <c:pt idx="137">
                  <c:v>1.6300836627208538E-4</c:v>
                </c:pt>
                <c:pt idx="138">
                  <c:v>1.8060682673195149E-4</c:v>
                </c:pt>
                <c:pt idx="139">
                  <c:v>1.9820528719181757E-4</c:v>
                </c:pt>
                <c:pt idx="140">
                  <c:v>2.1580374765168365E-4</c:v>
                </c:pt>
                <c:pt idx="141">
                  <c:v>2.6608792176839032E-4</c:v>
                </c:pt>
                <c:pt idx="142">
                  <c:v>3.1637209588509699E-4</c:v>
                </c:pt>
                <c:pt idx="143">
                  <c:v>3.6665627000180356E-4</c:v>
                </c:pt>
                <c:pt idx="144">
                  <c:v>4.1694044411851023E-4</c:v>
                </c:pt>
                <c:pt idx="145">
                  <c:v>4.672246182352169E-4</c:v>
                </c:pt>
                <c:pt idx="146">
                  <c:v>5.1750879235192351E-4</c:v>
                </c:pt>
                <c:pt idx="147">
                  <c:v>5.6779296646863008E-4</c:v>
                </c:pt>
                <c:pt idx="148">
                  <c:v>6.1807714058533675E-4</c:v>
                </c:pt>
                <c:pt idx="149">
                  <c:v>6.6836131470204352E-4</c:v>
                </c:pt>
                <c:pt idx="150">
                  <c:v>7.1864548881875009E-4</c:v>
                </c:pt>
                <c:pt idx="151">
                  <c:v>7.1937583993504921E-4</c:v>
                </c:pt>
                <c:pt idx="152">
                  <c:v>7.2010619105134844E-4</c:v>
                </c:pt>
                <c:pt idx="153">
                  <c:v>7.2083654216764746E-4</c:v>
                </c:pt>
                <c:pt idx="154">
                  <c:v>7.2156689328394669E-4</c:v>
                </c:pt>
                <c:pt idx="155">
                  <c:v>7.2229724440024592E-4</c:v>
                </c:pt>
                <c:pt idx="156">
                  <c:v>7.2302759551654493E-4</c:v>
                </c:pt>
                <c:pt idx="157">
                  <c:v>7.2375794663284416E-4</c:v>
                </c:pt>
                <c:pt idx="158">
                  <c:v>7.2448829774914339E-4</c:v>
                </c:pt>
                <c:pt idx="159">
                  <c:v>7.2521864886544241E-4</c:v>
                </c:pt>
                <c:pt idx="160">
                  <c:v>7.2594899998174164E-4</c:v>
                </c:pt>
                <c:pt idx="161">
                  <c:v>7.5955515614131535E-4</c:v>
                </c:pt>
                <c:pt idx="162">
                  <c:v>7.9316131230088905E-4</c:v>
                </c:pt>
                <c:pt idx="163">
                  <c:v>8.2676746846046265E-4</c:v>
                </c:pt>
                <c:pt idx="164">
                  <c:v>8.6037362462003657E-4</c:v>
                </c:pt>
                <c:pt idx="165">
                  <c:v>8.9397978077961028E-4</c:v>
                </c:pt>
                <c:pt idx="166">
                  <c:v>9.2758593693918387E-4</c:v>
                </c:pt>
                <c:pt idx="167">
                  <c:v>9.6119209309875769E-4</c:v>
                </c:pt>
                <c:pt idx="168">
                  <c:v>9.947982492583315E-4</c:v>
                </c:pt>
                <c:pt idx="169">
                  <c:v>1.0284044054179053E-3</c:v>
                </c:pt>
                <c:pt idx="170">
                  <c:v>1.0620105615774791E-3</c:v>
                </c:pt>
                <c:pt idx="171">
                  <c:v>1.0778981995594389E-3</c:v>
                </c:pt>
                <c:pt idx="172">
                  <c:v>1.0937858375413988E-3</c:v>
                </c:pt>
                <c:pt idx="173">
                  <c:v>1.1096734755233584E-3</c:v>
                </c:pt>
                <c:pt idx="174">
                  <c:v>1.1255611135053184E-3</c:v>
                </c:pt>
                <c:pt idx="175">
                  <c:v>1.1414487514872782E-3</c:v>
                </c:pt>
                <c:pt idx="176">
                  <c:v>1.157336389469238E-3</c:v>
                </c:pt>
                <c:pt idx="177">
                  <c:v>1.1732240274511978E-3</c:v>
                </c:pt>
                <c:pt idx="178">
                  <c:v>1.1891116654331579E-3</c:v>
                </c:pt>
                <c:pt idx="179">
                  <c:v>1.2049993034151175E-3</c:v>
                </c:pt>
                <c:pt idx="180">
                  <c:v>1.2208869413970775E-3</c:v>
                </c:pt>
                <c:pt idx="181">
                  <c:v>1.2357941080174302E-3</c:v>
                </c:pt>
                <c:pt idx="182">
                  <c:v>1.2507012746377829E-3</c:v>
                </c:pt>
                <c:pt idx="183">
                  <c:v>1.2656084412581356E-3</c:v>
                </c:pt>
                <c:pt idx="184">
                  <c:v>1.2805156078784883E-3</c:v>
                </c:pt>
                <c:pt idx="185">
                  <c:v>1.2954227744988412E-3</c:v>
                </c:pt>
                <c:pt idx="186">
                  <c:v>1.3103299411191937E-3</c:v>
                </c:pt>
                <c:pt idx="187">
                  <c:v>1.3252371077395464E-3</c:v>
                </c:pt>
                <c:pt idx="188">
                  <c:v>1.3401442743598993E-3</c:v>
                </c:pt>
                <c:pt idx="189">
                  <c:v>1.355051440980252E-3</c:v>
                </c:pt>
                <c:pt idx="190">
                  <c:v>1.3699586076006047E-3</c:v>
                </c:pt>
                <c:pt idx="191">
                  <c:v>1.3299393683513356E-3</c:v>
                </c:pt>
                <c:pt idx="192">
                  <c:v>1.2899201291020664E-3</c:v>
                </c:pt>
                <c:pt idx="193">
                  <c:v>1.2499008898527973E-3</c:v>
                </c:pt>
                <c:pt idx="194">
                  <c:v>1.2098816506035282E-3</c:v>
                </c:pt>
                <c:pt idx="195">
                  <c:v>1.1698624113542593E-3</c:v>
                </c:pt>
                <c:pt idx="196">
                  <c:v>1.1298431721049901E-3</c:v>
                </c:pt>
                <c:pt idx="197">
                  <c:v>1.089823932855721E-3</c:v>
                </c:pt>
                <c:pt idx="198">
                  <c:v>1.0498046936064519E-3</c:v>
                </c:pt>
                <c:pt idx="199">
                  <c:v>1.0097854543571828E-3</c:v>
                </c:pt>
                <c:pt idx="200">
                  <c:v>9.6976621510791363E-4</c:v>
                </c:pt>
                <c:pt idx="201">
                  <c:v>9.1072783240542948E-4</c:v>
                </c:pt>
                <c:pt idx="202">
                  <c:v>8.5168944970294511E-4</c:v>
                </c:pt>
                <c:pt idx="203">
                  <c:v>7.9265106700046085E-4</c:v>
                </c:pt>
                <c:pt idx="204">
                  <c:v>7.336126842979767E-4</c:v>
                </c:pt>
                <c:pt idx="205">
                  <c:v>6.7457430159549234E-4</c:v>
                </c:pt>
                <c:pt idx="206">
                  <c:v>6.1553591889300808E-4</c:v>
                </c:pt>
                <c:pt idx="207">
                  <c:v>5.5649753619052382E-4</c:v>
                </c:pt>
                <c:pt idx="208">
                  <c:v>4.9745915348803967E-4</c:v>
                </c:pt>
                <c:pt idx="209">
                  <c:v>4.3842077078555536E-4</c:v>
                </c:pt>
                <c:pt idx="210">
                  <c:v>3.793823880830711E-4</c:v>
                </c:pt>
                <c:pt idx="211">
                  <c:v>3.4885771334569111E-4</c:v>
                </c:pt>
                <c:pt idx="212">
                  <c:v>3.1833303860831112E-4</c:v>
                </c:pt>
                <c:pt idx="213">
                  <c:v>2.8780836387093102E-4</c:v>
                </c:pt>
                <c:pt idx="214">
                  <c:v>2.5728368913355108E-4</c:v>
                </c:pt>
                <c:pt idx="215">
                  <c:v>2.2675901439617107E-4</c:v>
                </c:pt>
                <c:pt idx="216">
                  <c:v>1.9623433965879108E-4</c:v>
                </c:pt>
                <c:pt idx="217">
                  <c:v>1.6570966492141103E-4</c:v>
                </c:pt>
                <c:pt idx="218">
                  <c:v>1.3518499018403104E-4</c:v>
                </c:pt>
                <c:pt idx="219">
                  <c:v>1.0466031544665104E-4</c:v>
                </c:pt>
                <c:pt idx="220">
                  <c:v>7.4135640709271019E-5</c:v>
                </c:pt>
                <c:pt idx="221">
                  <c:v>1.0417007976584749E-4</c:v>
                </c:pt>
                <c:pt idx="222">
                  <c:v>1.3420451882242395E-4</c:v>
                </c:pt>
                <c:pt idx="223">
                  <c:v>1.6423895787900041E-4</c:v>
                </c:pt>
                <c:pt idx="224">
                  <c:v>1.9427339693557687E-4</c:v>
                </c:pt>
                <c:pt idx="225">
                  <c:v>2.2430783599215333E-4</c:v>
                </c:pt>
                <c:pt idx="226">
                  <c:v>2.5434227504872979E-4</c:v>
                </c:pt>
                <c:pt idx="227">
                  <c:v>2.8437671410530628E-4</c:v>
                </c:pt>
                <c:pt idx="228">
                  <c:v>3.1441115316188271E-4</c:v>
                </c:pt>
                <c:pt idx="229">
                  <c:v>3.4444559221845919E-4</c:v>
                </c:pt>
                <c:pt idx="230">
                  <c:v>3.7448003127503568E-4</c:v>
                </c:pt>
                <c:pt idx="231">
                  <c:v>5.1467743117503768E-4</c:v>
                </c:pt>
                <c:pt idx="232">
                  <c:v>6.5487483107503968E-4</c:v>
                </c:pt>
                <c:pt idx="233">
                  <c:v>7.9507223097504168E-4</c:v>
                </c:pt>
                <c:pt idx="234">
                  <c:v>9.3526963087504379E-4</c:v>
                </c:pt>
                <c:pt idx="235">
                  <c:v>1.0754670307750456E-3</c:v>
                </c:pt>
                <c:pt idx="236">
                  <c:v>1.2156644306750477E-3</c:v>
                </c:pt>
                <c:pt idx="237">
                  <c:v>1.3558618305750494E-3</c:v>
                </c:pt>
                <c:pt idx="238">
                  <c:v>1.4960592304750517E-3</c:v>
                </c:pt>
                <c:pt idx="239">
                  <c:v>1.6362566303750536E-3</c:v>
                </c:pt>
                <c:pt idx="240">
                  <c:v>1.7764540302750557E-3</c:v>
                </c:pt>
                <c:pt idx="241">
                  <c:v>1.8326810614202789E-3</c:v>
                </c:pt>
                <c:pt idx="242">
                  <c:v>1.888908092565502E-3</c:v>
                </c:pt>
                <c:pt idx="243">
                  <c:v>1.9451351237107248E-3</c:v>
                </c:pt>
                <c:pt idx="244">
                  <c:v>2.001362154855948E-3</c:v>
                </c:pt>
                <c:pt idx="245">
                  <c:v>2.0575891860011714E-3</c:v>
                </c:pt>
                <c:pt idx="246">
                  <c:v>2.1138162171463943E-3</c:v>
                </c:pt>
                <c:pt idx="247">
                  <c:v>2.1700432482916173E-3</c:v>
                </c:pt>
                <c:pt idx="248">
                  <c:v>2.2262702794368411E-3</c:v>
                </c:pt>
                <c:pt idx="249">
                  <c:v>2.2824973105820636E-3</c:v>
                </c:pt>
                <c:pt idx="250">
                  <c:v>2.338724341727287E-3</c:v>
                </c:pt>
                <c:pt idx="251">
                  <c:v>2.3304703736321251E-3</c:v>
                </c:pt>
                <c:pt idx="252">
                  <c:v>2.3222164055369636E-3</c:v>
                </c:pt>
                <c:pt idx="253">
                  <c:v>2.3139624374418017E-3</c:v>
                </c:pt>
                <c:pt idx="254">
                  <c:v>2.3057084693466397E-3</c:v>
                </c:pt>
                <c:pt idx="255">
                  <c:v>2.2974545012514782E-3</c:v>
                </c:pt>
                <c:pt idx="256">
                  <c:v>2.2892005331563163E-3</c:v>
                </c:pt>
                <c:pt idx="257">
                  <c:v>2.2809465650611544E-3</c:v>
                </c:pt>
                <c:pt idx="258">
                  <c:v>2.2726925969659929E-3</c:v>
                </c:pt>
                <c:pt idx="259">
                  <c:v>2.2644386288708314E-3</c:v>
                </c:pt>
                <c:pt idx="260">
                  <c:v>2.2561846607756695E-3</c:v>
                </c:pt>
                <c:pt idx="261">
                  <c:v>2.1629098188954352E-3</c:v>
                </c:pt>
                <c:pt idx="262">
                  <c:v>2.0696349770152013E-3</c:v>
                </c:pt>
                <c:pt idx="263">
                  <c:v>1.9763601351349669E-3</c:v>
                </c:pt>
                <c:pt idx="264">
                  <c:v>1.8830852932547335E-3</c:v>
                </c:pt>
                <c:pt idx="265">
                  <c:v>1.7898104513744996E-3</c:v>
                </c:pt>
                <c:pt idx="266">
                  <c:v>1.6965356094942653E-3</c:v>
                </c:pt>
                <c:pt idx="267">
                  <c:v>1.6032607676140314E-3</c:v>
                </c:pt>
                <c:pt idx="268">
                  <c:v>1.5099859257337975E-3</c:v>
                </c:pt>
                <c:pt idx="269">
                  <c:v>1.4167110838535634E-3</c:v>
                </c:pt>
                <c:pt idx="270">
                  <c:v>1.3234362419733295E-3</c:v>
                </c:pt>
                <c:pt idx="271">
                  <c:v>1.3797933356461127E-3</c:v>
                </c:pt>
                <c:pt idx="272">
                  <c:v>1.4361504293188959E-3</c:v>
                </c:pt>
                <c:pt idx="273">
                  <c:v>1.4925075229916792E-3</c:v>
                </c:pt>
                <c:pt idx="274">
                  <c:v>1.5488646166644624E-3</c:v>
                </c:pt>
                <c:pt idx="275">
                  <c:v>1.6052217103372456E-3</c:v>
                </c:pt>
                <c:pt idx="276">
                  <c:v>1.6615788040100288E-3</c:v>
                </c:pt>
                <c:pt idx="277">
                  <c:v>1.7179358976828116E-3</c:v>
                </c:pt>
                <c:pt idx="278">
                  <c:v>1.7742929913555955E-3</c:v>
                </c:pt>
                <c:pt idx="279">
                  <c:v>1.8306500850283783E-3</c:v>
                </c:pt>
                <c:pt idx="280">
                  <c:v>1.8870071787011615E-3</c:v>
                </c:pt>
                <c:pt idx="281">
                  <c:v>2.039570523529188E-3</c:v>
                </c:pt>
                <c:pt idx="282">
                  <c:v>2.192133868357214E-3</c:v>
                </c:pt>
                <c:pt idx="283">
                  <c:v>2.34469721318524E-3</c:v>
                </c:pt>
                <c:pt idx="284">
                  <c:v>2.4972605580132661E-3</c:v>
                </c:pt>
                <c:pt idx="285">
                  <c:v>2.6498239028412925E-3</c:v>
                </c:pt>
                <c:pt idx="286">
                  <c:v>2.8023872476693186E-3</c:v>
                </c:pt>
                <c:pt idx="287">
                  <c:v>2.9549505924973446E-3</c:v>
                </c:pt>
                <c:pt idx="288">
                  <c:v>3.1075139373253715E-3</c:v>
                </c:pt>
                <c:pt idx="289">
                  <c:v>3.2600772821533975E-3</c:v>
                </c:pt>
                <c:pt idx="290">
                  <c:v>3.4126406269814231E-3</c:v>
                </c:pt>
                <c:pt idx="291">
                  <c:v>3.4325201840784978E-3</c:v>
                </c:pt>
                <c:pt idx="292">
                  <c:v>3.452399741175572E-3</c:v>
                </c:pt>
                <c:pt idx="293">
                  <c:v>3.4722792982726462E-3</c:v>
                </c:pt>
                <c:pt idx="294">
                  <c:v>3.4921588553697212E-3</c:v>
                </c:pt>
                <c:pt idx="295">
                  <c:v>3.512038412466795E-3</c:v>
                </c:pt>
                <c:pt idx="296">
                  <c:v>3.5319179695638692E-3</c:v>
                </c:pt>
                <c:pt idx="297">
                  <c:v>3.5517975266609434E-3</c:v>
                </c:pt>
                <c:pt idx="298">
                  <c:v>3.5716770837580184E-3</c:v>
                </c:pt>
                <c:pt idx="299">
                  <c:v>3.5915566408550926E-3</c:v>
                </c:pt>
                <c:pt idx="300">
                  <c:v>3.6114361979521672E-3</c:v>
                </c:pt>
                <c:pt idx="301">
                  <c:v>3.4642354311835433E-3</c:v>
                </c:pt>
                <c:pt idx="302">
                  <c:v>3.3170346644149189E-3</c:v>
                </c:pt>
                <c:pt idx="303">
                  <c:v>3.1698338976462945E-3</c:v>
                </c:pt>
                <c:pt idx="304">
                  <c:v>3.0226331308776709E-3</c:v>
                </c:pt>
                <c:pt idx="305">
                  <c:v>2.8754323641090465E-3</c:v>
                </c:pt>
                <c:pt idx="306">
                  <c:v>2.7282315973404226E-3</c:v>
                </c:pt>
                <c:pt idx="307">
                  <c:v>2.5810308305717982E-3</c:v>
                </c:pt>
                <c:pt idx="308">
                  <c:v>2.4338300638031747E-3</c:v>
                </c:pt>
                <c:pt idx="309">
                  <c:v>2.2866292970345507E-3</c:v>
                </c:pt>
                <c:pt idx="310">
                  <c:v>2.1394285302659267E-3</c:v>
                </c:pt>
                <c:pt idx="311">
                  <c:v>2.3286494982462831E-3</c:v>
                </c:pt>
                <c:pt idx="312">
                  <c:v>2.5178704662266399E-3</c:v>
                </c:pt>
                <c:pt idx="313">
                  <c:v>2.7070914342069968E-3</c:v>
                </c:pt>
                <c:pt idx="314">
                  <c:v>2.8963124021873527E-3</c:v>
                </c:pt>
                <c:pt idx="315">
                  <c:v>3.0855333701677095E-3</c:v>
                </c:pt>
                <c:pt idx="316">
                  <c:v>3.2747543381480664E-3</c:v>
                </c:pt>
                <c:pt idx="317">
                  <c:v>3.4639753061284227E-3</c:v>
                </c:pt>
                <c:pt idx="318">
                  <c:v>3.65319627410878E-3</c:v>
                </c:pt>
                <c:pt idx="319">
                  <c:v>3.8424172420891368E-3</c:v>
                </c:pt>
                <c:pt idx="320">
                  <c:v>4.0316382100694928E-3</c:v>
                </c:pt>
                <c:pt idx="321">
                  <c:v>4.1111064144087293E-3</c:v>
                </c:pt>
                <c:pt idx="322">
                  <c:v>4.1905746187479651E-3</c:v>
                </c:pt>
                <c:pt idx="323">
                  <c:v>4.2700428230872008E-3</c:v>
                </c:pt>
                <c:pt idx="324">
                  <c:v>4.3495110274264382E-3</c:v>
                </c:pt>
                <c:pt idx="325">
                  <c:v>4.4289792317656739E-3</c:v>
                </c:pt>
                <c:pt idx="326">
                  <c:v>4.5084474361049096E-3</c:v>
                </c:pt>
                <c:pt idx="327">
                  <c:v>4.5879156404441453E-3</c:v>
                </c:pt>
                <c:pt idx="328">
                  <c:v>4.6673838447833828E-3</c:v>
                </c:pt>
                <c:pt idx="329">
                  <c:v>4.7468520491226185E-3</c:v>
                </c:pt>
                <c:pt idx="330">
                  <c:v>4.8263202534618542E-3</c:v>
                </c:pt>
                <c:pt idx="331">
                  <c:v>4.8225517750992153E-3</c:v>
                </c:pt>
                <c:pt idx="332">
                  <c:v>4.8187832967365755E-3</c:v>
                </c:pt>
                <c:pt idx="333">
                  <c:v>4.8150148183739357E-3</c:v>
                </c:pt>
                <c:pt idx="334">
                  <c:v>4.8112463400112968E-3</c:v>
                </c:pt>
                <c:pt idx="335">
                  <c:v>4.807477861648657E-3</c:v>
                </c:pt>
                <c:pt idx="336">
                  <c:v>4.8037093832860173E-3</c:v>
                </c:pt>
                <c:pt idx="337">
                  <c:v>4.7999409049233775E-3</c:v>
                </c:pt>
                <c:pt idx="338">
                  <c:v>4.7961724265607394E-3</c:v>
                </c:pt>
                <c:pt idx="339">
                  <c:v>4.7924039481980997E-3</c:v>
                </c:pt>
                <c:pt idx="340">
                  <c:v>4.7886354698354599E-3</c:v>
                </c:pt>
                <c:pt idx="341">
                  <c:v>5.2111719375756583E-3</c:v>
                </c:pt>
                <c:pt idx="342">
                  <c:v>5.6337084053158576E-3</c:v>
                </c:pt>
                <c:pt idx="343">
                  <c:v>5.6634727145075028E-3</c:v>
                </c:pt>
                <c:pt idx="344">
                  <c:v>5.6932370236991471E-3</c:v>
                </c:pt>
                <c:pt idx="345">
                  <c:v>5.4676285624313918E-3</c:v>
                </c:pt>
                <c:pt idx="346">
                  <c:v>5.2420201011636374E-3</c:v>
                </c:pt>
                <c:pt idx="347">
                  <c:v>5.0009041846867906E-3</c:v>
                </c:pt>
                <c:pt idx="348">
                  <c:v>4.7597882682099447E-3</c:v>
                </c:pt>
                <c:pt idx="349">
                  <c:v>5.4266088422008909E-3</c:v>
                </c:pt>
                <c:pt idx="350">
                  <c:v>6.0934294161918388E-3</c:v>
                </c:pt>
                <c:pt idx="351">
                  <c:v>6.0919286947199898E-3</c:v>
                </c:pt>
                <c:pt idx="352">
                  <c:v>6.0904279732481425E-3</c:v>
                </c:pt>
                <c:pt idx="353">
                  <c:v>5.8548147021680701E-3</c:v>
                </c:pt>
                <c:pt idx="354">
                  <c:v>5.6192014310879985E-3</c:v>
                </c:pt>
                <c:pt idx="355">
                  <c:v>5.4581239931096905E-3</c:v>
                </c:pt>
                <c:pt idx="356">
                  <c:v>5.2970465551313824E-3</c:v>
                </c:pt>
                <c:pt idx="357">
                  <c:v>5.8495621770166045E-3</c:v>
                </c:pt>
                <c:pt idx="358">
                  <c:v>6.4020777989018257E-3</c:v>
                </c:pt>
                <c:pt idx="359">
                  <c:v>6.315786314270589E-3</c:v>
                </c:pt>
                <c:pt idx="360">
                  <c:v>6.2294948296393532E-3</c:v>
                </c:pt>
                <c:pt idx="361">
                  <c:v>6.0631648665095779E-3</c:v>
                </c:pt>
                <c:pt idx="362">
                  <c:v>5.8968349033798042E-3</c:v>
                </c:pt>
                <c:pt idx="363">
                  <c:v>6.1594611609531317E-3</c:v>
                </c:pt>
                <c:pt idx="364">
                  <c:v>6.42208741852646E-3</c:v>
                </c:pt>
                <c:pt idx="365">
                  <c:v>6.7184799092163596E-3</c:v>
                </c:pt>
                <c:pt idx="366">
                  <c:v>7.0148723999062593E-3</c:v>
                </c:pt>
                <c:pt idx="367">
                  <c:v>7.0874072710455597E-3</c:v>
                </c:pt>
                <c:pt idx="368">
                  <c:v>7.1599421421848592E-3</c:v>
                </c:pt>
                <c:pt idx="369">
                  <c:v>7.1929580145655061E-3</c:v>
                </c:pt>
                <c:pt idx="370">
                  <c:v>7.2259738869461538E-3</c:v>
                </c:pt>
                <c:pt idx="371">
                  <c:v>7.1797016415641856E-3</c:v>
                </c:pt>
                <c:pt idx="372">
                  <c:v>7.1334293961822183E-3</c:v>
                </c:pt>
                <c:pt idx="373">
                  <c:v>7.2239729249836898E-3</c:v>
                </c:pt>
                <c:pt idx="374">
                  <c:v>7.3145164537851606E-3</c:v>
                </c:pt>
                <c:pt idx="375">
                  <c:v>7.3737949519231414E-3</c:v>
                </c:pt>
                <c:pt idx="376">
                  <c:v>7.4330734500611213E-3</c:v>
                </c:pt>
                <c:pt idx="377">
                  <c:v>7.4758440120087774E-3</c:v>
                </c:pt>
                <c:pt idx="378">
                  <c:v>7.5186145739564334E-3</c:v>
                </c:pt>
                <c:pt idx="379">
                  <c:v>7.4268204439284224E-3</c:v>
                </c:pt>
                <c:pt idx="380">
                  <c:v>7.3350263139004123E-3</c:v>
                </c:pt>
                <c:pt idx="381">
                  <c:v>7.2517362722128711E-3</c:v>
                </c:pt>
                <c:pt idx="382">
                  <c:v>7.1684462305253291E-3</c:v>
                </c:pt>
                <c:pt idx="383">
                  <c:v>7.2722461323281203E-3</c:v>
                </c:pt>
                <c:pt idx="384">
                  <c:v>7.3760460341309123E-3</c:v>
                </c:pt>
                <c:pt idx="385">
                  <c:v>7.5038574794832648E-3</c:v>
                </c:pt>
                <c:pt idx="386">
                  <c:v>7.631668924835619E-3</c:v>
                </c:pt>
                <c:pt idx="387">
                  <c:v>7.7152090867684681E-3</c:v>
                </c:pt>
                <c:pt idx="388">
                  <c:v>7.7987492487013171E-3</c:v>
                </c:pt>
                <c:pt idx="389">
                  <c:v>7.862279791009532E-3</c:v>
                </c:pt>
                <c:pt idx="390">
                  <c:v>7.9258103333177468E-3</c:v>
                </c:pt>
                <c:pt idx="391">
                  <c:v>7.9215582891475119E-3</c:v>
                </c:pt>
                <c:pt idx="392">
                  <c:v>7.917306244977277E-3</c:v>
                </c:pt>
                <c:pt idx="393">
                  <c:v>7.9273110547895941E-3</c:v>
                </c:pt>
                <c:pt idx="394">
                  <c:v>7.9373158646019112E-3</c:v>
                </c:pt>
                <c:pt idx="395">
                  <c:v>7.8097545394948658E-3</c:v>
                </c:pt>
                <c:pt idx="396">
                  <c:v>7.6821932143878212E-3</c:v>
                </c:pt>
                <c:pt idx="397">
                  <c:v>7.8362672854975068E-3</c:v>
                </c:pt>
                <c:pt idx="398">
                  <c:v>7.9903413566071932E-3</c:v>
                </c:pt>
                <c:pt idx="399">
                  <c:v>7.9473206744142284E-3</c:v>
                </c:pt>
                <c:pt idx="400">
                  <c:v>7.9042999922212635E-3</c:v>
                </c:pt>
                <c:pt idx="401">
                  <c:v>7.9025491505041075E-3</c:v>
                </c:pt>
                <c:pt idx="402">
                  <c:v>7.9007983087869531E-3</c:v>
                </c:pt>
                <c:pt idx="403">
                  <c:v>8.0528714179341765E-3</c:v>
                </c:pt>
                <c:pt idx="404">
                  <c:v>8.2049445270813998E-3</c:v>
                </c:pt>
                <c:pt idx="405">
                  <c:v>8.1489175921324215E-3</c:v>
                </c:pt>
                <c:pt idx="406">
                  <c:v>8.0928906571834467E-3</c:v>
                </c:pt>
                <c:pt idx="407">
                  <c:v>8.0898892142397504E-3</c:v>
                </c:pt>
                <c:pt idx="408">
                  <c:v>8.0868877712960557E-3</c:v>
                </c:pt>
                <c:pt idx="409">
                  <c:v>7.8810388094076277E-3</c:v>
                </c:pt>
                <c:pt idx="410">
                  <c:v>7.6751898475191987E-3</c:v>
                </c:pt>
                <c:pt idx="411">
                  <c:v>7.1506876931084666E-3</c:v>
                </c:pt>
                <c:pt idx="412">
                  <c:v>6.6261855386977328E-3</c:v>
                </c:pt>
                <c:pt idx="413">
                  <c:v>6.1512071928579697E-3</c:v>
                </c:pt>
                <c:pt idx="414">
                  <c:v>5.6762288470182075E-3</c:v>
                </c:pt>
                <c:pt idx="415">
                  <c:v>5.8087925770314106E-3</c:v>
                </c:pt>
                <c:pt idx="416">
                  <c:v>5.9413563070446146E-3</c:v>
                </c:pt>
                <c:pt idx="417">
                  <c:v>5.8815775684160198E-3</c:v>
                </c:pt>
                <c:pt idx="418">
                  <c:v>5.8217988297874241E-3</c:v>
                </c:pt>
                <c:pt idx="419">
                  <c:v>5.516151890021131E-3</c:v>
                </c:pt>
                <c:pt idx="420">
                  <c:v>5.2105049502548378E-3</c:v>
                </c:pt>
                <c:pt idx="421">
                  <c:v>4.296065333409039E-3</c:v>
                </c:pt>
                <c:pt idx="422">
                  <c:v>3.5527079643538646E-3</c:v>
                </c:pt>
                <c:pt idx="423">
                  <c:v>3.5306973827667668E-3</c:v>
                </c:pt>
                <c:pt idx="424">
                  <c:v>3.6017315324342195E-3</c:v>
                </c:pt>
                <c:pt idx="425">
                  <c:v>3.5106877631421326E-3</c:v>
                </c:pt>
                <c:pt idx="426">
                  <c:v>3.3606156159573732E-3</c:v>
                </c:pt>
                <c:pt idx="427">
                  <c:v>3.0214525633198174E-3</c:v>
                </c:pt>
                <c:pt idx="428">
                  <c:v>2.6842904726447256E-3</c:v>
                </c:pt>
                <c:pt idx="429">
                  <c:v>2.5562289070470644E-3</c:v>
                </c:pt>
                <c:pt idx="430">
                  <c:v>2.4461759991115744E-3</c:v>
                </c:pt>
                <c:pt idx="431">
                  <c:v>2.2610870175837042E-3</c:v>
                </c:pt>
                <c:pt idx="432">
                  <c:v>2.1900528679162519E-3</c:v>
                </c:pt>
                <c:pt idx="433">
                  <c:v>2.0189706201256263E-3</c:v>
                </c:pt>
                <c:pt idx="434">
                  <c:v>1.9149205980775266E-3</c:v>
                </c:pt>
                <c:pt idx="435">
                  <c:v>1.3096296044323317E-3</c:v>
                </c:pt>
                <c:pt idx="436">
                  <c:v>9.1644057880826252E-4</c:v>
                </c:pt>
                <c:pt idx="437">
                  <c:v>5.5426646360237717E-4</c:v>
                </c:pt>
                <c:pt idx="438">
                  <c:v>2.3611351157068773E-4</c:v>
                </c:pt>
                <c:pt idx="439">
                  <c:v>5.7027415930208482E-5</c:v>
                </c:pt>
                <c:pt idx="4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C2-4D5C-BF96-BD63012657CD}"/>
            </c:ext>
          </c:extLst>
        </c:ser>
        <c:ser>
          <c:idx val="1"/>
          <c:order val="2"/>
          <c:tx>
            <c:strRef>
              <c:f>refl5!$AO$78</c:f>
              <c:strCache>
                <c:ptCount val="1"/>
                <c:pt idx="0">
                  <c:v>ASTM 173 global tilt (Smarts2)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refl5!$AL$79:$AL$529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refl5!$AO$79:$AO$529</c:f>
              <c:numCache>
                <c:formatCode>General</c:formatCode>
                <c:ptCount val="451"/>
                <c:pt idx="0">
                  <c:v>3.5521254083477342E-5</c:v>
                </c:pt>
                <c:pt idx="1">
                  <c:v>1.446756210879944E-5</c:v>
                </c:pt>
                <c:pt idx="2">
                  <c:v>1.7656037408809772E-5</c:v>
                </c:pt>
                <c:pt idx="3">
                  <c:v>2.8210036473928342E-5</c:v>
                </c:pt>
                <c:pt idx="4">
                  <c:v>4.0425401631340578E-5</c:v>
                </c:pt>
                <c:pt idx="5">
                  <c:v>8.274146201178049E-5</c:v>
                </c:pt>
                <c:pt idx="6">
                  <c:v>8.4109172596235309E-5</c:v>
                </c:pt>
                <c:pt idx="7">
                  <c:v>1.2142454115226224E-4</c:v>
                </c:pt>
                <c:pt idx="8">
                  <c:v>1.6776076554840668E-4</c:v>
                </c:pt>
                <c:pt idx="9">
                  <c:v>1.2496952630682348E-4</c:v>
                </c:pt>
                <c:pt idx="10">
                  <c:v>6.8440841047848325E-5</c:v>
                </c:pt>
                <c:pt idx="11">
                  <c:v>1.0457957623342513E-4</c:v>
                </c:pt>
                <c:pt idx="12">
                  <c:v>2.1747101127605556E-4</c:v>
                </c:pt>
                <c:pt idx="13">
                  <c:v>7.4811757630584625E-5</c:v>
                </c:pt>
                <c:pt idx="14">
                  <c:v>2.267734545894432E-4</c:v>
                </c:pt>
                <c:pt idx="15">
                  <c:v>1.6632768644337132E-4</c:v>
                </c:pt>
                <c:pt idx="16">
                  <c:v>1.3370376632593393E-4</c:v>
                </c:pt>
                <c:pt idx="17">
                  <c:v>1.3727389321918003E-4</c:v>
                </c:pt>
                <c:pt idx="18">
                  <c:v>1.7002352203004156E-4</c:v>
                </c:pt>
                <c:pt idx="19">
                  <c:v>1.6894745561433074E-4</c:v>
                </c:pt>
                <c:pt idx="20">
                  <c:v>2.220015525870622E-4</c:v>
                </c:pt>
                <c:pt idx="21">
                  <c:v>2.0412074803441001E-4</c:v>
                </c:pt>
                <c:pt idx="22">
                  <c:v>1.8659695617108247E-4</c:v>
                </c:pt>
                <c:pt idx="23">
                  <c:v>1.550038473397232E-4</c:v>
                </c:pt>
                <c:pt idx="24">
                  <c:v>2.1396625290339005E-4</c:v>
                </c:pt>
                <c:pt idx="25">
                  <c:v>2.2198646754385129E-4</c:v>
                </c:pt>
                <c:pt idx="26">
                  <c:v>1.549585922100905E-4</c:v>
                </c:pt>
                <c:pt idx="27">
                  <c:v>2.4844563333576797E-4</c:v>
                </c:pt>
                <c:pt idx="28">
                  <c:v>2.5260910526197605E-4</c:v>
                </c:pt>
                <c:pt idx="29">
                  <c:v>2.3871075211700122E-4</c:v>
                </c:pt>
                <c:pt idx="30">
                  <c:v>2.0885745160263225E-4</c:v>
                </c:pt>
                <c:pt idx="31">
                  <c:v>2.5845707368006787E-4</c:v>
                </c:pt>
                <c:pt idx="32">
                  <c:v>2.3047934687158738E-4</c:v>
                </c:pt>
                <c:pt idx="33">
                  <c:v>2.9147823326872553E-4</c:v>
                </c:pt>
                <c:pt idx="34">
                  <c:v>2.8573083180537311E-4</c:v>
                </c:pt>
                <c:pt idx="35">
                  <c:v>2.8266856803356059E-4</c:v>
                </c:pt>
                <c:pt idx="36">
                  <c:v>2.6162996110209362E-4</c:v>
                </c:pt>
                <c:pt idx="37">
                  <c:v>2.923531657749577E-4</c:v>
                </c:pt>
                <c:pt idx="38">
                  <c:v>3.2116056996003763E-4</c:v>
                </c:pt>
                <c:pt idx="39">
                  <c:v>2.9753236394403299E-4</c:v>
                </c:pt>
                <c:pt idx="40">
                  <c:v>2.9578752727930571E-4</c:v>
                </c:pt>
                <c:pt idx="41">
                  <c:v>3.0806172410524044E-4</c:v>
                </c:pt>
                <c:pt idx="42">
                  <c:v>3.1789214393100954E-4</c:v>
                </c:pt>
                <c:pt idx="43">
                  <c:v>3.1718817524783424E-4</c:v>
                </c:pt>
                <c:pt idx="44">
                  <c:v>3.3331911478802218E-4</c:v>
                </c:pt>
                <c:pt idx="45">
                  <c:v>3.2191985046831951E-4</c:v>
                </c:pt>
                <c:pt idx="46">
                  <c:v>3.26173832653793E-4</c:v>
                </c:pt>
                <c:pt idx="47">
                  <c:v>3.4261652975367285E-4</c:v>
                </c:pt>
                <c:pt idx="48">
                  <c:v>3.3654228568741757E-4</c:v>
                </c:pt>
                <c:pt idx="49">
                  <c:v>3.4036885831524892E-4</c:v>
                </c:pt>
                <c:pt idx="50">
                  <c:v>3.617242511541448E-4</c:v>
                </c:pt>
                <c:pt idx="51">
                  <c:v>3.5619809699121883E-4</c:v>
                </c:pt>
                <c:pt idx="52">
                  <c:v>3.6766272983150203E-4</c:v>
                </c:pt>
                <c:pt idx="53">
                  <c:v>3.736012085088592E-4</c:v>
                </c:pt>
                <c:pt idx="54">
                  <c:v>3.810129930731475E-4</c:v>
                </c:pt>
                <c:pt idx="55">
                  <c:v>3.7940392179731833E-4</c:v>
                </c:pt>
                <c:pt idx="56">
                  <c:v>3.9085346959439053E-4</c:v>
                </c:pt>
                <c:pt idx="57">
                  <c:v>3.8352716694163065E-4</c:v>
                </c:pt>
                <c:pt idx="58">
                  <c:v>3.9882340075748213E-4</c:v>
                </c:pt>
                <c:pt idx="59">
                  <c:v>3.7214801601287596E-4</c:v>
                </c:pt>
                <c:pt idx="60">
                  <c:v>3.5802841556747456E-4</c:v>
                </c:pt>
                <c:pt idx="61">
                  <c:v>3.9719924443844208E-4</c:v>
                </c:pt>
                <c:pt idx="62">
                  <c:v>3.9758139886645146E-4</c:v>
                </c:pt>
                <c:pt idx="63">
                  <c:v>3.7486332379083775E-4</c:v>
                </c:pt>
                <c:pt idx="64">
                  <c:v>4.1135907166573918E-4</c:v>
                </c:pt>
                <c:pt idx="65">
                  <c:v>4.0452051874346502E-4</c:v>
                </c:pt>
                <c:pt idx="66">
                  <c:v>4.1230440104028882E-4</c:v>
                </c:pt>
                <c:pt idx="67">
                  <c:v>3.8371321580789845E-4</c:v>
                </c:pt>
                <c:pt idx="68">
                  <c:v>4.2323602902045353E-4</c:v>
                </c:pt>
                <c:pt idx="69">
                  <c:v>4.2660502200422097E-4</c:v>
                </c:pt>
                <c:pt idx="70">
                  <c:v>4.2559432410909075E-4</c:v>
                </c:pt>
                <c:pt idx="71">
                  <c:v>4.499667255901664E-4</c:v>
                </c:pt>
                <c:pt idx="72">
                  <c:v>4.5640803904122023E-4</c:v>
                </c:pt>
                <c:pt idx="73">
                  <c:v>4.5277254362739358E-4</c:v>
                </c:pt>
                <c:pt idx="74">
                  <c:v>4.5141488973841275E-4</c:v>
                </c:pt>
                <c:pt idx="75">
                  <c:v>4.4567251662279721E-4</c:v>
                </c:pt>
                <c:pt idx="76">
                  <c:v>4.4042292158540439E-4</c:v>
                </c:pt>
                <c:pt idx="77">
                  <c:v>4.6096372209091175E-4</c:v>
                </c:pt>
                <c:pt idx="78">
                  <c:v>4.5081148800997674E-4</c:v>
                </c:pt>
                <c:pt idx="79">
                  <c:v>4.6840567674162186E-4</c:v>
                </c:pt>
                <c:pt idx="80">
                  <c:v>4.3310667562811839E-4</c:v>
                </c:pt>
                <c:pt idx="81">
                  <c:v>4.5127912434951459E-4</c:v>
                </c:pt>
                <c:pt idx="82">
                  <c:v>4.4802578336369743E-4</c:v>
                </c:pt>
                <c:pt idx="83">
                  <c:v>4.2792244911130616E-4</c:v>
                </c:pt>
                <c:pt idx="84">
                  <c:v>4.3652092374151853E-4</c:v>
                </c:pt>
                <c:pt idx="85">
                  <c:v>3.8941033379388123E-4</c:v>
                </c:pt>
                <c:pt idx="86">
                  <c:v>3.3024176597299879E-4</c:v>
                </c:pt>
                <c:pt idx="87">
                  <c:v>3.1112901622478984E-4</c:v>
                </c:pt>
                <c:pt idx="88">
                  <c:v>3.4792646496390931E-4</c:v>
                </c:pt>
                <c:pt idx="89">
                  <c:v>2.7608646084587176E-4</c:v>
                </c:pt>
                <c:pt idx="90">
                  <c:v>3.4156057672890994E-4</c:v>
                </c:pt>
                <c:pt idx="91">
                  <c:v>4.5795174179646893E-4</c:v>
                </c:pt>
                <c:pt idx="92">
                  <c:v>4.5145008817257145E-4</c:v>
                </c:pt>
                <c:pt idx="93">
                  <c:v>4.8466232497523386E-4</c:v>
                </c:pt>
                <c:pt idx="94">
                  <c:v>4.2668547556801243E-4</c:v>
                </c:pt>
                <c:pt idx="95">
                  <c:v>3.7214801601287596E-4</c:v>
                </c:pt>
                <c:pt idx="96">
                  <c:v>2.2618010955648119E-4</c:v>
                </c:pt>
                <c:pt idx="97">
                  <c:v>1.33995410494678E-4</c:v>
                </c:pt>
                <c:pt idx="98">
                  <c:v>1.9986676584893653E-4</c:v>
                </c:pt>
                <c:pt idx="99">
                  <c:v>7.5430244402231486E-5</c:v>
                </c:pt>
                <c:pt idx="100">
                  <c:v>1.918616362516862E-4</c:v>
                </c:pt>
                <c:pt idx="101">
                  <c:v>4.0825155276429396E-4</c:v>
                </c:pt>
                <c:pt idx="102">
                  <c:v>4.3049193480489589E-4</c:v>
                </c:pt>
                <c:pt idx="103">
                  <c:v>4.1766964807563186E-4</c:v>
                </c:pt>
                <c:pt idx="104">
                  <c:v>3.797005943137993E-4</c:v>
                </c:pt>
                <c:pt idx="105">
                  <c:v>3.4120859238732226E-4</c:v>
                </c:pt>
                <c:pt idx="106">
                  <c:v>2.456197019075929E-4</c:v>
                </c:pt>
                <c:pt idx="107">
                  <c:v>1.4362469641096846E-4</c:v>
                </c:pt>
                <c:pt idx="108">
                  <c:v>1.1015098552598379E-4</c:v>
                </c:pt>
                <c:pt idx="109">
                  <c:v>5.0464497888193798E-5</c:v>
                </c:pt>
                <c:pt idx="110">
                  <c:v>8.4109172596235309E-5</c:v>
                </c:pt>
                <c:pt idx="111">
                  <c:v>5.4622941466664922E-5</c:v>
                </c:pt>
                <c:pt idx="112">
                  <c:v>1.6503540107497095E-5</c:v>
                </c:pt>
                <c:pt idx="113">
                  <c:v>1.8069367592788402E-5</c:v>
                </c:pt>
                <c:pt idx="114">
                  <c:v>2.7777598568549239E-6</c:v>
                </c:pt>
                <c:pt idx="115">
                  <c:v>4.7072877339610022E-6</c:v>
                </c:pt>
                <c:pt idx="116">
                  <c:v>2.2662260415733421E-6</c:v>
                </c:pt>
                <c:pt idx="117">
                  <c:v>1.0030045230926681E-7</c:v>
                </c:pt>
                <c:pt idx="118">
                  <c:v>1.1587827359838841E-7</c:v>
                </c:pt>
                <c:pt idx="119">
                  <c:v>2.849413812106694E-9</c:v>
                </c:pt>
                <c:pt idx="120">
                  <c:v>4.3354917022897145E-9</c:v>
                </c:pt>
                <c:pt idx="121">
                  <c:v>6.5102018150502691E-7</c:v>
                </c:pt>
                <c:pt idx="122">
                  <c:v>1.122980900096684E-6</c:v>
                </c:pt>
                <c:pt idx="123">
                  <c:v>2.2069418217545097E-7</c:v>
                </c:pt>
                <c:pt idx="124">
                  <c:v>3.8972209135357314E-7</c:v>
                </c:pt>
                <c:pt idx="125">
                  <c:v>2.2692933336928914E-12</c:v>
                </c:pt>
                <c:pt idx="126">
                  <c:v>1.3406580736299552E-12</c:v>
                </c:pt>
                <c:pt idx="127">
                  <c:v>8.5391401269161725E-8</c:v>
                </c:pt>
                <c:pt idx="128">
                  <c:v>5.6071105614911228E-8</c:v>
                </c:pt>
                <c:pt idx="129">
                  <c:v>1.4278496233889509E-9</c:v>
                </c:pt>
                <c:pt idx="130">
                  <c:v>1.5081523367483026E-8</c:v>
                </c:pt>
                <c:pt idx="131">
                  <c:v>3.1506621250283453E-8</c:v>
                </c:pt>
                <c:pt idx="132">
                  <c:v>3.1529248815099799E-10</c:v>
                </c:pt>
                <c:pt idx="133">
                  <c:v>3.2276964123586686E-8</c:v>
                </c:pt>
                <c:pt idx="134">
                  <c:v>2.6168024457946326E-8</c:v>
                </c:pt>
                <c:pt idx="135">
                  <c:v>6.4081263559898534E-6</c:v>
                </c:pt>
                <c:pt idx="136">
                  <c:v>4.9657448076410703E-6</c:v>
                </c:pt>
                <c:pt idx="137">
                  <c:v>1.6501025933628614E-5</c:v>
                </c:pt>
                <c:pt idx="138">
                  <c:v>4.8730220753714119E-5</c:v>
                </c:pt>
                <c:pt idx="139">
                  <c:v>7.4494971723155752E-5</c:v>
                </c:pt>
                <c:pt idx="140">
                  <c:v>1.6004225177216344E-4</c:v>
                </c:pt>
                <c:pt idx="141">
                  <c:v>2.3598538764356547E-4</c:v>
                </c:pt>
                <c:pt idx="142">
                  <c:v>4.4704022720725198E-4</c:v>
                </c:pt>
                <c:pt idx="143">
                  <c:v>3.8708723713940278E-4</c:v>
                </c:pt>
                <c:pt idx="144">
                  <c:v>5.0534894756511326E-4</c:v>
                </c:pt>
                <c:pt idx="145">
                  <c:v>5.7745545411320997E-4</c:v>
                </c:pt>
                <c:pt idx="146">
                  <c:v>7.1261744128286422E-4</c:v>
                </c:pt>
                <c:pt idx="147">
                  <c:v>6.6796571337860344E-4</c:v>
                </c:pt>
                <c:pt idx="148">
                  <c:v>8.0443507095986889E-4</c:v>
                </c:pt>
                <c:pt idx="149">
                  <c:v>7.693874872332138E-4</c:v>
                </c:pt>
                <c:pt idx="150">
                  <c:v>8.3299608610583743E-4</c:v>
                </c:pt>
                <c:pt idx="151">
                  <c:v>7.7843851315975308E-4</c:v>
                </c:pt>
                <c:pt idx="152">
                  <c:v>8.4566752240299243E-4</c:v>
                </c:pt>
                <c:pt idx="153">
                  <c:v>8.1227929342953616E-4</c:v>
                </c:pt>
                <c:pt idx="154">
                  <c:v>8.7528449057372405E-4</c:v>
                </c:pt>
                <c:pt idx="155">
                  <c:v>8.954481649989588E-4</c:v>
                </c:pt>
                <c:pt idx="156">
                  <c:v>9.4020045985795898E-4</c:v>
                </c:pt>
                <c:pt idx="157">
                  <c:v>9.5362614831565908E-4</c:v>
                </c:pt>
                <c:pt idx="158">
                  <c:v>9.4482653977596802E-4</c:v>
                </c:pt>
                <c:pt idx="159">
                  <c:v>9.945066154171951E-4</c:v>
                </c:pt>
                <c:pt idx="160">
                  <c:v>1.0044124604590187E-3</c:v>
                </c:pt>
                <c:pt idx="161">
                  <c:v>1.0543439534870941E-3</c:v>
                </c:pt>
                <c:pt idx="162">
                  <c:v>1.0319678060575939E-3</c:v>
                </c:pt>
                <c:pt idx="163">
                  <c:v>1.072094020998585E-3</c:v>
                </c:pt>
                <c:pt idx="164">
                  <c:v>1.0337277277655322E-3</c:v>
                </c:pt>
                <c:pt idx="165">
                  <c:v>1.0740550766160019E-3</c:v>
                </c:pt>
                <c:pt idx="166">
                  <c:v>1.1146841263306895E-3</c:v>
                </c:pt>
                <c:pt idx="167">
                  <c:v>1.0649034837347231E-3</c:v>
                </c:pt>
                <c:pt idx="168">
                  <c:v>1.1229306166193143E-3</c:v>
                </c:pt>
                <c:pt idx="169">
                  <c:v>1.1178519854049783E-3</c:v>
                </c:pt>
                <c:pt idx="170">
                  <c:v>1.1326856112290288E-3</c:v>
                </c:pt>
                <c:pt idx="171">
                  <c:v>1.0972860431607862E-3</c:v>
                </c:pt>
                <c:pt idx="172">
                  <c:v>1.081647881698821E-3</c:v>
                </c:pt>
                <c:pt idx="173">
                  <c:v>1.1749740156969154E-3</c:v>
                </c:pt>
                <c:pt idx="174">
                  <c:v>1.1892545232698999E-3</c:v>
                </c:pt>
                <c:pt idx="175">
                  <c:v>1.1958416588053256E-3</c:v>
                </c:pt>
                <c:pt idx="176">
                  <c:v>1.179097260841228E-3</c:v>
                </c:pt>
                <c:pt idx="177">
                  <c:v>1.2120329385183573E-3</c:v>
                </c:pt>
                <c:pt idx="178">
                  <c:v>1.0941684675638669E-3</c:v>
                </c:pt>
                <c:pt idx="179">
                  <c:v>1.1908635945457292E-3</c:v>
                </c:pt>
                <c:pt idx="180">
                  <c:v>1.1972495961716763E-3</c:v>
                </c:pt>
                <c:pt idx="181">
                  <c:v>1.2984702361168079E-3</c:v>
                </c:pt>
                <c:pt idx="182">
                  <c:v>1.215804199321082E-3</c:v>
                </c:pt>
                <c:pt idx="183">
                  <c:v>1.301034693462661E-3</c:v>
                </c:pt>
                <c:pt idx="184">
                  <c:v>1.2301349903714358E-3</c:v>
                </c:pt>
                <c:pt idx="185">
                  <c:v>1.2054960864603011E-3</c:v>
                </c:pt>
                <c:pt idx="186">
                  <c:v>1.2156030654116032E-3</c:v>
                </c:pt>
                <c:pt idx="187">
                  <c:v>1.3439767831363531E-3</c:v>
                </c:pt>
                <c:pt idx="188">
                  <c:v>1.3359314267572069E-3</c:v>
                </c:pt>
                <c:pt idx="189">
                  <c:v>1.3455355709348124E-3</c:v>
                </c:pt>
                <c:pt idx="190">
                  <c:v>1.3571510542072045E-3</c:v>
                </c:pt>
                <c:pt idx="191">
                  <c:v>1.3931037405265137E-3</c:v>
                </c:pt>
                <c:pt idx="192">
                  <c:v>1.3320595989997426E-3</c:v>
                </c:pt>
                <c:pt idx="193">
                  <c:v>1.3418648770868271E-3</c:v>
                </c:pt>
                <c:pt idx="194">
                  <c:v>1.2833349094285393E-3</c:v>
                </c:pt>
                <c:pt idx="195">
                  <c:v>1.3015375282363574E-3</c:v>
                </c:pt>
                <c:pt idx="196">
                  <c:v>1.3299979764275867E-3</c:v>
                </c:pt>
                <c:pt idx="197">
                  <c:v>1.3361828441440552E-3</c:v>
                </c:pt>
                <c:pt idx="198">
                  <c:v>1.3602686298041235E-3</c:v>
                </c:pt>
                <c:pt idx="199">
                  <c:v>9.2531655055653865E-4</c:v>
                </c:pt>
                <c:pt idx="200">
                  <c:v>1.2601542263611246E-3</c:v>
                </c:pt>
                <c:pt idx="201">
                  <c:v>9.1782431242845889E-4</c:v>
                </c:pt>
                <c:pt idx="202">
                  <c:v>8.7885461746697001E-4</c:v>
                </c:pt>
                <c:pt idx="203">
                  <c:v>6.2869431755289658E-4</c:v>
                </c:pt>
                <c:pt idx="204">
                  <c:v>3.0490392172642563E-4</c:v>
                </c:pt>
                <c:pt idx="205">
                  <c:v>9.2838384267608805E-4</c:v>
                </c:pt>
                <c:pt idx="206">
                  <c:v>2.4979825887701192E-4</c:v>
                </c:pt>
                <c:pt idx="207">
                  <c:v>4.6956219672112407E-4</c:v>
                </c:pt>
                <c:pt idx="208">
                  <c:v>4.2952649203939838E-4</c:v>
                </c:pt>
                <c:pt idx="209">
                  <c:v>3.3262520280032083E-4</c:v>
                </c:pt>
                <c:pt idx="210">
                  <c:v>1.3783706816572025E-4</c:v>
                </c:pt>
                <c:pt idx="211">
                  <c:v>2.5016532826181042E-4</c:v>
                </c:pt>
                <c:pt idx="212">
                  <c:v>1.9912759873160247E-4</c:v>
                </c:pt>
                <c:pt idx="213">
                  <c:v>1.0768709513487031E-4</c:v>
                </c:pt>
                <c:pt idx="214">
                  <c:v>3.0975124894486113E-4</c:v>
                </c:pt>
                <c:pt idx="215">
                  <c:v>1.2998278900057888E-4</c:v>
                </c:pt>
                <c:pt idx="216">
                  <c:v>4.1593486810637848E-5</c:v>
                </c:pt>
                <c:pt idx="217">
                  <c:v>9.2350634537123079E-7</c:v>
                </c:pt>
                <c:pt idx="218">
                  <c:v>2.3458750697268885E-6</c:v>
                </c:pt>
                <c:pt idx="219">
                  <c:v>1.8325310492599986E-9</c:v>
                </c:pt>
                <c:pt idx="220">
                  <c:v>1.6325033762834794E-11</c:v>
                </c:pt>
                <c:pt idx="221">
                  <c:v>3.3758315366896957E-9</c:v>
                </c:pt>
                <c:pt idx="222">
                  <c:v>2.4803833716907371E-6</c:v>
                </c:pt>
                <c:pt idx="223">
                  <c:v>1.0508743935485872E-8</c:v>
                </c:pt>
                <c:pt idx="224">
                  <c:v>4.1024780681586959E-7</c:v>
                </c:pt>
                <c:pt idx="225">
                  <c:v>1.6257653903159443E-6</c:v>
                </c:pt>
                <c:pt idx="226">
                  <c:v>1.46827753919416E-9</c:v>
                </c:pt>
                <c:pt idx="227">
                  <c:v>4.5639295399800938E-14</c:v>
                </c:pt>
                <c:pt idx="228">
                  <c:v>1.076267549620267E-8</c:v>
                </c:pt>
                <c:pt idx="229">
                  <c:v>1.811914823538437E-8</c:v>
                </c:pt>
                <c:pt idx="230">
                  <c:v>8.0579272484884972E-5</c:v>
                </c:pt>
                <c:pt idx="231">
                  <c:v>5.4829103723880548E-4</c:v>
                </c:pt>
                <c:pt idx="232">
                  <c:v>8.4632120760879802E-4</c:v>
                </c:pt>
                <c:pt idx="233">
                  <c:v>1.1624031463544997E-3</c:v>
                </c:pt>
                <c:pt idx="234">
                  <c:v>1.1526481517447852E-3</c:v>
                </c:pt>
                <c:pt idx="235">
                  <c:v>1.6203347747600209E-3</c:v>
                </c:pt>
                <c:pt idx="236">
                  <c:v>1.3009341265079214E-3</c:v>
                </c:pt>
                <c:pt idx="237">
                  <c:v>1.4371520667023384E-3</c:v>
                </c:pt>
                <c:pt idx="238">
                  <c:v>1.5142366375100319E-3</c:v>
                </c:pt>
                <c:pt idx="239">
                  <c:v>1.9299804284024055E-3</c:v>
                </c:pt>
                <c:pt idx="240">
                  <c:v>1.7756101528775402E-3</c:v>
                </c:pt>
                <c:pt idx="241">
                  <c:v>2.0371848021545273E-3</c:v>
                </c:pt>
                <c:pt idx="242">
                  <c:v>2.0759533632065375E-3</c:v>
                </c:pt>
                <c:pt idx="243">
                  <c:v>2.1319691569963418E-3</c:v>
                </c:pt>
                <c:pt idx="244">
                  <c:v>2.1221638789092577E-3</c:v>
                </c:pt>
                <c:pt idx="245">
                  <c:v>2.0733386223833147E-3</c:v>
                </c:pt>
                <c:pt idx="246">
                  <c:v>1.9481830472102236E-3</c:v>
                </c:pt>
                <c:pt idx="247">
                  <c:v>1.9897171995175655E-3</c:v>
                </c:pt>
                <c:pt idx="248">
                  <c:v>2.1677207094061724E-3</c:v>
                </c:pt>
                <c:pt idx="249">
                  <c:v>2.2662763250507118E-3</c:v>
                </c:pt>
                <c:pt idx="250">
                  <c:v>2.2982063331804478E-3</c:v>
                </c:pt>
                <c:pt idx="251">
                  <c:v>2.2956921593119649E-3</c:v>
                </c:pt>
                <c:pt idx="252">
                  <c:v>2.3169117867619625E-3</c:v>
                </c:pt>
                <c:pt idx="253">
                  <c:v>2.3383828315988084E-3</c:v>
                </c:pt>
                <c:pt idx="254">
                  <c:v>2.3131908094366073E-3</c:v>
                </c:pt>
                <c:pt idx="255">
                  <c:v>2.3249068596637389E-3</c:v>
                </c:pt>
                <c:pt idx="256">
                  <c:v>2.3032346809174144E-3</c:v>
                </c:pt>
                <c:pt idx="257">
                  <c:v>2.1511271618741838E-3</c:v>
                </c:pt>
                <c:pt idx="258">
                  <c:v>2.2796517300310423E-3</c:v>
                </c:pt>
                <c:pt idx="259">
                  <c:v>2.1969856932353162E-3</c:v>
                </c:pt>
                <c:pt idx="260">
                  <c:v>2.2539568730951445E-3</c:v>
                </c:pt>
                <c:pt idx="261">
                  <c:v>2.247470304514458E-3</c:v>
                </c:pt>
                <c:pt idx="262">
                  <c:v>2.3250577100958482E-3</c:v>
                </c:pt>
                <c:pt idx="263">
                  <c:v>2.0485991515174409E-3</c:v>
                </c:pt>
                <c:pt idx="264">
                  <c:v>2.2159425642036793E-3</c:v>
                </c:pt>
                <c:pt idx="265">
                  <c:v>2.2748245162035547E-3</c:v>
                </c:pt>
                <c:pt idx="266">
                  <c:v>2.3066539573785515E-3</c:v>
                </c:pt>
                <c:pt idx="267">
                  <c:v>1.9540159305851046E-3</c:v>
                </c:pt>
                <c:pt idx="268">
                  <c:v>1.440521059686106E-3</c:v>
                </c:pt>
                <c:pt idx="269">
                  <c:v>1.5746773773083669E-3</c:v>
                </c:pt>
                <c:pt idx="270">
                  <c:v>6.1164821872458088E-4</c:v>
                </c:pt>
                <c:pt idx="271">
                  <c:v>7.3433990350655861E-4</c:v>
                </c:pt>
                <c:pt idx="272">
                  <c:v>1.2872067371860034E-3</c:v>
                </c:pt>
                <c:pt idx="273">
                  <c:v>7.7748312708972948E-5</c:v>
                </c:pt>
                <c:pt idx="274">
                  <c:v>3.548706131886597E-4</c:v>
                </c:pt>
                <c:pt idx="275">
                  <c:v>7.2549001148949791E-4</c:v>
                </c:pt>
                <c:pt idx="276">
                  <c:v>7.134722603981484E-4</c:v>
                </c:pt>
                <c:pt idx="277">
                  <c:v>1.2564332490357696E-3</c:v>
                </c:pt>
                <c:pt idx="278">
                  <c:v>2.4085282825294886E-3</c:v>
                </c:pt>
                <c:pt idx="279">
                  <c:v>2.5465564279092134E-3</c:v>
                </c:pt>
                <c:pt idx="280">
                  <c:v>2.44262048018612E-3</c:v>
                </c:pt>
                <c:pt idx="281">
                  <c:v>2.6181098162062436E-3</c:v>
                </c:pt>
                <c:pt idx="282">
                  <c:v>2.794403687864282E-3</c:v>
                </c:pt>
                <c:pt idx="283">
                  <c:v>2.9833187123421067E-3</c:v>
                </c:pt>
                <c:pt idx="284">
                  <c:v>3.0030298354710139E-3</c:v>
                </c:pt>
                <c:pt idx="285">
                  <c:v>2.9793966011072729E-3</c:v>
                </c:pt>
                <c:pt idx="286">
                  <c:v>3.0405915930661522E-3</c:v>
                </c:pt>
                <c:pt idx="287">
                  <c:v>3.1634844117576087E-3</c:v>
                </c:pt>
                <c:pt idx="288">
                  <c:v>3.1972749085500225E-3</c:v>
                </c:pt>
                <c:pt idx="289">
                  <c:v>3.2607326569905372E-3</c:v>
                </c:pt>
                <c:pt idx="290">
                  <c:v>3.29170727905025E-3</c:v>
                </c:pt>
                <c:pt idx="291">
                  <c:v>3.3414376381688464E-3</c:v>
                </c:pt>
                <c:pt idx="292">
                  <c:v>3.377541174920264E-3</c:v>
                </c:pt>
                <c:pt idx="293">
                  <c:v>3.4310427948415854E-3</c:v>
                </c:pt>
                <c:pt idx="294">
                  <c:v>3.4723255297620793E-3</c:v>
                </c:pt>
                <c:pt idx="295">
                  <c:v>3.507423396966104E-3</c:v>
                </c:pt>
                <c:pt idx="296">
                  <c:v>3.5146139342299657E-3</c:v>
                </c:pt>
                <c:pt idx="297">
                  <c:v>3.560925016887425E-3</c:v>
                </c:pt>
                <c:pt idx="298">
                  <c:v>3.6160859915619456E-3</c:v>
                </c:pt>
                <c:pt idx="299">
                  <c:v>3.4280257861994063E-3</c:v>
                </c:pt>
                <c:pt idx="300">
                  <c:v>3.6974446579460603E-3</c:v>
                </c:pt>
                <c:pt idx="301">
                  <c:v>3.7801106947417864E-3</c:v>
                </c:pt>
                <c:pt idx="302">
                  <c:v>3.6821081973483129E-3</c:v>
                </c:pt>
                <c:pt idx="303">
                  <c:v>3.4603580621480989E-3</c:v>
                </c:pt>
                <c:pt idx="304">
                  <c:v>3.0405413095887829E-3</c:v>
                </c:pt>
                <c:pt idx="305">
                  <c:v>2.9660714796043118E-3</c:v>
                </c:pt>
                <c:pt idx="306">
                  <c:v>3.1910397573561844E-3</c:v>
                </c:pt>
                <c:pt idx="307">
                  <c:v>2.5329798890194044E-3</c:v>
                </c:pt>
                <c:pt idx="308">
                  <c:v>2.1152247590322439E-3</c:v>
                </c:pt>
                <c:pt idx="309">
                  <c:v>1.7155213974207927E-3</c:v>
                </c:pt>
                <c:pt idx="310">
                  <c:v>7.4047448774565753E-4</c:v>
                </c:pt>
                <c:pt idx="311">
                  <c:v>1.8514879202283616E-3</c:v>
                </c:pt>
                <c:pt idx="312">
                  <c:v>2.3724247457780705E-3</c:v>
                </c:pt>
                <c:pt idx="313">
                  <c:v>1.261310746340627E-3</c:v>
                </c:pt>
                <c:pt idx="314">
                  <c:v>2.1727490571431386E-3</c:v>
                </c:pt>
                <c:pt idx="315">
                  <c:v>3.5756580757567366E-3</c:v>
                </c:pt>
                <c:pt idx="316">
                  <c:v>3.7417946849861035E-3</c:v>
                </c:pt>
                <c:pt idx="317">
                  <c:v>3.4110299708484597E-3</c:v>
                </c:pt>
                <c:pt idx="318">
                  <c:v>3.1410579808507388E-3</c:v>
                </c:pt>
                <c:pt idx="319">
                  <c:v>4.1086126523977948E-3</c:v>
                </c:pt>
                <c:pt idx="320">
                  <c:v>3.7340510294711755E-3</c:v>
                </c:pt>
                <c:pt idx="321">
                  <c:v>4.0909128683636739E-3</c:v>
                </c:pt>
                <c:pt idx="322">
                  <c:v>4.6458413246152743E-3</c:v>
                </c:pt>
                <c:pt idx="323">
                  <c:v>4.7479167836756908E-3</c:v>
                </c:pt>
                <c:pt idx="324">
                  <c:v>4.7244846832214275E-3</c:v>
                </c:pt>
                <c:pt idx="325">
                  <c:v>4.6606246669619556E-3</c:v>
                </c:pt>
                <c:pt idx="326">
                  <c:v>4.8651778529017449E-3</c:v>
                </c:pt>
                <c:pt idx="327">
                  <c:v>4.8435056741554195E-3</c:v>
                </c:pt>
                <c:pt idx="328">
                  <c:v>4.9688120997606203E-3</c:v>
                </c:pt>
                <c:pt idx="329">
                  <c:v>4.5908814838502331E-3</c:v>
                </c:pt>
                <c:pt idx="330">
                  <c:v>4.4939349394815227E-3</c:v>
                </c:pt>
                <c:pt idx="331">
                  <c:v>5.1113154746262445E-3</c:v>
                </c:pt>
                <c:pt idx="332">
                  <c:v>5.1072927964366721E-3</c:v>
                </c:pt>
                <c:pt idx="333">
                  <c:v>5.0444384497245935E-3</c:v>
                </c:pt>
                <c:pt idx="334">
                  <c:v>4.606016810538501E-3</c:v>
                </c:pt>
                <c:pt idx="335">
                  <c:v>4.874228878828284E-3</c:v>
                </c:pt>
                <c:pt idx="336">
                  <c:v>4.3338323475365153E-3</c:v>
                </c:pt>
                <c:pt idx="337">
                  <c:v>4.5015277445643416E-3</c:v>
                </c:pt>
                <c:pt idx="338">
                  <c:v>5.3094323754627176E-3</c:v>
                </c:pt>
                <c:pt idx="339">
                  <c:v>5.3023926886309643E-3</c:v>
                </c:pt>
                <c:pt idx="340">
                  <c:v>5.3929029478963575E-3</c:v>
                </c:pt>
                <c:pt idx="341">
                  <c:v>5.4969897460515598E-3</c:v>
                </c:pt>
                <c:pt idx="342">
                  <c:v>5.4859273810302341E-3</c:v>
                </c:pt>
                <c:pt idx="343">
                  <c:v>5.8258436880491565E-3</c:v>
                </c:pt>
                <c:pt idx="344">
                  <c:v>5.8509854267339879E-3</c:v>
                </c:pt>
                <c:pt idx="345">
                  <c:v>5.9188681211830331E-3</c:v>
                </c:pt>
                <c:pt idx="346">
                  <c:v>5.8369060530704822E-3</c:v>
                </c:pt>
                <c:pt idx="347">
                  <c:v>3.4494968310362522E-3</c:v>
                </c:pt>
                <c:pt idx="348">
                  <c:v>1.3377416319425147E-3</c:v>
                </c:pt>
                <c:pt idx="349">
                  <c:v>6.22660300268537E-3</c:v>
                </c:pt>
                <c:pt idx="350">
                  <c:v>6.2054839421901119E-3</c:v>
                </c:pt>
                <c:pt idx="351">
                  <c:v>6.2839261668867861E-3</c:v>
                </c:pt>
                <c:pt idx="352">
                  <c:v>6.1320700652304043E-3</c:v>
                </c:pt>
                <c:pt idx="353">
                  <c:v>6.123521874077561E-3</c:v>
                </c:pt>
                <c:pt idx="354">
                  <c:v>5.6744904211664705E-3</c:v>
                </c:pt>
                <c:pt idx="355">
                  <c:v>5.219424950971021E-3</c:v>
                </c:pt>
                <c:pt idx="356">
                  <c:v>4.9554366947802894E-3</c:v>
                </c:pt>
                <c:pt idx="357">
                  <c:v>6.3291812965194823E-3</c:v>
                </c:pt>
                <c:pt idx="358">
                  <c:v>6.624848143453101E-3</c:v>
                </c:pt>
                <c:pt idx="359">
                  <c:v>6.64445869962727E-3</c:v>
                </c:pt>
                <c:pt idx="360">
                  <c:v>6.4478503031118878E-3</c:v>
                </c:pt>
                <c:pt idx="361">
                  <c:v>6.3930413127789559E-3</c:v>
                </c:pt>
                <c:pt idx="362">
                  <c:v>5.9440098598678636E-3</c:v>
                </c:pt>
                <c:pt idx="363">
                  <c:v>6.9129724687812706E-3</c:v>
                </c:pt>
                <c:pt idx="364">
                  <c:v>7.0240989537682262E-3</c:v>
                </c:pt>
                <c:pt idx="365">
                  <c:v>7.0185677712575629E-3</c:v>
                </c:pt>
                <c:pt idx="366">
                  <c:v>7.1382424473973609E-3</c:v>
                </c:pt>
                <c:pt idx="367">
                  <c:v>7.1472934733238999E-3</c:v>
                </c:pt>
                <c:pt idx="368">
                  <c:v>7.0356641535632486E-3</c:v>
                </c:pt>
                <c:pt idx="369">
                  <c:v>6.7877666101308102E-3</c:v>
                </c:pt>
                <c:pt idx="370">
                  <c:v>6.8355359136319889E-3</c:v>
                </c:pt>
                <c:pt idx="371">
                  <c:v>7.3247941484388115E-3</c:v>
                </c:pt>
                <c:pt idx="372">
                  <c:v>7.2106506548096751E-3</c:v>
                </c:pt>
                <c:pt idx="373">
                  <c:v>7.2699851581058779E-3</c:v>
                </c:pt>
                <c:pt idx="374">
                  <c:v>7.0014713889518781E-3</c:v>
                </c:pt>
                <c:pt idx="375">
                  <c:v>7.0527605358689342E-3</c:v>
                </c:pt>
                <c:pt idx="376">
                  <c:v>7.4112817295146306E-3</c:v>
                </c:pt>
                <c:pt idx="377">
                  <c:v>7.3901626690193725E-3</c:v>
                </c:pt>
                <c:pt idx="378">
                  <c:v>7.3846314865087092E-3</c:v>
                </c:pt>
                <c:pt idx="379">
                  <c:v>7.4897239542113057E-3</c:v>
                </c:pt>
                <c:pt idx="380">
                  <c:v>7.4183214163463839E-3</c:v>
                </c:pt>
                <c:pt idx="381">
                  <c:v>7.1945599420513836E-3</c:v>
                </c:pt>
                <c:pt idx="382">
                  <c:v>6.8933619126071016E-3</c:v>
                </c:pt>
                <c:pt idx="383">
                  <c:v>7.7054400721271593E-3</c:v>
                </c:pt>
                <c:pt idx="384">
                  <c:v>7.5525783009233842E-3</c:v>
                </c:pt>
                <c:pt idx="385">
                  <c:v>7.4303894509151029E-3</c:v>
                </c:pt>
                <c:pt idx="386">
                  <c:v>7.4500000070892719E-3</c:v>
                </c:pt>
                <c:pt idx="387">
                  <c:v>7.6435913949624741E-3</c:v>
                </c:pt>
                <c:pt idx="388">
                  <c:v>7.4117845642883273E-3</c:v>
                </c:pt>
                <c:pt idx="389">
                  <c:v>7.8613188519731144E-3</c:v>
                </c:pt>
                <c:pt idx="390">
                  <c:v>7.7431526801544073E-3</c:v>
                </c:pt>
                <c:pt idx="391">
                  <c:v>7.7612547320074863E-3</c:v>
                </c:pt>
                <c:pt idx="392">
                  <c:v>7.454525520052541E-3</c:v>
                </c:pt>
                <c:pt idx="393">
                  <c:v>7.8115382093771491E-3</c:v>
                </c:pt>
                <c:pt idx="394">
                  <c:v>7.7667859145181487E-3</c:v>
                </c:pt>
                <c:pt idx="395">
                  <c:v>7.9352355637065195E-3</c:v>
                </c:pt>
                <c:pt idx="396">
                  <c:v>7.6611906120418564E-3</c:v>
                </c:pt>
                <c:pt idx="397">
                  <c:v>7.7004117243901936E-3</c:v>
                </c:pt>
                <c:pt idx="398">
                  <c:v>7.7843851315975311E-3</c:v>
                </c:pt>
                <c:pt idx="399">
                  <c:v>7.8618216867468102E-3</c:v>
                </c:pt>
                <c:pt idx="400">
                  <c:v>7.7693000883866312E-3</c:v>
                </c:pt>
                <c:pt idx="401">
                  <c:v>8.2892312443889477E-3</c:v>
                </c:pt>
                <c:pt idx="402">
                  <c:v>8.1579913684541264E-3</c:v>
                </c:pt>
                <c:pt idx="403">
                  <c:v>7.88595775588425E-3</c:v>
                </c:pt>
                <c:pt idx="404">
                  <c:v>8.1363694731851725E-3</c:v>
                </c:pt>
                <c:pt idx="405">
                  <c:v>8.1383808122799592E-3</c:v>
                </c:pt>
                <c:pt idx="406">
                  <c:v>7.5812398830240922E-3</c:v>
                </c:pt>
                <c:pt idx="407">
                  <c:v>7.7185137762432717E-3</c:v>
                </c:pt>
                <c:pt idx="408">
                  <c:v>7.6888465245951703E-3</c:v>
                </c:pt>
                <c:pt idx="409">
                  <c:v>7.6551565947574965E-3</c:v>
                </c:pt>
                <c:pt idx="410">
                  <c:v>7.8417082957989472E-3</c:v>
                </c:pt>
                <c:pt idx="411">
                  <c:v>7.3509415566710354E-3</c:v>
                </c:pt>
                <c:pt idx="412">
                  <c:v>6.7877666101308102E-3</c:v>
                </c:pt>
                <c:pt idx="413">
                  <c:v>6.261298602070438E-3</c:v>
                </c:pt>
                <c:pt idx="414">
                  <c:v>4.3978934977054662E-3</c:v>
                </c:pt>
                <c:pt idx="415">
                  <c:v>6.2794006539235161E-3</c:v>
                </c:pt>
                <c:pt idx="416">
                  <c:v>5.6478401781605491E-3</c:v>
                </c:pt>
                <c:pt idx="417">
                  <c:v>6.1637486559732915E-3</c:v>
                </c:pt>
                <c:pt idx="418">
                  <c:v>5.2722226022091662E-3</c:v>
                </c:pt>
                <c:pt idx="419">
                  <c:v>5.7881310800219094E-3</c:v>
                </c:pt>
                <c:pt idx="420">
                  <c:v>5.6020822137541563E-3</c:v>
                </c:pt>
                <c:pt idx="421">
                  <c:v>4.0614970341024204E-3</c:v>
                </c:pt>
                <c:pt idx="422">
                  <c:v>4.0075428628847717E-3</c:v>
                </c:pt>
                <c:pt idx="423">
                  <c:v>3.3868436182336518E-3</c:v>
                </c:pt>
                <c:pt idx="424">
                  <c:v>3.523715243633875E-3</c:v>
                </c:pt>
                <c:pt idx="425">
                  <c:v>2.9632053213942415E-3</c:v>
                </c:pt>
                <c:pt idx="426">
                  <c:v>3.7967545257511452E-3</c:v>
                </c:pt>
                <c:pt idx="427">
                  <c:v>3.1356273652948154E-3</c:v>
                </c:pt>
                <c:pt idx="428">
                  <c:v>3.0078067658211322E-3</c:v>
                </c:pt>
                <c:pt idx="429">
                  <c:v>3.0743318063811967E-3</c:v>
                </c:pt>
                <c:pt idx="430">
                  <c:v>2.6548670381634676E-3</c:v>
                </c:pt>
                <c:pt idx="431">
                  <c:v>2.3079110443127927E-3</c:v>
                </c:pt>
                <c:pt idx="432">
                  <c:v>2.5232248944096901E-3</c:v>
                </c:pt>
                <c:pt idx="433">
                  <c:v>2.3325499482239279E-3</c:v>
                </c:pt>
                <c:pt idx="434">
                  <c:v>2.3703128397285444E-3</c:v>
                </c:pt>
                <c:pt idx="435">
                  <c:v>1.4026073177493801E-3</c:v>
                </c:pt>
                <c:pt idx="436">
                  <c:v>1.0321689399670727E-3</c:v>
                </c:pt>
                <c:pt idx="437">
                  <c:v>6.8511237916165854E-4</c:v>
                </c:pt>
                <c:pt idx="438">
                  <c:v>2.5613900537332641E-4</c:v>
                </c:pt>
                <c:pt idx="439">
                  <c:v>8.2781688793676208E-5</c:v>
                </c:pt>
                <c:pt idx="440">
                  <c:v>5.1314288655741101E-6</c:v>
                </c:pt>
                <c:pt idx="441">
                  <c:v>6.1798393687315837E-8</c:v>
                </c:pt>
                <c:pt idx="442">
                  <c:v>3.025456266377884E-11</c:v>
                </c:pt>
                <c:pt idx="443">
                  <c:v>4.0298184433595328E-17</c:v>
                </c:pt>
                <c:pt idx="444">
                  <c:v>2.3788610308813874E-25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C2-4D5C-BF96-BD6301265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701311"/>
        <c:axId val="1"/>
      </c:scatterChart>
      <c:valAx>
        <c:axId val="1434701311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4773545409159787"/>
              <c:y val="0.927375420339592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relative Intensity</a:t>
                </a:r>
              </a:p>
            </c:rich>
          </c:tx>
          <c:layout>
            <c:manualLayout>
              <c:xMode val="edge"/>
              <c:yMode val="edge"/>
              <c:x val="4.1811811899485865E-2"/>
              <c:y val="0.3324028894454976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434701311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839114387349288"/>
          <c:y val="0.59626779797604157"/>
          <c:w val="0.24864898702110741"/>
          <c:h val="0.270492345439462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 paperSize="9" orientation="landscape" horizontalDpi="300" verticalDpi="300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References</a:t>
            </a:r>
          </a:p>
        </c:rich>
      </c:tx>
      <c:layout>
        <c:manualLayout>
          <c:xMode val="edge"/>
          <c:yMode val="edge"/>
          <c:x val="0.43030375501056634"/>
          <c:y val="3.36134674729806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454686693132534E-2"/>
          <c:y val="0.15406204608183999"/>
          <c:w val="0.85454671896709122"/>
          <c:h val="0.6862763870918327"/>
        </c:manualLayout>
      </c:layout>
      <c:scatterChart>
        <c:scatterStyle val="lineMarker"/>
        <c:varyColors val="0"/>
        <c:ser>
          <c:idx val="4"/>
          <c:order val="0"/>
          <c:tx>
            <c:strRef>
              <c:f>refl5!$AR$76</c:f>
              <c:strCache>
                <c:ptCount val="1"/>
                <c:pt idx="0">
                  <c:v>MASTER OMT</c:v>
                </c:pt>
              </c:strCache>
            </c:strRef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refl5!$AR$79:$AR$529</c:f>
              <c:numCache>
                <c:formatCode>0.00</c:formatCode>
                <c:ptCount val="451"/>
                <c:pt idx="0">
                  <c:v>82.880669689859857</c:v>
                </c:pt>
                <c:pt idx="1">
                  <c:v>83.410157734244066</c:v>
                </c:pt>
                <c:pt idx="2">
                  <c:v>82.355762612049006</c:v>
                </c:pt>
                <c:pt idx="3">
                  <c:v>83.530233327036285</c:v>
                </c:pt>
                <c:pt idx="4">
                  <c:v>83.294699706132505</c:v>
                </c:pt>
                <c:pt idx="5">
                  <c:v>84.019097398387615</c:v>
                </c:pt>
                <c:pt idx="6">
                  <c:v>84.266464897496007</c:v>
                </c:pt>
                <c:pt idx="7">
                  <c:v>84.25279435415132</c:v>
                </c:pt>
                <c:pt idx="8">
                  <c:v>84.42333049829378</c:v>
                </c:pt>
                <c:pt idx="9">
                  <c:v>84.710824749095792</c:v>
                </c:pt>
                <c:pt idx="10">
                  <c:v>85.013155550387779</c:v>
                </c:pt>
                <c:pt idx="11">
                  <c:v>85.336704164322597</c:v>
                </c:pt>
                <c:pt idx="12">
                  <c:v>85.539110705977677</c:v>
                </c:pt>
                <c:pt idx="13">
                  <c:v>85.764627118356103</c:v>
                </c:pt>
                <c:pt idx="14">
                  <c:v>86.067697799359252</c:v>
                </c:pt>
                <c:pt idx="15">
                  <c:v>86.263346129968625</c:v>
                </c:pt>
                <c:pt idx="16">
                  <c:v>86.483588884145973</c:v>
                </c:pt>
                <c:pt idx="17">
                  <c:v>86.718253340947072</c:v>
                </c:pt>
                <c:pt idx="18">
                  <c:v>86.988582816588675</c:v>
                </c:pt>
                <c:pt idx="19">
                  <c:v>87.133572359924344</c:v>
                </c:pt>
                <c:pt idx="20">
                  <c:v>87.270869503547829</c:v>
                </c:pt>
                <c:pt idx="21">
                  <c:v>87.371071185240197</c:v>
                </c:pt>
                <c:pt idx="22">
                  <c:v>87.514256790573469</c:v>
                </c:pt>
                <c:pt idx="23">
                  <c:v>87.629749144075603</c:v>
                </c:pt>
                <c:pt idx="24">
                  <c:v>87.739929279014788</c:v>
                </c:pt>
                <c:pt idx="25">
                  <c:v>87.830516520004309</c:v>
                </c:pt>
                <c:pt idx="26">
                  <c:v>87.784764822283393</c:v>
                </c:pt>
                <c:pt idx="27">
                  <c:v>87.922048747290773</c:v>
                </c:pt>
                <c:pt idx="28">
                  <c:v>87.952098360787318</c:v>
                </c:pt>
                <c:pt idx="29">
                  <c:v>88.018439299112799</c:v>
                </c:pt>
                <c:pt idx="30">
                  <c:v>88.056436560395525</c:v>
                </c:pt>
                <c:pt idx="31">
                  <c:v>88.043154853621459</c:v>
                </c:pt>
                <c:pt idx="32">
                  <c:v>88.104571506365545</c:v>
                </c:pt>
                <c:pt idx="33">
                  <c:v>88.057243618210663</c:v>
                </c:pt>
                <c:pt idx="34">
                  <c:v>88.05349861859429</c:v>
                </c:pt>
                <c:pt idx="35">
                  <c:v>88.062116368755426</c:v>
                </c:pt>
                <c:pt idx="36">
                  <c:v>88.020688953640544</c:v>
                </c:pt>
                <c:pt idx="37">
                  <c:v>88.012110514052765</c:v>
                </c:pt>
                <c:pt idx="38">
                  <c:v>87.913912070648195</c:v>
                </c:pt>
                <c:pt idx="39">
                  <c:v>87.889389624800742</c:v>
                </c:pt>
                <c:pt idx="40">
                  <c:v>87.783422057934317</c:v>
                </c:pt>
                <c:pt idx="41">
                  <c:v>87.750501098514462</c:v>
                </c:pt>
                <c:pt idx="42">
                  <c:v>87.653619633981847</c:v>
                </c:pt>
                <c:pt idx="43">
                  <c:v>87.561549835552526</c:v>
                </c:pt>
                <c:pt idx="44">
                  <c:v>87.459470186527312</c:v>
                </c:pt>
                <c:pt idx="45">
                  <c:v>87.318530856893787</c:v>
                </c:pt>
                <c:pt idx="46">
                  <c:v>87.241264458551797</c:v>
                </c:pt>
                <c:pt idx="47">
                  <c:v>87.134635982826197</c:v>
                </c:pt>
                <c:pt idx="48">
                  <c:v>87.004991061746438</c:v>
                </c:pt>
                <c:pt idx="49">
                  <c:v>86.885687518929345</c:v>
                </c:pt>
                <c:pt idx="50">
                  <c:v>86.739020050324427</c:v>
                </c:pt>
                <c:pt idx="51">
                  <c:v>86.615972274469073</c:v>
                </c:pt>
                <c:pt idx="52">
                  <c:v>86.53042110414988</c:v>
                </c:pt>
                <c:pt idx="53">
                  <c:v>86.43479605194284</c:v>
                </c:pt>
                <c:pt idx="54">
                  <c:v>86.376975011247453</c:v>
                </c:pt>
                <c:pt idx="55">
                  <c:v>86.353756990750767</c:v>
                </c:pt>
                <c:pt idx="56">
                  <c:v>86.430037986903827</c:v>
                </c:pt>
                <c:pt idx="57">
                  <c:v>86.537951524391431</c:v>
                </c:pt>
                <c:pt idx="58">
                  <c:v>86.753017323422881</c:v>
                </c:pt>
                <c:pt idx="59">
                  <c:v>87.042367785215816</c:v>
                </c:pt>
                <c:pt idx="60">
                  <c:v>87.415199901733942</c:v>
                </c:pt>
                <c:pt idx="61">
                  <c:v>87.890741401448352</c:v>
                </c:pt>
                <c:pt idx="62">
                  <c:v>88.41954192776123</c:v>
                </c:pt>
                <c:pt idx="63">
                  <c:v>88.979806257283883</c:v>
                </c:pt>
                <c:pt idx="64">
                  <c:v>89.499105816357172</c:v>
                </c:pt>
                <c:pt idx="65">
                  <c:v>89.997916461864662</c:v>
                </c:pt>
                <c:pt idx="66">
                  <c:v>90.403881808978269</c:v>
                </c:pt>
                <c:pt idx="67">
                  <c:v>90.750192998904637</c:v>
                </c:pt>
                <c:pt idx="68">
                  <c:v>91.04896132210682</c:v>
                </c:pt>
                <c:pt idx="69">
                  <c:v>91.275843194110834</c:v>
                </c:pt>
                <c:pt idx="70">
                  <c:v>91.503617149155488</c:v>
                </c:pt>
                <c:pt idx="71">
                  <c:v>91.661656859762203</c:v>
                </c:pt>
                <c:pt idx="72">
                  <c:v>91.82226560662879</c:v>
                </c:pt>
                <c:pt idx="73">
                  <c:v>91.965386235740866</c:v>
                </c:pt>
                <c:pt idx="74">
                  <c:v>92.105712741230207</c:v>
                </c:pt>
                <c:pt idx="75">
                  <c:v>92.222697708334934</c:v>
                </c:pt>
                <c:pt idx="76">
                  <c:v>92.350640194955957</c:v>
                </c:pt>
                <c:pt idx="77">
                  <c:v>92.451975896937057</c:v>
                </c:pt>
                <c:pt idx="78">
                  <c:v>92.535039753488007</c:v>
                </c:pt>
                <c:pt idx="79">
                  <c:v>92.616011224250983</c:v>
                </c:pt>
                <c:pt idx="80">
                  <c:v>92.679381569136027</c:v>
                </c:pt>
                <c:pt idx="81">
                  <c:v>92.72553875720287</c:v>
                </c:pt>
                <c:pt idx="82">
                  <c:v>92.791817274547057</c:v>
                </c:pt>
                <c:pt idx="83">
                  <c:v>92.835626001807768</c:v>
                </c:pt>
                <c:pt idx="84">
                  <c:v>92.895965477779171</c:v>
                </c:pt>
                <c:pt idx="85">
                  <c:v>92.941992765863546</c:v>
                </c:pt>
                <c:pt idx="86">
                  <c:v>92.982698791617608</c:v>
                </c:pt>
                <c:pt idx="87">
                  <c:v>93.024891167170324</c:v>
                </c:pt>
                <c:pt idx="88">
                  <c:v>93.048137146423372</c:v>
                </c:pt>
                <c:pt idx="89">
                  <c:v>93.096979621176331</c:v>
                </c:pt>
                <c:pt idx="90">
                  <c:v>93.11802731103252</c:v>
                </c:pt>
                <c:pt idx="91">
                  <c:v>93.168452631489401</c:v>
                </c:pt>
                <c:pt idx="92">
                  <c:v>93.19435774593461</c:v>
                </c:pt>
                <c:pt idx="93">
                  <c:v>93.207875593003649</c:v>
                </c:pt>
                <c:pt idx="94">
                  <c:v>93.258734203288569</c:v>
                </c:pt>
                <c:pt idx="95">
                  <c:v>93.279005167615608</c:v>
                </c:pt>
                <c:pt idx="96">
                  <c:v>93.335520585496496</c:v>
                </c:pt>
                <c:pt idx="97">
                  <c:v>93.35985000589659</c:v>
                </c:pt>
                <c:pt idx="98">
                  <c:v>93.403324201248836</c:v>
                </c:pt>
                <c:pt idx="99">
                  <c:v>93.436983072537785</c:v>
                </c:pt>
                <c:pt idx="100">
                  <c:v>93.474508740389311</c:v>
                </c:pt>
                <c:pt idx="101">
                  <c:v>93.511225091328171</c:v>
                </c:pt>
                <c:pt idx="102">
                  <c:v>93.543597812222529</c:v>
                </c:pt>
                <c:pt idx="103">
                  <c:v>93.582948265142207</c:v>
                </c:pt>
                <c:pt idx="104">
                  <c:v>93.623589512533783</c:v>
                </c:pt>
                <c:pt idx="105">
                  <c:v>93.660924855110835</c:v>
                </c:pt>
                <c:pt idx="106">
                  <c:v>93.705675836534013</c:v>
                </c:pt>
                <c:pt idx="107">
                  <c:v>93.73972517220588</c:v>
                </c:pt>
                <c:pt idx="108">
                  <c:v>93.796123390283299</c:v>
                </c:pt>
                <c:pt idx="109">
                  <c:v>93.838784652105176</c:v>
                </c:pt>
                <c:pt idx="110">
                  <c:v>93.873302699654346</c:v>
                </c:pt>
                <c:pt idx="111">
                  <c:v>93.917244626355441</c:v>
                </c:pt>
                <c:pt idx="112">
                  <c:v>93.958614887845798</c:v>
                </c:pt>
                <c:pt idx="113">
                  <c:v>94.01717992088858</c:v>
                </c:pt>
                <c:pt idx="114">
                  <c:v>94.073198639710796</c:v>
                </c:pt>
                <c:pt idx="115">
                  <c:v>94.143434756572475</c:v>
                </c:pt>
                <c:pt idx="116">
                  <c:v>94.192333602493335</c:v>
                </c:pt>
                <c:pt idx="117">
                  <c:v>94.24972489446813</c:v>
                </c:pt>
                <c:pt idx="118">
                  <c:v>94.312553616531531</c:v>
                </c:pt>
                <c:pt idx="119">
                  <c:v>94.342599243936462</c:v>
                </c:pt>
                <c:pt idx="120">
                  <c:v>94.406896993374971</c:v>
                </c:pt>
                <c:pt idx="121">
                  <c:v>94.462065142299593</c:v>
                </c:pt>
                <c:pt idx="122">
                  <c:v>94.487831387677872</c:v>
                </c:pt>
                <c:pt idx="123">
                  <c:v>94.507192063574124</c:v>
                </c:pt>
                <c:pt idx="124">
                  <c:v>94.524019561943803</c:v>
                </c:pt>
                <c:pt idx="125">
                  <c:v>94.560155307170845</c:v>
                </c:pt>
                <c:pt idx="126">
                  <c:v>94.596342184695388</c:v>
                </c:pt>
                <c:pt idx="127">
                  <c:v>94.671582288786098</c:v>
                </c:pt>
                <c:pt idx="128">
                  <c:v>94.706659101619309</c:v>
                </c:pt>
                <c:pt idx="129">
                  <c:v>94.716490057521781</c:v>
                </c:pt>
                <c:pt idx="130">
                  <c:v>94.742690846836268</c:v>
                </c:pt>
                <c:pt idx="131">
                  <c:v>94.769076623373692</c:v>
                </c:pt>
                <c:pt idx="132">
                  <c:v>94.804769058922972</c:v>
                </c:pt>
                <c:pt idx="133">
                  <c:v>94.861841603742874</c:v>
                </c:pt>
                <c:pt idx="134">
                  <c:v>94.898902546110889</c:v>
                </c:pt>
                <c:pt idx="135">
                  <c:v>94.939610115066245</c:v>
                </c:pt>
                <c:pt idx="136">
                  <c:v>94.956064364823803</c:v>
                </c:pt>
                <c:pt idx="137">
                  <c:v>94.998552681451116</c:v>
                </c:pt>
                <c:pt idx="138">
                  <c:v>95.034099727163436</c:v>
                </c:pt>
                <c:pt idx="139">
                  <c:v>95.071243046764948</c:v>
                </c:pt>
                <c:pt idx="140">
                  <c:v>95.110229897358408</c:v>
                </c:pt>
                <c:pt idx="141">
                  <c:v>95.141436549191553</c:v>
                </c:pt>
                <c:pt idx="142">
                  <c:v>95.18372623792726</c:v>
                </c:pt>
                <c:pt idx="143">
                  <c:v>95.214873902498127</c:v>
                </c:pt>
                <c:pt idx="144">
                  <c:v>95.260432334897999</c:v>
                </c:pt>
                <c:pt idx="145">
                  <c:v>95.301098019679344</c:v>
                </c:pt>
                <c:pt idx="146">
                  <c:v>95.353099168718686</c:v>
                </c:pt>
                <c:pt idx="147">
                  <c:v>95.393159293225949</c:v>
                </c:pt>
                <c:pt idx="148">
                  <c:v>95.438075890482281</c:v>
                </c:pt>
                <c:pt idx="149">
                  <c:v>95.485693315841331</c:v>
                </c:pt>
                <c:pt idx="150">
                  <c:v>95.524157054117438</c:v>
                </c:pt>
                <c:pt idx="151">
                  <c:v>95.567825000109266</c:v>
                </c:pt>
                <c:pt idx="152">
                  <c:v>95.60765895886415</c:v>
                </c:pt>
                <c:pt idx="153">
                  <c:v>95.651641279060982</c:v>
                </c:pt>
                <c:pt idx="154">
                  <c:v>95.694787011580758</c:v>
                </c:pt>
                <c:pt idx="155">
                  <c:v>95.732238984614668</c:v>
                </c:pt>
                <c:pt idx="156">
                  <c:v>95.766173816094408</c:v>
                </c:pt>
                <c:pt idx="157">
                  <c:v>95.801232129828094</c:v>
                </c:pt>
                <c:pt idx="158">
                  <c:v>95.839948347468166</c:v>
                </c:pt>
                <c:pt idx="159">
                  <c:v>95.870837058610817</c:v>
                </c:pt>
                <c:pt idx="160">
                  <c:v>95.903874551414788</c:v>
                </c:pt>
                <c:pt idx="161">
                  <c:v>95.933690376028963</c:v>
                </c:pt>
                <c:pt idx="162">
                  <c:v>95.967566598235692</c:v>
                </c:pt>
                <c:pt idx="163">
                  <c:v>95.997802180254837</c:v>
                </c:pt>
                <c:pt idx="164">
                  <c:v>96.027330972512786</c:v>
                </c:pt>
                <c:pt idx="165">
                  <c:v>96.049952821162876</c:v>
                </c:pt>
                <c:pt idx="166">
                  <c:v>96.068420018129373</c:v>
                </c:pt>
                <c:pt idx="167">
                  <c:v>96.094614164139088</c:v>
                </c:pt>
                <c:pt idx="168">
                  <c:v>96.115952470299646</c:v>
                </c:pt>
                <c:pt idx="169">
                  <c:v>96.13974999669675</c:v>
                </c:pt>
                <c:pt idx="170">
                  <c:v>96.158512796565006</c:v>
                </c:pt>
                <c:pt idx="171">
                  <c:v>96.183269114640893</c:v>
                </c:pt>
                <c:pt idx="172">
                  <c:v>96.201175069918705</c:v>
                </c:pt>
                <c:pt idx="173">
                  <c:v>96.218156184566226</c:v>
                </c:pt>
                <c:pt idx="174">
                  <c:v>96.234760845959684</c:v>
                </c:pt>
                <c:pt idx="175">
                  <c:v>96.248772191843656</c:v>
                </c:pt>
                <c:pt idx="176">
                  <c:v>96.25904797077682</c:v>
                </c:pt>
                <c:pt idx="177">
                  <c:v>96.269420674007151</c:v>
                </c:pt>
                <c:pt idx="178">
                  <c:v>96.272277005849929</c:v>
                </c:pt>
                <c:pt idx="179">
                  <c:v>96.285431764591451</c:v>
                </c:pt>
                <c:pt idx="180">
                  <c:v>96.318127729454957</c:v>
                </c:pt>
                <c:pt idx="181">
                  <c:v>96.330625229899283</c:v>
                </c:pt>
                <c:pt idx="182">
                  <c:v>96.338377033620532</c:v>
                </c:pt>
                <c:pt idx="183">
                  <c:v>96.363822836067953</c:v>
                </c:pt>
                <c:pt idx="184">
                  <c:v>96.36713727304469</c:v>
                </c:pt>
                <c:pt idx="185">
                  <c:v>96.381377256398366</c:v>
                </c:pt>
                <c:pt idx="186">
                  <c:v>96.403682088519489</c:v>
                </c:pt>
                <c:pt idx="187">
                  <c:v>96.415677056308908</c:v>
                </c:pt>
                <c:pt idx="188">
                  <c:v>96.436400047081364</c:v>
                </c:pt>
                <c:pt idx="189">
                  <c:v>96.435589558970918</c:v>
                </c:pt>
                <c:pt idx="190">
                  <c:v>96.455299488851779</c:v>
                </c:pt>
                <c:pt idx="191">
                  <c:v>96.458510294482821</c:v>
                </c:pt>
                <c:pt idx="192">
                  <c:v>96.461617254876586</c:v>
                </c:pt>
                <c:pt idx="193">
                  <c:v>96.456990171393542</c:v>
                </c:pt>
                <c:pt idx="194">
                  <c:v>96.456966661613563</c:v>
                </c:pt>
                <c:pt idx="195">
                  <c:v>96.44895033010701</c:v>
                </c:pt>
                <c:pt idx="196">
                  <c:v>96.445042429208584</c:v>
                </c:pt>
                <c:pt idx="197">
                  <c:v>96.445477689745147</c:v>
                </c:pt>
                <c:pt idx="198">
                  <c:v>96.444034652194361</c:v>
                </c:pt>
                <c:pt idx="199">
                  <c:v>96.431428544335105</c:v>
                </c:pt>
                <c:pt idx="200">
                  <c:v>96.425928894445761</c:v>
                </c:pt>
                <c:pt idx="201">
                  <c:v>96.399221816137739</c:v>
                </c:pt>
                <c:pt idx="202">
                  <c:v>96.365178600141888</c:v>
                </c:pt>
                <c:pt idx="203">
                  <c:v>96.360818276110166</c:v>
                </c:pt>
                <c:pt idx="204">
                  <c:v>96.329114364655808</c:v>
                </c:pt>
                <c:pt idx="205">
                  <c:v>96.297156433248063</c:v>
                </c:pt>
                <c:pt idx="206">
                  <c:v>96.262515008140952</c:v>
                </c:pt>
                <c:pt idx="207">
                  <c:v>96.23356285014448</c:v>
                </c:pt>
                <c:pt idx="208">
                  <c:v>96.184789387192282</c:v>
                </c:pt>
                <c:pt idx="209">
                  <c:v>96.136398324889271</c:v>
                </c:pt>
                <c:pt idx="210">
                  <c:v>96.098100316744549</c:v>
                </c:pt>
                <c:pt idx="211">
                  <c:v>96.024452240331939</c:v>
                </c:pt>
                <c:pt idx="212">
                  <c:v>95.960169295057355</c:v>
                </c:pt>
                <c:pt idx="213">
                  <c:v>95.895225928851787</c:v>
                </c:pt>
                <c:pt idx="214">
                  <c:v>95.831339680719026</c:v>
                </c:pt>
                <c:pt idx="215">
                  <c:v>95.764122638064833</c:v>
                </c:pt>
                <c:pt idx="216">
                  <c:v>95.704936567283625</c:v>
                </c:pt>
                <c:pt idx="217">
                  <c:v>95.664114133134177</c:v>
                </c:pt>
                <c:pt idx="218">
                  <c:v>95.674395351162573</c:v>
                </c:pt>
                <c:pt idx="219">
                  <c:v>95.698746627322635</c:v>
                </c:pt>
                <c:pt idx="220">
                  <c:v>95.785787883116939</c:v>
                </c:pt>
                <c:pt idx="221">
                  <c:v>95.887682824081224</c:v>
                </c:pt>
                <c:pt idx="222">
                  <c:v>95.991624254931992</c:v>
                </c:pt>
                <c:pt idx="223">
                  <c:v>96.095480881877918</c:v>
                </c:pt>
                <c:pt idx="224">
                  <c:v>96.173157859886089</c:v>
                </c:pt>
                <c:pt idx="225">
                  <c:v>96.214824422604167</c:v>
                </c:pt>
                <c:pt idx="226">
                  <c:v>96.231288541151301</c:v>
                </c:pt>
                <c:pt idx="227">
                  <c:v>96.216607555598245</c:v>
                </c:pt>
                <c:pt idx="228">
                  <c:v>96.228075089097828</c:v>
                </c:pt>
                <c:pt idx="229">
                  <c:v>96.223455428528553</c:v>
                </c:pt>
                <c:pt idx="230">
                  <c:v>96.22908966787432</c:v>
                </c:pt>
                <c:pt idx="231">
                  <c:v>96.238278052748441</c:v>
                </c:pt>
                <c:pt idx="232">
                  <c:v>96.222981008930986</c:v>
                </c:pt>
                <c:pt idx="233">
                  <c:v>96.211109478853359</c:v>
                </c:pt>
                <c:pt idx="234">
                  <c:v>96.198426778496426</c:v>
                </c:pt>
                <c:pt idx="235">
                  <c:v>96.201663519664891</c:v>
                </c:pt>
                <c:pt idx="236">
                  <c:v>96.192461779167871</c:v>
                </c:pt>
                <c:pt idx="237">
                  <c:v>96.179582391417298</c:v>
                </c:pt>
                <c:pt idx="238">
                  <c:v>96.166463626568927</c:v>
                </c:pt>
                <c:pt idx="239">
                  <c:v>96.152997710857818</c:v>
                </c:pt>
                <c:pt idx="240">
                  <c:v>96.138332389966038</c:v>
                </c:pt>
                <c:pt idx="241">
                  <c:v>96.131970476580264</c:v>
                </c:pt>
                <c:pt idx="242">
                  <c:v>96.108869108396235</c:v>
                </c:pt>
                <c:pt idx="243">
                  <c:v>96.105143652481445</c:v>
                </c:pt>
                <c:pt idx="244">
                  <c:v>96.082984765765957</c:v>
                </c:pt>
                <c:pt idx="245">
                  <c:v>96.06918739662035</c:v>
                </c:pt>
                <c:pt idx="246">
                  <c:v>96.059274237939718</c:v>
                </c:pt>
                <c:pt idx="247">
                  <c:v>96.038742569611202</c:v>
                </c:pt>
                <c:pt idx="248">
                  <c:v>96.027898739056468</c:v>
                </c:pt>
                <c:pt idx="249">
                  <c:v>96.023331998661902</c:v>
                </c:pt>
                <c:pt idx="250">
                  <c:v>96.006648037933061</c:v>
                </c:pt>
                <c:pt idx="251">
                  <c:v>96.012852821049577</c:v>
                </c:pt>
                <c:pt idx="252">
                  <c:v>96.012361863252863</c:v>
                </c:pt>
                <c:pt idx="253">
                  <c:v>96.001852118209598</c:v>
                </c:pt>
                <c:pt idx="254">
                  <c:v>95.993686543236393</c:v>
                </c:pt>
                <c:pt idx="255">
                  <c:v>95.985152632246312</c:v>
                </c:pt>
                <c:pt idx="256">
                  <c:v>95.985159196820163</c:v>
                </c:pt>
                <c:pt idx="257">
                  <c:v>95.973546406826941</c:v>
                </c:pt>
                <c:pt idx="258">
                  <c:v>95.965674420803055</c:v>
                </c:pt>
                <c:pt idx="259">
                  <c:v>95.956369330446506</c:v>
                </c:pt>
                <c:pt idx="260">
                  <c:v>95.951094624203392</c:v>
                </c:pt>
                <c:pt idx="261">
                  <c:v>95.939193205362983</c:v>
                </c:pt>
                <c:pt idx="262">
                  <c:v>95.927270532294912</c:v>
                </c:pt>
                <c:pt idx="263">
                  <c:v>95.920910311948489</c:v>
                </c:pt>
                <c:pt idx="264">
                  <c:v>95.918473830910472</c:v>
                </c:pt>
                <c:pt idx="265">
                  <c:v>95.896335750530852</c:v>
                </c:pt>
                <c:pt idx="266">
                  <c:v>95.900439104640583</c:v>
                </c:pt>
                <c:pt idx="267">
                  <c:v>95.893395950593046</c:v>
                </c:pt>
                <c:pt idx="268">
                  <c:v>95.876110623675871</c:v>
                </c:pt>
                <c:pt idx="269">
                  <c:v>95.872325758171101</c:v>
                </c:pt>
                <c:pt idx="270">
                  <c:v>95.862110898805099</c:v>
                </c:pt>
                <c:pt idx="271">
                  <c:v>95.86622952360571</c:v>
                </c:pt>
                <c:pt idx="272">
                  <c:v>95.849299098209755</c:v>
                </c:pt>
                <c:pt idx="273">
                  <c:v>95.850216331743468</c:v>
                </c:pt>
                <c:pt idx="274">
                  <c:v>95.846560707396122</c:v>
                </c:pt>
                <c:pt idx="275">
                  <c:v>95.828546570011582</c:v>
                </c:pt>
                <c:pt idx="276">
                  <c:v>95.825480540293697</c:v>
                </c:pt>
                <c:pt idx="277">
                  <c:v>95.813942008835255</c:v>
                </c:pt>
                <c:pt idx="278">
                  <c:v>95.81135222831449</c:v>
                </c:pt>
                <c:pt idx="279">
                  <c:v>95.802315220196832</c:v>
                </c:pt>
                <c:pt idx="280">
                  <c:v>95.788503765330901</c:v>
                </c:pt>
                <c:pt idx="281">
                  <c:v>95.790519963103819</c:v>
                </c:pt>
                <c:pt idx="282">
                  <c:v>95.764544015344612</c:v>
                </c:pt>
                <c:pt idx="283">
                  <c:v>95.767714220296057</c:v>
                </c:pt>
                <c:pt idx="284">
                  <c:v>95.746184922251388</c:v>
                </c:pt>
                <c:pt idx="285">
                  <c:v>95.746152692219795</c:v>
                </c:pt>
                <c:pt idx="286">
                  <c:v>95.725317085831435</c:v>
                </c:pt>
                <c:pt idx="287">
                  <c:v>95.703528015416921</c:v>
                </c:pt>
                <c:pt idx="288">
                  <c:v>95.714368583336153</c:v>
                </c:pt>
                <c:pt idx="289">
                  <c:v>95.676752015601338</c:v>
                </c:pt>
                <c:pt idx="290">
                  <c:v>95.667147685435324</c:v>
                </c:pt>
                <c:pt idx="291">
                  <c:v>95.633861917438651</c:v>
                </c:pt>
                <c:pt idx="292">
                  <c:v>95.616063063051399</c:v>
                </c:pt>
                <c:pt idx="293">
                  <c:v>95.587215906693416</c:v>
                </c:pt>
                <c:pt idx="294">
                  <c:v>95.567511858729191</c:v>
                </c:pt>
                <c:pt idx="295">
                  <c:v>95.544392996612245</c:v>
                </c:pt>
                <c:pt idx="296">
                  <c:v>95.529829955449998</c:v>
                </c:pt>
                <c:pt idx="297">
                  <c:v>95.520303373036825</c:v>
                </c:pt>
                <c:pt idx="298">
                  <c:v>95.51098323850016</c:v>
                </c:pt>
                <c:pt idx="299">
                  <c:v>95.511855544155779</c:v>
                </c:pt>
                <c:pt idx="300">
                  <c:v>95.513071538042908</c:v>
                </c:pt>
                <c:pt idx="301">
                  <c:v>95.515653824603504</c:v>
                </c:pt>
                <c:pt idx="302">
                  <c:v>95.508184375773794</c:v>
                </c:pt>
                <c:pt idx="303">
                  <c:v>95.502853880046601</c:v>
                </c:pt>
                <c:pt idx="304">
                  <c:v>95.506488135911255</c:v>
                </c:pt>
                <c:pt idx="305">
                  <c:v>95.499753729137751</c:v>
                </c:pt>
                <c:pt idx="306">
                  <c:v>95.504850831388012</c:v>
                </c:pt>
                <c:pt idx="307">
                  <c:v>95.508967547752519</c:v>
                </c:pt>
                <c:pt idx="308">
                  <c:v>95.509498041518626</c:v>
                </c:pt>
                <c:pt idx="309">
                  <c:v>95.512029446425842</c:v>
                </c:pt>
                <c:pt idx="310">
                  <c:v>95.514815204960584</c:v>
                </c:pt>
                <c:pt idx="311">
                  <c:v>95.527485632045398</c:v>
                </c:pt>
                <c:pt idx="312">
                  <c:v>95.527250530762046</c:v>
                </c:pt>
                <c:pt idx="313">
                  <c:v>95.538868346846712</c:v>
                </c:pt>
                <c:pt idx="314">
                  <c:v>95.530575131447577</c:v>
                </c:pt>
                <c:pt idx="315">
                  <c:v>95.549020929255533</c:v>
                </c:pt>
                <c:pt idx="316">
                  <c:v>95.541185970450755</c:v>
                </c:pt>
                <c:pt idx="317">
                  <c:v>95.555549493562353</c:v>
                </c:pt>
                <c:pt idx="318">
                  <c:v>95.57912083181354</c:v>
                </c:pt>
                <c:pt idx="319">
                  <c:v>95.569410219552097</c:v>
                </c:pt>
                <c:pt idx="320">
                  <c:v>95.579660749324262</c:v>
                </c:pt>
                <c:pt idx="321">
                  <c:v>95.585198716320377</c:v>
                </c:pt>
                <c:pt idx="322">
                  <c:v>95.579973224929532</c:v>
                </c:pt>
                <c:pt idx="323">
                  <c:v>95.627033491161058</c:v>
                </c:pt>
                <c:pt idx="324">
                  <c:v>95.592433555744265</c:v>
                </c:pt>
                <c:pt idx="325">
                  <c:v>95.638442169670299</c:v>
                </c:pt>
                <c:pt idx="326">
                  <c:v>95.637969519257112</c:v>
                </c:pt>
                <c:pt idx="327">
                  <c:v>95.634602869623436</c:v>
                </c:pt>
                <c:pt idx="328">
                  <c:v>95.690608999263588</c:v>
                </c:pt>
                <c:pt idx="329">
                  <c:v>95.753741626092733</c:v>
                </c:pt>
                <c:pt idx="330">
                  <c:v>95.769889928007217</c:v>
                </c:pt>
                <c:pt idx="331">
                  <c:v>95.784237416451916</c:v>
                </c:pt>
                <c:pt idx="332">
                  <c:v>95.777348598934992</c:v>
                </c:pt>
                <c:pt idx="333">
                  <c:v>95.763319371161401</c:v>
                </c:pt>
                <c:pt idx="334">
                  <c:v>95.804497409237115</c:v>
                </c:pt>
                <c:pt idx="335">
                  <c:v>95.824214009515487</c:v>
                </c:pt>
                <c:pt idx="336">
                  <c:v>95.831976443681441</c:v>
                </c:pt>
                <c:pt idx="337">
                  <c:v>95.842351558758864</c:v>
                </c:pt>
                <c:pt idx="338">
                  <c:v>95.812019353594764</c:v>
                </c:pt>
                <c:pt idx="339">
                  <c:v>95.827626201971754</c:v>
                </c:pt>
                <c:pt idx="340">
                  <c:v>95.831890939386071</c:v>
                </c:pt>
                <c:pt idx="341">
                  <c:v>95.847324960296618</c:v>
                </c:pt>
                <c:pt idx="342">
                  <c:v>95.83715801948523</c:v>
                </c:pt>
                <c:pt idx="343">
                  <c:v>95.872669784487215</c:v>
                </c:pt>
                <c:pt idx="344">
                  <c:v>95.882284325401358</c:v>
                </c:pt>
                <c:pt idx="345">
                  <c:v>95.892984984588296</c:v>
                </c:pt>
                <c:pt idx="346">
                  <c:v>95.908821609354078</c:v>
                </c:pt>
                <c:pt idx="347">
                  <c:v>95.908445472006704</c:v>
                </c:pt>
                <c:pt idx="348">
                  <c:v>95.92050488029426</c:v>
                </c:pt>
                <c:pt idx="349">
                  <c:v>95.907655892018326</c:v>
                </c:pt>
                <c:pt idx="350">
                  <c:v>95.921817195316407</c:v>
                </c:pt>
                <c:pt idx="351">
                  <c:v>95.910098973483414</c:v>
                </c:pt>
                <c:pt idx="352">
                  <c:v>95.925532900618265</c:v>
                </c:pt>
                <c:pt idx="353">
                  <c:v>95.9254397489713</c:v>
                </c:pt>
                <c:pt idx="354">
                  <c:v>95.94816662697302</c:v>
                </c:pt>
                <c:pt idx="355">
                  <c:v>95.911095277422731</c:v>
                </c:pt>
                <c:pt idx="356">
                  <c:v>95.929763370113804</c:v>
                </c:pt>
                <c:pt idx="357">
                  <c:v>95.922428108376138</c:v>
                </c:pt>
                <c:pt idx="358">
                  <c:v>95.925476603259014</c:v>
                </c:pt>
                <c:pt idx="359">
                  <c:v>95.926003590018638</c:v>
                </c:pt>
                <c:pt idx="360">
                  <c:v>95.918763375235443</c:v>
                </c:pt>
                <c:pt idx="361">
                  <c:v>95.89693408852618</c:v>
                </c:pt>
                <c:pt idx="362">
                  <c:v>95.896453503359851</c:v>
                </c:pt>
                <c:pt idx="363">
                  <c:v>95.88931933888199</c:v>
                </c:pt>
                <c:pt idx="364">
                  <c:v>95.88640110326719</c:v>
                </c:pt>
                <c:pt idx="365">
                  <c:v>95.873945820997378</c:v>
                </c:pt>
                <c:pt idx="366">
                  <c:v>95.864333481035715</c:v>
                </c:pt>
                <c:pt idx="367">
                  <c:v>95.84148387588985</c:v>
                </c:pt>
                <c:pt idx="368">
                  <c:v>95.823361375713972</c:v>
                </c:pt>
                <c:pt idx="369">
                  <c:v>95.817297290593189</c:v>
                </c:pt>
                <c:pt idx="370">
                  <c:v>95.807464467972594</c:v>
                </c:pt>
                <c:pt idx="371">
                  <c:v>95.789229958677964</c:v>
                </c:pt>
                <c:pt idx="372">
                  <c:v>95.763054486265005</c:v>
                </c:pt>
                <c:pt idx="373">
                  <c:v>95.77468755134116</c:v>
                </c:pt>
                <c:pt idx="374">
                  <c:v>95.762385418869002</c:v>
                </c:pt>
                <c:pt idx="375">
                  <c:v>95.768732771282217</c:v>
                </c:pt>
                <c:pt idx="376">
                  <c:v>95.749777721607472</c:v>
                </c:pt>
                <c:pt idx="377">
                  <c:v>95.740713401045355</c:v>
                </c:pt>
                <c:pt idx="378">
                  <c:v>95.714274837382035</c:v>
                </c:pt>
                <c:pt idx="379">
                  <c:v>95.713453849761763</c:v>
                </c:pt>
                <c:pt idx="380">
                  <c:v>95.699798688354136</c:v>
                </c:pt>
                <c:pt idx="381">
                  <c:v>95.672960977500935</c:v>
                </c:pt>
                <c:pt idx="382">
                  <c:v>95.651005399725193</c:v>
                </c:pt>
                <c:pt idx="383">
                  <c:v>95.628793794880721</c:v>
                </c:pt>
                <c:pt idx="384">
                  <c:v>95.616479708203101</c:v>
                </c:pt>
                <c:pt idx="385">
                  <c:v>95.589323553864361</c:v>
                </c:pt>
                <c:pt idx="386">
                  <c:v>95.546752910753014</c:v>
                </c:pt>
                <c:pt idx="387">
                  <c:v>95.520727228160382</c:v>
                </c:pt>
                <c:pt idx="388">
                  <c:v>95.493261248481957</c:v>
                </c:pt>
                <c:pt idx="389">
                  <c:v>95.450232166811361</c:v>
                </c:pt>
                <c:pt idx="390">
                  <c:v>95.388760983522928</c:v>
                </c:pt>
                <c:pt idx="391">
                  <c:v>95.33525539694088</c:v>
                </c:pt>
                <c:pt idx="392">
                  <c:v>95.289906374357059</c:v>
                </c:pt>
                <c:pt idx="393">
                  <c:v>95.208521983228351</c:v>
                </c:pt>
                <c:pt idx="394">
                  <c:v>95.133995425515266</c:v>
                </c:pt>
                <c:pt idx="395">
                  <c:v>95.054998589295934</c:v>
                </c:pt>
                <c:pt idx="396">
                  <c:v>94.972623863755018</c:v>
                </c:pt>
                <c:pt idx="397">
                  <c:v>94.894992120421009</c:v>
                </c:pt>
                <c:pt idx="398">
                  <c:v>94.809160194298499</c:v>
                </c:pt>
                <c:pt idx="399">
                  <c:v>94.711613951504674</c:v>
                </c:pt>
                <c:pt idx="400">
                  <c:v>94.60729885954153</c:v>
                </c:pt>
                <c:pt idx="401">
                  <c:v>94.496391317295974</c:v>
                </c:pt>
                <c:pt idx="402">
                  <c:v>94.373490978672692</c:v>
                </c:pt>
                <c:pt idx="403">
                  <c:v>94.237604778587155</c:v>
                </c:pt>
                <c:pt idx="404">
                  <c:v>94.104597761652641</c:v>
                </c:pt>
                <c:pt idx="405">
                  <c:v>93.949177717178685</c:v>
                </c:pt>
                <c:pt idx="406">
                  <c:v>93.78388776896989</c:v>
                </c:pt>
                <c:pt idx="407">
                  <c:v>93.597128682730769</c:v>
                </c:pt>
                <c:pt idx="408">
                  <c:v>93.409783720999656</c:v>
                </c:pt>
                <c:pt idx="409">
                  <c:v>93.184910857934668</c:v>
                </c:pt>
                <c:pt idx="410">
                  <c:v>92.948886469049</c:v>
                </c:pt>
                <c:pt idx="411">
                  <c:v>92.727536205763784</c:v>
                </c:pt>
                <c:pt idx="412">
                  <c:v>92.4688817044903</c:v>
                </c:pt>
                <c:pt idx="413">
                  <c:v>92.211784698790694</c:v>
                </c:pt>
                <c:pt idx="414">
                  <c:v>91.936330440809471</c:v>
                </c:pt>
                <c:pt idx="415">
                  <c:v>91.626531665194918</c:v>
                </c:pt>
                <c:pt idx="416">
                  <c:v>91.298118697190958</c:v>
                </c:pt>
                <c:pt idx="417">
                  <c:v>90.903610440808563</c:v>
                </c:pt>
                <c:pt idx="418">
                  <c:v>90.499013936617544</c:v>
                </c:pt>
                <c:pt idx="419">
                  <c:v>90.015138063911962</c:v>
                </c:pt>
                <c:pt idx="420">
                  <c:v>89.438160314018361</c:v>
                </c:pt>
                <c:pt idx="421">
                  <c:v>88.749105219078345</c:v>
                </c:pt>
                <c:pt idx="422">
                  <c:v>87.881389730583876</c:v>
                </c:pt>
                <c:pt idx="423">
                  <c:v>86.881246119249923</c:v>
                </c:pt>
                <c:pt idx="424">
                  <c:v>85.989926248714696</c:v>
                </c:pt>
                <c:pt idx="425">
                  <c:v>85.177091702970273</c:v>
                </c:pt>
                <c:pt idx="426">
                  <c:v>84.204244075410372</c:v>
                </c:pt>
                <c:pt idx="427">
                  <c:v>82.93632110735372</c:v>
                </c:pt>
                <c:pt idx="428">
                  <c:v>81.308615430940606</c:v>
                </c:pt>
                <c:pt idx="429">
                  <c:v>79.222831984289172</c:v>
                </c:pt>
                <c:pt idx="430">
                  <c:v>76.347494912991749</c:v>
                </c:pt>
                <c:pt idx="431">
                  <c:v>72.277001973519234</c:v>
                </c:pt>
                <c:pt idx="432">
                  <c:v>66.294781679912248</c:v>
                </c:pt>
                <c:pt idx="433">
                  <c:v>56.91094388806448</c:v>
                </c:pt>
                <c:pt idx="434">
                  <c:v>42.229422212618296</c:v>
                </c:pt>
                <c:pt idx="435">
                  <c:v>23.501788852132854</c:v>
                </c:pt>
                <c:pt idx="436">
                  <c:v>9.626517187160621</c:v>
                </c:pt>
                <c:pt idx="437">
                  <c:v>7.0051096620550757</c:v>
                </c:pt>
                <c:pt idx="438">
                  <c:v>6.8802268573791681</c:v>
                </c:pt>
                <c:pt idx="439">
                  <c:v>6.86138257162506</c:v>
                </c:pt>
                <c:pt idx="440">
                  <c:v>6.4414157673805956</c:v>
                </c:pt>
                <c:pt idx="441">
                  <c:v>6.0555038965895287</c:v>
                </c:pt>
                <c:pt idx="442">
                  <c:v>5.729811037301304</c:v>
                </c:pt>
                <c:pt idx="443">
                  <c:v>5.633346162036168</c:v>
                </c:pt>
                <c:pt idx="444">
                  <c:v>5.590965479825087</c:v>
                </c:pt>
                <c:pt idx="445">
                  <c:v>5.7420184217866046</c:v>
                </c:pt>
                <c:pt idx="446">
                  <c:v>5.6258830513767251</c:v>
                </c:pt>
                <c:pt idx="447">
                  <c:v>5.713747288480997</c:v>
                </c:pt>
                <c:pt idx="448">
                  <c:v>5.7722653938550987</c:v>
                </c:pt>
                <c:pt idx="449">
                  <c:v>6.0274522869058735</c:v>
                </c:pt>
                <c:pt idx="450">
                  <c:v>6.2551709192269183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1B-4E32-9BBB-DBAB3EB61878}"/>
            </c:ext>
          </c:extLst>
        </c:ser>
        <c:ser>
          <c:idx val="0"/>
          <c:order val="1"/>
          <c:tx>
            <c:strRef>
              <c:f>refl5!$AS$76</c:f>
              <c:strCache>
                <c:ptCount val="1"/>
                <c:pt idx="0">
                  <c:v>FBW5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refl5!$AS$79:$AS$529</c:f>
              <c:numCache>
                <c:formatCode>0.00</c:formatCode>
                <c:ptCount val="451"/>
                <c:pt idx="0">
                  <c:v>82.93400233502193</c:v>
                </c:pt>
                <c:pt idx="1">
                  <c:v>83.487570343747237</c:v>
                </c:pt>
                <c:pt idx="2">
                  <c:v>82.317082397562856</c:v>
                </c:pt>
                <c:pt idx="3">
                  <c:v>83.558925358804444</c:v>
                </c:pt>
                <c:pt idx="4">
                  <c:v>83.321749717853791</c:v>
                </c:pt>
                <c:pt idx="5">
                  <c:v>84.118346817898114</c:v>
                </c:pt>
                <c:pt idx="6">
                  <c:v>84.302839211047157</c:v>
                </c:pt>
                <c:pt idx="7">
                  <c:v>84.265792338147591</c:v>
                </c:pt>
                <c:pt idx="8">
                  <c:v>84.437786718549773</c:v>
                </c:pt>
                <c:pt idx="9">
                  <c:v>84.721496978985428</c:v>
                </c:pt>
                <c:pt idx="10">
                  <c:v>85.061525148579349</c:v>
                </c:pt>
                <c:pt idx="11">
                  <c:v>85.376299290074599</c:v>
                </c:pt>
                <c:pt idx="12">
                  <c:v>85.590215736647409</c:v>
                </c:pt>
                <c:pt idx="13">
                  <c:v>85.807740909895983</c:v>
                </c:pt>
                <c:pt idx="14">
                  <c:v>86.114177077173508</c:v>
                </c:pt>
                <c:pt idx="15">
                  <c:v>86.316788662497345</c:v>
                </c:pt>
                <c:pt idx="16">
                  <c:v>86.523335118722613</c:v>
                </c:pt>
                <c:pt idx="17">
                  <c:v>86.765935411772261</c:v>
                </c:pt>
                <c:pt idx="18">
                  <c:v>87.030430006639776</c:v>
                </c:pt>
                <c:pt idx="19">
                  <c:v>87.190068087328072</c:v>
                </c:pt>
                <c:pt idx="20">
                  <c:v>87.327069179102537</c:v>
                </c:pt>
                <c:pt idx="21">
                  <c:v>87.410503213151415</c:v>
                </c:pt>
                <c:pt idx="22">
                  <c:v>87.553269288119324</c:v>
                </c:pt>
                <c:pt idx="23">
                  <c:v>87.682703813489567</c:v>
                </c:pt>
                <c:pt idx="24">
                  <c:v>87.792157223239585</c:v>
                </c:pt>
                <c:pt idx="25">
                  <c:v>87.884808604210448</c:v>
                </c:pt>
                <c:pt idx="26">
                  <c:v>87.838466001025949</c:v>
                </c:pt>
                <c:pt idx="27">
                  <c:v>87.974611378412419</c:v>
                </c:pt>
                <c:pt idx="28">
                  <c:v>88.010291374921692</c:v>
                </c:pt>
                <c:pt idx="29">
                  <c:v>88.078807153097102</c:v>
                </c:pt>
                <c:pt idx="30">
                  <c:v>88.113084397753553</c:v>
                </c:pt>
                <c:pt idx="31">
                  <c:v>88.102651945783066</c:v>
                </c:pt>
                <c:pt idx="32">
                  <c:v>88.163258435100317</c:v>
                </c:pt>
                <c:pt idx="33">
                  <c:v>88.111767585576047</c:v>
                </c:pt>
                <c:pt idx="34">
                  <c:v>88.111650976750468</c:v>
                </c:pt>
                <c:pt idx="35">
                  <c:v>88.119389542810538</c:v>
                </c:pt>
                <c:pt idx="36">
                  <c:v>88.077191783205421</c:v>
                </c:pt>
                <c:pt idx="37">
                  <c:v>88.070663672252962</c:v>
                </c:pt>
                <c:pt idx="38">
                  <c:v>87.968379422199362</c:v>
                </c:pt>
                <c:pt idx="39">
                  <c:v>87.941574502183201</c:v>
                </c:pt>
                <c:pt idx="40">
                  <c:v>87.836555742618472</c:v>
                </c:pt>
                <c:pt idx="41">
                  <c:v>87.802228423507856</c:v>
                </c:pt>
                <c:pt idx="42">
                  <c:v>87.701178967677421</c:v>
                </c:pt>
                <c:pt idx="43">
                  <c:v>87.610028433321517</c:v>
                </c:pt>
                <c:pt idx="44">
                  <c:v>87.506634572176793</c:v>
                </c:pt>
                <c:pt idx="45">
                  <c:v>87.365997333460598</c:v>
                </c:pt>
                <c:pt idx="46">
                  <c:v>87.284605770847975</c:v>
                </c:pt>
                <c:pt idx="47">
                  <c:v>87.182240161849094</c:v>
                </c:pt>
                <c:pt idx="48">
                  <c:v>87.05235028673782</c:v>
                </c:pt>
                <c:pt idx="49">
                  <c:v>86.937676625831486</c:v>
                </c:pt>
                <c:pt idx="50">
                  <c:v>86.787630965710832</c:v>
                </c:pt>
                <c:pt idx="51">
                  <c:v>86.665782453395011</c:v>
                </c:pt>
                <c:pt idx="52">
                  <c:v>86.581245728140445</c:v>
                </c:pt>
                <c:pt idx="53">
                  <c:v>86.481559692728396</c:v>
                </c:pt>
                <c:pt idx="54">
                  <c:v>86.414750946727665</c:v>
                </c:pt>
                <c:pt idx="55">
                  <c:v>86.390469176485439</c:v>
                </c:pt>
                <c:pt idx="56">
                  <c:v>86.469704028490739</c:v>
                </c:pt>
                <c:pt idx="57">
                  <c:v>86.576154416615893</c:v>
                </c:pt>
                <c:pt idx="58">
                  <c:v>86.7927413251915</c:v>
                </c:pt>
                <c:pt idx="59">
                  <c:v>87.081572812573199</c:v>
                </c:pt>
                <c:pt idx="60">
                  <c:v>87.458623048366462</c:v>
                </c:pt>
                <c:pt idx="61">
                  <c:v>87.939795717375873</c:v>
                </c:pt>
                <c:pt idx="62">
                  <c:v>88.46883393511321</c:v>
                </c:pt>
                <c:pt idx="63">
                  <c:v>89.034564622723948</c:v>
                </c:pt>
                <c:pt idx="64">
                  <c:v>89.552391725139515</c:v>
                </c:pt>
                <c:pt idx="65">
                  <c:v>90.053023551412423</c:v>
                </c:pt>
                <c:pt idx="66">
                  <c:v>90.468844663074535</c:v>
                </c:pt>
                <c:pt idx="67">
                  <c:v>90.817093128833747</c:v>
                </c:pt>
                <c:pt idx="68">
                  <c:v>91.114821331945606</c:v>
                </c:pt>
                <c:pt idx="69">
                  <c:v>91.342524023601982</c:v>
                </c:pt>
                <c:pt idx="70">
                  <c:v>91.575216615570397</c:v>
                </c:pt>
                <c:pt idx="71">
                  <c:v>91.736071001827341</c:v>
                </c:pt>
                <c:pt idx="72">
                  <c:v>91.897971641107461</c:v>
                </c:pt>
                <c:pt idx="73">
                  <c:v>92.041943690655458</c:v>
                </c:pt>
                <c:pt idx="74">
                  <c:v>92.177940090395097</c:v>
                </c:pt>
                <c:pt idx="75">
                  <c:v>92.295685592194275</c:v>
                </c:pt>
                <c:pt idx="76">
                  <c:v>92.426364531206119</c:v>
                </c:pt>
                <c:pt idx="77">
                  <c:v>92.527810697449468</c:v>
                </c:pt>
                <c:pt idx="78">
                  <c:v>92.615078353585702</c:v>
                </c:pt>
                <c:pt idx="79">
                  <c:v>92.696887580138139</c:v>
                </c:pt>
                <c:pt idx="80">
                  <c:v>92.753705399749848</c:v>
                </c:pt>
                <c:pt idx="81">
                  <c:v>92.794551661932417</c:v>
                </c:pt>
                <c:pt idx="82">
                  <c:v>92.865987312151177</c:v>
                </c:pt>
                <c:pt idx="83">
                  <c:v>92.911535643742411</c:v>
                </c:pt>
                <c:pt idx="84">
                  <c:v>92.971462292698718</c:v>
                </c:pt>
                <c:pt idx="85">
                  <c:v>93.013603566490204</c:v>
                </c:pt>
                <c:pt idx="86">
                  <c:v>93.058088756039368</c:v>
                </c:pt>
                <c:pt idx="87">
                  <c:v>93.102902016382586</c:v>
                </c:pt>
                <c:pt idx="88">
                  <c:v>93.129853007799341</c:v>
                </c:pt>
                <c:pt idx="89">
                  <c:v>93.182362483846973</c:v>
                </c:pt>
                <c:pt idx="90">
                  <c:v>93.19786025751965</c:v>
                </c:pt>
                <c:pt idx="91">
                  <c:v>93.245787777774694</c:v>
                </c:pt>
                <c:pt idx="92">
                  <c:v>93.275067104474871</c:v>
                </c:pt>
                <c:pt idx="93">
                  <c:v>93.288084360816981</c:v>
                </c:pt>
                <c:pt idx="94">
                  <c:v>93.342275864942579</c:v>
                </c:pt>
                <c:pt idx="95">
                  <c:v>93.361555107552945</c:v>
                </c:pt>
                <c:pt idx="96">
                  <c:v>93.416278745754724</c:v>
                </c:pt>
                <c:pt idx="97">
                  <c:v>93.444107008532512</c:v>
                </c:pt>
                <c:pt idx="98">
                  <c:v>93.486811483080373</c:v>
                </c:pt>
                <c:pt idx="99">
                  <c:v>93.522120547498005</c:v>
                </c:pt>
                <c:pt idx="100">
                  <c:v>93.565922209357709</c:v>
                </c:pt>
                <c:pt idx="101">
                  <c:v>93.597779009477804</c:v>
                </c:pt>
                <c:pt idx="102">
                  <c:v>93.623881426789993</c:v>
                </c:pt>
                <c:pt idx="103">
                  <c:v>93.665280492896954</c:v>
                </c:pt>
                <c:pt idx="104">
                  <c:v>93.707084057919303</c:v>
                </c:pt>
                <c:pt idx="105">
                  <c:v>93.751485304981955</c:v>
                </c:pt>
                <c:pt idx="106">
                  <c:v>93.793711310542903</c:v>
                </c:pt>
                <c:pt idx="107">
                  <c:v>93.838304236268698</c:v>
                </c:pt>
                <c:pt idx="108">
                  <c:v>93.89460098444188</c:v>
                </c:pt>
                <c:pt idx="109">
                  <c:v>93.932356529532584</c:v>
                </c:pt>
                <c:pt idx="110">
                  <c:v>93.96340905871989</c:v>
                </c:pt>
                <c:pt idx="111">
                  <c:v>94.011500361913818</c:v>
                </c:pt>
                <c:pt idx="112">
                  <c:v>94.05916746177212</c:v>
                </c:pt>
                <c:pt idx="113">
                  <c:v>94.109902472150495</c:v>
                </c:pt>
                <c:pt idx="114">
                  <c:v>94.170895902024199</c:v>
                </c:pt>
                <c:pt idx="115">
                  <c:v>94.246513608718317</c:v>
                </c:pt>
                <c:pt idx="116">
                  <c:v>94.299112927270812</c:v>
                </c:pt>
                <c:pt idx="117">
                  <c:v>94.336914212536684</c:v>
                </c:pt>
                <c:pt idx="118">
                  <c:v>94.397439242223655</c:v>
                </c:pt>
                <c:pt idx="119">
                  <c:v>94.436540448965715</c:v>
                </c:pt>
                <c:pt idx="120">
                  <c:v>94.501838041880546</c:v>
                </c:pt>
                <c:pt idx="121">
                  <c:v>94.549994105448647</c:v>
                </c:pt>
                <c:pt idx="122">
                  <c:v>94.587997669527752</c:v>
                </c:pt>
                <c:pt idx="123">
                  <c:v>94.597024605540298</c:v>
                </c:pt>
                <c:pt idx="124">
                  <c:v>94.614609772266249</c:v>
                </c:pt>
                <c:pt idx="125">
                  <c:v>94.65700355208314</c:v>
                </c:pt>
                <c:pt idx="126">
                  <c:v>94.688963481651243</c:v>
                </c:pt>
                <c:pt idx="127">
                  <c:v>94.733517407375189</c:v>
                </c:pt>
                <c:pt idx="128">
                  <c:v>94.77807133309912</c:v>
                </c:pt>
                <c:pt idx="129">
                  <c:v>94.822625258823066</c:v>
                </c:pt>
                <c:pt idx="130">
                  <c:v>94.838745363186874</c:v>
                </c:pt>
                <c:pt idx="131">
                  <c:v>94.857236567395987</c:v>
                </c:pt>
                <c:pt idx="132">
                  <c:v>94.908150608579831</c:v>
                </c:pt>
                <c:pt idx="133">
                  <c:v>94.964597875624278</c:v>
                </c:pt>
                <c:pt idx="134">
                  <c:v>94.997607835803535</c:v>
                </c:pt>
                <c:pt idx="135">
                  <c:v>95.036899919450434</c:v>
                </c:pt>
                <c:pt idx="136">
                  <c:v>95.058821496742027</c:v>
                </c:pt>
                <c:pt idx="137">
                  <c:v>95.115512298298711</c:v>
                </c:pt>
                <c:pt idx="138">
                  <c:v>95.133883431429979</c:v>
                </c:pt>
                <c:pt idx="139">
                  <c:v>95.164897565665385</c:v>
                </c:pt>
                <c:pt idx="140">
                  <c:v>95.204767744169885</c:v>
                </c:pt>
                <c:pt idx="141">
                  <c:v>95.24675804333792</c:v>
                </c:pt>
                <c:pt idx="142">
                  <c:v>95.286569113277309</c:v>
                </c:pt>
                <c:pt idx="143">
                  <c:v>95.324467725531989</c:v>
                </c:pt>
                <c:pt idx="144">
                  <c:v>95.366407357780318</c:v>
                </c:pt>
                <c:pt idx="145">
                  <c:v>95.407122572781716</c:v>
                </c:pt>
                <c:pt idx="146">
                  <c:v>95.459591944721126</c:v>
                </c:pt>
                <c:pt idx="147">
                  <c:v>95.504366426286353</c:v>
                </c:pt>
                <c:pt idx="148">
                  <c:v>95.540818435643232</c:v>
                </c:pt>
                <c:pt idx="149">
                  <c:v>95.590762239921673</c:v>
                </c:pt>
                <c:pt idx="150">
                  <c:v>95.628221589291797</c:v>
                </c:pt>
                <c:pt idx="151">
                  <c:v>95.678626829218061</c:v>
                </c:pt>
                <c:pt idx="152">
                  <c:v>95.723934292257397</c:v>
                </c:pt>
                <c:pt idx="153">
                  <c:v>95.767658862468679</c:v>
                </c:pt>
                <c:pt idx="154">
                  <c:v>95.802989666236385</c:v>
                </c:pt>
                <c:pt idx="155">
                  <c:v>95.836990967946932</c:v>
                </c:pt>
                <c:pt idx="156">
                  <c:v>95.870165726765279</c:v>
                </c:pt>
                <c:pt idx="157">
                  <c:v>95.901265560930312</c:v>
                </c:pt>
                <c:pt idx="158">
                  <c:v>95.940769848961665</c:v>
                </c:pt>
                <c:pt idx="159">
                  <c:v>95.972398002168248</c:v>
                </c:pt>
                <c:pt idx="160">
                  <c:v>96.018712523723806</c:v>
                </c:pt>
                <c:pt idx="161">
                  <c:v>96.05143960593152</c:v>
                </c:pt>
                <c:pt idx="162">
                  <c:v>96.086930608717978</c:v>
                </c:pt>
                <c:pt idx="163">
                  <c:v>96.124761879955187</c:v>
                </c:pt>
                <c:pt idx="164">
                  <c:v>96.141862595309206</c:v>
                </c:pt>
                <c:pt idx="165">
                  <c:v>96.159992480450498</c:v>
                </c:pt>
                <c:pt idx="166">
                  <c:v>96.176930421205199</c:v>
                </c:pt>
                <c:pt idx="167">
                  <c:v>96.204253507833144</c:v>
                </c:pt>
                <c:pt idx="168">
                  <c:v>96.220497344983571</c:v>
                </c:pt>
                <c:pt idx="169">
                  <c:v>96.246290911504673</c:v>
                </c:pt>
                <c:pt idx="170">
                  <c:v>96.271609062055845</c:v>
                </c:pt>
                <c:pt idx="171">
                  <c:v>96.296062799145417</c:v>
                </c:pt>
                <c:pt idx="172">
                  <c:v>96.305677925232132</c:v>
                </c:pt>
                <c:pt idx="173">
                  <c:v>96.325731123792707</c:v>
                </c:pt>
                <c:pt idx="174">
                  <c:v>96.348101230066334</c:v>
                </c:pt>
                <c:pt idx="175">
                  <c:v>96.361653390386934</c:v>
                </c:pt>
                <c:pt idx="176">
                  <c:v>96.365974216327913</c:v>
                </c:pt>
                <c:pt idx="177">
                  <c:v>96.379276634463466</c:v>
                </c:pt>
                <c:pt idx="178">
                  <c:v>96.383627195403847</c:v>
                </c:pt>
                <c:pt idx="179">
                  <c:v>96.387599660886011</c:v>
                </c:pt>
                <c:pt idx="180">
                  <c:v>96.424471601033517</c:v>
                </c:pt>
                <c:pt idx="181">
                  <c:v>96.431179569527941</c:v>
                </c:pt>
                <c:pt idx="182">
                  <c:v>96.442555379676946</c:v>
                </c:pt>
                <c:pt idx="183">
                  <c:v>96.477171307194041</c:v>
                </c:pt>
                <c:pt idx="184">
                  <c:v>96.475054327861031</c:v>
                </c:pt>
                <c:pt idx="185">
                  <c:v>96.491867160307535</c:v>
                </c:pt>
                <c:pt idx="186">
                  <c:v>96.51909469205134</c:v>
                </c:pt>
                <c:pt idx="187">
                  <c:v>96.52470611114056</c:v>
                </c:pt>
                <c:pt idx="188">
                  <c:v>96.547479239627236</c:v>
                </c:pt>
                <c:pt idx="189">
                  <c:v>96.54824208908208</c:v>
                </c:pt>
                <c:pt idx="190">
                  <c:v>96.567314838573807</c:v>
                </c:pt>
                <c:pt idx="191">
                  <c:v>96.575387587317948</c:v>
                </c:pt>
                <c:pt idx="192">
                  <c:v>96.573204405577656</c:v>
                </c:pt>
                <c:pt idx="193">
                  <c:v>96.563147403435778</c:v>
                </c:pt>
                <c:pt idx="194">
                  <c:v>96.566383538172389</c:v>
                </c:pt>
                <c:pt idx="195">
                  <c:v>96.560117884618705</c:v>
                </c:pt>
                <c:pt idx="196">
                  <c:v>96.551955023169185</c:v>
                </c:pt>
                <c:pt idx="197">
                  <c:v>96.5557296933993</c:v>
                </c:pt>
                <c:pt idx="198">
                  <c:v>96.564233665831537</c:v>
                </c:pt>
                <c:pt idx="199">
                  <c:v>96.544540900653303</c:v>
                </c:pt>
                <c:pt idx="200">
                  <c:v>96.537693268904505</c:v>
                </c:pt>
                <c:pt idx="201">
                  <c:v>96.514201010119962</c:v>
                </c:pt>
                <c:pt idx="202">
                  <c:v>96.475930668739167</c:v>
                </c:pt>
                <c:pt idx="203">
                  <c:v>96.479277331738615</c:v>
                </c:pt>
                <c:pt idx="204">
                  <c:v>96.448227244229614</c:v>
                </c:pt>
                <c:pt idx="205">
                  <c:v>96.41791685709704</c:v>
                </c:pt>
                <c:pt idx="206">
                  <c:v>96.383507036190323</c:v>
                </c:pt>
                <c:pt idx="207">
                  <c:v>96.355558568563879</c:v>
                </c:pt>
                <c:pt idx="208">
                  <c:v>96.302967270196802</c:v>
                </c:pt>
                <c:pt idx="209">
                  <c:v>96.246351964524465</c:v>
                </c:pt>
                <c:pt idx="210">
                  <c:v>96.21207189506076</c:v>
                </c:pt>
                <c:pt idx="211">
                  <c:v>96.14032318344691</c:v>
                </c:pt>
                <c:pt idx="212">
                  <c:v>96.074173793086388</c:v>
                </c:pt>
                <c:pt idx="213">
                  <c:v>96.012228132960345</c:v>
                </c:pt>
                <c:pt idx="214">
                  <c:v>95.956537292384837</c:v>
                </c:pt>
                <c:pt idx="215">
                  <c:v>95.892304636498125</c:v>
                </c:pt>
                <c:pt idx="216">
                  <c:v>95.830989548869113</c:v>
                </c:pt>
                <c:pt idx="217">
                  <c:v>95.793628249606499</c:v>
                </c:pt>
                <c:pt idx="218">
                  <c:v>95.801211619091688</c:v>
                </c:pt>
                <c:pt idx="219">
                  <c:v>95.821453950630726</c:v>
                </c:pt>
                <c:pt idx="220">
                  <c:v>95.897001075984448</c:v>
                </c:pt>
                <c:pt idx="221">
                  <c:v>96.000294954289032</c:v>
                </c:pt>
                <c:pt idx="222">
                  <c:v>96.113720577896359</c:v>
                </c:pt>
                <c:pt idx="223">
                  <c:v>96.219564723336305</c:v>
                </c:pt>
                <c:pt idx="224">
                  <c:v>96.289508119645959</c:v>
                </c:pt>
                <c:pt idx="225">
                  <c:v>96.329621931969953</c:v>
                </c:pt>
                <c:pt idx="226">
                  <c:v>96.360923291256597</c:v>
                </c:pt>
                <c:pt idx="227">
                  <c:v>96.356132490338368</c:v>
                </c:pt>
                <c:pt idx="228">
                  <c:v>96.36475330468086</c:v>
                </c:pt>
                <c:pt idx="229">
                  <c:v>96.352918972652859</c:v>
                </c:pt>
                <c:pt idx="230">
                  <c:v>96.354871256261802</c:v>
                </c:pt>
                <c:pt idx="231">
                  <c:v>96.36835279501679</c:v>
                </c:pt>
                <c:pt idx="232">
                  <c:v>96.346625180164324</c:v>
                </c:pt>
                <c:pt idx="233">
                  <c:v>96.34536152233143</c:v>
                </c:pt>
                <c:pt idx="234">
                  <c:v>96.329707586332518</c:v>
                </c:pt>
                <c:pt idx="235">
                  <c:v>96.334507247581527</c:v>
                </c:pt>
                <c:pt idx="236">
                  <c:v>96.318017568049228</c:v>
                </c:pt>
                <c:pt idx="237">
                  <c:v>96.293178899657548</c:v>
                </c:pt>
                <c:pt idx="238">
                  <c:v>96.286330083383476</c:v>
                </c:pt>
                <c:pt idx="239">
                  <c:v>96.271725131128434</c:v>
                </c:pt>
                <c:pt idx="240">
                  <c:v>96.259976050225944</c:v>
                </c:pt>
                <c:pt idx="241">
                  <c:v>96.258077538808877</c:v>
                </c:pt>
                <c:pt idx="242">
                  <c:v>96.23748977592625</c:v>
                </c:pt>
                <c:pt idx="243">
                  <c:v>96.233835066163962</c:v>
                </c:pt>
                <c:pt idx="244">
                  <c:v>96.206778663247633</c:v>
                </c:pt>
                <c:pt idx="245">
                  <c:v>96.199869024746931</c:v>
                </c:pt>
                <c:pt idx="246">
                  <c:v>96.193970131491085</c:v>
                </c:pt>
                <c:pt idx="247">
                  <c:v>96.160709207169475</c:v>
                </c:pt>
                <c:pt idx="248">
                  <c:v>96.167882546981559</c:v>
                </c:pt>
                <c:pt idx="249">
                  <c:v>96.159067171557922</c:v>
                </c:pt>
                <c:pt idx="250">
                  <c:v>96.128972393846652</c:v>
                </c:pt>
                <c:pt idx="251">
                  <c:v>96.148080419486064</c:v>
                </c:pt>
                <c:pt idx="252">
                  <c:v>96.143741532907924</c:v>
                </c:pt>
                <c:pt idx="253">
                  <c:v>96.129677095291257</c:v>
                </c:pt>
                <c:pt idx="254">
                  <c:v>96.116458085692031</c:v>
                </c:pt>
                <c:pt idx="255">
                  <c:v>96.113952924910791</c:v>
                </c:pt>
                <c:pt idx="256">
                  <c:v>96.115067741102749</c:v>
                </c:pt>
                <c:pt idx="257">
                  <c:v>96.099882901116089</c:v>
                </c:pt>
                <c:pt idx="258">
                  <c:v>96.091198507054287</c:v>
                </c:pt>
                <c:pt idx="259">
                  <c:v>96.07440829769898</c:v>
                </c:pt>
                <c:pt idx="260">
                  <c:v>96.084150929202281</c:v>
                </c:pt>
                <c:pt idx="261">
                  <c:v>96.072187025911262</c:v>
                </c:pt>
                <c:pt idx="262">
                  <c:v>96.05691734567317</c:v>
                </c:pt>
                <c:pt idx="263">
                  <c:v>96.058796946895484</c:v>
                </c:pt>
                <c:pt idx="264">
                  <c:v>96.041365677601448</c:v>
                </c:pt>
                <c:pt idx="265">
                  <c:v>96.022110379329646</c:v>
                </c:pt>
                <c:pt idx="266">
                  <c:v>96.041544222193011</c:v>
                </c:pt>
                <c:pt idx="267">
                  <c:v>96.027375201368997</c:v>
                </c:pt>
                <c:pt idx="268">
                  <c:v>96.00432976531421</c:v>
                </c:pt>
                <c:pt idx="269">
                  <c:v>96.007802089656749</c:v>
                </c:pt>
                <c:pt idx="270">
                  <c:v>96.00467497750121</c:v>
                </c:pt>
                <c:pt idx="271">
                  <c:v>96.005461100034779</c:v>
                </c:pt>
                <c:pt idx="272">
                  <c:v>95.979273380597633</c:v>
                </c:pt>
                <c:pt idx="273">
                  <c:v>95.975062444516496</c:v>
                </c:pt>
                <c:pt idx="274">
                  <c:v>95.971127390106929</c:v>
                </c:pt>
                <c:pt idx="275">
                  <c:v>95.95015807001154</c:v>
                </c:pt>
                <c:pt idx="276">
                  <c:v>95.949599359220585</c:v>
                </c:pt>
                <c:pt idx="277">
                  <c:v>95.941063644705153</c:v>
                </c:pt>
                <c:pt idx="278">
                  <c:v>95.935145868759875</c:v>
                </c:pt>
                <c:pt idx="279">
                  <c:v>95.942556732986858</c:v>
                </c:pt>
                <c:pt idx="280">
                  <c:v>95.922577136769476</c:v>
                </c:pt>
                <c:pt idx="281">
                  <c:v>95.920051874357569</c:v>
                </c:pt>
                <c:pt idx="282">
                  <c:v>95.88885239656274</c:v>
                </c:pt>
                <c:pt idx="283">
                  <c:v>95.898692512712032</c:v>
                </c:pt>
                <c:pt idx="284">
                  <c:v>95.880131390794304</c:v>
                </c:pt>
                <c:pt idx="285">
                  <c:v>95.865941742429982</c:v>
                </c:pt>
                <c:pt idx="286">
                  <c:v>95.855846919577857</c:v>
                </c:pt>
                <c:pt idx="287">
                  <c:v>95.831318370969868</c:v>
                </c:pt>
                <c:pt idx="288">
                  <c:v>95.844224363851637</c:v>
                </c:pt>
                <c:pt idx="289">
                  <c:v>95.80754627851006</c:v>
                </c:pt>
                <c:pt idx="290">
                  <c:v>95.796959591849273</c:v>
                </c:pt>
                <c:pt idx="291">
                  <c:v>95.772417517577011</c:v>
                </c:pt>
                <c:pt idx="292">
                  <c:v>95.7510427981681</c:v>
                </c:pt>
                <c:pt idx="293">
                  <c:v>95.713990777237242</c:v>
                </c:pt>
                <c:pt idx="294">
                  <c:v>95.691049921251121</c:v>
                </c:pt>
                <c:pt idx="295">
                  <c:v>95.67116358571252</c:v>
                </c:pt>
                <c:pt idx="296">
                  <c:v>95.65092127644742</c:v>
                </c:pt>
                <c:pt idx="297">
                  <c:v>95.648255972955113</c:v>
                </c:pt>
                <c:pt idx="298">
                  <c:v>95.638386782361422</c:v>
                </c:pt>
                <c:pt idx="299">
                  <c:v>95.636972674891908</c:v>
                </c:pt>
                <c:pt idx="300">
                  <c:v>95.640400245171563</c:v>
                </c:pt>
                <c:pt idx="301">
                  <c:v>95.651194902859501</c:v>
                </c:pt>
                <c:pt idx="302">
                  <c:v>95.637206710563646</c:v>
                </c:pt>
                <c:pt idx="303">
                  <c:v>95.633974877896094</c:v>
                </c:pt>
                <c:pt idx="304">
                  <c:v>95.635886106534983</c:v>
                </c:pt>
                <c:pt idx="305">
                  <c:v>95.626516065500255</c:v>
                </c:pt>
                <c:pt idx="306">
                  <c:v>95.634724887119646</c:v>
                </c:pt>
                <c:pt idx="307">
                  <c:v>95.628571239990876</c:v>
                </c:pt>
                <c:pt idx="308">
                  <c:v>95.626996716974702</c:v>
                </c:pt>
                <c:pt idx="309">
                  <c:v>95.640903429675589</c:v>
                </c:pt>
                <c:pt idx="310">
                  <c:v>95.64742739484673</c:v>
                </c:pt>
                <c:pt idx="311">
                  <c:v>95.668409286836024</c:v>
                </c:pt>
                <c:pt idx="312">
                  <c:v>95.665866738488589</c:v>
                </c:pt>
                <c:pt idx="313">
                  <c:v>95.667781208994413</c:v>
                </c:pt>
                <c:pt idx="314">
                  <c:v>95.658924301723388</c:v>
                </c:pt>
                <c:pt idx="315">
                  <c:v>95.674460303943917</c:v>
                </c:pt>
                <c:pt idx="316">
                  <c:v>95.666713016709096</c:v>
                </c:pt>
                <c:pt idx="317">
                  <c:v>95.683194568383385</c:v>
                </c:pt>
                <c:pt idx="318">
                  <c:v>95.703377780022194</c:v>
                </c:pt>
                <c:pt idx="319">
                  <c:v>95.688468424744883</c:v>
                </c:pt>
                <c:pt idx="320">
                  <c:v>95.696119424509661</c:v>
                </c:pt>
                <c:pt idx="321">
                  <c:v>95.703051026781125</c:v>
                </c:pt>
                <c:pt idx="322">
                  <c:v>95.695859735143969</c:v>
                </c:pt>
                <c:pt idx="323">
                  <c:v>95.732031066340326</c:v>
                </c:pt>
                <c:pt idx="324">
                  <c:v>95.694836814622235</c:v>
                </c:pt>
                <c:pt idx="325">
                  <c:v>95.742869503560982</c:v>
                </c:pt>
                <c:pt idx="326">
                  <c:v>95.742829222184454</c:v>
                </c:pt>
                <c:pt idx="327">
                  <c:v>95.738576721400364</c:v>
                </c:pt>
                <c:pt idx="328">
                  <c:v>95.798688561634208</c:v>
                </c:pt>
                <c:pt idx="329">
                  <c:v>95.831315184604549</c:v>
                </c:pt>
                <c:pt idx="330">
                  <c:v>95.845214942085406</c:v>
                </c:pt>
                <c:pt idx="331">
                  <c:v>95.886984760161582</c:v>
                </c:pt>
                <c:pt idx="332">
                  <c:v>95.87647149179962</c:v>
                </c:pt>
                <c:pt idx="333">
                  <c:v>95.867522988333405</c:v>
                </c:pt>
                <c:pt idx="334">
                  <c:v>95.902932988484167</c:v>
                </c:pt>
                <c:pt idx="335">
                  <c:v>95.899607220885756</c:v>
                </c:pt>
                <c:pt idx="336">
                  <c:v>95.908501032049926</c:v>
                </c:pt>
                <c:pt idx="337">
                  <c:v>95.929422930156264</c:v>
                </c:pt>
                <c:pt idx="338">
                  <c:v>95.883358179835966</c:v>
                </c:pt>
                <c:pt idx="339">
                  <c:v>95.89451343669451</c:v>
                </c:pt>
                <c:pt idx="340">
                  <c:v>95.892351386708981</c:v>
                </c:pt>
                <c:pt idx="341">
                  <c:v>95.90776083875339</c:v>
                </c:pt>
                <c:pt idx="342">
                  <c:v>95.925629227724656</c:v>
                </c:pt>
                <c:pt idx="343">
                  <c:v>95.978211300838709</c:v>
                </c:pt>
                <c:pt idx="344">
                  <c:v>95.987635295140819</c:v>
                </c:pt>
                <c:pt idx="345">
                  <c:v>95.990906615543466</c:v>
                </c:pt>
                <c:pt idx="346">
                  <c:v>95.994104528708547</c:v>
                </c:pt>
                <c:pt idx="347">
                  <c:v>95.992170328117254</c:v>
                </c:pt>
                <c:pt idx="348">
                  <c:v>96.00818047904913</c:v>
                </c:pt>
                <c:pt idx="349">
                  <c:v>95.966329313676724</c:v>
                </c:pt>
                <c:pt idx="350">
                  <c:v>95.969223768263916</c:v>
                </c:pt>
                <c:pt idx="351">
                  <c:v>95.980455240927711</c:v>
                </c:pt>
                <c:pt idx="352">
                  <c:v>96.009501298726306</c:v>
                </c:pt>
                <c:pt idx="353">
                  <c:v>96.010660174282293</c:v>
                </c:pt>
                <c:pt idx="354">
                  <c:v>96.029037796577256</c:v>
                </c:pt>
                <c:pt idx="355">
                  <c:v>95.97122854241475</c:v>
                </c:pt>
                <c:pt idx="356">
                  <c:v>95.997705741897406</c:v>
                </c:pt>
                <c:pt idx="357">
                  <c:v>95.992985925973471</c:v>
                </c:pt>
                <c:pt idx="358">
                  <c:v>96.008102108993356</c:v>
                </c:pt>
                <c:pt idx="359">
                  <c:v>96.016419691200284</c:v>
                </c:pt>
                <c:pt idx="360">
                  <c:v>95.996239155890194</c:v>
                </c:pt>
                <c:pt idx="361">
                  <c:v>95.975044049245028</c:v>
                </c:pt>
                <c:pt idx="362">
                  <c:v>95.984926291057249</c:v>
                </c:pt>
                <c:pt idx="363">
                  <c:v>95.961783662144228</c:v>
                </c:pt>
                <c:pt idx="364">
                  <c:v>95.977223608225813</c:v>
                </c:pt>
                <c:pt idx="365">
                  <c:v>95.973381877104373</c:v>
                </c:pt>
                <c:pt idx="366">
                  <c:v>95.960794426804839</c:v>
                </c:pt>
                <c:pt idx="367">
                  <c:v>95.939331868945303</c:v>
                </c:pt>
                <c:pt idx="368">
                  <c:v>95.944913208325872</c:v>
                </c:pt>
                <c:pt idx="369">
                  <c:v>95.942334215938786</c:v>
                </c:pt>
                <c:pt idx="370">
                  <c:v>95.924143531051115</c:v>
                </c:pt>
                <c:pt idx="371">
                  <c:v>95.894107466123117</c:v>
                </c:pt>
                <c:pt idx="372">
                  <c:v>95.85384733549644</c:v>
                </c:pt>
                <c:pt idx="373">
                  <c:v>95.86522530965577</c:v>
                </c:pt>
                <c:pt idx="374">
                  <c:v>95.871302989638181</c:v>
                </c:pt>
                <c:pt idx="375">
                  <c:v>95.89616360953022</c:v>
                </c:pt>
                <c:pt idx="376">
                  <c:v>95.872123248012613</c:v>
                </c:pt>
                <c:pt idx="377">
                  <c:v>95.864353486115007</c:v>
                </c:pt>
                <c:pt idx="378">
                  <c:v>95.84534735153693</c:v>
                </c:pt>
                <c:pt idx="379">
                  <c:v>95.848943492652893</c:v>
                </c:pt>
                <c:pt idx="380">
                  <c:v>95.826259638928107</c:v>
                </c:pt>
                <c:pt idx="381">
                  <c:v>95.795999610347863</c:v>
                </c:pt>
                <c:pt idx="382">
                  <c:v>95.770658632680224</c:v>
                </c:pt>
                <c:pt idx="383">
                  <c:v>95.769175886955438</c:v>
                </c:pt>
                <c:pt idx="384">
                  <c:v>95.769859655379548</c:v>
                </c:pt>
                <c:pt idx="385">
                  <c:v>95.736762332004915</c:v>
                </c:pt>
                <c:pt idx="386">
                  <c:v>95.679670565731442</c:v>
                </c:pt>
                <c:pt idx="387">
                  <c:v>95.663985383806747</c:v>
                </c:pt>
                <c:pt idx="388">
                  <c:v>95.620320414086493</c:v>
                </c:pt>
                <c:pt idx="389">
                  <c:v>95.591519170390185</c:v>
                </c:pt>
                <c:pt idx="390">
                  <c:v>95.529947756072104</c:v>
                </c:pt>
                <c:pt idx="391">
                  <c:v>95.4952211427847</c:v>
                </c:pt>
                <c:pt idx="392">
                  <c:v>95.443766205709338</c:v>
                </c:pt>
                <c:pt idx="393">
                  <c:v>95.360662680739892</c:v>
                </c:pt>
                <c:pt idx="394">
                  <c:v>95.284204910488072</c:v>
                </c:pt>
                <c:pt idx="395">
                  <c:v>95.215271729987066</c:v>
                </c:pt>
                <c:pt idx="396">
                  <c:v>95.152462174314039</c:v>
                </c:pt>
                <c:pt idx="397">
                  <c:v>95.079154471011648</c:v>
                </c:pt>
                <c:pt idx="398">
                  <c:v>94.986258509418121</c:v>
                </c:pt>
                <c:pt idx="399">
                  <c:v>94.872205975956376</c:v>
                </c:pt>
                <c:pt idx="400">
                  <c:v>94.792931832834711</c:v>
                </c:pt>
                <c:pt idx="401">
                  <c:v>94.6968105296978</c:v>
                </c:pt>
                <c:pt idx="402">
                  <c:v>94.606414882618466</c:v>
                </c:pt>
                <c:pt idx="403">
                  <c:v>94.469271738247301</c:v>
                </c:pt>
                <c:pt idx="404">
                  <c:v>94.336850241630145</c:v>
                </c:pt>
                <c:pt idx="405">
                  <c:v>94.205111632058106</c:v>
                </c:pt>
                <c:pt idx="406">
                  <c:v>94.057270949290441</c:v>
                </c:pt>
                <c:pt idx="407">
                  <c:v>93.902275487126403</c:v>
                </c:pt>
                <c:pt idx="408">
                  <c:v>93.731036353386926</c:v>
                </c:pt>
                <c:pt idx="409">
                  <c:v>93.509840575747887</c:v>
                </c:pt>
                <c:pt idx="410">
                  <c:v>93.315499695979824</c:v>
                </c:pt>
                <c:pt idx="411">
                  <c:v>93.141904049867705</c:v>
                </c:pt>
                <c:pt idx="412">
                  <c:v>92.909584007713761</c:v>
                </c:pt>
                <c:pt idx="413">
                  <c:v>92.685304021778748</c:v>
                </c:pt>
                <c:pt idx="414">
                  <c:v>92.471699646671937</c:v>
                </c:pt>
                <c:pt idx="415">
                  <c:v>92.212813584712435</c:v>
                </c:pt>
                <c:pt idx="416">
                  <c:v>91.953280077728536</c:v>
                </c:pt>
                <c:pt idx="417">
                  <c:v>91.583178899012367</c:v>
                </c:pt>
                <c:pt idx="418">
                  <c:v>91.260691659162504</c:v>
                </c:pt>
                <c:pt idx="419">
                  <c:v>90.831593706891724</c:v>
                </c:pt>
                <c:pt idx="420">
                  <c:v>90.344406560688924</c:v>
                </c:pt>
                <c:pt idx="421">
                  <c:v>89.724422006411487</c:v>
                </c:pt>
                <c:pt idx="422">
                  <c:v>88.920901493205534</c:v>
                </c:pt>
                <c:pt idx="423">
                  <c:v>87.993958323529355</c:v>
                </c:pt>
                <c:pt idx="424">
                  <c:v>87.085927534002437</c:v>
                </c:pt>
                <c:pt idx="425">
                  <c:v>86.284979177062567</c:v>
                </c:pt>
                <c:pt idx="426">
                  <c:v>85.295380471950395</c:v>
                </c:pt>
                <c:pt idx="427">
                  <c:v>83.959470421646685</c:v>
                </c:pt>
                <c:pt idx="428">
                  <c:v>82.283349695327459</c:v>
                </c:pt>
                <c:pt idx="429">
                  <c:v>80.246425542966008</c:v>
                </c:pt>
                <c:pt idx="430">
                  <c:v>77.363267893820293</c:v>
                </c:pt>
                <c:pt idx="431">
                  <c:v>73.294476691780389</c:v>
                </c:pt>
                <c:pt idx="432">
                  <c:v>67.192297200903724</c:v>
                </c:pt>
                <c:pt idx="433">
                  <c:v>57.925289711291555</c:v>
                </c:pt>
                <c:pt idx="434">
                  <c:v>43.682354724593232</c:v>
                </c:pt>
                <c:pt idx="435">
                  <c:v>25.522643794231684</c:v>
                </c:pt>
                <c:pt idx="436">
                  <c:v>11.031766670859357</c:v>
                </c:pt>
                <c:pt idx="437">
                  <c:v>7.291283120759954</c:v>
                </c:pt>
                <c:pt idx="438">
                  <c:v>6.9267034024867584</c:v>
                </c:pt>
                <c:pt idx="439">
                  <c:v>7.0744000876169428</c:v>
                </c:pt>
                <c:pt idx="440">
                  <c:v>6.6919921814630134</c:v>
                </c:pt>
                <c:pt idx="441">
                  <c:v>6.2939187360659146</c:v>
                </c:pt>
                <c:pt idx="442">
                  <c:v>5.9378602519598749</c:v>
                </c:pt>
                <c:pt idx="443">
                  <c:v>5.8402841357036239</c:v>
                </c:pt>
                <c:pt idx="444">
                  <c:v>5.8145511401644194</c:v>
                </c:pt>
                <c:pt idx="445">
                  <c:v>5.9554533047243652</c:v>
                </c:pt>
                <c:pt idx="446">
                  <c:v>5.8236699928827917</c:v>
                </c:pt>
                <c:pt idx="447">
                  <c:v>5.9156364382183062</c:v>
                </c:pt>
                <c:pt idx="448">
                  <c:v>5.9553626635337151</c:v>
                </c:pt>
                <c:pt idx="449">
                  <c:v>6.192486711838737</c:v>
                </c:pt>
                <c:pt idx="450">
                  <c:v>6.3992691370636967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1B-4E32-9BBB-DBAB3EB61878}"/>
            </c:ext>
          </c:extLst>
        </c:ser>
        <c:ser>
          <c:idx val="1"/>
          <c:order val="2"/>
          <c:tx>
            <c:strRef>
              <c:f>refl5!$AT$76</c:f>
              <c:strCache>
                <c:ptCount val="1"/>
                <c:pt idx="0">
                  <c:v>FBW6</c:v>
                </c:pt>
              </c:strCache>
            </c:strRef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refl5!$AT$79:$AT$529</c:f>
              <c:numCache>
                <c:formatCode>0.00</c:formatCode>
                <c:ptCount val="451"/>
                <c:pt idx="0">
                  <c:v>82.817228479480235</c:v>
                </c:pt>
                <c:pt idx="1">
                  <c:v>83.459194133370417</c:v>
                </c:pt>
                <c:pt idx="2">
                  <c:v>82.280088513953487</c:v>
                </c:pt>
                <c:pt idx="3">
                  <c:v>83.555537369813365</c:v>
                </c:pt>
                <c:pt idx="4">
                  <c:v>83.281192151892313</c:v>
                </c:pt>
                <c:pt idx="5">
                  <c:v>84.064014212277115</c:v>
                </c:pt>
                <c:pt idx="6">
                  <c:v>84.266221707243048</c:v>
                </c:pt>
                <c:pt idx="7">
                  <c:v>84.263275487135033</c:v>
                </c:pt>
                <c:pt idx="8">
                  <c:v>84.39809220402266</c:v>
                </c:pt>
                <c:pt idx="9">
                  <c:v>84.685170350322593</c:v>
                </c:pt>
                <c:pt idx="10">
                  <c:v>85.028971315898161</c:v>
                </c:pt>
                <c:pt idx="11">
                  <c:v>85.345946437430939</c:v>
                </c:pt>
                <c:pt idx="12">
                  <c:v>85.542102883422103</c:v>
                </c:pt>
                <c:pt idx="13">
                  <c:v>85.76320242972929</c:v>
                </c:pt>
                <c:pt idx="14">
                  <c:v>86.065021514412209</c:v>
                </c:pt>
                <c:pt idx="15">
                  <c:v>86.269329259796322</c:v>
                </c:pt>
                <c:pt idx="16">
                  <c:v>86.482509190167661</c:v>
                </c:pt>
                <c:pt idx="17">
                  <c:v>86.713097611734199</c:v>
                </c:pt>
                <c:pt idx="18">
                  <c:v>86.971702428331355</c:v>
                </c:pt>
                <c:pt idx="19">
                  <c:v>87.136062344336423</c:v>
                </c:pt>
                <c:pt idx="20">
                  <c:v>87.280247320222315</c:v>
                </c:pt>
                <c:pt idx="21">
                  <c:v>87.357613956991329</c:v>
                </c:pt>
                <c:pt idx="22">
                  <c:v>87.496914175585331</c:v>
                </c:pt>
                <c:pt idx="23">
                  <c:v>87.631258301848632</c:v>
                </c:pt>
                <c:pt idx="24">
                  <c:v>87.734900914679926</c:v>
                </c:pt>
                <c:pt idx="25">
                  <c:v>87.830818142694326</c:v>
                </c:pt>
                <c:pt idx="26">
                  <c:v>87.782456173477627</c:v>
                </c:pt>
                <c:pt idx="27">
                  <c:v>87.918131659493824</c:v>
                </c:pt>
                <c:pt idx="28">
                  <c:v>87.956180906919812</c:v>
                </c:pt>
                <c:pt idx="29">
                  <c:v>88.023358409165851</c:v>
                </c:pt>
                <c:pt idx="30">
                  <c:v>88.058143022123389</c:v>
                </c:pt>
                <c:pt idx="31">
                  <c:v>88.041616424032142</c:v>
                </c:pt>
                <c:pt idx="32">
                  <c:v>88.102831643027912</c:v>
                </c:pt>
                <c:pt idx="33">
                  <c:v>88.053098325780681</c:v>
                </c:pt>
                <c:pt idx="34">
                  <c:v>88.054701770832011</c:v>
                </c:pt>
                <c:pt idx="35">
                  <c:v>88.061715389707203</c:v>
                </c:pt>
                <c:pt idx="36">
                  <c:v>88.017750272197461</c:v>
                </c:pt>
                <c:pt idx="37">
                  <c:v>88.01277854780291</c:v>
                </c:pt>
                <c:pt idx="38">
                  <c:v>87.915748799241285</c:v>
                </c:pt>
                <c:pt idx="39">
                  <c:v>87.889723714924841</c:v>
                </c:pt>
                <c:pt idx="40">
                  <c:v>87.786592723791728</c:v>
                </c:pt>
                <c:pt idx="41">
                  <c:v>87.755940810755703</c:v>
                </c:pt>
                <c:pt idx="42">
                  <c:v>87.65948950966937</c:v>
                </c:pt>
                <c:pt idx="43">
                  <c:v>87.567851386431698</c:v>
                </c:pt>
                <c:pt idx="44">
                  <c:v>87.467269809313166</c:v>
                </c:pt>
                <c:pt idx="45">
                  <c:v>87.317798041115225</c:v>
                </c:pt>
                <c:pt idx="46">
                  <c:v>87.237566621760962</c:v>
                </c:pt>
                <c:pt idx="47">
                  <c:v>87.132037574174134</c:v>
                </c:pt>
                <c:pt idx="48">
                  <c:v>87.004991061746452</c:v>
                </c:pt>
                <c:pt idx="49">
                  <c:v>86.893281059207155</c:v>
                </c:pt>
                <c:pt idx="50">
                  <c:v>86.742848992289794</c:v>
                </c:pt>
                <c:pt idx="51">
                  <c:v>86.619534900902934</c:v>
                </c:pt>
                <c:pt idx="52">
                  <c:v>86.532319533748478</c:v>
                </c:pt>
                <c:pt idx="53">
                  <c:v>86.433763521412672</c:v>
                </c:pt>
                <c:pt idx="54">
                  <c:v>86.371078767349744</c:v>
                </c:pt>
                <c:pt idx="55">
                  <c:v>86.348893125853053</c:v>
                </c:pt>
                <c:pt idx="56">
                  <c:v>86.43020465094412</c:v>
                </c:pt>
                <c:pt idx="57">
                  <c:v>86.537084792107109</c:v>
                </c:pt>
                <c:pt idx="58">
                  <c:v>86.751316295639342</c:v>
                </c:pt>
                <c:pt idx="59">
                  <c:v>87.043201934734057</c:v>
                </c:pt>
                <c:pt idx="60">
                  <c:v>87.420273167136045</c:v>
                </c:pt>
                <c:pt idx="61">
                  <c:v>87.899423581258517</c:v>
                </c:pt>
                <c:pt idx="62">
                  <c:v>88.430362124497023</c:v>
                </c:pt>
                <c:pt idx="63">
                  <c:v>88.995131921757661</c:v>
                </c:pt>
                <c:pt idx="64">
                  <c:v>89.511184400564574</c:v>
                </c:pt>
                <c:pt idx="65">
                  <c:v>90.009758481712993</c:v>
                </c:pt>
                <c:pt idx="66">
                  <c:v>90.422990492447028</c:v>
                </c:pt>
                <c:pt idx="67">
                  <c:v>90.767068106454062</c:v>
                </c:pt>
                <c:pt idx="68">
                  <c:v>91.061405994685273</c:v>
                </c:pt>
                <c:pt idx="69">
                  <c:v>91.288525233753788</c:v>
                </c:pt>
                <c:pt idx="70">
                  <c:v>91.518177488407773</c:v>
                </c:pt>
                <c:pt idx="71">
                  <c:v>91.679692603350716</c:v>
                </c:pt>
                <c:pt idx="72">
                  <c:v>91.841542915496461</c:v>
                </c:pt>
                <c:pt idx="73">
                  <c:v>91.986806283143878</c:v>
                </c:pt>
                <c:pt idx="74">
                  <c:v>92.123059337350796</c:v>
                </c:pt>
                <c:pt idx="75">
                  <c:v>92.239106614459004</c:v>
                </c:pt>
                <c:pt idx="76">
                  <c:v>92.369955581695834</c:v>
                </c:pt>
                <c:pt idx="77">
                  <c:v>92.472387819013306</c:v>
                </c:pt>
                <c:pt idx="78">
                  <c:v>92.558747474000882</c:v>
                </c:pt>
                <c:pt idx="79">
                  <c:v>92.639476382397376</c:v>
                </c:pt>
                <c:pt idx="80">
                  <c:v>92.698963296501518</c:v>
                </c:pt>
                <c:pt idx="81">
                  <c:v>92.7414417309014</c:v>
                </c:pt>
                <c:pt idx="82">
                  <c:v>92.812051527502433</c:v>
                </c:pt>
                <c:pt idx="83">
                  <c:v>92.858785440413797</c:v>
                </c:pt>
                <c:pt idx="84">
                  <c:v>92.918054793000536</c:v>
                </c:pt>
                <c:pt idx="85">
                  <c:v>92.9555155496098</c:v>
                </c:pt>
                <c:pt idx="86">
                  <c:v>92.999215320925558</c:v>
                </c:pt>
                <c:pt idx="87">
                  <c:v>93.041572104197783</c:v>
                </c:pt>
                <c:pt idx="88">
                  <c:v>93.072069408879315</c:v>
                </c:pt>
                <c:pt idx="89">
                  <c:v>93.125540438397152</c:v>
                </c:pt>
                <c:pt idx="90">
                  <c:v>93.139990522654657</c:v>
                </c:pt>
                <c:pt idx="91">
                  <c:v>93.192178947884159</c:v>
                </c:pt>
                <c:pt idx="92">
                  <c:v>93.221138880981968</c:v>
                </c:pt>
                <c:pt idx="93">
                  <c:v>93.230022790086423</c:v>
                </c:pt>
                <c:pt idx="94">
                  <c:v>93.283676976473487</c:v>
                </c:pt>
                <c:pt idx="95">
                  <c:v>93.302177663844489</c:v>
                </c:pt>
                <c:pt idx="96">
                  <c:v>93.357430683318725</c:v>
                </c:pt>
                <c:pt idx="97">
                  <c:v>93.384445738421462</c:v>
                </c:pt>
                <c:pt idx="98">
                  <c:v>93.426854852338295</c:v>
                </c:pt>
                <c:pt idx="99">
                  <c:v>93.462005913538974</c:v>
                </c:pt>
                <c:pt idx="100">
                  <c:v>93.502952916847661</c:v>
                </c:pt>
                <c:pt idx="101">
                  <c:v>93.536543358364653</c:v>
                </c:pt>
                <c:pt idx="102">
                  <c:v>93.5657530339505</c:v>
                </c:pt>
                <c:pt idx="103">
                  <c:v>93.602576480794895</c:v>
                </c:pt>
                <c:pt idx="104">
                  <c:v>93.646505676541736</c:v>
                </c:pt>
                <c:pt idx="105">
                  <c:v>93.690945627638712</c:v>
                </c:pt>
                <c:pt idx="106">
                  <c:v>93.728124716364263</c:v>
                </c:pt>
                <c:pt idx="107">
                  <c:v>93.77312717235651</c:v>
                </c:pt>
                <c:pt idx="108">
                  <c:v>93.826104936987676</c:v>
                </c:pt>
                <c:pt idx="109">
                  <c:v>93.865903567982514</c:v>
                </c:pt>
                <c:pt idx="110">
                  <c:v>93.890892522971015</c:v>
                </c:pt>
                <c:pt idx="111">
                  <c:v>93.943264519551846</c:v>
                </c:pt>
                <c:pt idx="112">
                  <c:v>93.987121376625581</c:v>
                </c:pt>
                <c:pt idx="113">
                  <c:v>94.036707449592754</c:v>
                </c:pt>
                <c:pt idx="114">
                  <c:v>94.101690907237938</c:v>
                </c:pt>
                <c:pt idx="115">
                  <c:v>94.17637611177291</c:v>
                </c:pt>
                <c:pt idx="116">
                  <c:v>94.224623457478984</c:v>
                </c:pt>
                <c:pt idx="117">
                  <c:v>94.272560983493335</c:v>
                </c:pt>
                <c:pt idx="118">
                  <c:v>94.338731119438947</c:v>
                </c:pt>
                <c:pt idx="119">
                  <c:v>94.374378363542959</c:v>
                </c:pt>
                <c:pt idx="120">
                  <c:v>94.438166995335465</c:v>
                </c:pt>
                <c:pt idx="121">
                  <c:v>94.487891363118536</c:v>
                </c:pt>
                <c:pt idx="122">
                  <c:v>94.523913863045436</c:v>
                </c:pt>
                <c:pt idx="123">
                  <c:v>94.52906838208402</c:v>
                </c:pt>
                <c:pt idx="124">
                  <c:v>94.549351576720213</c:v>
                </c:pt>
                <c:pt idx="125">
                  <c:v>94.585795514671631</c:v>
                </c:pt>
                <c:pt idx="126">
                  <c:v>94.616496046797806</c:v>
                </c:pt>
                <c:pt idx="127">
                  <c:v>94.659625161269531</c:v>
                </c:pt>
                <c:pt idx="128">
                  <c:v>94.70275427574127</c:v>
                </c:pt>
                <c:pt idx="129">
                  <c:v>94.745883390212995</c:v>
                </c:pt>
                <c:pt idx="130">
                  <c:v>94.768050568627089</c:v>
                </c:pt>
                <c:pt idx="131">
                  <c:v>94.78585631060453</c:v>
                </c:pt>
                <c:pt idx="132">
                  <c:v>94.824508255482328</c:v>
                </c:pt>
                <c:pt idx="133">
                  <c:v>94.891756723050307</c:v>
                </c:pt>
                <c:pt idx="134">
                  <c:v>94.92769297415866</c:v>
                </c:pt>
                <c:pt idx="135">
                  <c:v>94.960106188766872</c:v>
                </c:pt>
                <c:pt idx="136">
                  <c:v>94.980490785250666</c:v>
                </c:pt>
                <c:pt idx="137">
                  <c:v>95.041730605987013</c:v>
                </c:pt>
                <c:pt idx="138">
                  <c:v>95.059278481873363</c:v>
                </c:pt>
                <c:pt idx="139">
                  <c:v>95.098315056134609</c:v>
                </c:pt>
                <c:pt idx="140">
                  <c:v>95.138737615415209</c:v>
                </c:pt>
                <c:pt idx="141">
                  <c:v>95.169014413577955</c:v>
                </c:pt>
                <c:pt idx="142">
                  <c:v>95.214668934166511</c:v>
                </c:pt>
                <c:pt idx="143">
                  <c:v>95.248876600476464</c:v>
                </c:pt>
                <c:pt idx="144">
                  <c:v>95.28881434259614</c:v>
                </c:pt>
                <c:pt idx="145">
                  <c:v>95.331714023713928</c:v>
                </c:pt>
                <c:pt idx="146">
                  <c:v>95.381885497231835</c:v>
                </c:pt>
                <c:pt idx="147">
                  <c:v>95.425802679680842</c:v>
                </c:pt>
                <c:pt idx="148">
                  <c:v>95.467022138633197</c:v>
                </c:pt>
                <c:pt idx="149">
                  <c:v>95.510945789994921</c:v>
                </c:pt>
                <c:pt idx="150">
                  <c:v>95.55313410339393</c:v>
                </c:pt>
                <c:pt idx="151">
                  <c:v>95.599725016355251</c:v>
                </c:pt>
                <c:pt idx="152">
                  <c:v>95.645109194962757</c:v>
                </c:pt>
                <c:pt idx="153">
                  <c:v>95.694382848636337</c:v>
                </c:pt>
                <c:pt idx="154">
                  <c:v>95.729679290933277</c:v>
                </c:pt>
                <c:pt idx="155">
                  <c:v>95.75904219050858</c:v>
                </c:pt>
                <c:pt idx="156">
                  <c:v>95.797368063682939</c:v>
                </c:pt>
                <c:pt idx="157">
                  <c:v>95.832392809662792</c:v>
                </c:pt>
                <c:pt idx="158">
                  <c:v>95.870208098905849</c:v>
                </c:pt>
                <c:pt idx="159">
                  <c:v>95.900567079416419</c:v>
                </c:pt>
                <c:pt idx="160">
                  <c:v>95.945313333197873</c:v>
                </c:pt>
                <c:pt idx="161">
                  <c:v>95.974370406585692</c:v>
                </c:pt>
                <c:pt idx="162">
                  <c:v>96.010814428120582</c:v>
                </c:pt>
                <c:pt idx="163">
                  <c:v>96.045578419450251</c:v>
                </c:pt>
                <c:pt idx="164">
                  <c:v>96.071739835839296</c:v>
                </c:pt>
                <c:pt idx="165">
                  <c:v>96.087475413568086</c:v>
                </c:pt>
                <c:pt idx="166">
                  <c:v>96.101375522097541</c:v>
                </c:pt>
                <c:pt idx="167">
                  <c:v>96.130573476014504</c:v>
                </c:pt>
                <c:pt idx="168">
                  <c:v>96.141939149257951</c:v>
                </c:pt>
                <c:pt idx="169">
                  <c:v>96.171054282956604</c:v>
                </c:pt>
                <c:pt idx="170">
                  <c:v>96.19713103356186</c:v>
                </c:pt>
                <c:pt idx="171">
                  <c:v>96.214873944918963</c:v>
                </c:pt>
                <c:pt idx="172">
                  <c:v>96.228854204569288</c:v>
                </c:pt>
                <c:pt idx="173">
                  <c:v>96.251189700040769</c:v>
                </c:pt>
                <c:pt idx="174">
                  <c:v>96.270657507201676</c:v>
                </c:pt>
                <c:pt idx="175">
                  <c:v>96.28633277910923</c:v>
                </c:pt>
                <c:pt idx="176">
                  <c:v>96.292717938679615</c:v>
                </c:pt>
                <c:pt idx="177">
                  <c:v>96.306715193714254</c:v>
                </c:pt>
                <c:pt idx="178">
                  <c:v>96.307344005843774</c:v>
                </c:pt>
                <c:pt idx="179">
                  <c:v>96.314014845532668</c:v>
                </c:pt>
                <c:pt idx="180">
                  <c:v>96.348212507128778</c:v>
                </c:pt>
                <c:pt idx="181">
                  <c:v>96.356087915570541</c:v>
                </c:pt>
                <c:pt idx="182">
                  <c:v>96.366565686286719</c:v>
                </c:pt>
                <c:pt idx="183">
                  <c:v>96.398502347767717</c:v>
                </c:pt>
                <c:pt idx="184">
                  <c:v>96.400882131528547</c:v>
                </c:pt>
                <c:pt idx="185">
                  <c:v>96.416821805771576</c:v>
                </c:pt>
                <c:pt idx="186">
                  <c:v>96.438804771323419</c:v>
                </c:pt>
                <c:pt idx="187">
                  <c:v>96.445212688002172</c:v>
                </c:pt>
                <c:pt idx="188">
                  <c:v>96.46990012102377</c:v>
                </c:pt>
                <c:pt idx="189">
                  <c:v>96.468726570190867</c:v>
                </c:pt>
                <c:pt idx="190">
                  <c:v>96.489210255746229</c:v>
                </c:pt>
                <c:pt idx="191">
                  <c:v>96.497646882288677</c:v>
                </c:pt>
                <c:pt idx="192">
                  <c:v>96.499522940724646</c:v>
                </c:pt>
                <c:pt idx="193">
                  <c:v>96.488804062877037</c:v>
                </c:pt>
                <c:pt idx="194">
                  <c:v>96.486117873251501</c:v>
                </c:pt>
                <c:pt idx="195">
                  <c:v>96.482090971918936</c:v>
                </c:pt>
                <c:pt idx="196">
                  <c:v>96.475156309549178</c:v>
                </c:pt>
                <c:pt idx="197">
                  <c:v>96.48464660260386</c:v>
                </c:pt>
                <c:pt idx="198">
                  <c:v>96.490789805616359</c:v>
                </c:pt>
                <c:pt idx="199">
                  <c:v>96.471295741413428</c:v>
                </c:pt>
                <c:pt idx="200">
                  <c:v>96.462307233124577</c:v>
                </c:pt>
                <c:pt idx="201">
                  <c:v>96.43592863262468</c:v>
                </c:pt>
                <c:pt idx="202">
                  <c:v>96.398746890083203</c:v>
                </c:pt>
                <c:pt idx="203">
                  <c:v>96.399250919158149</c:v>
                </c:pt>
                <c:pt idx="204">
                  <c:v>96.36594619641231</c:v>
                </c:pt>
                <c:pt idx="205">
                  <c:v>96.337243571192417</c:v>
                </c:pt>
                <c:pt idx="206">
                  <c:v>96.299873833408881</c:v>
                </c:pt>
                <c:pt idx="207">
                  <c:v>96.271688591433985</c:v>
                </c:pt>
                <c:pt idx="208">
                  <c:v>96.224137666278764</c:v>
                </c:pt>
                <c:pt idx="209">
                  <c:v>96.168725892259317</c:v>
                </c:pt>
                <c:pt idx="210">
                  <c:v>96.130402243932224</c:v>
                </c:pt>
                <c:pt idx="211">
                  <c:v>96.056945326274331</c:v>
                </c:pt>
                <c:pt idx="212">
                  <c:v>95.997040391095325</c:v>
                </c:pt>
                <c:pt idx="213">
                  <c:v>95.934858389010174</c:v>
                </c:pt>
                <c:pt idx="214">
                  <c:v>95.879623062429175</c:v>
                </c:pt>
                <c:pt idx="215">
                  <c:v>95.809310533232363</c:v>
                </c:pt>
                <c:pt idx="216">
                  <c:v>95.744937025433799</c:v>
                </c:pt>
                <c:pt idx="217">
                  <c:v>95.710034285855173</c:v>
                </c:pt>
                <c:pt idx="218">
                  <c:v>95.722940645126002</c:v>
                </c:pt>
                <c:pt idx="219">
                  <c:v>95.73458474559034</c:v>
                </c:pt>
                <c:pt idx="220">
                  <c:v>95.820275945618008</c:v>
                </c:pt>
                <c:pt idx="221">
                  <c:v>95.929575733458776</c:v>
                </c:pt>
                <c:pt idx="222">
                  <c:v>96.043173083343504</c:v>
                </c:pt>
                <c:pt idx="223">
                  <c:v>96.147146511342541</c:v>
                </c:pt>
                <c:pt idx="224">
                  <c:v>96.215684511083296</c:v>
                </c:pt>
                <c:pt idx="225">
                  <c:v>96.254905589455333</c:v>
                </c:pt>
                <c:pt idx="226">
                  <c:v>96.286941164403473</c:v>
                </c:pt>
                <c:pt idx="227">
                  <c:v>96.26778773280239</c:v>
                </c:pt>
                <c:pt idx="228">
                  <c:v>96.281065306369328</c:v>
                </c:pt>
                <c:pt idx="229">
                  <c:v>96.27459004200675</c:v>
                </c:pt>
                <c:pt idx="230">
                  <c:v>96.276660271241781</c:v>
                </c:pt>
                <c:pt idx="231">
                  <c:v>96.291230889378866</c:v>
                </c:pt>
                <c:pt idx="232">
                  <c:v>96.268754247086903</c:v>
                </c:pt>
                <c:pt idx="233">
                  <c:v>96.26342926632158</c:v>
                </c:pt>
                <c:pt idx="234">
                  <c:v>96.244565924613298</c:v>
                </c:pt>
                <c:pt idx="235">
                  <c:v>96.245114903933484</c:v>
                </c:pt>
                <c:pt idx="236">
                  <c:v>96.23384905612663</c:v>
                </c:pt>
                <c:pt idx="237">
                  <c:v>96.211531409359864</c:v>
                </c:pt>
                <c:pt idx="238">
                  <c:v>96.204141627382796</c:v>
                </c:pt>
                <c:pt idx="239">
                  <c:v>96.189534325529209</c:v>
                </c:pt>
                <c:pt idx="240">
                  <c:v>96.176118159093093</c:v>
                </c:pt>
                <c:pt idx="241">
                  <c:v>96.180371189212693</c:v>
                </c:pt>
                <c:pt idx="242">
                  <c:v>96.154802693863019</c:v>
                </c:pt>
                <c:pt idx="243">
                  <c:v>96.152537090948087</c:v>
                </c:pt>
                <c:pt idx="244">
                  <c:v>96.124370894768802</c:v>
                </c:pt>
                <c:pt idx="245">
                  <c:v>96.115608532777898</c:v>
                </c:pt>
                <c:pt idx="246">
                  <c:v>96.109296569288105</c:v>
                </c:pt>
                <c:pt idx="247">
                  <c:v>96.076859213605118</c:v>
                </c:pt>
                <c:pt idx="248">
                  <c:v>96.078500882067956</c:v>
                </c:pt>
                <c:pt idx="249">
                  <c:v>96.074050604729393</c:v>
                </c:pt>
                <c:pt idx="250">
                  <c:v>96.044775109906141</c:v>
                </c:pt>
                <c:pt idx="251">
                  <c:v>96.066910756972902</c:v>
                </c:pt>
                <c:pt idx="252">
                  <c:v>96.058063456147977</c:v>
                </c:pt>
                <c:pt idx="253">
                  <c:v>96.041725040131269</c:v>
                </c:pt>
                <c:pt idx="254">
                  <c:v>96.032317244095282</c:v>
                </c:pt>
                <c:pt idx="255">
                  <c:v>96.026586975432096</c:v>
                </c:pt>
                <c:pt idx="256">
                  <c:v>96.031965939492963</c:v>
                </c:pt>
                <c:pt idx="257">
                  <c:v>96.018576909367766</c:v>
                </c:pt>
                <c:pt idx="258">
                  <c:v>96.014100291972611</c:v>
                </c:pt>
                <c:pt idx="259">
                  <c:v>96.000910468019526</c:v>
                </c:pt>
                <c:pt idx="260">
                  <c:v>95.999001497293577</c:v>
                </c:pt>
                <c:pt idx="261">
                  <c:v>95.989478604741109</c:v>
                </c:pt>
                <c:pt idx="262">
                  <c:v>95.983069568751432</c:v>
                </c:pt>
                <c:pt idx="263">
                  <c:v>95.975344465294043</c:v>
                </c:pt>
                <c:pt idx="264">
                  <c:v>95.957620830461224</c:v>
                </c:pt>
                <c:pt idx="265">
                  <c:v>95.940186815651558</c:v>
                </c:pt>
                <c:pt idx="266">
                  <c:v>95.962605912397066</c:v>
                </c:pt>
                <c:pt idx="267">
                  <c:v>95.950433680413411</c:v>
                </c:pt>
                <c:pt idx="268">
                  <c:v>95.927286096831082</c:v>
                </c:pt>
                <c:pt idx="269">
                  <c:v>95.928587350555347</c:v>
                </c:pt>
                <c:pt idx="270">
                  <c:v>95.930128866971174</c:v>
                </c:pt>
                <c:pt idx="271">
                  <c:v>95.9240641784301</c:v>
                </c:pt>
                <c:pt idx="272">
                  <c:v>95.896751072093949</c:v>
                </c:pt>
                <c:pt idx="273">
                  <c:v>95.901826852394166</c:v>
                </c:pt>
                <c:pt idx="274">
                  <c:v>95.888675169591011</c:v>
                </c:pt>
                <c:pt idx="275">
                  <c:v>95.870771871796322</c:v>
                </c:pt>
                <c:pt idx="276">
                  <c:v>95.868343606999403</c:v>
                </c:pt>
                <c:pt idx="277">
                  <c:v>95.858582397245371</c:v>
                </c:pt>
                <c:pt idx="278">
                  <c:v>95.86369362430122</c:v>
                </c:pt>
                <c:pt idx="279">
                  <c:v>95.863951906604441</c:v>
                </c:pt>
                <c:pt idx="280">
                  <c:v>95.843274442997838</c:v>
                </c:pt>
                <c:pt idx="281">
                  <c:v>95.841782085877313</c:v>
                </c:pt>
                <c:pt idx="282">
                  <c:v>95.807770322828262</c:v>
                </c:pt>
                <c:pt idx="283">
                  <c:v>95.815661046480315</c:v>
                </c:pt>
                <c:pt idx="284">
                  <c:v>95.799456112987812</c:v>
                </c:pt>
                <c:pt idx="285">
                  <c:v>95.789840079053121</c:v>
                </c:pt>
                <c:pt idx="286">
                  <c:v>95.777359245659298</c:v>
                </c:pt>
                <c:pt idx="287">
                  <c:v>95.748310087436877</c:v>
                </c:pt>
                <c:pt idx="288">
                  <c:v>95.767334357266279</c:v>
                </c:pt>
                <c:pt idx="289">
                  <c:v>95.730430397765716</c:v>
                </c:pt>
                <c:pt idx="290">
                  <c:v>95.718591181413998</c:v>
                </c:pt>
                <c:pt idx="291">
                  <c:v>95.690407932403673</c:v>
                </c:pt>
                <c:pt idx="292">
                  <c:v>95.672572243193983</c:v>
                </c:pt>
                <c:pt idx="293">
                  <c:v>95.637971201057795</c:v>
                </c:pt>
                <c:pt idx="294">
                  <c:v>95.612249523161722</c:v>
                </c:pt>
                <c:pt idx="295">
                  <c:v>95.585444058713236</c:v>
                </c:pt>
                <c:pt idx="296">
                  <c:v>95.572042615685845</c:v>
                </c:pt>
                <c:pt idx="297">
                  <c:v>95.571284738672546</c:v>
                </c:pt>
                <c:pt idx="298">
                  <c:v>95.562272651033894</c:v>
                </c:pt>
                <c:pt idx="299">
                  <c:v>95.558730322414632</c:v>
                </c:pt>
                <c:pt idx="300">
                  <c:v>95.561444906385603</c:v>
                </c:pt>
                <c:pt idx="301">
                  <c:v>95.565869633761395</c:v>
                </c:pt>
                <c:pt idx="302">
                  <c:v>95.554215864863224</c:v>
                </c:pt>
                <c:pt idx="303">
                  <c:v>95.546018925290511</c:v>
                </c:pt>
                <c:pt idx="304">
                  <c:v>95.550108646785404</c:v>
                </c:pt>
                <c:pt idx="305">
                  <c:v>95.545436424360801</c:v>
                </c:pt>
                <c:pt idx="306">
                  <c:v>95.551162019065984</c:v>
                </c:pt>
                <c:pt idx="307">
                  <c:v>95.553238293545363</c:v>
                </c:pt>
                <c:pt idx="308">
                  <c:v>95.550502809965067</c:v>
                </c:pt>
                <c:pt idx="309">
                  <c:v>95.560058579695507</c:v>
                </c:pt>
                <c:pt idx="310">
                  <c:v>95.567784857739483</c:v>
                </c:pt>
                <c:pt idx="311">
                  <c:v>95.586774204486687</c:v>
                </c:pt>
                <c:pt idx="312">
                  <c:v>95.584285649042329</c:v>
                </c:pt>
                <c:pt idx="313">
                  <c:v>95.588700992257841</c:v>
                </c:pt>
                <c:pt idx="314">
                  <c:v>95.578307782625117</c:v>
                </c:pt>
                <c:pt idx="315">
                  <c:v>95.590998430072645</c:v>
                </c:pt>
                <c:pt idx="316">
                  <c:v>95.582813428197483</c:v>
                </c:pt>
                <c:pt idx="317">
                  <c:v>95.596833837359284</c:v>
                </c:pt>
                <c:pt idx="318">
                  <c:v>95.619483777725904</c:v>
                </c:pt>
                <c:pt idx="319">
                  <c:v>95.604860816054995</c:v>
                </c:pt>
                <c:pt idx="320">
                  <c:v>95.612209997924182</c:v>
                </c:pt>
                <c:pt idx="321">
                  <c:v>95.617127071858476</c:v>
                </c:pt>
                <c:pt idx="322">
                  <c:v>95.612715952763878</c:v>
                </c:pt>
                <c:pt idx="323">
                  <c:v>95.650972461311241</c:v>
                </c:pt>
                <c:pt idx="324">
                  <c:v>95.610529148999049</c:v>
                </c:pt>
                <c:pt idx="325">
                  <c:v>95.657861574812145</c:v>
                </c:pt>
                <c:pt idx="326">
                  <c:v>95.659560014269971</c:v>
                </c:pt>
                <c:pt idx="327">
                  <c:v>95.65670685335806</c:v>
                </c:pt>
                <c:pt idx="328">
                  <c:v>95.723689895311736</c:v>
                </c:pt>
                <c:pt idx="329">
                  <c:v>95.778782618655171</c:v>
                </c:pt>
                <c:pt idx="330">
                  <c:v>95.801013415567823</c:v>
                </c:pt>
                <c:pt idx="331">
                  <c:v>95.834463229698557</c:v>
                </c:pt>
                <c:pt idx="332">
                  <c:v>95.803574689777449</c:v>
                </c:pt>
                <c:pt idx="333">
                  <c:v>95.771907734578306</c:v>
                </c:pt>
                <c:pt idx="334">
                  <c:v>95.82219964453077</c:v>
                </c:pt>
                <c:pt idx="335">
                  <c:v>95.850423188024408</c:v>
                </c:pt>
                <c:pt idx="336">
                  <c:v>95.837139481189908</c:v>
                </c:pt>
                <c:pt idx="337">
                  <c:v>95.839919709862684</c:v>
                </c:pt>
                <c:pt idx="338">
                  <c:v>95.817954923125043</c:v>
                </c:pt>
                <c:pt idx="339">
                  <c:v>95.83394161439837</c:v>
                </c:pt>
                <c:pt idx="340">
                  <c:v>95.815319881464617</c:v>
                </c:pt>
                <c:pt idx="341">
                  <c:v>95.823398898237187</c:v>
                </c:pt>
                <c:pt idx="342">
                  <c:v>95.837610847166559</c:v>
                </c:pt>
                <c:pt idx="343">
                  <c:v>95.886071881801684</c:v>
                </c:pt>
                <c:pt idx="344">
                  <c:v>95.887183045810971</c:v>
                </c:pt>
                <c:pt idx="345">
                  <c:v>95.874417580819099</c:v>
                </c:pt>
                <c:pt idx="346">
                  <c:v>95.891690542584186</c:v>
                </c:pt>
                <c:pt idx="347">
                  <c:v>95.898507633168194</c:v>
                </c:pt>
                <c:pt idx="348">
                  <c:v>95.927650311937782</c:v>
                </c:pt>
                <c:pt idx="349">
                  <c:v>95.880311536550565</c:v>
                </c:pt>
                <c:pt idx="350">
                  <c:v>95.86899851666611</c:v>
                </c:pt>
                <c:pt idx="351">
                  <c:v>95.882855866213205</c:v>
                </c:pt>
                <c:pt idx="352">
                  <c:v>95.918901520372813</c:v>
                </c:pt>
                <c:pt idx="353">
                  <c:v>95.922117201609652</c:v>
                </c:pt>
                <c:pt idx="354">
                  <c:v>95.904679024394213</c:v>
                </c:pt>
                <c:pt idx="355">
                  <c:v>95.845375702307422</c:v>
                </c:pt>
                <c:pt idx="356">
                  <c:v>95.879935056036103</c:v>
                </c:pt>
                <c:pt idx="357">
                  <c:v>95.884550628267689</c:v>
                </c:pt>
                <c:pt idx="358">
                  <c:v>95.888031865345241</c:v>
                </c:pt>
                <c:pt idx="359">
                  <c:v>95.8778052382646</c:v>
                </c:pt>
                <c:pt idx="360">
                  <c:v>95.868666697569111</c:v>
                </c:pt>
                <c:pt idx="361">
                  <c:v>95.851202538150702</c:v>
                </c:pt>
                <c:pt idx="362">
                  <c:v>95.844346286257803</c:v>
                </c:pt>
                <c:pt idx="363">
                  <c:v>95.808115450876343</c:v>
                </c:pt>
                <c:pt idx="364">
                  <c:v>95.836108994183618</c:v>
                </c:pt>
                <c:pt idx="365">
                  <c:v>95.832590879228349</c:v>
                </c:pt>
                <c:pt idx="366">
                  <c:v>95.800383116125587</c:v>
                </c:pt>
                <c:pt idx="367">
                  <c:v>95.76981007209055</c:v>
                </c:pt>
                <c:pt idx="368">
                  <c:v>95.773542118344707</c:v>
                </c:pt>
                <c:pt idx="369">
                  <c:v>95.769001815489545</c:v>
                </c:pt>
                <c:pt idx="370">
                  <c:v>95.74893072032323</c:v>
                </c:pt>
                <c:pt idx="371">
                  <c:v>95.731154076311711</c:v>
                </c:pt>
                <c:pt idx="372">
                  <c:v>95.691563346906435</c:v>
                </c:pt>
                <c:pt idx="373">
                  <c:v>95.6979911048536</c:v>
                </c:pt>
                <c:pt idx="374">
                  <c:v>95.696950909117263</c:v>
                </c:pt>
                <c:pt idx="375">
                  <c:v>95.708964856334788</c:v>
                </c:pt>
                <c:pt idx="376">
                  <c:v>95.683723753386275</c:v>
                </c:pt>
                <c:pt idx="377">
                  <c:v>95.667034371503462</c:v>
                </c:pt>
                <c:pt idx="378">
                  <c:v>95.634031269744298</c:v>
                </c:pt>
                <c:pt idx="379">
                  <c:v>95.64539295605438</c:v>
                </c:pt>
                <c:pt idx="380">
                  <c:v>95.615712245390924</c:v>
                </c:pt>
                <c:pt idx="381">
                  <c:v>95.569595270033304</c:v>
                </c:pt>
                <c:pt idx="382">
                  <c:v>95.537349898094604</c:v>
                </c:pt>
                <c:pt idx="383">
                  <c:v>95.529093860101128</c:v>
                </c:pt>
                <c:pt idx="384">
                  <c:v>95.516388957704521</c:v>
                </c:pt>
                <c:pt idx="385">
                  <c:v>95.487770718142656</c:v>
                </c:pt>
                <c:pt idx="386">
                  <c:v>95.428385859839906</c:v>
                </c:pt>
                <c:pt idx="387">
                  <c:v>95.408089597350738</c:v>
                </c:pt>
                <c:pt idx="388">
                  <c:v>95.354714459054051</c:v>
                </c:pt>
                <c:pt idx="389">
                  <c:v>95.306101270655134</c:v>
                </c:pt>
                <c:pt idx="390">
                  <c:v>95.232656705858702</c:v>
                </c:pt>
                <c:pt idx="391">
                  <c:v>95.187096358303549</c:v>
                </c:pt>
                <c:pt idx="392">
                  <c:v>95.127535792491003</c:v>
                </c:pt>
                <c:pt idx="393">
                  <c:v>95.036576346192007</c:v>
                </c:pt>
                <c:pt idx="394">
                  <c:v>94.956244003946608</c:v>
                </c:pt>
                <c:pt idx="395">
                  <c:v>94.877860954449503</c:v>
                </c:pt>
                <c:pt idx="396">
                  <c:v>94.802974180244121</c:v>
                </c:pt>
                <c:pt idx="397">
                  <c:v>94.7183116470203</c:v>
                </c:pt>
                <c:pt idx="398">
                  <c:v>94.610771699067996</c:v>
                </c:pt>
                <c:pt idx="399">
                  <c:v>94.494921219837423</c:v>
                </c:pt>
                <c:pt idx="400">
                  <c:v>94.401060054664185</c:v>
                </c:pt>
                <c:pt idx="401">
                  <c:v>94.295066869065792</c:v>
                </c:pt>
                <c:pt idx="402">
                  <c:v>94.17809151813249</c:v>
                </c:pt>
                <c:pt idx="403">
                  <c:v>94.027478356035274</c:v>
                </c:pt>
                <c:pt idx="404">
                  <c:v>93.886550604198533</c:v>
                </c:pt>
                <c:pt idx="405">
                  <c:v>93.743440535456998</c:v>
                </c:pt>
                <c:pt idx="406">
                  <c:v>93.569088849072614</c:v>
                </c:pt>
                <c:pt idx="407">
                  <c:v>93.413595525420575</c:v>
                </c:pt>
                <c:pt idx="408">
                  <c:v>93.221689372087383</c:v>
                </c:pt>
                <c:pt idx="409">
                  <c:v>92.978287957032606</c:v>
                </c:pt>
                <c:pt idx="410">
                  <c:v>92.749860970617348</c:v>
                </c:pt>
                <c:pt idx="411">
                  <c:v>92.540380918123049</c:v>
                </c:pt>
                <c:pt idx="412">
                  <c:v>92.279953230800174</c:v>
                </c:pt>
                <c:pt idx="413">
                  <c:v>92.022207974107062</c:v>
                </c:pt>
                <c:pt idx="414">
                  <c:v>91.764683969756788</c:v>
                </c:pt>
                <c:pt idx="415">
                  <c:v>91.473074311344575</c:v>
                </c:pt>
                <c:pt idx="416">
                  <c:v>91.162017707662741</c:v>
                </c:pt>
                <c:pt idx="417">
                  <c:v>90.792143002591274</c:v>
                </c:pt>
                <c:pt idx="418">
                  <c:v>90.395632408845429</c:v>
                </c:pt>
                <c:pt idx="419">
                  <c:v>89.908082154691215</c:v>
                </c:pt>
                <c:pt idx="420">
                  <c:v>89.405138586369461</c:v>
                </c:pt>
                <c:pt idx="421">
                  <c:v>88.739028700226939</c:v>
                </c:pt>
                <c:pt idx="422">
                  <c:v>87.893436903116779</c:v>
                </c:pt>
                <c:pt idx="423">
                  <c:v>86.904900409121851</c:v>
                </c:pt>
                <c:pt idx="424">
                  <c:v>85.974529658473443</c:v>
                </c:pt>
                <c:pt idx="425">
                  <c:v>85.229744737492197</c:v>
                </c:pt>
                <c:pt idx="426">
                  <c:v>84.260793206287985</c:v>
                </c:pt>
                <c:pt idx="427">
                  <c:v>82.904851150477555</c:v>
                </c:pt>
                <c:pt idx="428">
                  <c:v>81.19106255670394</c:v>
                </c:pt>
                <c:pt idx="429">
                  <c:v>79.093571297092595</c:v>
                </c:pt>
                <c:pt idx="430">
                  <c:v>76.121024164597529</c:v>
                </c:pt>
                <c:pt idx="431">
                  <c:v>72.043256576327323</c:v>
                </c:pt>
                <c:pt idx="432">
                  <c:v>66.034302691758455</c:v>
                </c:pt>
                <c:pt idx="433">
                  <c:v>56.981324024068755</c:v>
                </c:pt>
                <c:pt idx="434">
                  <c:v>43.194919831620929</c:v>
                </c:pt>
                <c:pt idx="435">
                  <c:v>25.745672096851308</c:v>
                </c:pt>
                <c:pt idx="436">
                  <c:v>11.393149305951686</c:v>
                </c:pt>
                <c:pt idx="437">
                  <c:v>7.2461506913893139</c:v>
                </c:pt>
                <c:pt idx="438">
                  <c:v>6.6891367546098861</c:v>
                </c:pt>
                <c:pt idx="439">
                  <c:v>6.9252337152839303</c:v>
                </c:pt>
                <c:pt idx="440">
                  <c:v>6.5889398755658917</c:v>
                </c:pt>
                <c:pt idx="441">
                  <c:v>6.2061261488720447</c:v>
                </c:pt>
                <c:pt idx="442">
                  <c:v>5.8749789581636342</c:v>
                </c:pt>
                <c:pt idx="443">
                  <c:v>5.7809078522205262</c:v>
                </c:pt>
                <c:pt idx="444">
                  <c:v>5.7455942994478724</c:v>
                </c:pt>
                <c:pt idx="445">
                  <c:v>5.9023937409359393</c:v>
                </c:pt>
                <c:pt idx="446">
                  <c:v>5.7896821299471881</c:v>
                </c:pt>
                <c:pt idx="447">
                  <c:v>5.890044855857238</c:v>
                </c:pt>
                <c:pt idx="448">
                  <c:v>5.9423344086523926</c:v>
                </c:pt>
                <c:pt idx="449">
                  <c:v>6.1993985776999745</c:v>
                </c:pt>
                <c:pt idx="450">
                  <c:v>6.4189309248556468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1B-4E32-9BBB-DBAB3EB61878}"/>
            </c:ext>
          </c:extLst>
        </c:ser>
        <c:ser>
          <c:idx val="2"/>
          <c:order val="3"/>
          <c:tx>
            <c:strRef>
              <c:f>refl5!$AV$76</c:f>
              <c:strCache>
                <c:ptCount val="1"/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refl5!$AV$79:$AV$529</c:f>
              <c:numCache>
                <c:formatCode>0.00</c:formatCode>
                <c:ptCount val="45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1B-4E32-9BBB-DBAB3EB61878}"/>
            </c:ext>
          </c:extLst>
        </c:ser>
        <c:ser>
          <c:idx val="3"/>
          <c:order val="4"/>
          <c:tx>
            <c:strRef>
              <c:f>refl5!$AW$76</c:f>
              <c:strCache>
                <c:ptCount val="1"/>
              </c:strCache>
            </c:strRef>
          </c:tx>
          <c:spPr>
            <a:ln w="25400">
              <a:solidFill>
                <a:srgbClr val="00FFFF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refl5!$AW$79:$AW$529</c:f>
              <c:numCache>
                <c:formatCode>0.00</c:formatCode>
                <c:ptCount val="45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11B-4E32-9BBB-DBAB3EB61878}"/>
            </c:ext>
          </c:extLst>
        </c:ser>
        <c:ser>
          <c:idx val="5"/>
          <c:order val="5"/>
          <c:tx>
            <c:strRef>
              <c:f>refl5!$AX$76</c:f>
              <c:strCache>
                <c:ptCount val="1"/>
                <c:pt idx="0">
                  <c:v>FL-8905-1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refl5!$AX$79:$AX$529</c:f>
              <c:numCache>
                <c:formatCode>0.00</c:formatCode>
                <c:ptCount val="451"/>
                <c:pt idx="0">
                  <c:v>83.089137387487355</c:v>
                </c:pt>
                <c:pt idx="1">
                  <c:v>82.9461638400835</c:v>
                </c:pt>
                <c:pt idx="2">
                  <c:v>83.080999989912769</c:v>
                </c:pt>
                <c:pt idx="3">
                  <c:v>83.101559192331095</c:v>
                </c:pt>
                <c:pt idx="4">
                  <c:v>83.379186541740481</c:v>
                </c:pt>
                <c:pt idx="5">
                  <c:v>83.496688247257637</c:v>
                </c:pt>
                <c:pt idx="6">
                  <c:v>83.620248941939749</c:v>
                </c:pt>
                <c:pt idx="7">
                  <c:v>83.785207999089195</c:v>
                </c:pt>
                <c:pt idx="8">
                  <c:v>84.050236612082557</c:v>
                </c:pt>
                <c:pt idx="9">
                  <c:v>84.442665674757748</c:v>
                </c:pt>
                <c:pt idx="10">
                  <c:v>84.611616757811461</c:v>
                </c:pt>
                <c:pt idx="11">
                  <c:v>84.874136639978204</c:v>
                </c:pt>
                <c:pt idx="12">
                  <c:v>85.115500029841655</c:v>
                </c:pt>
                <c:pt idx="13">
                  <c:v>85.388164102292706</c:v>
                </c:pt>
                <c:pt idx="14">
                  <c:v>85.543848507881137</c:v>
                </c:pt>
                <c:pt idx="15">
                  <c:v>85.827983228315929</c:v>
                </c:pt>
                <c:pt idx="16">
                  <c:v>86.103414514846463</c:v>
                </c:pt>
                <c:pt idx="17">
                  <c:v>86.280509782876337</c:v>
                </c:pt>
                <c:pt idx="18">
                  <c:v>86.540863557161174</c:v>
                </c:pt>
                <c:pt idx="19">
                  <c:v>86.65953789665059</c:v>
                </c:pt>
                <c:pt idx="20">
                  <c:v>86.81565084153317</c:v>
                </c:pt>
                <c:pt idx="21">
                  <c:v>86.942117600136498</c:v>
                </c:pt>
                <c:pt idx="22">
                  <c:v>87.046240747749835</c:v>
                </c:pt>
                <c:pt idx="23">
                  <c:v>87.240930434815979</c:v>
                </c:pt>
                <c:pt idx="24">
                  <c:v>87.39831800423714</c:v>
                </c:pt>
                <c:pt idx="25">
                  <c:v>87.45100271188339</c:v>
                </c:pt>
                <c:pt idx="26">
                  <c:v>87.526426716222204</c:v>
                </c:pt>
                <c:pt idx="27">
                  <c:v>87.572894108119499</c:v>
                </c:pt>
                <c:pt idx="28">
                  <c:v>87.596616021356795</c:v>
                </c:pt>
                <c:pt idx="29">
                  <c:v>87.633255340013832</c:v>
                </c:pt>
                <c:pt idx="30">
                  <c:v>87.683954012129945</c:v>
                </c:pt>
                <c:pt idx="31">
                  <c:v>87.631989547040845</c:v>
                </c:pt>
                <c:pt idx="32">
                  <c:v>87.592527450297226</c:v>
                </c:pt>
                <c:pt idx="33">
                  <c:v>87.586199442869315</c:v>
                </c:pt>
                <c:pt idx="34">
                  <c:v>87.594687190060242</c:v>
                </c:pt>
                <c:pt idx="35">
                  <c:v>87.551022867502866</c:v>
                </c:pt>
                <c:pt idx="36">
                  <c:v>87.535925220077374</c:v>
                </c:pt>
                <c:pt idx="37">
                  <c:v>87.496703342158298</c:v>
                </c:pt>
                <c:pt idx="38">
                  <c:v>87.444393759199116</c:v>
                </c:pt>
                <c:pt idx="39">
                  <c:v>87.400170778640174</c:v>
                </c:pt>
                <c:pt idx="40">
                  <c:v>87.337835104994994</c:v>
                </c:pt>
                <c:pt idx="41">
                  <c:v>87.287243759684387</c:v>
                </c:pt>
                <c:pt idx="42">
                  <c:v>87.230689364762313</c:v>
                </c:pt>
                <c:pt idx="43">
                  <c:v>87.115432369659985</c:v>
                </c:pt>
                <c:pt idx="44">
                  <c:v>87.001866072644248</c:v>
                </c:pt>
                <c:pt idx="45">
                  <c:v>86.850871921437772</c:v>
                </c:pt>
                <c:pt idx="46">
                  <c:v>86.739998138572119</c:v>
                </c:pt>
                <c:pt idx="47">
                  <c:v>86.615627320756673</c:v>
                </c:pt>
                <c:pt idx="48">
                  <c:v>86.459184874576025</c:v>
                </c:pt>
                <c:pt idx="49">
                  <c:v>86.324442238120923</c:v>
                </c:pt>
                <c:pt idx="50">
                  <c:v>86.195881246077292</c:v>
                </c:pt>
                <c:pt idx="51">
                  <c:v>86.07218863047747</c:v>
                </c:pt>
                <c:pt idx="52">
                  <c:v>85.933349443559621</c:v>
                </c:pt>
                <c:pt idx="53">
                  <c:v>85.866024850256963</c:v>
                </c:pt>
                <c:pt idx="54">
                  <c:v>85.821913922406495</c:v>
                </c:pt>
                <c:pt idx="55">
                  <c:v>85.849934399167424</c:v>
                </c:pt>
                <c:pt idx="56">
                  <c:v>85.900337255342208</c:v>
                </c:pt>
                <c:pt idx="57">
                  <c:v>86.0834361210879</c:v>
                </c:pt>
                <c:pt idx="58">
                  <c:v>86.282844964874741</c:v>
                </c:pt>
                <c:pt idx="59">
                  <c:v>86.651407903986566</c:v>
                </c:pt>
                <c:pt idx="60">
                  <c:v>87.031811981616229</c:v>
                </c:pt>
                <c:pt idx="61">
                  <c:v>87.540603886449617</c:v>
                </c:pt>
                <c:pt idx="62">
                  <c:v>88.079996457065235</c:v>
                </c:pt>
                <c:pt idx="63">
                  <c:v>88.650747688778438</c:v>
                </c:pt>
                <c:pt idx="64">
                  <c:v>89.207847992825236</c:v>
                </c:pt>
                <c:pt idx="65">
                  <c:v>89.650949501381561</c:v>
                </c:pt>
                <c:pt idx="66">
                  <c:v>90.0789915913507</c:v>
                </c:pt>
                <c:pt idx="67">
                  <c:v>90.417982517351149</c:v>
                </c:pt>
                <c:pt idx="68">
                  <c:v>90.70718198895905</c:v>
                </c:pt>
                <c:pt idx="69">
                  <c:v>90.941900690032028</c:v>
                </c:pt>
                <c:pt idx="70">
                  <c:v>91.15304431873308</c:v>
                </c:pt>
                <c:pt idx="71">
                  <c:v>91.328445011920394</c:v>
                </c:pt>
                <c:pt idx="72">
                  <c:v>91.458223562130982</c:v>
                </c:pt>
                <c:pt idx="73">
                  <c:v>91.584435456880115</c:v>
                </c:pt>
                <c:pt idx="74">
                  <c:v>91.727696154088278</c:v>
                </c:pt>
                <c:pt idx="75">
                  <c:v>91.853950982840729</c:v>
                </c:pt>
                <c:pt idx="76">
                  <c:v>91.958466148795878</c:v>
                </c:pt>
                <c:pt idx="77">
                  <c:v>92.049492834938178</c:v>
                </c:pt>
                <c:pt idx="78">
                  <c:v>92.146409086714371</c:v>
                </c:pt>
                <c:pt idx="79">
                  <c:v>92.20775013683236</c:v>
                </c:pt>
                <c:pt idx="80">
                  <c:v>92.266124389377794</c:v>
                </c:pt>
                <c:pt idx="81">
                  <c:v>92.323270402944331</c:v>
                </c:pt>
                <c:pt idx="82">
                  <c:v>92.40474266009403</c:v>
                </c:pt>
                <c:pt idx="83">
                  <c:v>92.464503852148894</c:v>
                </c:pt>
                <c:pt idx="84">
                  <c:v>92.527805124264731</c:v>
                </c:pt>
                <c:pt idx="85">
                  <c:v>92.559329273542019</c:v>
                </c:pt>
                <c:pt idx="86">
                  <c:v>92.582867432439954</c:v>
                </c:pt>
                <c:pt idx="87">
                  <c:v>92.615941215215045</c:v>
                </c:pt>
                <c:pt idx="88">
                  <c:v>92.640524850825884</c:v>
                </c:pt>
                <c:pt idx="89">
                  <c:v>92.700232439096212</c:v>
                </c:pt>
                <c:pt idx="90">
                  <c:v>92.739347445330679</c:v>
                </c:pt>
                <c:pt idx="91">
                  <c:v>92.776331366683436</c:v>
                </c:pt>
                <c:pt idx="92">
                  <c:v>92.798471578086989</c:v>
                </c:pt>
                <c:pt idx="93">
                  <c:v>92.817973274807116</c:v>
                </c:pt>
                <c:pt idx="94">
                  <c:v>92.843772670742695</c:v>
                </c:pt>
                <c:pt idx="95">
                  <c:v>92.869340293942471</c:v>
                </c:pt>
                <c:pt idx="96">
                  <c:v>92.90145818813518</c:v>
                </c:pt>
                <c:pt idx="97">
                  <c:v>92.952206423664776</c:v>
                </c:pt>
                <c:pt idx="98">
                  <c:v>92.990512226930875</c:v>
                </c:pt>
                <c:pt idx="99">
                  <c:v>93.030965352087264</c:v>
                </c:pt>
                <c:pt idx="100">
                  <c:v>93.078956190291521</c:v>
                </c:pt>
                <c:pt idx="101">
                  <c:v>93.114039021658286</c:v>
                </c:pt>
                <c:pt idx="102">
                  <c:v>93.140788019543834</c:v>
                </c:pt>
                <c:pt idx="103">
                  <c:v>93.226694094389245</c:v>
                </c:pt>
                <c:pt idx="104">
                  <c:v>93.28456588205745</c:v>
                </c:pt>
                <c:pt idx="105">
                  <c:v>93.345851950290069</c:v>
                </c:pt>
                <c:pt idx="106">
                  <c:v>93.382654416135992</c:v>
                </c:pt>
                <c:pt idx="107">
                  <c:v>93.449567901944079</c:v>
                </c:pt>
                <c:pt idx="108">
                  <c:v>93.497883413120974</c:v>
                </c:pt>
                <c:pt idx="109">
                  <c:v>93.558916908219487</c:v>
                </c:pt>
                <c:pt idx="110">
                  <c:v>93.621225270298638</c:v>
                </c:pt>
                <c:pt idx="111">
                  <c:v>93.670097019558497</c:v>
                </c:pt>
                <c:pt idx="112">
                  <c:v>93.709363934546559</c:v>
                </c:pt>
                <c:pt idx="113">
                  <c:v>93.766141484611239</c:v>
                </c:pt>
                <c:pt idx="114">
                  <c:v>93.822352043106434</c:v>
                </c:pt>
                <c:pt idx="115">
                  <c:v>93.922931180258857</c:v>
                </c:pt>
                <c:pt idx="116">
                  <c:v>93.929683756583358</c:v>
                </c:pt>
                <c:pt idx="117">
                  <c:v>93.909516869875063</c:v>
                </c:pt>
                <c:pt idx="118">
                  <c:v>93.975348294491098</c:v>
                </c:pt>
                <c:pt idx="119">
                  <c:v>94.022498978718275</c:v>
                </c:pt>
                <c:pt idx="120">
                  <c:v>94.028517988364072</c:v>
                </c:pt>
                <c:pt idx="121">
                  <c:v>94.091531062044297</c:v>
                </c:pt>
                <c:pt idx="122">
                  <c:v>94.116869413183281</c:v>
                </c:pt>
                <c:pt idx="123">
                  <c:v>94.154522178198718</c:v>
                </c:pt>
                <c:pt idx="124">
                  <c:v>94.224241780584535</c:v>
                </c:pt>
                <c:pt idx="125">
                  <c:v>94.273129529146146</c:v>
                </c:pt>
                <c:pt idx="126">
                  <c:v>94.266810511902847</c:v>
                </c:pt>
                <c:pt idx="127">
                  <c:v>94.300226696032581</c:v>
                </c:pt>
                <c:pt idx="128">
                  <c:v>94.333642880162316</c:v>
                </c:pt>
                <c:pt idx="129">
                  <c:v>94.36705906429205</c:v>
                </c:pt>
                <c:pt idx="130">
                  <c:v>94.343643388019629</c:v>
                </c:pt>
                <c:pt idx="131">
                  <c:v>94.413965185872712</c:v>
                </c:pt>
                <c:pt idx="132">
                  <c:v>94.467492514188962</c:v>
                </c:pt>
                <c:pt idx="133">
                  <c:v>94.479812044047534</c:v>
                </c:pt>
                <c:pt idx="134">
                  <c:v>94.498224681407009</c:v>
                </c:pt>
                <c:pt idx="135">
                  <c:v>94.563860996089446</c:v>
                </c:pt>
                <c:pt idx="136">
                  <c:v>94.608711489159475</c:v>
                </c:pt>
                <c:pt idx="137">
                  <c:v>94.645898491130708</c:v>
                </c:pt>
                <c:pt idx="138">
                  <c:v>94.683670665209959</c:v>
                </c:pt>
                <c:pt idx="139">
                  <c:v>94.754453042457612</c:v>
                </c:pt>
                <c:pt idx="140">
                  <c:v>94.824838745244406</c:v>
                </c:pt>
                <c:pt idx="141">
                  <c:v>94.834270320946942</c:v>
                </c:pt>
                <c:pt idx="142">
                  <c:v>94.864320702638338</c:v>
                </c:pt>
                <c:pt idx="143">
                  <c:v>94.917020126541573</c:v>
                </c:pt>
                <c:pt idx="144">
                  <c:v>94.992230393957087</c:v>
                </c:pt>
                <c:pt idx="145">
                  <c:v>95.039705855702479</c:v>
                </c:pt>
                <c:pt idx="146">
                  <c:v>95.07286619544692</c:v>
                </c:pt>
                <c:pt idx="147">
                  <c:v>95.140821702620272</c:v>
                </c:pt>
                <c:pt idx="148">
                  <c:v>95.171579666475409</c:v>
                </c:pt>
                <c:pt idx="149">
                  <c:v>95.193716886803358</c:v>
                </c:pt>
                <c:pt idx="150">
                  <c:v>95.238012399087481</c:v>
                </c:pt>
                <c:pt idx="151">
                  <c:v>95.267210626614485</c:v>
                </c:pt>
                <c:pt idx="152">
                  <c:v>95.320670123391281</c:v>
                </c:pt>
                <c:pt idx="153">
                  <c:v>95.341819439107454</c:v>
                </c:pt>
                <c:pt idx="154">
                  <c:v>95.38686259717322</c:v>
                </c:pt>
                <c:pt idx="155">
                  <c:v>95.432216581484184</c:v>
                </c:pt>
                <c:pt idx="156">
                  <c:v>95.476759941545808</c:v>
                </c:pt>
                <c:pt idx="157">
                  <c:v>95.523776220543709</c:v>
                </c:pt>
                <c:pt idx="158">
                  <c:v>95.540863182391988</c:v>
                </c:pt>
                <c:pt idx="159">
                  <c:v>95.569535885407731</c:v>
                </c:pt>
                <c:pt idx="160">
                  <c:v>95.593732741726058</c:v>
                </c:pt>
                <c:pt idx="161">
                  <c:v>95.608296341949924</c:v>
                </c:pt>
                <c:pt idx="162">
                  <c:v>95.642016761859182</c:v>
                </c:pt>
                <c:pt idx="163">
                  <c:v>95.696280089120009</c:v>
                </c:pt>
                <c:pt idx="164">
                  <c:v>95.715168465385673</c:v>
                </c:pt>
                <c:pt idx="165">
                  <c:v>95.72871931540972</c:v>
                </c:pt>
                <c:pt idx="166">
                  <c:v>95.760554541969626</c:v>
                </c:pt>
                <c:pt idx="167">
                  <c:v>95.789626338512051</c:v>
                </c:pt>
                <c:pt idx="168">
                  <c:v>95.823893706629065</c:v>
                </c:pt>
                <c:pt idx="169">
                  <c:v>95.838356835055606</c:v>
                </c:pt>
                <c:pt idx="170">
                  <c:v>95.844302749236988</c:v>
                </c:pt>
                <c:pt idx="171">
                  <c:v>95.83868719446285</c:v>
                </c:pt>
                <c:pt idx="172">
                  <c:v>95.864784394868153</c:v>
                </c:pt>
                <c:pt idx="173">
                  <c:v>95.867451298424953</c:v>
                </c:pt>
                <c:pt idx="174">
                  <c:v>95.884041622230328</c:v>
                </c:pt>
                <c:pt idx="175">
                  <c:v>95.937324155972149</c:v>
                </c:pt>
                <c:pt idx="176">
                  <c:v>95.931540921693639</c:v>
                </c:pt>
                <c:pt idx="177">
                  <c:v>95.928207804853912</c:v>
                </c:pt>
                <c:pt idx="178">
                  <c:v>95.978645711551053</c:v>
                </c:pt>
                <c:pt idx="179">
                  <c:v>95.966864410575113</c:v>
                </c:pt>
                <c:pt idx="180">
                  <c:v>95.967377707875016</c:v>
                </c:pt>
                <c:pt idx="181">
                  <c:v>95.969013209140527</c:v>
                </c:pt>
                <c:pt idx="182">
                  <c:v>95.973003105642988</c:v>
                </c:pt>
                <c:pt idx="183">
                  <c:v>95.926595493052616</c:v>
                </c:pt>
                <c:pt idx="184">
                  <c:v>95.916897496911375</c:v>
                </c:pt>
                <c:pt idx="185">
                  <c:v>95.93072976320677</c:v>
                </c:pt>
                <c:pt idx="186">
                  <c:v>95.923782892665869</c:v>
                </c:pt>
                <c:pt idx="187">
                  <c:v>95.922059008312615</c:v>
                </c:pt>
                <c:pt idx="188">
                  <c:v>95.938971293145002</c:v>
                </c:pt>
                <c:pt idx="189">
                  <c:v>95.919565654982648</c:v>
                </c:pt>
                <c:pt idx="190">
                  <c:v>95.905946965197771</c:v>
                </c:pt>
                <c:pt idx="191">
                  <c:v>95.889573551249612</c:v>
                </c:pt>
                <c:pt idx="192">
                  <c:v>95.876541124781639</c:v>
                </c:pt>
                <c:pt idx="193">
                  <c:v>95.867779623649866</c:v>
                </c:pt>
                <c:pt idx="194">
                  <c:v>95.805171888354963</c:v>
                </c:pt>
                <c:pt idx="195">
                  <c:v>95.79006311200942</c:v>
                </c:pt>
                <c:pt idx="196">
                  <c:v>95.81539717918325</c:v>
                </c:pt>
                <c:pt idx="197">
                  <c:v>95.792370129010294</c:v>
                </c:pt>
                <c:pt idx="198">
                  <c:v>95.766497979637393</c:v>
                </c:pt>
                <c:pt idx="199">
                  <c:v>95.731827560533929</c:v>
                </c:pt>
                <c:pt idx="200">
                  <c:v>95.688329003956767</c:v>
                </c:pt>
                <c:pt idx="201">
                  <c:v>95.669065638386328</c:v>
                </c:pt>
                <c:pt idx="202">
                  <c:v>95.661735757699105</c:v>
                </c:pt>
                <c:pt idx="203">
                  <c:v>95.601901914607652</c:v>
                </c:pt>
                <c:pt idx="204">
                  <c:v>95.555583079982284</c:v>
                </c:pt>
                <c:pt idx="205">
                  <c:v>95.561862199081247</c:v>
                </c:pt>
                <c:pt idx="206">
                  <c:v>95.504884428734997</c:v>
                </c:pt>
                <c:pt idx="207">
                  <c:v>95.462017783310088</c:v>
                </c:pt>
                <c:pt idx="208">
                  <c:v>95.424197428394962</c:v>
                </c:pt>
                <c:pt idx="209">
                  <c:v>95.361661438612614</c:v>
                </c:pt>
                <c:pt idx="210">
                  <c:v>95.275522662134406</c:v>
                </c:pt>
                <c:pt idx="211">
                  <c:v>95.175486109593407</c:v>
                </c:pt>
                <c:pt idx="212">
                  <c:v>95.147834170474127</c:v>
                </c:pt>
                <c:pt idx="213">
                  <c:v>95.056944656395672</c:v>
                </c:pt>
                <c:pt idx="214">
                  <c:v>94.952487151202618</c:v>
                </c:pt>
                <c:pt idx="215">
                  <c:v>94.879251460441253</c:v>
                </c:pt>
                <c:pt idx="216">
                  <c:v>94.790770250786593</c:v>
                </c:pt>
                <c:pt idx="217">
                  <c:v>94.779762566284333</c:v>
                </c:pt>
                <c:pt idx="218">
                  <c:v>94.771293766640042</c:v>
                </c:pt>
                <c:pt idx="219">
                  <c:v>94.835394844956667</c:v>
                </c:pt>
                <c:pt idx="220">
                  <c:v>94.853585984098402</c:v>
                </c:pt>
                <c:pt idx="221">
                  <c:v>94.930003432072638</c:v>
                </c:pt>
                <c:pt idx="222">
                  <c:v>95.096392979917837</c:v>
                </c:pt>
                <c:pt idx="223">
                  <c:v>95.213596429439619</c:v>
                </c:pt>
                <c:pt idx="224">
                  <c:v>95.281659128523231</c:v>
                </c:pt>
                <c:pt idx="225">
                  <c:v>95.292989434829295</c:v>
                </c:pt>
                <c:pt idx="226">
                  <c:v>95.304103748498378</c:v>
                </c:pt>
                <c:pt idx="227">
                  <c:v>95.249766185283349</c:v>
                </c:pt>
                <c:pt idx="228">
                  <c:v>95.223928222620032</c:v>
                </c:pt>
                <c:pt idx="229">
                  <c:v>95.230330166909312</c:v>
                </c:pt>
                <c:pt idx="230">
                  <c:v>95.16332837768762</c:v>
                </c:pt>
                <c:pt idx="231">
                  <c:v>95.150447045944176</c:v>
                </c:pt>
                <c:pt idx="232">
                  <c:v>95.143091923450243</c:v>
                </c:pt>
                <c:pt idx="233">
                  <c:v>95.114545447164744</c:v>
                </c:pt>
                <c:pt idx="234">
                  <c:v>95.14272049090043</c:v>
                </c:pt>
                <c:pt idx="235">
                  <c:v>95.158145480579449</c:v>
                </c:pt>
                <c:pt idx="236">
                  <c:v>95.117706197585449</c:v>
                </c:pt>
                <c:pt idx="237">
                  <c:v>95.074738151294397</c:v>
                </c:pt>
                <c:pt idx="238">
                  <c:v>95.065516056662702</c:v>
                </c:pt>
                <c:pt idx="239">
                  <c:v>95.057008262607212</c:v>
                </c:pt>
                <c:pt idx="240">
                  <c:v>95.046064309649523</c:v>
                </c:pt>
                <c:pt idx="241">
                  <c:v>95.026869691077238</c:v>
                </c:pt>
                <c:pt idx="242">
                  <c:v>94.992881070511473</c:v>
                </c:pt>
                <c:pt idx="243">
                  <c:v>94.935542587548412</c:v>
                </c:pt>
                <c:pt idx="244">
                  <c:v>94.93718880387695</c:v>
                </c:pt>
                <c:pt idx="245">
                  <c:v>94.919361853976923</c:v>
                </c:pt>
                <c:pt idx="246">
                  <c:v>94.882398750966388</c:v>
                </c:pt>
                <c:pt idx="247">
                  <c:v>94.893562317844797</c:v>
                </c:pt>
                <c:pt idx="248">
                  <c:v>94.842778003359925</c:v>
                </c:pt>
                <c:pt idx="249">
                  <c:v>94.820528821914479</c:v>
                </c:pt>
                <c:pt idx="250">
                  <c:v>94.818037539826022</c:v>
                </c:pt>
                <c:pt idx="251">
                  <c:v>94.768247508467326</c:v>
                </c:pt>
                <c:pt idx="252">
                  <c:v>94.816436930775708</c:v>
                </c:pt>
                <c:pt idx="253">
                  <c:v>94.772489776869563</c:v>
                </c:pt>
                <c:pt idx="254">
                  <c:v>94.783530317797101</c:v>
                </c:pt>
                <c:pt idx="255">
                  <c:v>94.734170020468881</c:v>
                </c:pt>
                <c:pt idx="256">
                  <c:v>94.704461627968229</c:v>
                </c:pt>
                <c:pt idx="257">
                  <c:v>94.747173451238723</c:v>
                </c:pt>
                <c:pt idx="258">
                  <c:v>94.731990745141843</c:v>
                </c:pt>
                <c:pt idx="259">
                  <c:v>94.722986635499623</c:v>
                </c:pt>
                <c:pt idx="260">
                  <c:v>94.706454355706981</c:v>
                </c:pt>
                <c:pt idx="261">
                  <c:v>94.721321137841997</c:v>
                </c:pt>
                <c:pt idx="262">
                  <c:v>94.673213932763133</c:v>
                </c:pt>
                <c:pt idx="263">
                  <c:v>94.669861000376287</c:v>
                </c:pt>
                <c:pt idx="264">
                  <c:v>94.600644794132791</c:v>
                </c:pt>
                <c:pt idx="265">
                  <c:v>94.668209456238628</c:v>
                </c:pt>
                <c:pt idx="266">
                  <c:v>94.603686139727245</c:v>
                </c:pt>
                <c:pt idx="267">
                  <c:v>94.602295179802766</c:v>
                </c:pt>
                <c:pt idx="268">
                  <c:v>94.62670672280602</c:v>
                </c:pt>
                <c:pt idx="269">
                  <c:v>94.608450192679584</c:v>
                </c:pt>
                <c:pt idx="270">
                  <c:v>94.561804130428001</c:v>
                </c:pt>
                <c:pt idx="271">
                  <c:v>94.625347969903871</c:v>
                </c:pt>
                <c:pt idx="272">
                  <c:v>94.604151082658618</c:v>
                </c:pt>
                <c:pt idx="273">
                  <c:v>94.590006486877812</c:v>
                </c:pt>
                <c:pt idx="274">
                  <c:v>94.600158248342339</c:v>
                </c:pt>
                <c:pt idx="275">
                  <c:v>94.60335921636873</c:v>
                </c:pt>
                <c:pt idx="276">
                  <c:v>94.521185062137832</c:v>
                </c:pt>
                <c:pt idx="277">
                  <c:v>94.547591826360417</c:v>
                </c:pt>
                <c:pt idx="278">
                  <c:v>94.556946234407746</c:v>
                </c:pt>
                <c:pt idx="279">
                  <c:v>94.566145918745931</c:v>
                </c:pt>
                <c:pt idx="280">
                  <c:v>94.503192325579207</c:v>
                </c:pt>
                <c:pt idx="281">
                  <c:v>94.533318347712807</c:v>
                </c:pt>
                <c:pt idx="282">
                  <c:v>94.568025012864453</c:v>
                </c:pt>
                <c:pt idx="283">
                  <c:v>94.584804612176754</c:v>
                </c:pt>
                <c:pt idx="284">
                  <c:v>94.550393738136066</c:v>
                </c:pt>
                <c:pt idx="285">
                  <c:v>94.497530452951466</c:v>
                </c:pt>
                <c:pt idx="286">
                  <c:v>94.48996345303037</c:v>
                </c:pt>
                <c:pt idx="287">
                  <c:v>94.529245507380736</c:v>
                </c:pt>
                <c:pt idx="288">
                  <c:v>94.525415123949529</c:v>
                </c:pt>
                <c:pt idx="289">
                  <c:v>94.545374937709497</c:v>
                </c:pt>
                <c:pt idx="290">
                  <c:v>94.519918537524589</c:v>
                </c:pt>
                <c:pt idx="291">
                  <c:v>94.485979602159077</c:v>
                </c:pt>
                <c:pt idx="292">
                  <c:v>94.525067027599292</c:v>
                </c:pt>
                <c:pt idx="293">
                  <c:v>94.489030924619541</c:v>
                </c:pt>
                <c:pt idx="294">
                  <c:v>94.492789969820436</c:v>
                </c:pt>
                <c:pt idx="295">
                  <c:v>94.543296295688052</c:v>
                </c:pt>
                <c:pt idx="296">
                  <c:v>94.550819185093431</c:v>
                </c:pt>
                <c:pt idx="297">
                  <c:v>94.552658212830622</c:v>
                </c:pt>
                <c:pt idx="298">
                  <c:v>94.539174098095486</c:v>
                </c:pt>
                <c:pt idx="299">
                  <c:v>94.534585797960787</c:v>
                </c:pt>
                <c:pt idx="300">
                  <c:v>94.514478708032144</c:v>
                </c:pt>
                <c:pt idx="301">
                  <c:v>94.549344539021106</c:v>
                </c:pt>
                <c:pt idx="302">
                  <c:v>94.57567915005977</c:v>
                </c:pt>
                <c:pt idx="303">
                  <c:v>94.563996047557666</c:v>
                </c:pt>
                <c:pt idx="304">
                  <c:v>94.564886125301157</c:v>
                </c:pt>
                <c:pt idx="305">
                  <c:v>94.555994055629796</c:v>
                </c:pt>
                <c:pt idx="306">
                  <c:v>94.593222007006929</c:v>
                </c:pt>
                <c:pt idx="307">
                  <c:v>94.579298377333032</c:v>
                </c:pt>
                <c:pt idx="308">
                  <c:v>94.602714096696914</c:v>
                </c:pt>
                <c:pt idx="309">
                  <c:v>94.617265726496143</c:v>
                </c:pt>
                <c:pt idx="310">
                  <c:v>94.622095881778534</c:v>
                </c:pt>
                <c:pt idx="311">
                  <c:v>94.678335714681964</c:v>
                </c:pt>
                <c:pt idx="312">
                  <c:v>94.645140427526528</c:v>
                </c:pt>
                <c:pt idx="313">
                  <c:v>94.694275877208327</c:v>
                </c:pt>
                <c:pt idx="314">
                  <c:v>94.730625489746501</c:v>
                </c:pt>
                <c:pt idx="315">
                  <c:v>94.709840155397856</c:v>
                </c:pt>
                <c:pt idx="316">
                  <c:v>94.724230789522551</c:v>
                </c:pt>
                <c:pt idx="317">
                  <c:v>94.769367301416494</c:v>
                </c:pt>
                <c:pt idx="318">
                  <c:v>94.783175821127259</c:v>
                </c:pt>
                <c:pt idx="319">
                  <c:v>94.801784283593918</c:v>
                </c:pt>
                <c:pt idx="320">
                  <c:v>94.801730422528593</c:v>
                </c:pt>
                <c:pt idx="321">
                  <c:v>94.847464791074415</c:v>
                </c:pt>
                <c:pt idx="322">
                  <c:v>94.827878310023678</c:v>
                </c:pt>
                <c:pt idx="323">
                  <c:v>94.861832544217762</c:v>
                </c:pt>
                <c:pt idx="324">
                  <c:v>94.872975714448998</c:v>
                </c:pt>
                <c:pt idx="325">
                  <c:v>94.864619398713003</c:v>
                </c:pt>
                <c:pt idx="326">
                  <c:v>94.889713048749726</c:v>
                </c:pt>
                <c:pt idx="327">
                  <c:v>94.875706293402516</c:v>
                </c:pt>
                <c:pt idx="328">
                  <c:v>94.861727855832001</c:v>
                </c:pt>
                <c:pt idx="329">
                  <c:v>95.097472332250689</c:v>
                </c:pt>
                <c:pt idx="330">
                  <c:v>94.789314808894005</c:v>
                </c:pt>
                <c:pt idx="331">
                  <c:v>94.603235267508808</c:v>
                </c:pt>
                <c:pt idx="332">
                  <c:v>94.741946047671718</c:v>
                </c:pt>
                <c:pt idx="333">
                  <c:v>94.640691073399992</c:v>
                </c:pt>
                <c:pt idx="334">
                  <c:v>94.814154308001207</c:v>
                </c:pt>
                <c:pt idx="335">
                  <c:v>94.734326618848897</c:v>
                </c:pt>
                <c:pt idx="336">
                  <c:v>94.79246322630604</c:v>
                </c:pt>
                <c:pt idx="337">
                  <c:v>94.80995765251545</c:v>
                </c:pt>
                <c:pt idx="338">
                  <c:v>94.841203216479698</c:v>
                </c:pt>
                <c:pt idx="339">
                  <c:v>94.821290808882409</c:v>
                </c:pt>
                <c:pt idx="340">
                  <c:v>94.854376645092529</c:v>
                </c:pt>
                <c:pt idx="341">
                  <c:v>94.939947779950941</c:v>
                </c:pt>
                <c:pt idx="342">
                  <c:v>95.023317545697395</c:v>
                </c:pt>
                <c:pt idx="343">
                  <c:v>94.955464125408866</c:v>
                </c:pt>
                <c:pt idx="344">
                  <c:v>95.055443379357754</c:v>
                </c:pt>
                <c:pt idx="345">
                  <c:v>95.131519331818978</c:v>
                </c:pt>
                <c:pt idx="346">
                  <c:v>95.165740035427731</c:v>
                </c:pt>
                <c:pt idx="347">
                  <c:v>95.172054816282738</c:v>
                </c:pt>
                <c:pt idx="348">
                  <c:v>95.14672047484531</c:v>
                </c:pt>
                <c:pt idx="349">
                  <c:v>95.210795031075463</c:v>
                </c:pt>
                <c:pt idx="350">
                  <c:v>95.389169322680843</c:v>
                </c:pt>
                <c:pt idx="351">
                  <c:v>95.332092247546555</c:v>
                </c:pt>
                <c:pt idx="352">
                  <c:v>95.372165584718104</c:v>
                </c:pt>
                <c:pt idx="353">
                  <c:v>95.331060908257882</c:v>
                </c:pt>
                <c:pt idx="354">
                  <c:v>95.449317814120093</c:v>
                </c:pt>
                <c:pt idx="355">
                  <c:v>95.41831840016728</c:v>
                </c:pt>
                <c:pt idx="356">
                  <c:v>95.455243084522962</c:v>
                </c:pt>
                <c:pt idx="357">
                  <c:v>95.443304105338811</c:v>
                </c:pt>
                <c:pt idx="358">
                  <c:v>95.51562247895049</c:v>
                </c:pt>
                <c:pt idx="359">
                  <c:v>95.519641250772949</c:v>
                </c:pt>
                <c:pt idx="360">
                  <c:v>95.529280297996522</c:v>
                </c:pt>
                <c:pt idx="361">
                  <c:v>95.58443956099434</c:v>
                </c:pt>
                <c:pt idx="362">
                  <c:v>95.582626301778873</c:v>
                </c:pt>
                <c:pt idx="363">
                  <c:v>95.648141349257443</c:v>
                </c:pt>
                <c:pt idx="364">
                  <c:v>95.626508501307924</c:v>
                </c:pt>
                <c:pt idx="365">
                  <c:v>95.578384026269887</c:v>
                </c:pt>
                <c:pt idx="366">
                  <c:v>95.634130608093812</c:v>
                </c:pt>
                <c:pt idx="367">
                  <c:v>95.623559127563283</c:v>
                </c:pt>
                <c:pt idx="368">
                  <c:v>95.645207583810262</c:v>
                </c:pt>
                <c:pt idx="369">
                  <c:v>95.659268507607962</c:v>
                </c:pt>
                <c:pt idx="370">
                  <c:v>95.621510301759727</c:v>
                </c:pt>
                <c:pt idx="371">
                  <c:v>95.65817042518313</c:v>
                </c:pt>
                <c:pt idx="372">
                  <c:v>95.72538000333482</c:v>
                </c:pt>
                <c:pt idx="373">
                  <c:v>95.689491452815318</c:v>
                </c:pt>
                <c:pt idx="374">
                  <c:v>95.682935035913204</c:v>
                </c:pt>
                <c:pt idx="375">
                  <c:v>95.724947523182109</c:v>
                </c:pt>
                <c:pt idx="376">
                  <c:v>95.742120395990639</c:v>
                </c:pt>
                <c:pt idx="377">
                  <c:v>95.760056646272588</c:v>
                </c:pt>
                <c:pt idx="378">
                  <c:v>95.781450240663659</c:v>
                </c:pt>
                <c:pt idx="379">
                  <c:v>95.801044660234922</c:v>
                </c:pt>
                <c:pt idx="380">
                  <c:v>95.774160933405525</c:v>
                </c:pt>
                <c:pt idx="381">
                  <c:v>95.753385754494118</c:v>
                </c:pt>
                <c:pt idx="382">
                  <c:v>95.790406568703915</c:v>
                </c:pt>
                <c:pt idx="383">
                  <c:v>95.746342512451022</c:v>
                </c:pt>
                <c:pt idx="384">
                  <c:v>95.725057289772295</c:v>
                </c:pt>
                <c:pt idx="385">
                  <c:v>95.733776574516824</c:v>
                </c:pt>
                <c:pt idx="386">
                  <c:v>95.686194122023821</c:v>
                </c:pt>
                <c:pt idx="387">
                  <c:v>95.702783413380345</c:v>
                </c:pt>
                <c:pt idx="388">
                  <c:v>95.635488761567501</c:v>
                </c:pt>
                <c:pt idx="389">
                  <c:v>95.607355146626432</c:v>
                </c:pt>
                <c:pt idx="390">
                  <c:v>95.550349759511235</c:v>
                </c:pt>
                <c:pt idx="391">
                  <c:v>95.510786805981752</c:v>
                </c:pt>
                <c:pt idx="392">
                  <c:v>95.435539979458255</c:v>
                </c:pt>
                <c:pt idx="393">
                  <c:v>95.370800896674368</c:v>
                </c:pt>
                <c:pt idx="394">
                  <c:v>95.316203271432286</c:v>
                </c:pt>
                <c:pt idx="395">
                  <c:v>95.117753208811294</c:v>
                </c:pt>
                <c:pt idx="396">
                  <c:v>94.962167375108947</c:v>
                </c:pt>
                <c:pt idx="397">
                  <c:v>94.835473531708843</c:v>
                </c:pt>
                <c:pt idx="398">
                  <c:v>94.958236538953045</c:v>
                </c:pt>
                <c:pt idx="399">
                  <c:v>94.852239061719459</c:v>
                </c:pt>
                <c:pt idx="400">
                  <c:v>94.773641852322456</c:v>
                </c:pt>
                <c:pt idx="401">
                  <c:v>94.659655322668982</c:v>
                </c:pt>
                <c:pt idx="402">
                  <c:v>94.565165251827167</c:v>
                </c:pt>
                <c:pt idx="403">
                  <c:v>94.399213348179657</c:v>
                </c:pt>
                <c:pt idx="404">
                  <c:v>94.273760608838117</c:v>
                </c:pt>
                <c:pt idx="405">
                  <c:v>94.113410534117477</c:v>
                </c:pt>
                <c:pt idx="406">
                  <c:v>93.962856101286278</c:v>
                </c:pt>
                <c:pt idx="407">
                  <c:v>93.758828966282849</c:v>
                </c:pt>
                <c:pt idx="408">
                  <c:v>93.57026532022843</c:v>
                </c:pt>
                <c:pt idx="409">
                  <c:v>93.403341567283107</c:v>
                </c:pt>
                <c:pt idx="410">
                  <c:v>93.21615329186811</c:v>
                </c:pt>
                <c:pt idx="411">
                  <c:v>92.985575100177201</c:v>
                </c:pt>
                <c:pt idx="412">
                  <c:v>92.814627690455481</c:v>
                </c:pt>
                <c:pt idx="413">
                  <c:v>92.577346100176371</c:v>
                </c:pt>
                <c:pt idx="414">
                  <c:v>92.407009772453591</c:v>
                </c:pt>
                <c:pt idx="415">
                  <c:v>92.198683902751768</c:v>
                </c:pt>
                <c:pt idx="416">
                  <c:v>91.988618028936216</c:v>
                </c:pt>
                <c:pt idx="417">
                  <c:v>91.678021938506348</c:v>
                </c:pt>
                <c:pt idx="418">
                  <c:v>91.455872774278717</c:v>
                </c:pt>
                <c:pt idx="419">
                  <c:v>91.09450104455243</c:v>
                </c:pt>
                <c:pt idx="420">
                  <c:v>90.677428276060255</c:v>
                </c:pt>
                <c:pt idx="421">
                  <c:v>90.059230877729661</c:v>
                </c:pt>
                <c:pt idx="422">
                  <c:v>89.479163512854484</c:v>
                </c:pt>
                <c:pt idx="423">
                  <c:v>88.53747855212653</c:v>
                </c:pt>
                <c:pt idx="424">
                  <c:v>87.773629766453269</c:v>
                </c:pt>
                <c:pt idx="425">
                  <c:v>87.178326443626091</c:v>
                </c:pt>
                <c:pt idx="426">
                  <c:v>86.029068117744671</c:v>
                </c:pt>
                <c:pt idx="427">
                  <c:v>84.522581571191651</c:v>
                </c:pt>
                <c:pt idx="428">
                  <c:v>82.89494224884173</c:v>
                </c:pt>
                <c:pt idx="429">
                  <c:v>80.047964457075423</c:v>
                </c:pt>
                <c:pt idx="430">
                  <c:v>77.291361479721616</c:v>
                </c:pt>
                <c:pt idx="431">
                  <c:v>71.792216661486535</c:v>
                </c:pt>
                <c:pt idx="432">
                  <c:v>66.190017769734183</c:v>
                </c:pt>
                <c:pt idx="433">
                  <c:v>55.503484479086502</c:v>
                </c:pt>
                <c:pt idx="434">
                  <c:v>45.72167539511554</c:v>
                </c:pt>
                <c:pt idx="435">
                  <c:v>30.159687222351639</c:v>
                </c:pt>
                <c:pt idx="436">
                  <c:v>12.853661043266309</c:v>
                </c:pt>
                <c:pt idx="437">
                  <c:v>8.5383974522321289</c:v>
                </c:pt>
                <c:pt idx="438">
                  <c:v>6.1005191241566985</c:v>
                </c:pt>
                <c:pt idx="439">
                  <c:v>6.0960630034025938</c:v>
                </c:pt>
                <c:pt idx="440">
                  <c:v>5.945907379187541</c:v>
                </c:pt>
                <c:pt idx="441">
                  <c:v>5.6325648336438254</c:v>
                </c:pt>
                <c:pt idx="442">
                  <c:v>5.3673417311167242</c:v>
                </c:pt>
                <c:pt idx="443">
                  <c:v>5.3387196512227328</c:v>
                </c:pt>
                <c:pt idx="444">
                  <c:v>5.2153426132953511</c:v>
                </c:pt>
                <c:pt idx="445">
                  <c:v>5.1811774936106438</c:v>
                </c:pt>
                <c:pt idx="446">
                  <c:v>5.111818024745939</c:v>
                </c:pt>
                <c:pt idx="447">
                  <c:v>5.0852114013818648</c:v>
                </c:pt>
                <c:pt idx="448">
                  <c:v>5.0684804059488302</c:v>
                </c:pt>
                <c:pt idx="449">
                  <c:v>5.1410629357342801</c:v>
                </c:pt>
                <c:pt idx="450">
                  <c:v>5.2620315850651354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11B-4E32-9BBB-DBAB3EB61878}"/>
            </c:ext>
          </c:extLst>
        </c:ser>
        <c:ser>
          <c:idx val="7"/>
          <c:order val="6"/>
          <c:tx>
            <c:strRef>
              <c:f>refl5!$AY$76</c:f>
              <c:strCache>
                <c:ptCount val="1"/>
                <c:pt idx="0">
                  <c:v>SaintG3</c:v>
                </c:pt>
              </c:strCache>
            </c:strRef>
          </c:tx>
          <c:spPr>
            <a:ln w="25400">
              <a:solidFill>
                <a:srgbClr val="80008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refl5!$AY$79:$AY$529</c:f>
              <c:numCache>
                <c:formatCode>0.00</c:formatCode>
                <c:ptCount val="451"/>
                <c:pt idx="0">
                  <c:v>87.819517363240209</c:v>
                </c:pt>
                <c:pt idx="1">
                  <c:v>87.776571244317779</c:v>
                </c:pt>
                <c:pt idx="2">
                  <c:v>87.754924718287327</c:v>
                </c:pt>
                <c:pt idx="3">
                  <c:v>87.835688236580268</c:v>
                </c:pt>
                <c:pt idx="4">
                  <c:v>87.944168937114284</c:v>
                </c:pt>
                <c:pt idx="5">
                  <c:v>87.970265693057328</c:v>
                </c:pt>
                <c:pt idx="6">
                  <c:v>88.116257261337111</c:v>
                </c:pt>
                <c:pt idx="7">
                  <c:v>88.164738419796706</c:v>
                </c:pt>
                <c:pt idx="8">
                  <c:v>88.366788295799793</c:v>
                </c:pt>
                <c:pt idx="9">
                  <c:v>88.611192418978092</c:v>
                </c:pt>
                <c:pt idx="10">
                  <c:v>88.74150048915449</c:v>
                </c:pt>
                <c:pt idx="11">
                  <c:v>88.927514483015827</c:v>
                </c:pt>
                <c:pt idx="12">
                  <c:v>89.098293081737623</c:v>
                </c:pt>
                <c:pt idx="13">
                  <c:v>89.283663827618057</c:v>
                </c:pt>
                <c:pt idx="14">
                  <c:v>89.38041221847665</c:v>
                </c:pt>
                <c:pt idx="15">
                  <c:v>89.581908387338345</c:v>
                </c:pt>
                <c:pt idx="16">
                  <c:v>89.775636013728374</c:v>
                </c:pt>
                <c:pt idx="17">
                  <c:v>89.917874165708398</c:v>
                </c:pt>
                <c:pt idx="18">
                  <c:v>90.090031460010053</c:v>
                </c:pt>
                <c:pt idx="19">
                  <c:v>90.180239754971851</c:v>
                </c:pt>
                <c:pt idx="20">
                  <c:v>90.304020431470349</c:v>
                </c:pt>
                <c:pt idx="21">
                  <c:v>90.392245334467376</c:v>
                </c:pt>
                <c:pt idx="22">
                  <c:v>90.454869022753144</c:v>
                </c:pt>
                <c:pt idx="23">
                  <c:v>90.628120207159327</c:v>
                </c:pt>
                <c:pt idx="24">
                  <c:v>90.757532057752954</c:v>
                </c:pt>
                <c:pt idx="25">
                  <c:v>90.80041544506031</c:v>
                </c:pt>
                <c:pt idx="26">
                  <c:v>90.845009274185486</c:v>
                </c:pt>
                <c:pt idx="27">
                  <c:v>90.873635466333141</c:v>
                </c:pt>
                <c:pt idx="28">
                  <c:v>90.922125053392904</c:v>
                </c:pt>
                <c:pt idx="29">
                  <c:v>90.932475603623104</c:v>
                </c:pt>
                <c:pt idx="30">
                  <c:v>90.971583320489955</c:v>
                </c:pt>
                <c:pt idx="31">
                  <c:v>90.918910989352369</c:v>
                </c:pt>
                <c:pt idx="32">
                  <c:v>90.887359561385139</c:v>
                </c:pt>
                <c:pt idx="33">
                  <c:v>90.894228966710372</c:v>
                </c:pt>
                <c:pt idx="34">
                  <c:v>90.888256162221083</c:v>
                </c:pt>
                <c:pt idx="35">
                  <c:v>90.869322275001153</c:v>
                </c:pt>
                <c:pt idx="36">
                  <c:v>90.862600406122297</c:v>
                </c:pt>
                <c:pt idx="37">
                  <c:v>90.842144744562532</c:v>
                </c:pt>
                <c:pt idx="38">
                  <c:v>90.809264979869184</c:v>
                </c:pt>
                <c:pt idx="39">
                  <c:v>90.787561214965265</c:v>
                </c:pt>
                <c:pt idx="40">
                  <c:v>90.748572575785218</c:v>
                </c:pt>
                <c:pt idx="41">
                  <c:v>90.705470647591824</c:v>
                </c:pt>
                <c:pt idx="42">
                  <c:v>90.655946647939501</c:v>
                </c:pt>
                <c:pt idx="43">
                  <c:v>90.59846491170579</c:v>
                </c:pt>
                <c:pt idx="44">
                  <c:v>90.535499379491924</c:v>
                </c:pt>
                <c:pt idx="45">
                  <c:v>90.425843299291103</c:v>
                </c:pt>
                <c:pt idx="46">
                  <c:v>90.341338010231695</c:v>
                </c:pt>
                <c:pt idx="47">
                  <c:v>90.234314367409453</c:v>
                </c:pt>
                <c:pt idx="48">
                  <c:v>90.118086416676149</c:v>
                </c:pt>
                <c:pt idx="49">
                  <c:v>90.038010967208606</c:v>
                </c:pt>
                <c:pt idx="50">
                  <c:v>89.957918187371277</c:v>
                </c:pt>
                <c:pt idx="51">
                  <c:v>89.867002123356428</c:v>
                </c:pt>
                <c:pt idx="52">
                  <c:v>89.766520099001468</c:v>
                </c:pt>
                <c:pt idx="53">
                  <c:v>89.724557288925709</c:v>
                </c:pt>
                <c:pt idx="54">
                  <c:v>89.671531321927787</c:v>
                </c:pt>
                <c:pt idx="55">
                  <c:v>89.690251141440157</c:v>
                </c:pt>
                <c:pt idx="56">
                  <c:v>89.700448443669828</c:v>
                </c:pt>
                <c:pt idx="57">
                  <c:v>89.830546686805135</c:v>
                </c:pt>
                <c:pt idx="58">
                  <c:v>89.951884430564135</c:v>
                </c:pt>
                <c:pt idx="59">
                  <c:v>90.197575112106776</c:v>
                </c:pt>
                <c:pt idx="60">
                  <c:v>90.427607048853986</c:v>
                </c:pt>
                <c:pt idx="61">
                  <c:v>90.78449522779708</c:v>
                </c:pt>
                <c:pt idx="62">
                  <c:v>91.157133268745682</c:v>
                </c:pt>
                <c:pt idx="63">
                  <c:v>91.536459552659494</c:v>
                </c:pt>
                <c:pt idx="64">
                  <c:v>91.929206520178965</c:v>
                </c:pt>
                <c:pt idx="65">
                  <c:v>92.253995827838665</c:v>
                </c:pt>
                <c:pt idx="66">
                  <c:v>92.567607383206976</c:v>
                </c:pt>
                <c:pt idx="67">
                  <c:v>92.792934351598504</c:v>
                </c:pt>
                <c:pt idx="68">
                  <c:v>93.018561119733363</c:v>
                </c:pt>
                <c:pt idx="69">
                  <c:v>93.1791311443436</c:v>
                </c:pt>
                <c:pt idx="70">
                  <c:v>93.31521639232308</c:v>
                </c:pt>
                <c:pt idx="71">
                  <c:v>93.439549006630784</c:v>
                </c:pt>
                <c:pt idx="72">
                  <c:v>93.560623279657989</c:v>
                </c:pt>
                <c:pt idx="73">
                  <c:v>93.664611593440384</c:v>
                </c:pt>
                <c:pt idx="74">
                  <c:v>93.758139971287804</c:v>
                </c:pt>
                <c:pt idx="75">
                  <c:v>93.824517177781289</c:v>
                </c:pt>
                <c:pt idx="76">
                  <c:v>93.895684344188012</c:v>
                </c:pt>
                <c:pt idx="77">
                  <c:v>93.964199119118078</c:v>
                </c:pt>
                <c:pt idx="78">
                  <c:v>94.026371590183373</c:v>
                </c:pt>
                <c:pt idx="79">
                  <c:v>94.06699991041485</c:v>
                </c:pt>
                <c:pt idx="80">
                  <c:v>94.112360584256479</c:v>
                </c:pt>
                <c:pt idx="81">
                  <c:v>94.152235776451434</c:v>
                </c:pt>
                <c:pt idx="82">
                  <c:v>94.204052429074139</c:v>
                </c:pt>
                <c:pt idx="83">
                  <c:v>94.248961966502677</c:v>
                </c:pt>
                <c:pt idx="84">
                  <c:v>94.280893005701714</c:v>
                </c:pt>
                <c:pt idx="85">
                  <c:v>94.315627656042736</c:v>
                </c:pt>
                <c:pt idx="86">
                  <c:v>94.333190064753126</c:v>
                </c:pt>
                <c:pt idx="87">
                  <c:v>94.343471227636954</c:v>
                </c:pt>
                <c:pt idx="88">
                  <c:v>94.364609764063957</c:v>
                </c:pt>
                <c:pt idx="89">
                  <c:v>94.407893429358793</c:v>
                </c:pt>
                <c:pt idx="90">
                  <c:v>94.432721879516649</c:v>
                </c:pt>
                <c:pt idx="91">
                  <c:v>94.448250953442425</c:v>
                </c:pt>
                <c:pt idx="92">
                  <c:v>94.464081997560285</c:v>
                </c:pt>
                <c:pt idx="93">
                  <c:v>94.484633187457803</c:v>
                </c:pt>
                <c:pt idx="94">
                  <c:v>94.516611429389513</c:v>
                </c:pt>
                <c:pt idx="95">
                  <c:v>94.531713550318159</c:v>
                </c:pt>
                <c:pt idx="96">
                  <c:v>94.548843567912641</c:v>
                </c:pt>
                <c:pt idx="97">
                  <c:v>94.574666492352932</c:v>
                </c:pt>
                <c:pt idx="98">
                  <c:v>94.607439111933004</c:v>
                </c:pt>
                <c:pt idx="99">
                  <c:v>94.632568595351586</c:v>
                </c:pt>
                <c:pt idx="100">
                  <c:v>94.672707426713046</c:v>
                </c:pt>
                <c:pt idx="101">
                  <c:v>94.693694674733976</c:v>
                </c:pt>
                <c:pt idx="102">
                  <c:v>94.725136195425492</c:v>
                </c:pt>
                <c:pt idx="103">
                  <c:v>94.773544016367921</c:v>
                </c:pt>
                <c:pt idx="104">
                  <c:v>94.799742182182172</c:v>
                </c:pt>
                <c:pt idx="105">
                  <c:v>94.84704996136486</c:v>
                </c:pt>
                <c:pt idx="106">
                  <c:v>94.884751050311138</c:v>
                </c:pt>
                <c:pt idx="107">
                  <c:v>94.924736642577457</c:v>
                </c:pt>
                <c:pt idx="108">
                  <c:v>94.962450399647324</c:v>
                </c:pt>
                <c:pt idx="109">
                  <c:v>94.993684835226347</c:v>
                </c:pt>
                <c:pt idx="110">
                  <c:v>95.031557740562832</c:v>
                </c:pt>
                <c:pt idx="111">
                  <c:v>95.077257537406282</c:v>
                </c:pt>
                <c:pt idx="112">
                  <c:v>95.119440227832612</c:v>
                </c:pt>
                <c:pt idx="113">
                  <c:v>95.157984410881298</c:v>
                </c:pt>
                <c:pt idx="114">
                  <c:v>95.180397786721997</c:v>
                </c:pt>
                <c:pt idx="115">
                  <c:v>95.241676369553701</c:v>
                </c:pt>
                <c:pt idx="116">
                  <c:v>95.275853645463087</c:v>
                </c:pt>
                <c:pt idx="117">
                  <c:v>95.249715675691832</c:v>
                </c:pt>
                <c:pt idx="118">
                  <c:v>95.285808866544656</c:v>
                </c:pt>
                <c:pt idx="119">
                  <c:v>95.331131460347152</c:v>
                </c:pt>
                <c:pt idx="120">
                  <c:v>95.313934674071632</c:v>
                </c:pt>
                <c:pt idx="121">
                  <c:v>95.340953450181942</c:v>
                </c:pt>
                <c:pt idx="122">
                  <c:v>95.362869537522656</c:v>
                </c:pt>
                <c:pt idx="123">
                  <c:v>95.410766859232652</c:v>
                </c:pt>
                <c:pt idx="124">
                  <c:v>95.485038129615987</c:v>
                </c:pt>
                <c:pt idx="125">
                  <c:v>95.514569853092993</c:v>
                </c:pt>
                <c:pt idx="126">
                  <c:v>95.503357004436111</c:v>
                </c:pt>
                <c:pt idx="127">
                  <c:v>95.527196433903171</c:v>
                </c:pt>
                <c:pt idx="128">
                  <c:v>95.551035863370245</c:v>
                </c:pt>
                <c:pt idx="129">
                  <c:v>95.574875292837305</c:v>
                </c:pt>
                <c:pt idx="130">
                  <c:v>95.541585257813381</c:v>
                </c:pt>
                <c:pt idx="131">
                  <c:v>95.615980399641145</c:v>
                </c:pt>
                <c:pt idx="132">
                  <c:v>95.664667211039159</c:v>
                </c:pt>
                <c:pt idx="133">
                  <c:v>95.641966191006759</c:v>
                </c:pt>
                <c:pt idx="134">
                  <c:v>95.654284507194873</c:v>
                </c:pt>
                <c:pt idx="135">
                  <c:v>95.712669050170646</c:v>
                </c:pt>
                <c:pt idx="136">
                  <c:v>95.753842288762698</c:v>
                </c:pt>
                <c:pt idx="137">
                  <c:v>95.773104806540402</c:v>
                </c:pt>
                <c:pt idx="138">
                  <c:v>95.801146692992162</c:v>
                </c:pt>
                <c:pt idx="139">
                  <c:v>95.843486312300627</c:v>
                </c:pt>
                <c:pt idx="140">
                  <c:v>95.884883610895329</c:v>
                </c:pt>
                <c:pt idx="141">
                  <c:v>95.900755966827703</c:v>
                </c:pt>
                <c:pt idx="142">
                  <c:v>95.927564629401004</c:v>
                </c:pt>
                <c:pt idx="143">
                  <c:v>95.949515442509536</c:v>
                </c:pt>
                <c:pt idx="144">
                  <c:v>95.985546707032881</c:v>
                </c:pt>
                <c:pt idx="145">
                  <c:v>96.028888211149763</c:v>
                </c:pt>
                <c:pt idx="146">
                  <c:v>96.057848809684401</c:v>
                </c:pt>
                <c:pt idx="147">
                  <c:v>96.106719867768675</c:v>
                </c:pt>
                <c:pt idx="148">
                  <c:v>96.127460511645936</c:v>
                </c:pt>
                <c:pt idx="149">
                  <c:v>96.144811895745036</c:v>
                </c:pt>
                <c:pt idx="150">
                  <c:v>96.174230864469791</c:v>
                </c:pt>
                <c:pt idx="151">
                  <c:v>96.195972623126451</c:v>
                </c:pt>
                <c:pt idx="152">
                  <c:v>96.226011788987321</c:v>
                </c:pt>
                <c:pt idx="153">
                  <c:v>96.243602054005009</c:v>
                </c:pt>
                <c:pt idx="154">
                  <c:v>96.279578500927826</c:v>
                </c:pt>
                <c:pt idx="155">
                  <c:v>96.298484419299029</c:v>
                </c:pt>
                <c:pt idx="156">
                  <c:v>96.308463092777103</c:v>
                </c:pt>
                <c:pt idx="157">
                  <c:v>96.35158581085193</c:v>
                </c:pt>
                <c:pt idx="158">
                  <c:v>96.383447547252146</c:v>
                </c:pt>
                <c:pt idx="159">
                  <c:v>96.396650807219274</c:v>
                </c:pt>
                <c:pt idx="160">
                  <c:v>96.403657043509227</c:v>
                </c:pt>
                <c:pt idx="161">
                  <c:v>96.424392876118404</c:v>
                </c:pt>
                <c:pt idx="162">
                  <c:v>96.451161746579714</c:v>
                </c:pt>
                <c:pt idx="163">
                  <c:v>96.481467264983237</c:v>
                </c:pt>
                <c:pt idx="164">
                  <c:v>96.483540608548466</c:v>
                </c:pt>
                <c:pt idx="165">
                  <c:v>96.479467283136614</c:v>
                </c:pt>
                <c:pt idx="166">
                  <c:v>96.499917297309807</c:v>
                </c:pt>
                <c:pt idx="167">
                  <c:v>96.529718659000878</c:v>
                </c:pt>
                <c:pt idx="168">
                  <c:v>96.563774180881765</c:v>
                </c:pt>
                <c:pt idx="169">
                  <c:v>96.572089384823016</c:v>
                </c:pt>
                <c:pt idx="170">
                  <c:v>96.569765264289288</c:v>
                </c:pt>
                <c:pt idx="171">
                  <c:v>96.562394811166371</c:v>
                </c:pt>
                <c:pt idx="172">
                  <c:v>96.575360959752061</c:v>
                </c:pt>
                <c:pt idx="173">
                  <c:v>96.573462157010894</c:v>
                </c:pt>
                <c:pt idx="174">
                  <c:v>96.583405640696085</c:v>
                </c:pt>
                <c:pt idx="175">
                  <c:v>96.610239014774677</c:v>
                </c:pt>
                <c:pt idx="176">
                  <c:v>96.615092892666794</c:v>
                </c:pt>
                <c:pt idx="177">
                  <c:v>96.622182737676908</c:v>
                </c:pt>
                <c:pt idx="178">
                  <c:v>96.654598982412494</c:v>
                </c:pt>
                <c:pt idx="179">
                  <c:v>96.649044686716579</c:v>
                </c:pt>
                <c:pt idx="180">
                  <c:v>96.652183145222082</c:v>
                </c:pt>
                <c:pt idx="181">
                  <c:v>96.639553683245538</c:v>
                </c:pt>
                <c:pt idx="182">
                  <c:v>96.639820410575666</c:v>
                </c:pt>
                <c:pt idx="183">
                  <c:v>96.640675482636141</c:v>
                </c:pt>
                <c:pt idx="184">
                  <c:v>96.636610407521857</c:v>
                </c:pt>
                <c:pt idx="185">
                  <c:v>96.622395555343289</c:v>
                </c:pt>
                <c:pt idx="186">
                  <c:v>96.630549254742235</c:v>
                </c:pt>
                <c:pt idx="187">
                  <c:v>96.635329843231361</c:v>
                </c:pt>
                <c:pt idx="188">
                  <c:v>96.627034405894619</c:v>
                </c:pt>
                <c:pt idx="189">
                  <c:v>96.600664139998898</c:v>
                </c:pt>
                <c:pt idx="190">
                  <c:v>96.610280318598328</c:v>
                </c:pt>
                <c:pt idx="191">
                  <c:v>96.602747354402098</c:v>
                </c:pt>
                <c:pt idx="192">
                  <c:v>96.579279006014929</c:v>
                </c:pt>
                <c:pt idx="193">
                  <c:v>96.587629646330427</c:v>
                </c:pt>
                <c:pt idx="194">
                  <c:v>96.530882424862952</c:v>
                </c:pt>
                <c:pt idx="195">
                  <c:v>96.50558369162168</c:v>
                </c:pt>
                <c:pt idx="196">
                  <c:v>96.535911820105568</c:v>
                </c:pt>
                <c:pt idx="197">
                  <c:v>96.527697636016583</c:v>
                </c:pt>
                <c:pt idx="198">
                  <c:v>96.515400252727886</c:v>
                </c:pt>
                <c:pt idx="199">
                  <c:v>96.485484902794198</c:v>
                </c:pt>
                <c:pt idx="200">
                  <c:v>96.456088083957411</c:v>
                </c:pt>
                <c:pt idx="201">
                  <c:v>96.442332656544238</c:v>
                </c:pt>
                <c:pt idx="202">
                  <c:v>96.433419887843115</c:v>
                </c:pt>
                <c:pt idx="203">
                  <c:v>96.400060767372722</c:v>
                </c:pt>
                <c:pt idx="204">
                  <c:v>96.360318500776543</c:v>
                </c:pt>
                <c:pt idx="205">
                  <c:v>96.361965721661093</c:v>
                </c:pt>
                <c:pt idx="206">
                  <c:v>96.323521666373566</c:v>
                </c:pt>
                <c:pt idx="207">
                  <c:v>96.30032328833461</c:v>
                </c:pt>
                <c:pt idx="208">
                  <c:v>96.273003737439481</c:v>
                </c:pt>
                <c:pt idx="209">
                  <c:v>96.237624397151578</c:v>
                </c:pt>
                <c:pt idx="210">
                  <c:v>96.183918185378545</c:v>
                </c:pt>
                <c:pt idx="211">
                  <c:v>96.109351866196789</c:v>
                </c:pt>
                <c:pt idx="212">
                  <c:v>96.074919978347751</c:v>
                </c:pt>
                <c:pt idx="213">
                  <c:v>96.022219097002349</c:v>
                </c:pt>
                <c:pt idx="214">
                  <c:v>95.960990520769499</c:v>
                </c:pt>
                <c:pt idx="215">
                  <c:v>95.910465327370616</c:v>
                </c:pt>
                <c:pt idx="216">
                  <c:v>95.851569126177367</c:v>
                </c:pt>
                <c:pt idx="217">
                  <c:v>95.836759033821693</c:v>
                </c:pt>
                <c:pt idx="218">
                  <c:v>95.821000778842688</c:v>
                </c:pt>
                <c:pt idx="219">
                  <c:v>95.867677157129137</c:v>
                </c:pt>
                <c:pt idx="220">
                  <c:v>95.854834291569361</c:v>
                </c:pt>
                <c:pt idx="221">
                  <c:v>95.903223672079108</c:v>
                </c:pt>
                <c:pt idx="222">
                  <c:v>96.0225083912553</c:v>
                </c:pt>
                <c:pt idx="223">
                  <c:v>96.104868226320761</c:v>
                </c:pt>
                <c:pt idx="224">
                  <c:v>96.156953142351085</c:v>
                </c:pt>
                <c:pt idx="225">
                  <c:v>96.168458097538647</c:v>
                </c:pt>
                <c:pt idx="226">
                  <c:v>96.192250133574518</c:v>
                </c:pt>
                <c:pt idx="227">
                  <c:v>96.159428389830381</c:v>
                </c:pt>
                <c:pt idx="228">
                  <c:v>96.117449065731805</c:v>
                </c:pt>
                <c:pt idx="229">
                  <c:v>96.117365141486061</c:v>
                </c:pt>
                <c:pt idx="230">
                  <c:v>96.088598440516876</c:v>
                </c:pt>
                <c:pt idx="231">
                  <c:v>96.077415025027861</c:v>
                </c:pt>
                <c:pt idx="232">
                  <c:v>96.078712661970599</c:v>
                </c:pt>
                <c:pt idx="233">
                  <c:v>96.061718219908585</c:v>
                </c:pt>
                <c:pt idx="234">
                  <c:v>96.065174629994019</c:v>
                </c:pt>
                <c:pt idx="235">
                  <c:v>96.051031249339232</c:v>
                </c:pt>
                <c:pt idx="236">
                  <c:v>96.036198381951905</c:v>
                </c:pt>
                <c:pt idx="237">
                  <c:v>95.999076721312761</c:v>
                </c:pt>
                <c:pt idx="238">
                  <c:v>96.006358942632843</c:v>
                </c:pt>
                <c:pt idx="239">
                  <c:v>96.003258134983525</c:v>
                </c:pt>
                <c:pt idx="240">
                  <c:v>95.983657092818063</c:v>
                </c:pt>
                <c:pt idx="241">
                  <c:v>95.978334469420517</c:v>
                </c:pt>
                <c:pt idx="242">
                  <c:v>95.967241525116108</c:v>
                </c:pt>
                <c:pt idx="243">
                  <c:v>95.924461913928326</c:v>
                </c:pt>
                <c:pt idx="244">
                  <c:v>95.925309808819975</c:v>
                </c:pt>
                <c:pt idx="245">
                  <c:v>95.919582749470422</c:v>
                </c:pt>
                <c:pt idx="246">
                  <c:v>95.899798378607571</c:v>
                </c:pt>
                <c:pt idx="247">
                  <c:v>95.89608747813061</c:v>
                </c:pt>
                <c:pt idx="248">
                  <c:v>95.858862495047163</c:v>
                </c:pt>
                <c:pt idx="249">
                  <c:v>95.855099939848444</c:v>
                </c:pt>
                <c:pt idx="250">
                  <c:v>95.863572789262676</c:v>
                </c:pt>
                <c:pt idx="251">
                  <c:v>95.80026830658251</c:v>
                </c:pt>
                <c:pt idx="252">
                  <c:v>95.832101904954015</c:v>
                </c:pt>
                <c:pt idx="253">
                  <c:v>95.825400246778827</c:v>
                </c:pt>
                <c:pt idx="254">
                  <c:v>95.850850734085839</c:v>
                </c:pt>
                <c:pt idx="255">
                  <c:v>95.817090791095822</c:v>
                </c:pt>
                <c:pt idx="256">
                  <c:v>95.782613191116909</c:v>
                </c:pt>
                <c:pt idx="257">
                  <c:v>95.802330728417658</c:v>
                </c:pt>
                <c:pt idx="258">
                  <c:v>95.794054668872391</c:v>
                </c:pt>
                <c:pt idx="259">
                  <c:v>95.782475099065849</c:v>
                </c:pt>
                <c:pt idx="260">
                  <c:v>95.771062923602656</c:v>
                </c:pt>
                <c:pt idx="261">
                  <c:v>95.772898117542937</c:v>
                </c:pt>
                <c:pt idx="262">
                  <c:v>95.749616590632101</c:v>
                </c:pt>
                <c:pt idx="263">
                  <c:v>95.744381040319539</c:v>
                </c:pt>
                <c:pt idx="264">
                  <c:v>95.684271529297007</c:v>
                </c:pt>
                <c:pt idx="265">
                  <c:v>95.732431572952692</c:v>
                </c:pt>
                <c:pt idx="266">
                  <c:v>95.680843409281934</c:v>
                </c:pt>
                <c:pt idx="267">
                  <c:v>95.681305552321234</c:v>
                </c:pt>
                <c:pt idx="268">
                  <c:v>95.689831191769528</c:v>
                </c:pt>
                <c:pt idx="269">
                  <c:v>95.684407678583582</c:v>
                </c:pt>
                <c:pt idx="270">
                  <c:v>95.645989648926275</c:v>
                </c:pt>
                <c:pt idx="271">
                  <c:v>95.700768219426095</c:v>
                </c:pt>
                <c:pt idx="272">
                  <c:v>95.68896123972128</c:v>
                </c:pt>
                <c:pt idx="273">
                  <c:v>95.685926067648779</c:v>
                </c:pt>
                <c:pt idx="274">
                  <c:v>95.683791794092713</c:v>
                </c:pt>
                <c:pt idx="275">
                  <c:v>95.689532656347396</c:v>
                </c:pt>
                <c:pt idx="276">
                  <c:v>95.624665830330613</c:v>
                </c:pt>
                <c:pt idx="277">
                  <c:v>95.647445644955269</c:v>
                </c:pt>
                <c:pt idx="278">
                  <c:v>95.655772323071687</c:v>
                </c:pt>
                <c:pt idx="279">
                  <c:v>95.661355558065921</c:v>
                </c:pt>
                <c:pt idx="280">
                  <c:v>95.632945974788541</c:v>
                </c:pt>
                <c:pt idx="281">
                  <c:v>95.637168493796196</c:v>
                </c:pt>
                <c:pt idx="282">
                  <c:v>95.653998396608529</c:v>
                </c:pt>
                <c:pt idx="283">
                  <c:v>95.636500308977404</c:v>
                </c:pt>
                <c:pt idx="284">
                  <c:v>95.638998053217435</c:v>
                </c:pt>
                <c:pt idx="285">
                  <c:v>95.616231664810883</c:v>
                </c:pt>
                <c:pt idx="286">
                  <c:v>95.603696942367193</c:v>
                </c:pt>
                <c:pt idx="287">
                  <c:v>95.620954050779076</c:v>
                </c:pt>
                <c:pt idx="288">
                  <c:v>95.623553296474824</c:v>
                </c:pt>
                <c:pt idx="289">
                  <c:v>95.634417872805841</c:v>
                </c:pt>
                <c:pt idx="290">
                  <c:v>95.643594210947086</c:v>
                </c:pt>
                <c:pt idx="291">
                  <c:v>95.624226941011628</c:v>
                </c:pt>
                <c:pt idx="292">
                  <c:v>95.630134296566766</c:v>
                </c:pt>
                <c:pt idx="293">
                  <c:v>95.612505497766733</c:v>
                </c:pt>
                <c:pt idx="294">
                  <c:v>95.604696099335015</c:v>
                </c:pt>
                <c:pt idx="295">
                  <c:v>95.639934959924901</c:v>
                </c:pt>
                <c:pt idx="296">
                  <c:v>95.631531408068511</c:v>
                </c:pt>
                <c:pt idx="297">
                  <c:v>95.643193266426366</c:v>
                </c:pt>
                <c:pt idx="298">
                  <c:v>95.65473058392422</c:v>
                </c:pt>
                <c:pt idx="299">
                  <c:v>95.646500213705053</c:v>
                </c:pt>
                <c:pt idx="300">
                  <c:v>95.640477534559068</c:v>
                </c:pt>
                <c:pt idx="301">
                  <c:v>95.646196209558525</c:v>
                </c:pt>
                <c:pt idx="302">
                  <c:v>95.661675391047524</c:v>
                </c:pt>
                <c:pt idx="303">
                  <c:v>95.656889528295892</c:v>
                </c:pt>
                <c:pt idx="304">
                  <c:v>95.644562052283803</c:v>
                </c:pt>
                <c:pt idx="305">
                  <c:v>95.644676430230604</c:v>
                </c:pt>
                <c:pt idx="306">
                  <c:v>95.653717220050467</c:v>
                </c:pt>
                <c:pt idx="307">
                  <c:v>95.651990061019163</c:v>
                </c:pt>
                <c:pt idx="308">
                  <c:v>95.666914207129651</c:v>
                </c:pt>
                <c:pt idx="309">
                  <c:v>95.672799644428281</c:v>
                </c:pt>
                <c:pt idx="310">
                  <c:v>95.666614959683884</c:v>
                </c:pt>
                <c:pt idx="311">
                  <c:v>95.687625216307495</c:v>
                </c:pt>
                <c:pt idx="312">
                  <c:v>95.701102689865778</c:v>
                </c:pt>
                <c:pt idx="313">
                  <c:v>95.731892042160666</c:v>
                </c:pt>
                <c:pt idx="314">
                  <c:v>95.732826888105635</c:v>
                </c:pt>
                <c:pt idx="315">
                  <c:v>95.731621080856655</c:v>
                </c:pt>
                <c:pt idx="316">
                  <c:v>95.740556842329013</c:v>
                </c:pt>
                <c:pt idx="317">
                  <c:v>95.764628962632585</c:v>
                </c:pt>
                <c:pt idx="318">
                  <c:v>95.779666590203945</c:v>
                </c:pt>
                <c:pt idx="319">
                  <c:v>95.795073662491106</c:v>
                </c:pt>
                <c:pt idx="320">
                  <c:v>95.794336935630668</c:v>
                </c:pt>
                <c:pt idx="321">
                  <c:v>95.834708276425673</c:v>
                </c:pt>
                <c:pt idx="322">
                  <c:v>95.80149694631649</c:v>
                </c:pt>
                <c:pt idx="323">
                  <c:v>95.819192412403865</c:v>
                </c:pt>
                <c:pt idx="324">
                  <c:v>95.810795965448918</c:v>
                </c:pt>
                <c:pt idx="325">
                  <c:v>95.798107743358045</c:v>
                </c:pt>
                <c:pt idx="326">
                  <c:v>95.797603760171754</c:v>
                </c:pt>
                <c:pt idx="327">
                  <c:v>95.76849034717003</c:v>
                </c:pt>
                <c:pt idx="328">
                  <c:v>95.755409945252566</c:v>
                </c:pt>
                <c:pt idx="329">
                  <c:v>95.74420201138453</c:v>
                </c:pt>
                <c:pt idx="330">
                  <c:v>95.577166293110608</c:v>
                </c:pt>
                <c:pt idx="331">
                  <c:v>95.58285139481967</c:v>
                </c:pt>
                <c:pt idx="332">
                  <c:v>95.506834825117338</c:v>
                </c:pt>
                <c:pt idx="333">
                  <c:v>95.469523998145476</c:v>
                </c:pt>
                <c:pt idx="334">
                  <c:v>95.53803953288508</c:v>
                </c:pt>
                <c:pt idx="335">
                  <c:v>95.545073888886691</c:v>
                </c:pt>
                <c:pt idx="336">
                  <c:v>95.556023997827751</c:v>
                </c:pt>
                <c:pt idx="337">
                  <c:v>95.574869249029277</c:v>
                </c:pt>
                <c:pt idx="338">
                  <c:v>95.598862847466876</c:v>
                </c:pt>
                <c:pt idx="339">
                  <c:v>95.563406877709596</c:v>
                </c:pt>
                <c:pt idx="340">
                  <c:v>95.608047646194606</c:v>
                </c:pt>
                <c:pt idx="341">
                  <c:v>95.667487929763595</c:v>
                </c:pt>
                <c:pt idx="342">
                  <c:v>95.691787169282847</c:v>
                </c:pt>
                <c:pt idx="343">
                  <c:v>95.628581092087828</c:v>
                </c:pt>
                <c:pt idx="344">
                  <c:v>95.66208429454764</c:v>
                </c:pt>
                <c:pt idx="345">
                  <c:v>95.751893563945032</c:v>
                </c:pt>
                <c:pt idx="346">
                  <c:v>95.820494640349082</c:v>
                </c:pt>
                <c:pt idx="347">
                  <c:v>95.773389462962157</c:v>
                </c:pt>
                <c:pt idx="348">
                  <c:v>95.779912898864737</c:v>
                </c:pt>
                <c:pt idx="349">
                  <c:v>95.829862478165126</c:v>
                </c:pt>
                <c:pt idx="350">
                  <c:v>95.916256897403585</c:v>
                </c:pt>
                <c:pt idx="351">
                  <c:v>95.896199539228405</c:v>
                </c:pt>
                <c:pt idx="352">
                  <c:v>95.889670069254137</c:v>
                </c:pt>
                <c:pt idx="353">
                  <c:v>95.870166119708486</c:v>
                </c:pt>
                <c:pt idx="354">
                  <c:v>95.905503593167509</c:v>
                </c:pt>
                <c:pt idx="355">
                  <c:v>95.930297111792584</c:v>
                </c:pt>
                <c:pt idx="356">
                  <c:v>95.92318161819837</c:v>
                </c:pt>
                <c:pt idx="357">
                  <c:v>95.941544445919476</c:v>
                </c:pt>
                <c:pt idx="358">
                  <c:v>95.938306405021805</c:v>
                </c:pt>
                <c:pt idx="359">
                  <c:v>95.935833056372758</c:v>
                </c:pt>
                <c:pt idx="360">
                  <c:v>95.94554165903385</c:v>
                </c:pt>
                <c:pt idx="361">
                  <c:v>95.981917540009704</c:v>
                </c:pt>
                <c:pt idx="362">
                  <c:v>95.973274176581256</c:v>
                </c:pt>
                <c:pt idx="363">
                  <c:v>96.002533520034078</c:v>
                </c:pt>
                <c:pt idx="364">
                  <c:v>95.982662098049047</c:v>
                </c:pt>
                <c:pt idx="365">
                  <c:v>95.913752790180013</c:v>
                </c:pt>
                <c:pt idx="366">
                  <c:v>95.971388571174074</c:v>
                </c:pt>
                <c:pt idx="367">
                  <c:v>95.973876107995395</c:v>
                </c:pt>
                <c:pt idx="368">
                  <c:v>95.981316671774209</c:v>
                </c:pt>
                <c:pt idx="369">
                  <c:v>95.949566782860359</c:v>
                </c:pt>
                <c:pt idx="370">
                  <c:v>95.912338557216358</c:v>
                </c:pt>
                <c:pt idx="371">
                  <c:v>95.923842917098227</c:v>
                </c:pt>
                <c:pt idx="372">
                  <c:v>95.940311249415416</c:v>
                </c:pt>
                <c:pt idx="373">
                  <c:v>95.92312554059049</c:v>
                </c:pt>
                <c:pt idx="374">
                  <c:v>95.917941834951947</c:v>
                </c:pt>
                <c:pt idx="375">
                  <c:v>95.89824934270041</c:v>
                </c:pt>
                <c:pt idx="376">
                  <c:v>95.901610412276042</c:v>
                </c:pt>
                <c:pt idx="377">
                  <c:v>95.886088984497306</c:v>
                </c:pt>
                <c:pt idx="378">
                  <c:v>95.892988041835949</c:v>
                </c:pt>
                <c:pt idx="379">
                  <c:v>95.876729372146201</c:v>
                </c:pt>
                <c:pt idx="380">
                  <c:v>95.840453213872124</c:v>
                </c:pt>
                <c:pt idx="381">
                  <c:v>95.796971097529578</c:v>
                </c:pt>
                <c:pt idx="382">
                  <c:v>95.79818665973734</c:v>
                </c:pt>
                <c:pt idx="383">
                  <c:v>95.76855846127215</c:v>
                </c:pt>
                <c:pt idx="384">
                  <c:v>95.729899016462809</c:v>
                </c:pt>
                <c:pt idx="385">
                  <c:v>95.703435050895607</c:v>
                </c:pt>
                <c:pt idx="386">
                  <c:v>95.651158572418808</c:v>
                </c:pt>
                <c:pt idx="387">
                  <c:v>95.61458889720889</c:v>
                </c:pt>
                <c:pt idx="388">
                  <c:v>95.570331201685647</c:v>
                </c:pt>
                <c:pt idx="389">
                  <c:v>95.489128936077805</c:v>
                </c:pt>
                <c:pt idx="390">
                  <c:v>95.442668620704808</c:v>
                </c:pt>
                <c:pt idx="391">
                  <c:v>95.371540573538539</c:v>
                </c:pt>
                <c:pt idx="392">
                  <c:v>95.28052654747394</c:v>
                </c:pt>
                <c:pt idx="393">
                  <c:v>95.194624395239416</c:v>
                </c:pt>
                <c:pt idx="394">
                  <c:v>95.134069025952769</c:v>
                </c:pt>
                <c:pt idx="395">
                  <c:v>94.926219102712139</c:v>
                </c:pt>
                <c:pt idx="396">
                  <c:v>94.750007024611023</c:v>
                </c:pt>
                <c:pt idx="397">
                  <c:v>94.59785264218867</c:v>
                </c:pt>
                <c:pt idx="398">
                  <c:v>94.714656662593981</c:v>
                </c:pt>
                <c:pt idx="399">
                  <c:v>94.595175735347027</c:v>
                </c:pt>
                <c:pt idx="400">
                  <c:v>94.49922982891529</c:v>
                </c:pt>
                <c:pt idx="401">
                  <c:v>94.368320802286988</c:v>
                </c:pt>
                <c:pt idx="402">
                  <c:v>94.262273082362412</c:v>
                </c:pt>
                <c:pt idx="403">
                  <c:v>94.128274480948562</c:v>
                </c:pt>
                <c:pt idx="404">
                  <c:v>93.95363158197523</c:v>
                </c:pt>
                <c:pt idx="405">
                  <c:v>93.797254327915354</c:v>
                </c:pt>
                <c:pt idx="406">
                  <c:v>93.623880694554032</c:v>
                </c:pt>
                <c:pt idx="407">
                  <c:v>93.420160208201821</c:v>
                </c:pt>
                <c:pt idx="408">
                  <c:v>93.24838584389488</c:v>
                </c:pt>
                <c:pt idx="409">
                  <c:v>93.039718153277974</c:v>
                </c:pt>
                <c:pt idx="410">
                  <c:v>92.816023935446978</c:v>
                </c:pt>
                <c:pt idx="411">
                  <c:v>92.594762445644065</c:v>
                </c:pt>
                <c:pt idx="412">
                  <c:v>92.385516676888756</c:v>
                </c:pt>
                <c:pt idx="413">
                  <c:v>92.121513778970737</c:v>
                </c:pt>
                <c:pt idx="414">
                  <c:v>91.920037769207013</c:v>
                </c:pt>
                <c:pt idx="415">
                  <c:v>91.670108032290045</c:v>
                </c:pt>
                <c:pt idx="416">
                  <c:v>91.437130916630466</c:v>
                </c:pt>
                <c:pt idx="417">
                  <c:v>91.136280857268744</c:v>
                </c:pt>
                <c:pt idx="418">
                  <c:v>90.897065795406562</c:v>
                </c:pt>
                <c:pt idx="419">
                  <c:v>90.545405918905331</c:v>
                </c:pt>
                <c:pt idx="420">
                  <c:v>90.167492176435815</c:v>
                </c:pt>
                <c:pt idx="421">
                  <c:v>89.606497890376701</c:v>
                </c:pt>
                <c:pt idx="422">
                  <c:v>89.077609563756255</c:v>
                </c:pt>
                <c:pt idx="423">
                  <c:v>88.249151638817807</c:v>
                </c:pt>
                <c:pt idx="424">
                  <c:v>87.596751041875493</c:v>
                </c:pt>
                <c:pt idx="425">
                  <c:v>86.913773347528732</c:v>
                </c:pt>
                <c:pt idx="426">
                  <c:v>85.687294325232997</c:v>
                </c:pt>
                <c:pt idx="427">
                  <c:v>84.199931463543862</c:v>
                </c:pt>
                <c:pt idx="428">
                  <c:v>82.507743688145993</c:v>
                </c:pt>
                <c:pt idx="429">
                  <c:v>79.7890093067344</c:v>
                </c:pt>
                <c:pt idx="430">
                  <c:v>77.059835582248724</c:v>
                </c:pt>
                <c:pt idx="431">
                  <c:v>71.812377172582799</c:v>
                </c:pt>
                <c:pt idx="432">
                  <c:v>66.726988480161978</c:v>
                </c:pt>
                <c:pt idx="433">
                  <c:v>56.640997868647332</c:v>
                </c:pt>
                <c:pt idx="434">
                  <c:v>46.910354220067283</c:v>
                </c:pt>
                <c:pt idx="435">
                  <c:v>29.779086385927357</c:v>
                </c:pt>
                <c:pt idx="436">
                  <c:v>12.095056262136938</c:v>
                </c:pt>
                <c:pt idx="437">
                  <c:v>9.4527899655938743</c:v>
                </c:pt>
                <c:pt idx="438">
                  <c:v>7.0884734644795886</c:v>
                </c:pt>
                <c:pt idx="439">
                  <c:v>7.0708921691928497</c:v>
                </c:pt>
                <c:pt idx="440">
                  <c:v>6.9220356402450429</c:v>
                </c:pt>
                <c:pt idx="441">
                  <c:v>6.4796830808449046</c:v>
                </c:pt>
                <c:pt idx="442">
                  <c:v>6.0288265745019949</c:v>
                </c:pt>
                <c:pt idx="443">
                  <c:v>5.8881844394415532</c:v>
                </c:pt>
                <c:pt idx="444">
                  <c:v>5.7367821275337727</c:v>
                </c:pt>
                <c:pt idx="445">
                  <c:v>5.7194307056130542</c:v>
                </c:pt>
                <c:pt idx="446">
                  <c:v>5.673581178393893</c:v>
                </c:pt>
                <c:pt idx="447">
                  <c:v>5.6798508572439026</c:v>
                </c:pt>
                <c:pt idx="448">
                  <c:v>5.6839172602683474</c:v>
                </c:pt>
                <c:pt idx="449">
                  <c:v>5.7158464888096381</c:v>
                </c:pt>
                <c:pt idx="450">
                  <c:v>5.7323579479186177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11B-4E32-9BBB-DBAB3EB61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724159"/>
        <c:axId val="1"/>
      </c:scatterChart>
      <c:valAx>
        <c:axId val="1435724159"/>
        <c:scaling>
          <c:orientation val="minMax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3181899540494401"/>
              <c:y val="0.924372362066341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Reflectivity in %</a:t>
                </a:r>
              </a:p>
            </c:rich>
          </c:tx>
          <c:layout>
            <c:manualLayout>
              <c:xMode val="edge"/>
              <c:yMode val="edge"/>
              <c:x val="7.5757507388940276E-3"/>
              <c:y val="0.3501410126897582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435724159"/>
        <c:crosses val="autoZero"/>
        <c:crossBetween val="midCat"/>
        <c:majorUnit val="2"/>
        <c:minorUnit val="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4371144366697552"/>
          <c:y val="0.4051511765683195"/>
          <c:w val="0.23014728566677708"/>
          <c:h val="0.3932930933516857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4921259845" footer="0.4921259845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Averaged Hemispherical Reflectance </a:t>
            </a:r>
          </a:p>
        </c:rich>
      </c:tx>
      <c:layout>
        <c:manualLayout>
          <c:xMode val="edge"/>
          <c:yMode val="edge"/>
          <c:x val="0.27416828716248526"/>
          <c:y val="3.06602638046040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85904601686777"/>
          <c:y val="0.14858507677195051"/>
          <c:w val="0.82884374755762458"/>
          <c:h val="0.71226497119252463"/>
        </c:manualLayout>
      </c:layout>
      <c:scatterChart>
        <c:scatterStyle val="lineMarker"/>
        <c:varyColors val="0"/>
        <c:ser>
          <c:idx val="4"/>
          <c:order val="0"/>
          <c:tx>
            <c:strRef>
              <c:f>refl5!$AL$8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refl5!$L$79:$L$519</c:f>
              <c:numCache>
                <c:formatCode>General</c:formatCode>
                <c:ptCount val="44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</c:numCache>
            </c:numRef>
          </c:xVal>
          <c:yVal>
            <c:numRef>
              <c:f>refl5!$AJ$79:$AJ$519</c:f>
              <c:numCache>
                <c:formatCode>0.00</c:formatCode>
                <c:ptCount val="4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D5-4D5D-8BC4-59370EB23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715519"/>
        <c:axId val="1"/>
      </c:scatterChart>
      <c:valAx>
        <c:axId val="1435715519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1996859957282667"/>
              <c:y val="0.922170620392196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lgDashDot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Reflectance</a:t>
                </a:r>
              </a:p>
            </c:rich>
          </c:tx>
          <c:layout>
            <c:manualLayout>
              <c:xMode val="edge"/>
              <c:yMode val="edge"/>
              <c:x val="7.923905766839873E-3"/>
              <c:y val="0.3915101058227594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435715519"/>
        <c:crosses val="autoZero"/>
        <c:crossBetween val="midCat"/>
        <c:majorUnit val="0.1"/>
        <c:minorUnit val="0.0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22341512738921"/>
          <c:y val="0.71696853513207937"/>
          <c:w val="0.22003156951205857"/>
          <c:h val="0.1005618205120319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Averaged Hemispherical Reflectance upper range </a:t>
            </a:r>
          </a:p>
        </c:rich>
      </c:tx>
      <c:layout>
        <c:manualLayout>
          <c:xMode val="edge"/>
          <c:yMode val="edge"/>
          <c:x val="0.2199415750997227"/>
          <c:y val="3.058848566027815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97075322090447"/>
          <c:y val="0.14823529411764705"/>
          <c:w val="0.8416428313173222"/>
          <c:h val="0.71294117647058819"/>
        </c:manualLayout>
      </c:layout>
      <c:scatterChart>
        <c:scatterStyle val="lineMarker"/>
        <c:varyColors val="0"/>
        <c:ser>
          <c:idx val="4"/>
          <c:order val="0"/>
          <c:tx>
            <c:strRef>
              <c:f>refl5!$AL$8</c:f>
              <c:strCache>
                <c:ptCount val="1"/>
                <c:pt idx="0">
                  <c:v>0</c:v>
                </c:pt>
              </c:strCache>
            </c:strRef>
          </c:tx>
          <c:spPr>
            <a:ln w="25400">
              <a:solidFill>
                <a:srgbClr val="008080"/>
              </a:solidFill>
              <a:prstDash val="solid"/>
            </a:ln>
          </c:spPr>
          <c:marker>
            <c:symbol val="none"/>
          </c:marker>
          <c:xVal>
            <c:numRef>
              <c:f>refl5!$L$79:$L$519</c:f>
              <c:numCache>
                <c:formatCode>General</c:formatCode>
                <c:ptCount val="44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</c:numCache>
            </c:numRef>
          </c:xVal>
          <c:yVal>
            <c:numRef>
              <c:f>refl5!$AJ$79:$AJ$519</c:f>
              <c:numCache>
                <c:formatCode>0.00</c:formatCode>
                <c:ptCount val="4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D9-407C-9591-7C561F162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719359"/>
        <c:axId val="1"/>
      </c:scatterChart>
      <c:valAx>
        <c:axId val="1435719359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2668653706422288"/>
              <c:y val="0.922352941176470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"/>
          <c:min val="0.8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lgDashDot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Reflectance</a:t>
                </a:r>
              </a:p>
            </c:rich>
          </c:tx>
          <c:layout>
            <c:manualLayout>
              <c:xMode val="edge"/>
              <c:yMode val="edge"/>
              <c:x val="7.331583552055993E-3"/>
              <c:y val="0.3905884856602781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435719359"/>
        <c:crosses val="autoZero"/>
        <c:crossBetween val="midCat"/>
        <c:majorUnit val="0.02"/>
        <c:minorUnit val="0.01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0428039819660249"/>
          <c:y val="0.72121258258302889"/>
          <c:w val="0.20368893869411545"/>
          <c:h val="0.1003749470605246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Sample signal</a:t>
            </a:r>
          </a:p>
        </c:rich>
      </c:tx>
      <c:layout>
        <c:manualLayout>
          <c:xMode val="edge"/>
          <c:yMode val="edge"/>
          <c:x val="0.40966053442404365"/>
          <c:y val="3.2828396450443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601157725463405E-2"/>
          <c:y val="0.13131345514089909"/>
          <c:w val="0.86046586788792412"/>
          <c:h val="0.67424408697346261"/>
        </c:manualLayout>
      </c:layout>
      <c:scatterChart>
        <c:scatterStyle val="lineMarker"/>
        <c:varyColors val="0"/>
        <c:ser>
          <c:idx val="0"/>
          <c:order val="0"/>
          <c:tx>
            <c:strRef>
              <c:f>refl5!$Z$77</c:f>
              <c:strCache>
                <c:ptCount val="1"/>
                <c:pt idx="0">
                  <c:v>M1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refl5!$Q$79:$Q$529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A4-4689-9D87-76E551C07959}"/>
            </c:ext>
          </c:extLst>
        </c:ser>
        <c:ser>
          <c:idx val="1"/>
          <c:order val="1"/>
          <c:tx>
            <c:strRef>
              <c:f>refl5!$AA$77</c:f>
              <c:strCache>
                <c:ptCount val="1"/>
                <c:pt idx="0">
                  <c:v>M2</c:v>
                </c:pt>
              </c:strCache>
            </c:strRef>
          </c:tx>
          <c:spPr>
            <a:ln w="12700">
              <a:solidFill>
                <a:srgbClr val="993366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refl5!$R$79:$R$529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A4-4689-9D87-76E551C07959}"/>
            </c:ext>
          </c:extLst>
        </c:ser>
        <c:ser>
          <c:idx val="2"/>
          <c:order val="2"/>
          <c:tx>
            <c:strRef>
              <c:f>refl5!$AB$77</c:f>
              <c:strCache>
                <c:ptCount val="1"/>
                <c:pt idx="0">
                  <c:v>M3</c:v>
                </c:pt>
              </c:strCache>
            </c:strRef>
          </c:tx>
          <c:spPr>
            <a:ln w="12700">
              <a:solidFill>
                <a:srgbClr val="FFCC0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refl5!$S$79:$S$529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A4-4689-9D87-76E551C07959}"/>
            </c:ext>
          </c:extLst>
        </c:ser>
        <c:ser>
          <c:idx val="3"/>
          <c:order val="3"/>
          <c:tx>
            <c:strRef>
              <c:f>refl5!$AC$77</c:f>
              <c:strCache>
                <c:ptCount val="1"/>
                <c:pt idx="0">
                  <c:v>M4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refl5!$T$79:$T$529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A4-4689-9D87-76E551C07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724639"/>
        <c:axId val="1"/>
      </c:scatterChart>
      <c:valAx>
        <c:axId val="1435724639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3291626876159933"/>
              <c:y val="0.881315290134187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7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Signal %</a:t>
                </a:r>
              </a:p>
            </c:rich>
          </c:tx>
          <c:layout>
            <c:manualLayout>
              <c:xMode val="edge"/>
              <c:yMode val="edge"/>
              <c:x val="8.9446656696517048E-3"/>
              <c:y val="0.4040415402620127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435724639"/>
        <c:crosses val="autoZero"/>
        <c:crossBetween val="midCat"/>
        <c:majorUnit val="2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0252048499760922"/>
          <c:y val="0.93158106470576496"/>
          <c:w val="0.57962759499315741"/>
          <c:h val="5.67630039426451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" footer="0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Baseline signal</a:t>
            </a:r>
          </a:p>
        </c:rich>
      </c:tx>
      <c:layout>
        <c:manualLayout>
          <c:xMode val="edge"/>
          <c:yMode val="edge"/>
          <c:x val="0.39999999999999997"/>
          <c:y val="3.274569425219542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428571428571433E-2"/>
          <c:y val="0.13098252885721137"/>
          <c:w val="0.86071428571428577"/>
          <c:h val="0.67506380257178178"/>
        </c:manualLayout>
      </c:layout>
      <c:scatterChart>
        <c:scatterStyle val="lineMarker"/>
        <c:varyColors val="0"/>
        <c:ser>
          <c:idx val="0"/>
          <c:order val="0"/>
          <c:tx>
            <c:v>baseline signal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refl5!$N$79:$N$529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03-48DC-B576-8D47E1569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717439"/>
        <c:axId val="1"/>
      </c:scatterChart>
      <c:valAx>
        <c:axId val="1435717439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3392867276725544"/>
              <c:y val="0.881613379019265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7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Signal %</a:t>
                </a:r>
              </a:p>
            </c:rich>
          </c:tx>
          <c:layout>
            <c:manualLayout>
              <c:xMode val="edge"/>
              <c:yMode val="edge"/>
              <c:x val="8.9286727672554453E-3"/>
              <c:y val="0.4055419909687081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435717439"/>
        <c:crosses val="autoZero"/>
        <c:crossBetween val="midCat"/>
        <c:majorUnit val="2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8378064419343311"/>
          <c:y val="0.93169551835571762"/>
          <c:w val="0.20908479540287395"/>
          <c:h val="5.666842151000786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de-DE"/>
              <a:t>Zeroline signal</a:t>
            </a:r>
          </a:p>
        </c:rich>
      </c:tx>
      <c:layout>
        <c:manualLayout>
          <c:xMode val="edge"/>
          <c:yMode val="edge"/>
          <c:x val="0.40463517796600812"/>
          <c:y val="3.266336320028961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431509078913705E-2"/>
          <c:y val="0.1306532663316583"/>
          <c:w val="0.87878940854328302"/>
          <c:h val="0.72361809045226133"/>
        </c:manualLayout>
      </c:layout>
      <c:scatterChart>
        <c:scatterStyle val="lineMarker"/>
        <c:varyColors val="0"/>
        <c:ser>
          <c:idx val="0"/>
          <c:order val="0"/>
          <c:tx>
            <c:v>Zeroline signal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refl5!$L$79:$L$529</c:f>
              <c:numCache>
                <c:formatCode>General</c:formatCode>
                <c:ptCount val="451"/>
                <c:pt idx="0">
                  <c:v>2500</c:v>
                </c:pt>
                <c:pt idx="1">
                  <c:v>2495</c:v>
                </c:pt>
                <c:pt idx="2">
                  <c:v>2490</c:v>
                </c:pt>
                <c:pt idx="3">
                  <c:v>2485</c:v>
                </c:pt>
                <c:pt idx="4">
                  <c:v>2480</c:v>
                </c:pt>
                <c:pt idx="5">
                  <c:v>2475</c:v>
                </c:pt>
                <c:pt idx="6">
                  <c:v>2470</c:v>
                </c:pt>
                <c:pt idx="7">
                  <c:v>2465</c:v>
                </c:pt>
                <c:pt idx="8">
                  <c:v>2460</c:v>
                </c:pt>
                <c:pt idx="9">
                  <c:v>2455</c:v>
                </c:pt>
                <c:pt idx="10">
                  <c:v>2450</c:v>
                </c:pt>
                <c:pt idx="11">
                  <c:v>2445</c:v>
                </c:pt>
                <c:pt idx="12">
                  <c:v>2440</c:v>
                </c:pt>
                <c:pt idx="13">
                  <c:v>2435</c:v>
                </c:pt>
                <c:pt idx="14">
                  <c:v>2430</c:v>
                </c:pt>
                <c:pt idx="15">
                  <c:v>2425</c:v>
                </c:pt>
                <c:pt idx="16">
                  <c:v>2420</c:v>
                </c:pt>
                <c:pt idx="17">
                  <c:v>2415</c:v>
                </c:pt>
                <c:pt idx="18">
                  <c:v>2410</c:v>
                </c:pt>
                <c:pt idx="19">
                  <c:v>2405</c:v>
                </c:pt>
                <c:pt idx="20">
                  <c:v>2400</c:v>
                </c:pt>
                <c:pt idx="21">
                  <c:v>2395</c:v>
                </c:pt>
                <c:pt idx="22">
                  <c:v>2390</c:v>
                </c:pt>
                <c:pt idx="23">
                  <c:v>2385</c:v>
                </c:pt>
                <c:pt idx="24">
                  <c:v>2380</c:v>
                </c:pt>
                <c:pt idx="25">
                  <c:v>2375</c:v>
                </c:pt>
                <c:pt idx="26">
                  <c:v>2370</c:v>
                </c:pt>
                <c:pt idx="27">
                  <c:v>2365</c:v>
                </c:pt>
                <c:pt idx="28">
                  <c:v>2360</c:v>
                </c:pt>
                <c:pt idx="29">
                  <c:v>2355</c:v>
                </c:pt>
                <c:pt idx="30">
                  <c:v>2350</c:v>
                </c:pt>
                <c:pt idx="31">
                  <c:v>2345</c:v>
                </c:pt>
                <c:pt idx="32">
                  <c:v>2340</c:v>
                </c:pt>
                <c:pt idx="33">
                  <c:v>2335</c:v>
                </c:pt>
                <c:pt idx="34">
                  <c:v>2330</c:v>
                </c:pt>
                <c:pt idx="35">
                  <c:v>2325</c:v>
                </c:pt>
                <c:pt idx="36">
                  <c:v>2320</c:v>
                </c:pt>
                <c:pt idx="37">
                  <c:v>2315</c:v>
                </c:pt>
                <c:pt idx="38">
                  <c:v>2310</c:v>
                </c:pt>
                <c:pt idx="39">
                  <c:v>2305</c:v>
                </c:pt>
                <c:pt idx="40">
                  <c:v>2300</c:v>
                </c:pt>
                <c:pt idx="41">
                  <c:v>2295</c:v>
                </c:pt>
                <c:pt idx="42">
                  <c:v>2290</c:v>
                </c:pt>
                <c:pt idx="43">
                  <c:v>2285</c:v>
                </c:pt>
                <c:pt idx="44">
                  <c:v>2280</c:v>
                </c:pt>
                <c:pt idx="45">
                  <c:v>2275</c:v>
                </c:pt>
                <c:pt idx="46">
                  <c:v>2270</c:v>
                </c:pt>
                <c:pt idx="47">
                  <c:v>2265</c:v>
                </c:pt>
                <c:pt idx="48">
                  <c:v>2260</c:v>
                </c:pt>
                <c:pt idx="49">
                  <c:v>2255</c:v>
                </c:pt>
                <c:pt idx="50">
                  <c:v>2250</c:v>
                </c:pt>
                <c:pt idx="51">
                  <c:v>2245</c:v>
                </c:pt>
                <c:pt idx="52">
                  <c:v>2240</c:v>
                </c:pt>
                <c:pt idx="53">
                  <c:v>2235</c:v>
                </c:pt>
                <c:pt idx="54">
                  <c:v>2230</c:v>
                </c:pt>
                <c:pt idx="55">
                  <c:v>2225</c:v>
                </c:pt>
                <c:pt idx="56">
                  <c:v>2220</c:v>
                </c:pt>
                <c:pt idx="57">
                  <c:v>2215</c:v>
                </c:pt>
                <c:pt idx="58">
                  <c:v>2210</c:v>
                </c:pt>
                <c:pt idx="59">
                  <c:v>2205</c:v>
                </c:pt>
                <c:pt idx="60">
                  <c:v>2200</c:v>
                </c:pt>
                <c:pt idx="61">
                  <c:v>2195</c:v>
                </c:pt>
                <c:pt idx="62">
                  <c:v>2190</c:v>
                </c:pt>
                <c:pt idx="63">
                  <c:v>2185</c:v>
                </c:pt>
                <c:pt idx="64">
                  <c:v>2180</c:v>
                </c:pt>
                <c:pt idx="65">
                  <c:v>2175</c:v>
                </c:pt>
                <c:pt idx="66">
                  <c:v>2170</c:v>
                </c:pt>
                <c:pt idx="67">
                  <c:v>2165</c:v>
                </c:pt>
                <c:pt idx="68">
                  <c:v>2160</c:v>
                </c:pt>
                <c:pt idx="69">
                  <c:v>2155</c:v>
                </c:pt>
                <c:pt idx="70">
                  <c:v>2150</c:v>
                </c:pt>
                <c:pt idx="71">
                  <c:v>2145</c:v>
                </c:pt>
                <c:pt idx="72">
                  <c:v>2140</c:v>
                </c:pt>
                <c:pt idx="73">
                  <c:v>2135</c:v>
                </c:pt>
                <c:pt idx="74">
                  <c:v>2130</c:v>
                </c:pt>
                <c:pt idx="75">
                  <c:v>2125</c:v>
                </c:pt>
                <c:pt idx="76">
                  <c:v>2120</c:v>
                </c:pt>
                <c:pt idx="77">
                  <c:v>2115</c:v>
                </c:pt>
                <c:pt idx="78">
                  <c:v>2110</c:v>
                </c:pt>
                <c:pt idx="79">
                  <c:v>2105</c:v>
                </c:pt>
                <c:pt idx="80">
                  <c:v>2100</c:v>
                </c:pt>
                <c:pt idx="81">
                  <c:v>2095</c:v>
                </c:pt>
                <c:pt idx="82">
                  <c:v>2090</c:v>
                </c:pt>
                <c:pt idx="83">
                  <c:v>2085</c:v>
                </c:pt>
                <c:pt idx="84">
                  <c:v>2080</c:v>
                </c:pt>
                <c:pt idx="85">
                  <c:v>2075</c:v>
                </c:pt>
                <c:pt idx="86">
                  <c:v>2070</c:v>
                </c:pt>
                <c:pt idx="87">
                  <c:v>2065</c:v>
                </c:pt>
                <c:pt idx="88">
                  <c:v>2060</c:v>
                </c:pt>
                <c:pt idx="89">
                  <c:v>2055</c:v>
                </c:pt>
                <c:pt idx="90">
                  <c:v>2050</c:v>
                </c:pt>
                <c:pt idx="91">
                  <c:v>2045</c:v>
                </c:pt>
                <c:pt idx="92">
                  <c:v>2040</c:v>
                </c:pt>
                <c:pt idx="93">
                  <c:v>2035</c:v>
                </c:pt>
                <c:pt idx="94">
                  <c:v>2030</c:v>
                </c:pt>
                <c:pt idx="95">
                  <c:v>2025</c:v>
                </c:pt>
                <c:pt idx="96">
                  <c:v>2020</c:v>
                </c:pt>
                <c:pt idx="97">
                  <c:v>2015</c:v>
                </c:pt>
                <c:pt idx="98">
                  <c:v>2010</c:v>
                </c:pt>
                <c:pt idx="99">
                  <c:v>2005</c:v>
                </c:pt>
                <c:pt idx="100">
                  <c:v>2000</c:v>
                </c:pt>
                <c:pt idx="101">
                  <c:v>1995</c:v>
                </c:pt>
                <c:pt idx="102">
                  <c:v>1990</c:v>
                </c:pt>
                <c:pt idx="103">
                  <c:v>1985</c:v>
                </c:pt>
                <c:pt idx="104">
                  <c:v>1980</c:v>
                </c:pt>
                <c:pt idx="105">
                  <c:v>1975</c:v>
                </c:pt>
                <c:pt idx="106">
                  <c:v>1970</c:v>
                </c:pt>
                <c:pt idx="107">
                  <c:v>1965</c:v>
                </c:pt>
                <c:pt idx="108">
                  <c:v>1960</c:v>
                </c:pt>
                <c:pt idx="109">
                  <c:v>1955</c:v>
                </c:pt>
                <c:pt idx="110">
                  <c:v>1950</c:v>
                </c:pt>
                <c:pt idx="111">
                  <c:v>1945</c:v>
                </c:pt>
                <c:pt idx="112">
                  <c:v>1940</c:v>
                </c:pt>
                <c:pt idx="113">
                  <c:v>1935</c:v>
                </c:pt>
                <c:pt idx="114">
                  <c:v>1930</c:v>
                </c:pt>
                <c:pt idx="115">
                  <c:v>1925</c:v>
                </c:pt>
                <c:pt idx="116">
                  <c:v>1920</c:v>
                </c:pt>
                <c:pt idx="117">
                  <c:v>1915</c:v>
                </c:pt>
                <c:pt idx="118">
                  <c:v>1910</c:v>
                </c:pt>
                <c:pt idx="119">
                  <c:v>1905</c:v>
                </c:pt>
                <c:pt idx="120">
                  <c:v>1900</c:v>
                </c:pt>
                <c:pt idx="121">
                  <c:v>1895</c:v>
                </c:pt>
                <c:pt idx="122">
                  <c:v>1890</c:v>
                </c:pt>
                <c:pt idx="123">
                  <c:v>1885</c:v>
                </c:pt>
                <c:pt idx="124">
                  <c:v>1880</c:v>
                </c:pt>
                <c:pt idx="125">
                  <c:v>1875</c:v>
                </c:pt>
                <c:pt idx="126">
                  <c:v>1870</c:v>
                </c:pt>
                <c:pt idx="127">
                  <c:v>1865</c:v>
                </c:pt>
                <c:pt idx="128">
                  <c:v>1860</c:v>
                </c:pt>
                <c:pt idx="129">
                  <c:v>1855</c:v>
                </c:pt>
                <c:pt idx="130">
                  <c:v>1850</c:v>
                </c:pt>
                <c:pt idx="131">
                  <c:v>1845</c:v>
                </c:pt>
                <c:pt idx="132">
                  <c:v>1840</c:v>
                </c:pt>
                <c:pt idx="133">
                  <c:v>1835</c:v>
                </c:pt>
                <c:pt idx="134">
                  <c:v>1830</c:v>
                </c:pt>
                <c:pt idx="135">
                  <c:v>1825</c:v>
                </c:pt>
                <c:pt idx="136">
                  <c:v>1820</c:v>
                </c:pt>
                <c:pt idx="137">
                  <c:v>1815</c:v>
                </c:pt>
                <c:pt idx="138">
                  <c:v>1810</c:v>
                </c:pt>
                <c:pt idx="139">
                  <c:v>1805</c:v>
                </c:pt>
                <c:pt idx="140">
                  <c:v>1800</c:v>
                </c:pt>
                <c:pt idx="141">
                  <c:v>1795</c:v>
                </c:pt>
                <c:pt idx="142">
                  <c:v>1790</c:v>
                </c:pt>
                <c:pt idx="143">
                  <c:v>1785</c:v>
                </c:pt>
                <c:pt idx="144">
                  <c:v>1780</c:v>
                </c:pt>
                <c:pt idx="145">
                  <c:v>1775</c:v>
                </c:pt>
                <c:pt idx="146">
                  <c:v>1770</c:v>
                </c:pt>
                <c:pt idx="147">
                  <c:v>1765</c:v>
                </c:pt>
                <c:pt idx="148">
                  <c:v>1760</c:v>
                </c:pt>
                <c:pt idx="149">
                  <c:v>1755</c:v>
                </c:pt>
                <c:pt idx="150">
                  <c:v>1750</c:v>
                </c:pt>
                <c:pt idx="151">
                  <c:v>1745</c:v>
                </c:pt>
                <c:pt idx="152">
                  <c:v>1740</c:v>
                </c:pt>
                <c:pt idx="153">
                  <c:v>1735</c:v>
                </c:pt>
                <c:pt idx="154">
                  <c:v>1730</c:v>
                </c:pt>
                <c:pt idx="155">
                  <c:v>1725</c:v>
                </c:pt>
                <c:pt idx="156">
                  <c:v>1720</c:v>
                </c:pt>
                <c:pt idx="157">
                  <c:v>1715</c:v>
                </c:pt>
                <c:pt idx="158">
                  <c:v>1710</c:v>
                </c:pt>
                <c:pt idx="159">
                  <c:v>1705</c:v>
                </c:pt>
                <c:pt idx="160">
                  <c:v>1700</c:v>
                </c:pt>
                <c:pt idx="161">
                  <c:v>1695</c:v>
                </c:pt>
                <c:pt idx="162">
                  <c:v>1690</c:v>
                </c:pt>
                <c:pt idx="163">
                  <c:v>1685</c:v>
                </c:pt>
                <c:pt idx="164">
                  <c:v>1680</c:v>
                </c:pt>
                <c:pt idx="165">
                  <c:v>1675</c:v>
                </c:pt>
                <c:pt idx="166">
                  <c:v>1670</c:v>
                </c:pt>
                <c:pt idx="167">
                  <c:v>1665</c:v>
                </c:pt>
                <c:pt idx="168">
                  <c:v>1660</c:v>
                </c:pt>
                <c:pt idx="169">
                  <c:v>1655</c:v>
                </c:pt>
                <c:pt idx="170">
                  <c:v>1650</c:v>
                </c:pt>
                <c:pt idx="171">
                  <c:v>1645</c:v>
                </c:pt>
                <c:pt idx="172">
                  <c:v>1640</c:v>
                </c:pt>
                <c:pt idx="173">
                  <c:v>1635</c:v>
                </c:pt>
                <c:pt idx="174">
                  <c:v>1630</c:v>
                </c:pt>
                <c:pt idx="175">
                  <c:v>1625</c:v>
                </c:pt>
                <c:pt idx="176">
                  <c:v>1620</c:v>
                </c:pt>
                <c:pt idx="177">
                  <c:v>1615</c:v>
                </c:pt>
                <c:pt idx="178">
                  <c:v>1610</c:v>
                </c:pt>
                <c:pt idx="179">
                  <c:v>1605</c:v>
                </c:pt>
                <c:pt idx="180">
                  <c:v>1600</c:v>
                </c:pt>
                <c:pt idx="181">
                  <c:v>1595</c:v>
                </c:pt>
                <c:pt idx="182">
                  <c:v>1590</c:v>
                </c:pt>
                <c:pt idx="183">
                  <c:v>1585</c:v>
                </c:pt>
                <c:pt idx="184">
                  <c:v>1580</c:v>
                </c:pt>
                <c:pt idx="185">
                  <c:v>1575</c:v>
                </c:pt>
                <c:pt idx="186">
                  <c:v>1570</c:v>
                </c:pt>
                <c:pt idx="187">
                  <c:v>1565</c:v>
                </c:pt>
                <c:pt idx="188">
                  <c:v>1560</c:v>
                </c:pt>
                <c:pt idx="189">
                  <c:v>1555</c:v>
                </c:pt>
                <c:pt idx="190">
                  <c:v>1550</c:v>
                </c:pt>
                <c:pt idx="191">
                  <c:v>1545</c:v>
                </c:pt>
                <c:pt idx="192">
                  <c:v>1540</c:v>
                </c:pt>
                <c:pt idx="193">
                  <c:v>1535</c:v>
                </c:pt>
                <c:pt idx="194">
                  <c:v>1530</c:v>
                </c:pt>
                <c:pt idx="195">
                  <c:v>1525</c:v>
                </c:pt>
                <c:pt idx="196">
                  <c:v>1520</c:v>
                </c:pt>
                <c:pt idx="197">
                  <c:v>1515</c:v>
                </c:pt>
                <c:pt idx="198">
                  <c:v>1510</c:v>
                </c:pt>
                <c:pt idx="199">
                  <c:v>1505</c:v>
                </c:pt>
                <c:pt idx="200">
                  <c:v>1500</c:v>
                </c:pt>
                <c:pt idx="201">
                  <c:v>1495</c:v>
                </c:pt>
                <c:pt idx="202">
                  <c:v>1490</c:v>
                </c:pt>
                <c:pt idx="203">
                  <c:v>1485</c:v>
                </c:pt>
                <c:pt idx="204">
                  <c:v>1480</c:v>
                </c:pt>
                <c:pt idx="205">
                  <c:v>1475</c:v>
                </c:pt>
                <c:pt idx="206">
                  <c:v>1470</c:v>
                </c:pt>
                <c:pt idx="207">
                  <c:v>1465</c:v>
                </c:pt>
                <c:pt idx="208">
                  <c:v>1460</c:v>
                </c:pt>
                <c:pt idx="209">
                  <c:v>1455</c:v>
                </c:pt>
                <c:pt idx="210">
                  <c:v>1450</c:v>
                </c:pt>
                <c:pt idx="211">
                  <c:v>1445</c:v>
                </c:pt>
                <c:pt idx="212">
                  <c:v>1440</c:v>
                </c:pt>
                <c:pt idx="213">
                  <c:v>1435</c:v>
                </c:pt>
                <c:pt idx="214">
                  <c:v>1430</c:v>
                </c:pt>
                <c:pt idx="215">
                  <c:v>1425</c:v>
                </c:pt>
                <c:pt idx="216">
                  <c:v>1420</c:v>
                </c:pt>
                <c:pt idx="217">
                  <c:v>1415</c:v>
                </c:pt>
                <c:pt idx="218">
                  <c:v>1410</c:v>
                </c:pt>
                <c:pt idx="219">
                  <c:v>1405</c:v>
                </c:pt>
                <c:pt idx="220">
                  <c:v>1400</c:v>
                </c:pt>
                <c:pt idx="221">
                  <c:v>1395</c:v>
                </c:pt>
                <c:pt idx="222">
                  <c:v>1390</c:v>
                </c:pt>
                <c:pt idx="223">
                  <c:v>1385</c:v>
                </c:pt>
                <c:pt idx="224">
                  <c:v>1380</c:v>
                </c:pt>
                <c:pt idx="225">
                  <c:v>1375</c:v>
                </c:pt>
                <c:pt idx="226">
                  <c:v>1370</c:v>
                </c:pt>
                <c:pt idx="227">
                  <c:v>1365</c:v>
                </c:pt>
                <c:pt idx="228">
                  <c:v>1360</c:v>
                </c:pt>
                <c:pt idx="229">
                  <c:v>1355</c:v>
                </c:pt>
                <c:pt idx="230">
                  <c:v>1350</c:v>
                </c:pt>
                <c:pt idx="231">
                  <c:v>1345</c:v>
                </c:pt>
                <c:pt idx="232">
                  <c:v>1340</c:v>
                </c:pt>
                <c:pt idx="233">
                  <c:v>1335</c:v>
                </c:pt>
                <c:pt idx="234">
                  <c:v>1330</c:v>
                </c:pt>
                <c:pt idx="235">
                  <c:v>1325</c:v>
                </c:pt>
                <c:pt idx="236">
                  <c:v>1320</c:v>
                </c:pt>
                <c:pt idx="237">
                  <c:v>1315</c:v>
                </c:pt>
                <c:pt idx="238">
                  <c:v>1310</c:v>
                </c:pt>
                <c:pt idx="239">
                  <c:v>1305</c:v>
                </c:pt>
                <c:pt idx="240">
                  <c:v>1300</c:v>
                </c:pt>
                <c:pt idx="241">
                  <c:v>1295</c:v>
                </c:pt>
                <c:pt idx="242">
                  <c:v>1290</c:v>
                </c:pt>
                <c:pt idx="243">
                  <c:v>1285</c:v>
                </c:pt>
                <c:pt idx="244">
                  <c:v>1280</c:v>
                </c:pt>
                <c:pt idx="245">
                  <c:v>1275</c:v>
                </c:pt>
                <c:pt idx="246">
                  <c:v>1270</c:v>
                </c:pt>
                <c:pt idx="247">
                  <c:v>1265</c:v>
                </c:pt>
                <c:pt idx="248">
                  <c:v>1260</c:v>
                </c:pt>
                <c:pt idx="249">
                  <c:v>1255</c:v>
                </c:pt>
                <c:pt idx="250">
                  <c:v>1250</c:v>
                </c:pt>
                <c:pt idx="251">
                  <c:v>1245</c:v>
                </c:pt>
                <c:pt idx="252">
                  <c:v>1240</c:v>
                </c:pt>
                <c:pt idx="253">
                  <c:v>1235</c:v>
                </c:pt>
                <c:pt idx="254">
                  <c:v>1230</c:v>
                </c:pt>
                <c:pt idx="255">
                  <c:v>1225</c:v>
                </c:pt>
                <c:pt idx="256">
                  <c:v>1220</c:v>
                </c:pt>
                <c:pt idx="257">
                  <c:v>1215</c:v>
                </c:pt>
                <c:pt idx="258">
                  <c:v>1210</c:v>
                </c:pt>
                <c:pt idx="259">
                  <c:v>1205</c:v>
                </c:pt>
                <c:pt idx="260">
                  <c:v>1200</c:v>
                </c:pt>
                <c:pt idx="261">
                  <c:v>1195</c:v>
                </c:pt>
                <c:pt idx="262">
                  <c:v>1190</c:v>
                </c:pt>
                <c:pt idx="263">
                  <c:v>1185</c:v>
                </c:pt>
                <c:pt idx="264">
                  <c:v>1180</c:v>
                </c:pt>
                <c:pt idx="265">
                  <c:v>1175</c:v>
                </c:pt>
                <c:pt idx="266">
                  <c:v>1170</c:v>
                </c:pt>
                <c:pt idx="267">
                  <c:v>1165</c:v>
                </c:pt>
                <c:pt idx="268">
                  <c:v>1160</c:v>
                </c:pt>
                <c:pt idx="269">
                  <c:v>1155</c:v>
                </c:pt>
                <c:pt idx="270">
                  <c:v>1150</c:v>
                </c:pt>
                <c:pt idx="271">
                  <c:v>1145</c:v>
                </c:pt>
                <c:pt idx="272">
                  <c:v>1140</c:v>
                </c:pt>
                <c:pt idx="273">
                  <c:v>1135</c:v>
                </c:pt>
                <c:pt idx="274">
                  <c:v>1130</c:v>
                </c:pt>
                <c:pt idx="275">
                  <c:v>1125</c:v>
                </c:pt>
                <c:pt idx="276">
                  <c:v>1120</c:v>
                </c:pt>
                <c:pt idx="277">
                  <c:v>1115</c:v>
                </c:pt>
                <c:pt idx="278">
                  <c:v>1110</c:v>
                </c:pt>
                <c:pt idx="279">
                  <c:v>1105</c:v>
                </c:pt>
                <c:pt idx="280">
                  <c:v>1100</c:v>
                </c:pt>
                <c:pt idx="281">
                  <c:v>1095</c:v>
                </c:pt>
                <c:pt idx="282">
                  <c:v>1090</c:v>
                </c:pt>
                <c:pt idx="283">
                  <c:v>1085</c:v>
                </c:pt>
                <c:pt idx="284">
                  <c:v>1080</c:v>
                </c:pt>
                <c:pt idx="285">
                  <c:v>1075</c:v>
                </c:pt>
                <c:pt idx="286">
                  <c:v>1070</c:v>
                </c:pt>
                <c:pt idx="287">
                  <c:v>1065</c:v>
                </c:pt>
                <c:pt idx="288">
                  <c:v>1060</c:v>
                </c:pt>
                <c:pt idx="289">
                  <c:v>1055</c:v>
                </c:pt>
                <c:pt idx="290">
                  <c:v>1050</c:v>
                </c:pt>
                <c:pt idx="291">
                  <c:v>1045</c:v>
                </c:pt>
                <c:pt idx="292">
                  <c:v>1040</c:v>
                </c:pt>
                <c:pt idx="293">
                  <c:v>1035</c:v>
                </c:pt>
                <c:pt idx="294">
                  <c:v>1030</c:v>
                </c:pt>
                <c:pt idx="295">
                  <c:v>1025</c:v>
                </c:pt>
                <c:pt idx="296">
                  <c:v>1020</c:v>
                </c:pt>
                <c:pt idx="297">
                  <c:v>1015</c:v>
                </c:pt>
                <c:pt idx="298">
                  <c:v>1010</c:v>
                </c:pt>
                <c:pt idx="299">
                  <c:v>1005</c:v>
                </c:pt>
                <c:pt idx="300">
                  <c:v>1000</c:v>
                </c:pt>
                <c:pt idx="301">
                  <c:v>995</c:v>
                </c:pt>
                <c:pt idx="302">
                  <c:v>990</c:v>
                </c:pt>
                <c:pt idx="303">
                  <c:v>985</c:v>
                </c:pt>
                <c:pt idx="304">
                  <c:v>980</c:v>
                </c:pt>
                <c:pt idx="305">
                  <c:v>975</c:v>
                </c:pt>
                <c:pt idx="306">
                  <c:v>970</c:v>
                </c:pt>
                <c:pt idx="307">
                  <c:v>965</c:v>
                </c:pt>
                <c:pt idx="308">
                  <c:v>960</c:v>
                </c:pt>
                <c:pt idx="309">
                  <c:v>955</c:v>
                </c:pt>
                <c:pt idx="310">
                  <c:v>950</c:v>
                </c:pt>
                <c:pt idx="311">
                  <c:v>945</c:v>
                </c:pt>
                <c:pt idx="312">
                  <c:v>940</c:v>
                </c:pt>
                <c:pt idx="313">
                  <c:v>935</c:v>
                </c:pt>
                <c:pt idx="314">
                  <c:v>930</c:v>
                </c:pt>
                <c:pt idx="315">
                  <c:v>925</c:v>
                </c:pt>
                <c:pt idx="316">
                  <c:v>920</c:v>
                </c:pt>
                <c:pt idx="317">
                  <c:v>915</c:v>
                </c:pt>
                <c:pt idx="318">
                  <c:v>910</c:v>
                </c:pt>
                <c:pt idx="319">
                  <c:v>905</c:v>
                </c:pt>
                <c:pt idx="320">
                  <c:v>900</c:v>
                </c:pt>
                <c:pt idx="321">
                  <c:v>895</c:v>
                </c:pt>
                <c:pt idx="322">
                  <c:v>890</c:v>
                </c:pt>
                <c:pt idx="323">
                  <c:v>885</c:v>
                </c:pt>
                <c:pt idx="324">
                  <c:v>880</c:v>
                </c:pt>
                <c:pt idx="325">
                  <c:v>875</c:v>
                </c:pt>
                <c:pt idx="326">
                  <c:v>870</c:v>
                </c:pt>
                <c:pt idx="327">
                  <c:v>865</c:v>
                </c:pt>
                <c:pt idx="328">
                  <c:v>860</c:v>
                </c:pt>
                <c:pt idx="329">
                  <c:v>855</c:v>
                </c:pt>
                <c:pt idx="330">
                  <c:v>850</c:v>
                </c:pt>
                <c:pt idx="331">
                  <c:v>845</c:v>
                </c:pt>
                <c:pt idx="332">
                  <c:v>840</c:v>
                </c:pt>
                <c:pt idx="333">
                  <c:v>835</c:v>
                </c:pt>
                <c:pt idx="334">
                  <c:v>830</c:v>
                </c:pt>
                <c:pt idx="335">
                  <c:v>825</c:v>
                </c:pt>
                <c:pt idx="336">
                  <c:v>820</c:v>
                </c:pt>
                <c:pt idx="337">
                  <c:v>815</c:v>
                </c:pt>
                <c:pt idx="338">
                  <c:v>810</c:v>
                </c:pt>
                <c:pt idx="339">
                  <c:v>805</c:v>
                </c:pt>
                <c:pt idx="340">
                  <c:v>800</c:v>
                </c:pt>
                <c:pt idx="341">
                  <c:v>795</c:v>
                </c:pt>
                <c:pt idx="342">
                  <c:v>790</c:v>
                </c:pt>
                <c:pt idx="343">
                  <c:v>785</c:v>
                </c:pt>
                <c:pt idx="344">
                  <c:v>780</c:v>
                </c:pt>
                <c:pt idx="345">
                  <c:v>775</c:v>
                </c:pt>
                <c:pt idx="346">
                  <c:v>770</c:v>
                </c:pt>
                <c:pt idx="347">
                  <c:v>765</c:v>
                </c:pt>
                <c:pt idx="348">
                  <c:v>760</c:v>
                </c:pt>
                <c:pt idx="349">
                  <c:v>755</c:v>
                </c:pt>
                <c:pt idx="350">
                  <c:v>750</c:v>
                </c:pt>
                <c:pt idx="351">
                  <c:v>745</c:v>
                </c:pt>
                <c:pt idx="352">
                  <c:v>740</c:v>
                </c:pt>
                <c:pt idx="353">
                  <c:v>735</c:v>
                </c:pt>
                <c:pt idx="354">
                  <c:v>730</c:v>
                </c:pt>
                <c:pt idx="355">
                  <c:v>725</c:v>
                </c:pt>
                <c:pt idx="356">
                  <c:v>720</c:v>
                </c:pt>
                <c:pt idx="357">
                  <c:v>715</c:v>
                </c:pt>
                <c:pt idx="358">
                  <c:v>710</c:v>
                </c:pt>
                <c:pt idx="359">
                  <c:v>705</c:v>
                </c:pt>
                <c:pt idx="360">
                  <c:v>700</c:v>
                </c:pt>
                <c:pt idx="361">
                  <c:v>695</c:v>
                </c:pt>
                <c:pt idx="362">
                  <c:v>690</c:v>
                </c:pt>
                <c:pt idx="363">
                  <c:v>685</c:v>
                </c:pt>
                <c:pt idx="364">
                  <c:v>680</c:v>
                </c:pt>
                <c:pt idx="365">
                  <c:v>675</c:v>
                </c:pt>
                <c:pt idx="366">
                  <c:v>670</c:v>
                </c:pt>
                <c:pt idx="367">
                  <c:v>665</c:v>
                </c:pt>
                <c:pt idx="368">
                  <c:v>660</c:v>
                </c:pt>
                <c:pt idx="369">
                  <c:v>655</c:v>
                </c:pt>
                <c:pt idx="370">
                  <c:v>650</c:v>
                </c:pt>
                <c:pt idx="371">
                  <c:v>645</c:v>
                </c:pt>
                <c:pt idx="372">
                  <c:v>640</c:v>
                </c:pt>
                <c:pt idx="373">
                  <c:v>635</c:v>
                </c:pt>
                <c:pt idx="374">
                  <c:v>630</c:v>
                </c:pt>
                <c:pt idx="375">
                  <c:v>625</c:v>
                </c:pt>
                <c:pt idx="376">
                  <c:v>620</c:v>
                </c:pt>
                <c:pt idx="377">
                  <c:v>615</c:v>
                </c:pt>
                <c:pt idx="378">
                  <c:v>610</c:v>
                </c:pt>
                <c:pt idx="379">
                  <c:v>605</c:v>
                </c:pt>
                <c:pt idx="380">
                  <c:v>600</c:v>
                </c:pt>
                <c:pt idx="381">
                  <c:v>595</c:v>
                </c:pt>
                <c:pt idx="382">
                  <c:v>590</c:v>
                </c:pt>
                <c:pt idx="383">
                  <c:v>585</c:v>
                </c:pt>
                <c:pt idx="384">
                  <c:v>580</c:v>
                </c:pt>
                <c:pt idx="385">
                  <c:v>575</c:v>
                </c:pt>
                <c:pt idx="386">
                  <c:v>570</c:v>
                </c:pt>
                <c:pt idx="387">
                  <c:v>565</c:v>
                </c:pt>
                <c:pt idx="388">
                  <c:v>560</c:v>
                </c:pt>
                <c:pt idx="389">
                  <c:v>555</c:v>
                </c:pt>
                <c:pt idx="390">
                  <c:v>550</c:v>
                </c:pt>
                <c:pt idx="391">
                  <c:v>545</c:v>
                </c:pt>
                <c:pt idx="392">
                  <c:v>540</c:v>
                </c:pt>
                <c:pt idx="393">
                  <c:v>535</c:v>
                </c:pt>
                <c:pt idx="394">
                  <c:v>530</c:v>
                </c:pt>
                <c:pt idx="395">
                  <c:v>525</c:v>
                </c:pt>
                <c:pt idx="396">
                  <c:v>520</c:v>
                </c:pt>
                <c:pt idx="397">
                  <c:v>515</c:v>
                </c:pt>
                <c:pt idx="398">
                  <c:v>510</c:v>
                </c:pt>
                <c:pt idx="399">
                  <c:v>505</c:v>
                </c:pt>
                <c:pt idx="400">
                  <c:v>500</c:v>
                </c:pt>
                <c:pt idx="401">
                  <c:v>495</c:v>
                </c:pt>
                <c:pt idx="402">
                  <c:v>490</c:v>
                </c:pt>
                <c:pt idx="403">
                  <c:v>485</c:v>
                </c:pt>
                <c:pt idx="404">
                  <c:v>480</c:v>
                </c:pt>
                <c:pt idx="405">
                  <c:v>475</c:v>
                </c:pt>
                <c:pt idx="406">
                  <c:v>470</c:v>
                </c:pt>
                <c:pt idx="407">
                  <c:v>465</c:v>
                </c:pt>
                <c:pt idx="408">
                  <c:v>460</c:v>
                </c:pt>
                <c:pt idx="409">
                  <c:v>455</c:v>
                </c:pt>
                <c:pt idx="410">
                  <c:v>450</c:v>
                </c:pt>
                <c:pt idx="411">
                  <c:v>445</c:v>
                </c:pt>
                <c:pt idx="412">
                  <c:v>440</c:v>
                </c:pt>
                <c:pt idx="413">
                  <c:v>435</c:v>
                </c:pt>
                <c:pt idx="414">
                  <c:v>430</c:v>
                </c:pt>
                <c:pt idx="415">
                  <c:v>425</c:v>
                </c:pt>
                <c:pt idx="416">
                  <c:v>420</c:v>
                </c:pt>
                <c:pt idx="417">
                  <c:v>415</c:v>
                </c:pt>
                <c:pt idx="418">
                  <c:v>410</c:v>
                </c:pt>
                <c:pt idx="419">
                  <c:v>405</c:v>
                </c:pt>
                <c:pt idx="420">
                  <c:v>400</c:v>
                </c:pt>
                <c:pt idx="421">
                  <c:v>395</c:v>
                </c:pt>
                <c:pt idx="422">
                  <c:v>390</c:v>
                </c:pt>
                <c:pt idx="423">
                  <c:v>385</c:v>
                </c:pt>
                <c:pt idx="424">
                  <c:v>380</c:v>
                </c:pt>
                <c:pt idx="425">
                  <c:v>375</c:v>
                </c:pt>
                <c:pt idx="426">
                  <c:v>370</c:v>
                </c:pt>
                <c:pt idx="427">
                  <c:v>365</c:v>
                </c:pt>
                <c:pt idx="428">
                  <c:v>360</c:v>
                </c:pt>
                <c:pt idx="429">
                  <c:v>355</c:v>
                </c:pt>
                <c:pt idx="430">
                  <c:v>350</c:v>
                </c:pt>
                <c:pt idx="431">
                  <c:v>345</c:v>
                </c:pt>
                <c:pt idx="432">
                  <c:v>340</c:v>
                </c:pt>
                <c:pt idx="433">
                  <c:v>335</c:v>
                </c:pt>
                <c:pt idx="434">
                  <c:v>330</c:v>
                </c:pt>
                <c:pt idx="435">
                  <c:v>325</c:v>
                </c:pt>
                <c:pt idx="436">
                  <c:v>320</c:v>
                </c:pt>
                <c:pt idx="437">
                  <c:v>315</c:v>
                </c:pt>
                <c:pt idx="438">
                  <c:v>310</c:v>
                </c:pt>
                <c:pt idx="439">
                  <c:v>305</c:v>
                </c:pt>
                <c:pt idx="440">
                  <c:v>300</c:v>
                </c:pt>
                <c:pt idx="441">
                  <c:v>295</c:v>
                </c:pt>
                <c:pt idx="442">
                  <c:v>290</c:v>
                </c:pt>
                <c:pt idx="443">
                  <c:v>285</c:v>
                </c:pt>
                <c:pt idx="444">
                  <c:v>280</c:v>
                </c:pt>
                <c:pt idx="445">
                  <c:v>275</c:v>
                </c:pt>
                <c:pt idx="446">
                  <c:v>270</c:v>
                </c:pt>
                <c:pt idx="447">
                  <c:v>265</c:v>
                </c:pt>
                <c:pt idx="448">
                  <c:v>260</c:v>
                </c:pt>
                <c:pt idx="449">
                  <c:v>255</c:v>
                </c:pt>
                <c:pt idx="450">
                  <c:v>250</c:v>
                </c:pt>
              </c:numCache>
            </c:numRef>
          </c:xVal>
          <c:yVal>
            <c:numRef>
              <c:f>refl5!$M$79:$M$529</c:f>
              <c:numCache>
                <c:formatCode>0.00</c:formatCode>
                <c:ptCount val="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A9-40C3-9FE7-B163E9B41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716959"/>
        <c:axId val="1"/>
      </c:scatterChart>
      <c:valAx>
        <c:axId val="1435716959"/>
        <c:scaling>
          <c:orientation val="minMax"/>
          <c:max val="2500"/>
          <c:min val="250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Wavelength in nm</a:t>
                </a:r>
              </a:p>
            </c:rich>
          </c:tx>
          <c:layout>
            <c:manualLayout>
              <c:xMode val="edge"/>
              <c:yMode val="edge"/>
              <c:x val="0.42424335457366569"/>
              <c:y val="0.8819094488188975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"/>
        <c:crosses val="autoZero"/>
        <c:crossBetween val="midCat"/>
        <c:majorUnit val="250"/>
        <c:minorUnit val="50"/>
      </c:valAx>
      <c:valAx>
        <c:axId val="1"/>
        <c:scaling>
          <c:orientation val="minMax"/>
          <c:max val="1"/>
          <c:min val="-1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DE"/>
                  <a:t>Signal %</a:t>
                </a:r>
              </a:p>
            </c:rich>
          </c:tx>
          <c:layout>
            <c:manualLayout>
              <c:xMode val="edge"/>
              <c:yMode val="edge"/>
              <c:x val="8.9127673907521722E-3"/>
              <c:y val="0.4296481582043624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435716959"/>
        <c:crosses val="autoZero"/>
        <c:crossBetween val="midCat"/>
        <c:majorUnit val="2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5960017494847846"/>
          <c:y val="0.93192324582278241"/>
          <c:w val="0.25685726782034174"/>
          <c:h val="5.648019671653226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198120</xdr:colOff>
      <xdr:row>0</xdr:row>
      <xdr:rowOff>99060</xdr:rowOff>
    </xdr:from>
    <xdr:to>
      <xdr:col>15</xdr:col>
      <xdr:colOff>601980</xdr:colOff>
      <xdr:row>22</xdr:row>
      <xdr:rowOff>76200</xdr:rowOff>
    </xdr:to>
    <xdr:graphicFrame macro="">
      <xdr:nvGraphicFramePr>
        <xdr:cNvPr id="1536" name="Gráfico 1">
          <a:extLst>
            <a:ext uri="{FF2B5EF4-FFF2-40B4-BE49-F238E27FC236}">
              <a16:creationId xmlns:a16="http://schemas.microsoft.com/office/drawing/2014/main" id="{F3CEFD02-9CD6-2735-B33A-C0DA9CEFC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224155</xdr:colOff>
      <xdr:row>4</xdr:row>
      <xdr:rowOff>88900</xdr:rowOff>
    </xdr:from>
    <xdr:to>
      <xdr:col>4</xdr:col>
      <xdr:colOff>80042</xdr:colOff>
      <xdr:row>9</xdr:row>
      <xdr:rowOff>145444</xdr:rowOff>
    </xdr:to>
    <xdr:sp macro="[0]!Makro1" textlink="">
      <xdr:nvSpPr>
        <xdr:cNvPr id="3" name="AutoShape 2">
          <a:extLst>
            <a:ext uri="{FF2B5EF4-FFF2-40B4-BE49-F238E27FC236}">
              <a16:creationId xmlns:a16="http://schemas.microsoft.com/office/drawing/2014/main" id="{FFCE1CCC-BA96-3E8E-A17B-2565F685ACA7}"/>
            </a:ext>
          </a:extLst>
        </xdr:cNvPr>
        <xdr:cNvSpPr>
          <a:spLocks noChangeArrowheads="1"/>
        </xdr:cNvSpPr>
      </xdr:nvSpPr>
      <xdr:spPr bwMode="auto">
        <a:xfrm>
          <a:off x="5911215" y="849630"/>
          <a:ext cx="1354466" cy="878205"/>
        </a:xfrm>
        <a:prstGeom prst="flowChartMultidocumen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Import Spectra Measurements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and Zero/Base</a:t>
          </a:r>
        </a:p>
      </xdr:txBody>
    </xdr:sp>
    <xdr:clientData/>
  </xdr:twoCellAnchor>
  <xdr:twoCellAnchor editAs="absolute">
    <xdr:from>
      <xdr:col>14</xdr:col>
      <xdr:colOff>518160</xdr:colOff>
      <xdr:row>0</xdr:row>
      <xdr:rowOff>121920</xdr:rowOff>
    </xdr:from>
    <xdr:to>
      <xdr:col>22</xdr:col>
      <xdr:colOff>38100</xdr:colOff>
      <xdr:row>26</xdr:row>
      <xdr:rowOff>152400</xdr:rowOff>
    </xdr:to>
    <xdr:graphicFrame macro="">
      <xdr:nvGraphicFramePr>
        <xdr:cNvPr id="1538" name="Gráfico 4">
          <a:extLst>
            <a:ext uri="{FF2B5EF4-FFF2-40B4-BE49-F238E27FC236}">
              <a16:creationId xmlns:a16="http://schemas.microsoft.com/office/drawing/2014/main" id="{12845EC9-5907-5038-AE93-A2C341D93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1386205</xdr:colOff>
      <xdr:row>2</xdr:row>
      <xdr:rowOff>79375</xdr:rowOff>
    </xdr:from>
    <xdr:to>
      <xdr:col>7</xdr:col>
      <xdr:colOff>427357</xdr:colOff>
      <xdr:row>7</xdr:row>
      <xdr:rowOff>76213</xdr:rowOff>
    </xdr:to>
    <xdr:sp macro="[0]!Makro17" textlink="">
      <xdr:nvSpPr>
        <xdr:cNvPr id="6" name="AutoShape 6">
          <a:extLst>
            <a:ext uri="{FF2B5EF4-FFF2-40B4-BE49-F238E27FC236}">
              <a16:creationId xmlns:a16="http://schemas.microsoft.com/office/drawing/2014/main" id="{F702531E-9568-E704-CE42-7A4719AD18F3}"/>
            </a:ext>
          </a:extLst>
        </xdr:cNvPr>
        <xdr:cNvSpPr>
          <a:spLocks noChangeArrowheads="1"/>
        </xdr:cNvSpPr>
      </xdr:nvSpPr>
      <xdr:spPr bwMode="auto">
        <a:xfrm>
          <a:off x="9244965" y="474345"/>
          <a:ext cx="1718360" cy="859155"/>
        </a:xfrm>
        <a:prstGeom prst="flowChartMultidocument">
          <a:avLst/>
        </a:prstGeom>
        <a:solidFill>
          <a:schemeClr val="bg1">
            <a:lumMod val="85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Export data results into table</a:t>
          </a:r>
        </a:p>
      </xdr:txBody>
    </xdr:sp>
    <xdr:clientData/>
  </xdr:twoCellAnchor>
  <xdr:twoCellAnchor>
    <xdr:from>
      <xdr:col>13</xdr:col>
      <xdr:colOff>22860</xdr:colOff>
      <xdr:row>23</xdr:row>
      <xdr:rowOff>7620</xdr:rowOff>
    </xdr:from>
    <xdr:to>
      <xdr:col>19</xdr:col>
      <xdr:colOff>297180</xdr:colOff>
      <xdr:row>46</xdr:row>
      <xdr:rowOff>76200</xdr:rowOff>
    </xdr:to>
    <xdr:graphicFrame macro="">
      <xdr:nvGraphicFramePr>
        <xdr:cNvPr id="1541" name="Gráfico 7">
          <a:extLst>
            <a:ext uri="{FF2B5EF4-FFF2-40B4-BE49-F238E27FC236}">
              <a16:creationId xmlns:a16="http://schemas.microsoft.com/office/drawing/2014/main" id="{F73AB50B-472A-92AF-D8C7-614ADD600D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182880</xdr:colOff>
      <xdr:row>27</xdr:row>
      <xdr:rowOff>121920</xdr:rowOff>
    </xdr:from>
    <xdr:to>
      <xdr:col>27</xdr:col>
      <xdr:colOff>586740</xdr:colOff>
      <xdr:row>57</xdr:row>
      <xdr:rowOff>144780</xdr:rowOff>
    </xdr:to>
    <xdr:graphicFrame macro="">
      <xdr:nvGraphicFramePr>
        <xdr:cNvPr id="1542" name="Gráfico 8">
          <a:extLst>
            <a:ext uri="{FF2B5EF4-FFF2-40B4-BE49-F238E27FC236}">
              <a16:creationId xmlns:a16="http://schemas.microsoft.com/office/drawing/2014/main" id="{964474B4-B27D-42CE-91E8-714995D6A6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129540</xdr:colOff>
      <xdr:row>79</xdr:row>
      <xdr:rowOff>160020</xdr:rowOff>
    </xdr:from>
    <xdr:to>
      <xdr:col>42</xdr:col>
      <xdr:colOff>236220</xdr:colOff>
      <xdr:row>126</xdr:row>
      <xdr:rowOff>0</xdr:rowOff>
    </xdr:to>
    <xdr:graphicFrame macro="">
      <xdr:nvGraphicFramePr>
        <xdr:cNvPr id="1543" name="Gráfico 9">
          <a:extLst>
            <a:ext uri="{FF2B5EF4-FFF2-40B4-BE49-F238E27FC236}">
              <a16:creationId xmlns:a16="http://schemas.microsoft.com/office/drawing/2014/main" id="{EA960E35-14B5-EAFC-0F3F-693779046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396240</xdr:colOff>
      <xdr:row>81</xdr:row>
      <xdr:rowOff>91440</xdr:rowOff>
    </xdr:from>
    <xdr:to>
      <xdr:col>50</xdr:col>
      <xdr:colOff>342900</xdr:colOff>
      <xdr:row>127</xdr:row>
      <xdr:rowOff>91440</xdr:rowOff>
    </xdr:to>
    <xdr:graphicFrame macro="">
      <xdr:nvGraphicFramePr>
        <xdr:cNvPr id="1544" name="Gráfico 10">
          <a:extLst>
            <a:ext uri="{FF2B5EF4-FFF2-40B4-BE49-F238E27FC236}">
              <a16:creationId xmlns:a16="http://schemas.microsoft.com/office/drawing/2014/main" id="{3CFF6813-01D0-64DB-7146-EF3D1159C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60960</xdr:colOff>
      <xdr:row>17</xdr:row>
      <xdr:rowOff>83820</xdr:rowOff>
    </xdr:from>
    <xdr:to>
      <xdr:col>42</xdr:col>
      <xdr:colOff>723900</xdr:colOff>
      <xdr:row>45</xdr:row>
      <xdr:rowOff>106680</xdr:rowOff>
    </xdr:to>
    <xdr:graphicFrame macro="">
      <xdr:nvGraphicFramePr>
        <xdr:cNvPr id="1545" name="Gráfico 11">
          <a:extLst>
            <a:ext uri="{FF2B5EF4-FFF2-40B4-BE49-F238E27FC236}">
              <a16:creationId xmlns:a16="http://schemas.microsoft.com/office/drawing/2014/main" id="{80AFBEFE-8EFE-1789-10F8-75B57179B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213360</xdr:colOff>
      <xdr:row>17</xdr:row>
      <xdr:rowOff>83820</xdr:rowOff>
    </xdr:from>
    <xdr:to>
      <xdr:col>51</xdr:col>
      <xdr:colOff>403860</xdr:colOff>
      <xdr:row>45</xdr:row>
      <xdr:rowOff>114300</xdr:rowOff>
    </xdr:to>
    <xdr:graphicFrame macro="">
      <xdr:nvGraphicFramePr>
        <xdr:cNvPr id="1546" name="Gráfico 12">
          <a:extLst>
            <a:ext uri="{FF2B5EF4-FFF2-40B4-BE49-F238E27FC236}">
              <a16:creationId xmlns:a16="http://schemas.microsoft.com/office/drawing/2014/main" id="{41C8CE17-5525-79EC-6F0C-F01DFB513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541020</xdr:colOff>
      <xdr:row>45</xdr:row>
      <xdr:rowOff>152400</xdr:rowOff>
    </xdr:from>
    <xdr:to>
      <xdr:col>42</xdr:col>
      <xdr:colOff>495300</xdr:colOff>
      <xdr:row>72</xdr:row>
      <xdr:rowOff>91440</xdr:rowOff>
    </xdr:to>
    <xdr:graphicFrame macro="">
      <xdr:nvGraphicFramePr>
        <xdr:cNvPr id="1547" name="Gráfico 14">
          <a:extLst>
            <a:ext uri="{FF2B5EF4-FFF2-40B4-BE49-F238E27FC236}">
              <a16:creationId xmlns:a16="http://schemas.microsoft.com/office/drawing/2014/main" id="{4A4402A8-1001-4CF5-BA1E-64358EE3E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43</xdr:col>
      <xdr:colOff>0</xdr:colOff>
      <xdr:row>46</xdr:row>
      <xdr:rowOff>0</xdr:rowOff>
    </xdr:from>
    <xdr:to>
      <xdr:col>49</xdr:col>
      <xdr:colOff>693420</xdr:colOff>
      <xdr:row>72</xdr:row>
      <xdr:rowOff>152400</xdr:rowOff>
    </xdr:to>
    <xdr:graphicFrame macro="">
      <xdr:nvGraphicFramePr>
        <xdr:cNvPr id="1548" name="Gráfico 15">
          <a:extLst>
            <a:ext uri="{FF2B5EF4-FFF2-40B4-BE49-F238E27FC236}">
              <a16:creationId xmlns:a16="http://schemas.microsoft.com/office/drawing/2014/main" id="{345AB392-703E-82FF-27BA-D1FAAD127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50</xdr:col>
      <xdr:colOff>0</xdr:colOff>
      <xdr:row>46</xdr:row>
      <xdr:rowOff>0</xdr:rowOff>
    </xdr:from>
    <xdr:to>
      <xdr:col>57</xdr:col>
      <xdr:colOff>0</xdr:colOff>
      <xdr:row>72</xdr:row>
      <xdr:rowOff>167640</xdr:rowOff>
    </xdr:to>
    <xdr:graphicFrame macro="">
      <xdr:nvGraphicFramePr>
        <xdr:cNvPr id="1549" name="Gráfico 16">
          <a:extLst>
            <a:ext uri="{FF2B5EF4-FFF2-40B4-BE49-F238E27FC236}">
              <a16:creationId xmlns:a16="http://schemas.microsoft.com/office/drawing/2014/main" id="{E7351408-56FD-63C7-D238-8F215D86C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106045</xdr:colOff>
      <xdr:row>13</xdr:row>
      <xdr:rowOff>38100</xdr:rowOff>
    </xdr:from>
    <xdr:to>
      <xdr:col>3</xdr:col>
      <xdr:colOff>1452621</xdr:colOff>
      <xdr:row>17</xdr:row>
      <xdr:rowOff>168998</xdr:rowOff>
    </xdr:to>
    <xdr:sp macro="" textlink="">
      <xdr:nvSpPr>
        <xdr:cNvPr id="16" name="AutoShape 6">
          <a:extLst>
            <a:ext uri="{FF2B5EF4-FFF2-40B4-BE49-F238E27FC236}">
              <a16:creationId xmlns:a16="http://schemas.microsoft.com/office/drawing/2014/main" id="{C7229809-BE6B-CBB7-0D86-AAD4723CD9A6}"/>
            </a:ext>
          </a:extLst>
        </xdr:cNvPr>
        <xdr:cNvSpPr>
          <a:spLocks noChangeArrowheads="1"/>
        </xdr:cNvSpPr>
      </xdr:nvSpPr>
      <xdr:spPr bwMode="auto">
        <a:xfrm>
          <a:off x="5777865" y="2308860"/>
          <a:ext cx="1354411" cy="849664"/>
        </a:xfrm>
        <a:prstGeom prst="flowChartMultidocumen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Export data results into OPAC Table</a:t>
          </a:r>
        </a:p>
      </xdr:txBody>
    </xdr:sp>
    <xdr:clientData/>
  </xdr:twoCellAnchor>
  <xdr:twoCellAnchor editAs="absolute">
    <xdr:from>
      <xdr:col>3</xdr:col>
      <xdr:colOff>69215</xdr:colOff>
      <xdr:row>20</xdr:row>
      <xdr:rowOff>120650</xdr:rowOff>
    </xdr:from>
    <xdr:to>
      <xdr:col>3</xdr:col>
      <xdr:colOff>1464347</xdr:colOff>
      <xdr:row>25</xdr:row>
      <xdr:rowOff>113046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25E0E09D-E9D1-E402-E1FA-C01CC532847C}"/>
            </a:ext>
          </a:extLst>
        </xdr:cNvPr>
        <xdr:cNvSpPr>
          <a:spLocks noChangeArrowheads="1"/>
        </xdr:cNvSpPr>
      </xdr:nvSpPr>
      <xdr:spPr bwMode="auto">
        <a:xfrm>
          <a:off x="5854065" y="3610610"/>
          <a:ext cx="1421822" cy="858530"/>
        </a:xfrm>
        <a:prstGeom prst="flowChartMultidocumen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Export all sheets data results into OPAC Table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0.85963</cdr:x>
      <cdr:y>0.88747</cdr:y>
    </cdr:from>
    <cdr:to>
      <cdr:x>0.93333</cdr:x>
      <cdr:y>0.98414</cdr:y>
    </cdr:to>
    <cdr:pic>
      <cdr:nvPicPr>
        <cdr:cNvPr id="79873" name="Picture 1" descr="Logo_dlr_Transp">
          <a:extLst xmlns:a="http://schemas.openxmlformats.org/drawingml/2006/main">
            <a:ext uri="{FF2B5EF4-FFF2-40B4-BE49-F238E27FC236}">
              <a16:creationId xmlns:a16="http://schemas.microsoft.com/office/drawing/2014/main" id="{B638F0A3-CE9D-55FE-1B6D-8A20A5BE14EC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4692452" y="3024319"/>
          <a:ext cx="399585" cy="34322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0.86441</cdr:x>
      <cdr:y>0.88473</cdr:y>
    </cdr:from>
    <cdr:to>
      <cdr:x>0.93088</cdr:x>
      <cdr:y>0.98385</cdr:y>
    </cdr:to>
    <cdr:pic>
      <cdr:nvPicPr>
        <cdr:cNvPr id="80897" name="Picture 1" descr="Logo_dlr_Transp">
          <a:extLst xmlns:a="http://schemas.openxmlformats.org/drawingml/2006/main">
            <a:ext uri="{FF2B5EF4-FFF2-40B4-BE49-F238E27FC236}">
              <a16:creationId xmlns:a16="http://schemas.microsoft.com/office/drawing/2014/main" id="{EC3AD152-08B3-104F-421D-98E7C6C64B84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5447024" y="3014142"/>
          <a:ext cx="399950" cy="3430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</cdr:pic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D88C3-7CA2-4643-809F-307BB96A5A51}">
  <dimension ref="A2:B2"/>
  <sheetViews>
    <sheetView workbookViewId="0">
      <selection activeCell="B12" sqref="B12"/>
    </sheetView>
  </sheetViews>
  <sheetFormatPr defaultRowHeight="12.5" x14ac:dyDescent="0.25"/>
  <cols>
    <col min="1" max="1" width="19.08984375" customWidth="1"/>
  </cols>
  <sheetData>
    <row r="2" spans="1:2" x14ac:dyDescent="0.25">
      <c r="A2" t="s">
        <v>227</v>
      </c>
      <c r="B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3453-33DD-424B-A165-58BF45B209D2}">
  <sheetPr codeName="Tabelle7"/>
  <dimension ref="B1:BH1078"/>
  <sheetViews>
    <sheetView tabSelected="1" zoomScale="85" zoomScaleNormal="85" workbookViewId="0">
      <selection activeCell="G26" sqref="G26"/>
    </sheetView>
  </sheetViews>
  <sheetFormatPr defaultRowHeight="12.5" x14ac:dyDescent="0.25"/>
  <cols>
    <col min="1" max="1" width="1.54296875" customWidth="1"/>
    <col min="2" max="2" width="31.90625" customWidth="1"/>
    <col min="3" max="3" width="49.453125" customWidth="1"/>
    <col min="4" max="4" width="21.6328125" style="2" customWidth="1"/>
    <col min="5" max="5" width="10.08984375" style="3" customWidth="1"/>
    <col min="6" max="6" width="31.54296875" style="4" customWidth="1"/>
    <col min="7" max="7" width="7.453125" style="4" customWidth="1"/>
    <col min="8" max="8" width="11.81640625" style="4" customWidth="1"/>
    <col min="9" max="9" width="13.1796875" style="4" customWidth="1"/>
    <col min="10" max="11" width="11.54296875" customWidth="1"/>
    <col min="12" max="36" width="12.6328125" customWidth="1"/>
    <col min="37" max="37" width="18.90625" customWidth="1"/>
    <col min="38" max="39" width="11.6328125" customWidth="1"/>
    <col min="40" max="40" width="13.6328125" customWidth="1"/>
    <col min="41" max="41" width="11.6328125" customWidth="1"/>
    <col min="42" max="42" width="12.6328125" customWidth="1"/>
    <col min="43" max="43" width="13.6328125" customWidth="1"/>
    <col min="44" max="44" width="12.90625" customWidth="1"/>
    <col min="45" max="50" width="11.54296875" customWidth="1"/>
    <col min="51" max="51" width="11.54296875" bestFit="1" customWidth="1"/>
  </cols>
  <sheetData>
    <row r="1" spans="2:60" ht="18" x14ac:dyDescent="0.4">
      <c r="B1" s="1" t="s">
        <v>0</v>
      </c>
      <c r="D1" s="2" t="s">
        <v>1</v>
      </c>
      <c r="BG1" t="s">
        <v>2</v>
      </c>
      <c r="BH1" t="s">
        <v>3</v>
      </c>
    </row>
    <row r="2" spans="2:60" ht="13" x14ac:dyDescent="0.3">
      <c r="B2" t="s">
        <v>4</v>
      </c>
      <c r="D2" s="5" t="s">
        <v>5</v>
      </c>
      <c r="AK2" s="6" t="s">
        <v>6</v>
      </c>
      <c r="AL2" s="7"/>
      <c r="AM2" s="7"/>
      <c r="AN2" s="7"/>
      <c r="AO2" s="7"/>
      <c r="AP2" s="7"/>
      <c r="AQ2" s="7"/>
      <c r="BG2" t="s">
        <v>7</v>
      </c>
    </row>
    <row r="3" spans="2:60" ht="15.5" x14ac:dyDescent="0.35">
      <c r="B3" s="8" t="s">
        <v>8</v>
      </c>
      <c r="C3" s="9"/>
      <c r="D3" s="2" t="s">
        <v>9</v>
      </c>
      <c r="E3" s="3" t="s">
        <v>10</v>
      </c>
      <c r="AJ3" s="10"/>
      <c r="BG3" t="s">
        <v>11</v>
      </c>
    </row>
    <row r="4" spans="2:60" x14ac:dyDescent="0.25">
      <c r="B4" s="11" t="s">
        <v>4</v>
      </c>
      <c r="C4" s="9"/>
      <c r="AK4" s="4"/>
      <c r="AL4" s="4"/>
      <c r="AM4" s="4"/>
      <c r="AN4" s="4"/>
      <c r="AO4" s="4"/>
      <c r="AP4" s="4"/>
      <c r="BG4" t="s">
        <v>12</v>
      </c>
    </row>
    <row r="5" spans="2:60" ht="13" x14ac:dyDescent="0.3">
      <c r="B5" s="12" t="s">
        <v>13</v>
      </c>
      <c r="C5" s="13"/>
      <c r="AK5" s="14" t="s">
        <v>14</v>
      </c>
      <c r="AL5" s="15"/>
      <c r="AM5" s="15"/>
      <c r="AN5" s="15"/>
      <c r="AO5" s="15"/>
      <c r="AP5" s="15"/>
      <c r="AQ5" s="16"/>
      <c r="BG5" t="s">
        <v>15</v>
      </c>
    </row>
    <row r="6" spans="2:60" x14ac:dyDescent="0.25">
      <c r="B6" s="17" t="s">
        <v>16</v>
      </c>
      <c r="C6" s="18"/>
      <c r="AK6" s="3"/>
      <c r="AL6" s="4"/>
      <c r="AM6" s="4"/>
      <c r="AN6" s="4"/>
      <c r="AO6" s="4"/>
      <c r="AP6" s="4"/>
      <c r="AQ6" s="2"/>
      <c r="BG6" t="s">
        <v>17</v>
      </c>
    </row>
    <row r="7" spans="2:60" ht="13" x14ac:dyDescent="0.3">
      <c r="B7" s="17" t="s">
        <v>18</v>
      </c>
      <c r="C7" s="18"/>
      <c r="AK7" s="19" t="s">
        <v>19</v>
      </c>
      <c r="AL7" s="20">
        <f>C12</f>
        <v>0</v>
      </c>
      <c r="AM7" s="4"/>
      <c r="AN7" s="21" t="s">
        <v>20</v>
      </c>
      <c r="AO7" s="22">
        <f>C11</f>
        <v>0</v>
      </c>
      <c r="AP7" s="4"/>
      <c r="AQ7" s="2"/>
      <c r="BG7" t="s">
        <v>21</v>
      </c>
    </row>
    <row r="8" spans="2:60" ht="13" x14ac:dyDescent="0.3">
      <c r="B8" s="17" t="s">
        <v>7</v>
      </c>
      <c r="C8" s="18"/>
      <c r="AK8" s="19" t="s">
        <v>22</v>
      </c>
      <c r="AL8" s="23">
        <f>C6</f>
        <v>0</v>
      </c>
      <c r="AM8" s="4"/>
      <c r="AN8" s="21" t="s">
        <v>23</v>
      </c>
      <c r="AO8" s="4" t="str">
        <f>refname</f>
        <v>FBW6</v>
      </c>
      <c r="AP8" s="4"/>
      <c r="AQ8" s="2"/>
    </row>
    <row r="9" spans="2:60" ht="12.75" customHeight="1" x14ac:dyDescent="0.3">
      <c r="B9" s="17" t="s">
        <v>11</v>
      </c>
      <c r="C9" s="24"/>
      <c r="AK9" s="25" t="s">
        <v>24</v>
      </c>
      <c r="AL9" s="23">
        <f>C15</f>
        <v>0</v>
      </c>
      <c r="AM9" s="4"/>
      <c r="AN9" s="21" t="s">
        <v>25</v>
      </c>
      <c r="AO9" s="23">
        <f>C8</f>
        <v>0</v>
      </c>
      <c r="AP9" s="4"/>
      <c r="AQ9" s="2"/>
    </row>
    <row r="10" spans="2:60" ht="13.5" thickBot="1" x14ac:dyDescent="0.35">
      <c r="B10" s="17" t="s">
        <v>15</v>
      </c>
      <c r="C10" s="26"/>
      <c r="AK10" s="19" t="s">
        <v>12</v>
      </c>
      <c r="AL10" s="23">
        <f>C7</f>
        <v>0</v>
      </c>
      <c r="AM10" s="4"/>
      <c r="AN10" s="27" t="s">
        <v>26</v>
      </c>
      <c r="AO10" s="23">
        <f>C13</f>
        <v>0</v>
      </c>
      <c r="AP10" s="4"/>
      <c r="AQ10" s="2"/>
    </row>
    <row r="11" spans="2:60" ht="13.5" customHeight="1" thickTop="1" x14ac:dyDescent="0.25">
      <c r="B11" s="28" t="s">
        <v>27</v>
      </c>
      <c r="C11" s="29"/>
      <c r="D11" s="28" t="s">
        <v>28</v>
      </c>
      <c r="AK11" s="30"/>
      <c r="AL11" s="31"/>
      <c r="AM11" s="31"/>
      <c r="AN11" s="31"/>
      <c r="AO11" s="31"/>
      <c r="AP11" s="31"/>
      <c r="AQ11" s="32"/>
    </row>
    <row r="12" spans="2:60" ht="13.5" customHeight="1" x14ac:dyDescent="0.3">
      <c r="B12" s="17" t="s">
        <v>29</v>
      </c>
      <c r="C12" s="33"/>
      <c r="D12" s="34"/>
      <c r="F12" s="35" t="s">
        <v>30</v>
      </c>
      <c r="G12" s="35"/>
      <c r="AK12" s="14" t="s">
        <v>31</v>
      </c>
      <c r="AL12" s="15"/>
      <c r="AM12" s="15"/>
      <c r="AN12" s="15"/>
      <c r="AO12" s="15"/>
      <c r="AP12" s="15"/>
      <c r="AQ12" s="16"/>
      <c r="BG12" t="s">
        <v>32</v>
      </c>
    </row>
    <row r="13" spans="2:60" ht="13.5" thickBot="1" x14ac:dyDescent="0.35">
      <c r="B13" s="17" t="s">
        <v>26</v>
      </c>
      <c r="C13" s="18"/>
      <c r="F13" s="36" t="s">
        <v>33</v>
      </c>
      <c r="AK13" s="3"/>
      <c r="AL13" s="4"/>
      <c r="AM13" s="4"/>
      <c r="AN13" s="4"/>
      <c r="AO13" s="4"/>
      <c r="AP13" s="4"/>
      <c r="AQ13" s="2"/>
      <c r="BG13" t="s">
        <v>34</v>
      </c>
    </row>
    <row r="14" spans="2:60" ht="15.5" thickBot="1" x14ac:dyDescent="0.45">
      <c r="B14" s="37" t="s">
        <v>28</v>
      </c>
      <c r="C14" s="26"/>
      <c r="F14" s="38" t="s">
        <v>35</v>
      </c>
      <c r="G14" s="39"/>
      <c r="AK14" s="25" t="s">
        <v>36</v>
      </c>
      <c r="AL14" s="40" t="s">
        <v>37</v>
      </c>
      <c r="AM14" s="41" t="s">
        <v>38</v>
      </c>
      <c r="AN14" s="41" t="s">
        <v>39</v>
      </c>
      <c r="AO14" s="41" t="s">
        <v>38</v>
      </c>
      <c r="AP14" s="40" t="s">
        <v>40</v>
      </c>
      <c r="AQ14" s="42" t="s">
        <v>41</v>
      </c>
      <c r="BG14" t="s">
        <v>42</v>
      </c>
    </row>
    <row r="15" spans="2:60" ht="13.5" thickTop="1" x14ac:dyDescent="0.3">
      <c r="B15" s="28" t="s">
        <v>43</v>
      </c>
      <c r="C15" s="43"/>
      <c r="F15" s="44" t="s">
        <v>44</v>
      </c>
      <c r="G15" s="45"/>
      <c r="AK15" s="19" t="s">
        <v>45</v>
      </c>
      <c r="AL15" s="46">
        <f>C30</f>
        <v>0</v>
      </c>
      <c r="AM15" s="47" t="e">
        <f>C32</f>
        <v>#DIV/0!</v>
      </c>
      <c r="AN15" s="47" t="e">
        <f>C46</f>
        <v>#VALUE!</v>
      </c>
      <c r="AO15" s="47" t="e">
        <f>C47</f>
        <v>#DIV/0!</v>
      </c>
      <c r="AP15" s="48" t="e">
        <f>C31</f>
        <v>#DIV/0!</v>
      </c>
      <c r="AQ15" s="49" t="e">
        <f>C35</f>
        <v>#DIV/0!</v>
      </c>
      <c r="BG15" t="s">
        <v>46</v>
      </c>
    </row>
    <row r="16" spans="2:60" ht="13" x14ac:dyDescent="0.3">
      <c r="B16" s="17" t="s">
        <v>47</v>
      </c>
      <c r="C16" s="50"/>
      <c r="F16" s="44" t="s">
        <v>48</v>
      </c>
      <c r="G16" s="45"/>
      <c r="AK16" s="51"/>
      <c r="AL16" s="52"/>
      <c r="AM16" s="53"/>
      <c r="AN16" s="53"/>
      <c r="AO16" s="53"/>
      <c r="AP16" s="31"/>
      <c r="AQ16" s="32"/>
      <c r="BG16" t="s">
        <v>49</v>
      </c>
    </row>
    <row r="17" spans="2:60" ht="14" x14ac:dyDescent="0.3">
      <c r="B17" s="17" t="s">
        <v>50</v>
      </c>
      <c r="C17" s="50" t="s">
        <v>215</v>
      </c>
      <c r="F17" s="44" t="s">
        <v>51</v>
      </c>
      <c r="G17" s="45"/>
      <c r="AI17" s="10"/>
      <c r="AJ17" s="10"/>
      <c r="AK17" s="54"/>
      <c r="AL17" s="10"/>
      <c r="AM17" s="10"/>
      <c r="AN17" s="10"/>
      <c r="AO17" s="10"/>
      <c r="AP17" s="10"/>
      <c r="AQ17" s="10"/>
      <c r="BG17" t="s">
        <v>52</v>
      </c>
    </row>
    <row r="18" spans="2:60" ht="14" x14ac:dyDescent="0.3">
      <c r="B18" s="17" t="s">
        <v>53</v>
      </c>
      <c r="C18" s="50" t="s">
        <v>216</v>
      </c>
      <c r="D18" s="2">
        <v>10</v>
      </c>
      <c r="F18" s="44" t="s">
        <v>54</v>
      </c>
      <c r="G18" s="55"/>
      <c r="AI18" s="10"/>
      <c r="AJ18" s="10"/>
      <c r="AK18" s="54"/>
      <c r="AL18" s="10"/>
      <c r="AM18" s="10"/>
      <c r="AN18" s="10"/>
      <c r="AO18" s="10"/>
      <c r="AP18" s="10"/>
      <c r="AQ18" s="10"/>
      <c r="BG18" t="s">
        <v>55</v>
      </c>
    </row>
    <row r="19" spans="2:60" ht="14.5" thickBot="1" x14ac:dyDescent="0.35">
      <c r="B19" s="17" t="s">
        <v>46</v>
      </c>
      <c r="C19" s="50"/>
      <c r="F19" s="44" t="s">
        <v>56</v>
      </c>
      <c r="G19" s="55"/>
      <c r="AK19" s="54"/>
      <c r="AM19" s="56"/>
    </row>
    <row r="20" spans="2:60" ht="13.5" thickTop="1" thickBot="1" x14ac:dyDescent="0.3">
      <c r="B20" s="17" t="s">
        <v>49</v>
      </c>
      <c r="C20" s="50"/>
      <c r="D20" s="57" t="s">
        <v>57</v>
      </c>
      <c r="F20" s="58" t="s">
        <v>58</v>
      </c>
      <c r="G20" s="59"/>
      <c r="AM20" s="56"/>
    </row>
    <row r="21" spans="2:60" ht="13" thickBot="1" x14ac:dyDescent="0.3">
      <c r="B21" s="17" t="s">
        <v>59</v>
      </c>
      <c r="C21" s="60">
        <v>0</v>
      </c>
      <c r="D21" s="61"/>
      <c r="F21" s="62" t="s">
        <v>60</v>
      </c>
      <c r="G21" s="39" t="e">
        <f>G14/G12</f>
        <v>#DIV/0!</v>
      </c>
      <c r="BG21" t="s">
        <v>61</v>
      </c>
    </row>
    <row r="22" spans="2:60" ht="13.5" thickTop="1" thickBot="1" x14ac:dyDescent="0.3">
      <c r="B22" s="17" t="s">
        <v>62</v>
      </c>
      <c r="C22" s="63"/>
      <c r="F22" s="64" t="s">
        <v>63</v>
      </c>
      <c r="G22" s="45" t="e">
        <f>G17/G12</f>
        <v>#DIV/0!</v>
      </c>
    </row>
    <row r="23" spans="2:60" ht="13" thickTop="1" x14ac:dyDescent="0.25">
      <c r="B23" s="17" t="s">
        <v>64</v>
      </c>
      <c r="C23" s="65" t="s">
        <v>115</v>
      </c>
      <c r="F23" s="64" t="s">
        <v>65</v>
      </c>
      <c r="G23" s="45" t="e">
        <f>G18/G12</f>
        <v>#DIV/0!</v>
      </c>
    </row>
    <row r="24" spans="2:60" ht="13" thickBot="1" x14ac:dyDescent="0.3">
      <c r="B24" s="66" t="s">
        <v>66</v>
      </c>
      <c r="C24" s="67"/>
      <c r="F24" s="58" t="s">
        <v>56</v>
      </c>
      <c r="G24" s="59" t="e">
        <f>G19/G12</f>
        <v>#DIV/0!</v>
      </c>
      <c r="BG24" t="s">
        <v>67</v>
      </c>
    </row>
    <row r="25" spans="2:60" ht="15.5" x14ac:dyDescent="0.35">
      <c r="B25" s="8" t="s">
        <v>31</v>
      </c>
      <c r="C25" s="11"/>
      <c r="F25" s="279" t="s">
        <v>227</v>
      </c>
      <c r="G25" s="4">
        <f>data!B2</f>
        <v>3</v>
      </c>
    </row>
    <row r="26" spans="2:60" ht="12" customHeight="1" x14ac:dyDescent="0.25">
      <c r="B26" s="9" t="s">
        <v>4</v>
      </c>
      <c r="C26" s="9"/>
    </row>
    <row r="27" spans="2:60" ht="15.5" x14ac:dyDescent="0.4">
      <c r="B27" s="68" t="s">
        <v>68</v>
      </c>
      <c r="C27" s="11"/>
      <c r="D27" s="69">
        <f>COUNT(E28:I28)</f>
        <v>0</v>
      </c>
      <c r="E27" s="3" t="s">
        <v>217</v>
      </c>
      <c r="F27" s="4" t="s">
        <v>218</v>
      </c>
      <c r="G27" s="4" t="s">
        <v>219</v>
      </c>
      <c r="H27" s="4" t="s">
        <v>220</v>
      </c>
      <c r="I27" s="4" t="s">
        <v>221</v>
      </c>
      <c r="J27" s="188" t="s">
        <v>222</v>
      </c>
      <c r="K27" s="188" t="s">
        <v>223</v>
      </c>
      <c r="L27" s="188" t="s">
        <v>224</v>
      </c>
      <c r="M27" s="188" t="s">
        <v>225</v>
      </c>
      <c r="BG27" t="s">
        <v>66</v>
      </c>
    </row>
    <row r="28" spans="2:60" ht="15.5" x14ac:dyDescent="0.4">
      <c r="B28" s="70" t="s">
        <v>69</v>
      </c>
      <c r="C28" s="71">
        <f>$AI67/100</f>
        <v>0</v>
      </c>
      <c r="D28" s="72" t="e">
        <f>STDEV(E28:M28)/100</f>
        <v>#DIV/0!</v>
      </c>
      <c r="E28" s="73" t="str">
        <f t="shared" ref="E28:H29" si="0">IF(Z67&gt;0,Z67,"")</f>
        <v/>
      </c>
      <c r="F28" s="74" t="str">
        <f t="shared" si="0"/>
        <v/>
      </c>
      <c r="G28" s="74" t="str">
        <f t="shared" si="0"/>
        <v/>
      </c>
      <c r="H28" s="74" t="str">
        <f t="shared" si="0"/>
        <v/>
      </c>
      <c r="I28" s="74" t="str">
        <f>IF(AD67&gt;0,AD67,"")</f>
        <v/>
      </c>
      <c r="J28" s="74" t="str">
        <f>IF(AE67&gt;0,AE67,"")</f>
        <v/>
      </c>
      <c r="K28" s="74" t="str">
        <f>IF(AF67&gt;0,AF67,"")</f>
        <v/>
      </c>
      <c r="L28" s="74" t="str">
        <f>IF(AG67&gt;0,AG67,"")</f>
        <v/>
      </c>
      <c r="M28" s="74" t="str">
        <f>IF(AH67&gt;0,AH67,"")</f>
        <v/>
      </c>
      <c r="BG28" t="s">
        <v>70</v>
      </c>
    </row>
    <row r="29" spans="2:60" ht="15.5" hidden="1" x14ac:dyDescent="0.4">
      <c r="B29" s="75" t="s">
        <v>71</v>
      </c>
      <c r="C29" s="76">
        <f>$AI68/100</f>
        <v>0</v>
      </c>
      <c r="D29" s="72" t="e">
        <f>STDEV(E29:I29)/100</f>
        <v>#DIV/0!</v>
      </c>
      <c r="E29" s="73" t="str">
        <f t="shared" si="0"/>
        <v/>
      </c>
      <c r="F29" s="74" t="str">
        <f t="shared" si="0"/>
        <v/>
      </c>
      <c r="G29" s="74" t="str">
        <f t="shared" si="0"/>
        <v/>
      </c>
      <c r="H29" s="74" t="str">
        <f t="shared" si="0"/>
        <v/>
      </c>
      <c r="I29" s="74" t="str">
        <f>IF(AH68&gt;0,AH68,"")</f>
        <v/>
      </c>
      <c r="BG29" t="s">
        <v>72</v>
      </c>
      <c r="BH29" t="e">
        <v>#DIV/0!</v>
      </c>
    </row>
    <row r="30" spans="2:60" ht="17" x14ac:dyDescent="0.45">
      <c r="B30" s="77" t="s">
        <v>73</v>
      </c>
      <c r="C30" s="78">
        <f>$AI69/100</f>
        <v>0</v>
      </c>
      <c r="D30" s="72" t="e">
        <f>STDEV(E30:M30)/100</f>
        <v>#DIV/0!</v>
      </c>
      <c r="E30" s="73" t="str">
        <f t="shared" ref="E30:M30" si="1">IF(Z69&gt;0,Z69,"")</f>
        <v/>
      </c>
      <c r="F30" s="74" t="str">
        <f t="shared" si="1"/>
        <v/>
      </c>
      <c r="G30" s="74" t="str">
        <f t="shared" si="1"/>
        <v/>
      </c>
      <c r="H30" s="74" t="str">
        <f t="shared" si="1"/>
        <v/>
      </c>
      <c r="I30" s="73" t="str">
        <f t="shared" si="1"/>
        <v/>
      </c>
      <c r="J30" s="74" t="str">
        <f t="shared" si="1"/>
        <v/>
      </c>
      <c r="K30" s="74" t="str">
        <f t="shared" si="1"/>
        <v/>
      </c>
      <c r="L30" s="74" t="str">
        <f t="shared" si="1"/>
        <v/>
      </c>
      <c r="M30" s="73" t="str">
        <f t="shared" si="1"/>
        <v/>
      </c>
      <c r="BG30" t="s">
        <v>74</v>
      </c>
    </row>
    <row r="31" spans="2:60" ht="15.5" x14ac:dyDescent="0.4">
      <c r="B31" s="79" t="s">
        <v>75</v>
      </c>
      <c r="C31" s="80" t="e">
        <f>D31/100</f>
        <v>#DIV/0!</v>
      </c>
      <c r="D31" s="81" t="e">
        <f>AVERAGE(AI445,AI446,AI447,AI448,AI449)</f>
        <v>#DIV/0!</v>
      </c>
      <c r="E31" s="82" t="e">
        <f>STDEV(Z$447:AH$447)/100</f>
        <v>#DIV/0!</v>
      </c>
      <c r="BG31" t="s">
        <v>76</v>
      </c>
      <c r="BH31" t="s">
        <v>77</v>
      </c>
    </row>
    <row r="32" spans="2:60" x14ac:dyDescent="0.25">
      <c r="B32" s="83" t="s">
        <v>78</v>
      </c>
      <c r="C32" s="84" t="e">
        <f>D30</f>
        <v>#DIV/0!</v>
      </c>
      <c r="BG32" t="s">
        <v>63</v>
      </c>
      <c r="BH32" t="e">
        <v>#DIV/0!</v>
      </c>
    </row>
    <row r="33" spans="2:60" x14ac:dyDescent="0.25">
      <c r="B33" s="11" t="s">
        <v>79</v>
      </c>
      <c r="C33" s="85"/>
      <c r="D33" s="69">
        <f>COUNT(E34:I34)</f>
        <v>0</v>
      </c>
      <c r="BG33" t="s">
        <v>65</v>
      </c>
      <c r="BH33" t="e">
        <v>#DIV/0!</v>
      </c>
    </row>
    <row r="34" spans="2:60" ht="15.5" x14ac:dyDescent="0.4">
      <c r="B34" s="79" t="s">
        <v>80</v>
      </c>
      <c r="C34" s="86" t="e">
        <f>AVERAGE(E34:M34)/100</f>
        <v>#DIV/0!</v>
      </c>
      <c r="D34" s="72" t="e">
        <f>STDEV(E34:I34)/100</f>
        <v>#DIV/0!</v>
      </c>
      <c r="E34" s="3" t="str">
        <f>IF(C76&gt;0,C76,"")</f>
        <v/>
      </c>
      <c r="F34" s="4" t="str">
        <f>IF(C77&gt;0,C77,"")</f>
        <v/>
      </c>
      <c r="G34" s="4" t="str">
        <f>IF(C78&gt;0,C78,"")</f>
        <v/>
      </c>
      <c r="H34" s="4" t="str">
        <f>IF(C79&gt;0,C79,"")</f>
        <v/>
      </c>
      <c r="I34" s="4" t="str">
        <f>IF(C80&gt;0,C80,"")</f>
        <v/>
      </c>
      <c r="BG34" t="s">
        <v>81</v>
      </c>
    </row>
    <row r="35" spans="2:60" ht="15.5" x14ac:dyDescent="0.4">
      <c r="B35" s="79" t="s">
        <v>82</v>
      </c>
      <c r="C35" s="87" t="e">
        <f>AVERAGE(E35:J35)/100</f>
        <v>#DIV/0!</v>
      </c>
      <c r="D35" s="72" t="e">
        <f>STDEV(E35:J35)/100</f>
        <v>#DIV/0!</v>
      </c>
      <c r="E35" s="3" t="str">
        <f>IF(C83&gt;0,C83,"")</f>
        <v/>
      </c>
      <c r="F35" s="4" t="str">
        <f>IF(C84&gt;0,C84,"")</f>
        <v/>
      </c>
      <c r="G35" s="4" t="str">
        <f>IF(C85&gt;0,C85,"")</f>
        <v/>
      </c>
      <c r="H35" s="4" t="str">
        <f>IF(C86&gt;0,C86,"")</f>
        <v/>
      </c>
      <c r="I35" s="4" t="str">
        <f>IF(C87&gt;0,C87,"")</f>
        <v/>
      </c>
      <c r="J35" s="4" t="str">
        <f>IF(C88&gt;0,C88,"")</f>
        <v/>
      </c>
      <c r="BG35" t="s">
        <v>83</v>
      </c>
      <c r="BH35" t="e">
        <v>#DIV/0!</v>
      </c>
    </row>
    <row r="36" spans="2:60" ht="15.5" x14ac:dyDescent="0.4">
      <c r="B36" s="79" t="s">
        <v>84</v>
      </c>
      <c r="C36" s="88" t="e">
        <f>AVERAGE(E36:I36)/100</f>
        <v>#DIV/0!</v>
      </c>
      <c r="D36" s="72" t="e">
        <f>STDEV(E36:I36)/100</f>
        <v>#DIV/0!</v>
      </c>
      <c r="E36" s="3" t="str">
        <f>IF(C90&gt;0,C90,"")</f>
        <v/>
      </c>
      <c r="F36" s="4" t="str">
        <f>IF(C91&gt;0,C91,"")</f>
        <v/>
      </c>
      <c r="G36" s="4" t="str">
        <f>IF(C92&gt;0,C92,"")</f>
        <v/>
      </c>
      <c r="H36" s="4" t="str">
        <f>IF(C93&gt;0,C93,"")</f>
        <v/>
      </c>
      <c r="I36" s="4" t="str">
        <f>IF(C94&gt;0,C94,"")</f>
        <v/>
      </c>
      <c r="BG36" t="s">
        <v>58</v>
      </c>
      <c r="BH36" t="s">
        <v>85</v>
      </c>
    </row>
    <row r="37" spans="2:60" x14ac:dyDescent="0.25">
      <c r="B37" s="83" t="s">
        <v>86</v>
      </c>
      <c r="C37" s="84" t="e">
        <f>C35/C31</f>
        <v>#DIV/0!</v>
      </c>
      <c r="BG37" t="s">
        <v>87</v>
      </c>
    </row>
    <row r="38" spans="2:60" hidden="1" x14ac:dyDescent="0.25">
      <c r="B38" s="11" t="s">
        <v>88</v>
      </c>
      <c r="C38" s="85"/>
    </row>
    <row r="39" spans="2:60" hidden="1" x14ac:dyDescent="0.25">
      <c r="B39" s="12" t="s">
        <v>89</v>
      </c>
      <c r="C39" s="86" t="e">
        <f>AVERAGE(E39:I39)</f>
        <v>#DIV/0!</v>
      </c>
      <c r="E39" s="3" t="str">
        <f>IF(C99&gt;0,C99,"")</f>
        <v/>
      </c>
      <c r="F39" s="4" t="str">
        <f>IF(C100&gt;0,C100,"")</f>
        <v/>
      </c>
      <c r="G39" s="4" t="str">
        <f>IF(C101&gt;0,C101,"")</f>
        <v/>
      </c>
      <c r="H39" s="4" t="str">
        <f>IF(C102&gt;0,C102,"")</f>
        <v/>
      </c>
    </row>
    <row r="40" spans="2:60" hidden="1" x14ac:dyDescent="0.25">
      <c r="B40" s="17" t="s">
        <v>90</v>
      </c>
      <c r="C40" s="87" t="e">
        <f>AVERAGE(E40:I40)</f>
        <v>#DIV/0!</v>
      </c>
      <c r="E40" s="3" t="str">
        <f>IF(C105&gt;0,C105,"")</f>
        <v/>
      </c>
      <c r="F40" s="4" t="str">
        <f>IF(C106&gt;0,C106,"")</f>
        <v/>
      </c>
      <c r="G40" s="4" t="str">
        <f>IF(C107&gt;0,C107,"")</f>
        <v/>
      </c>
      <c r="H40" s="4" t="str">
        <f>IF(C108&gt;0,C108,"")</f>
        <v/>
      </c>
    </row>
    <row r="41" spans="2:60" hidden="1" x14ac:dyDescent="0.25">
      <c r="B41" s="67" t="s">
        <v>91</v>
      </c>
      <c r="C41" s="88" t="e">
        <f>AVERAGE(E41:I41)</f>
        <v>#DIV/0!</v>
      </c>
      <c r="E41" s="3" t="str">
        <f>IF(C111&gt;0,C111,"")</f>
        <v/>
      </c>
      <c r="F41" s="4" t="str">
        <f>IF(C112&gt;0,C112,"")</f>
        <v/>
      </c>
      <c r="G41" s="4" t="str">
        <f>IF(C113&gt;0,C113,"")</f>
        <v/>
      </c>
      <c r="H41" s="4" t="str">
        <f>IF(C114&gt;0,C114,"")</f>
        <v/>
      </c>
    </row>
    <row r="42" spans="2:60" x14ac:dyDescent="0.25">
      <c r="B42" s="9" t="s">
        <v>4</v>
      </c>
      <c r="C42" s="89"/>
    </row>
    <row r="43" spans="2:60" ht="15.5" x14ac:dyDescent="0.4">
      <c r="B43" s="11" t="s">
        <v>92</v>
      </c>
      <c r="C43" s="85"/>
    </row>
    <row r="44" spans="2:60" ht="16" x14ac:dyDescent="0.4">
      <c r="B44" s="90" t="s">
        <v>93</v>
      </c>
      <c r="C44" s="86" t="e">
        <f>E89</f>
        <v>#VALUE!</v>
      </c>
      <c r="D44" s="2" t="s">
        <v>94</v>
      </c>
    </row>
    <row r="45" spans="2:60" ht="15.5" hidden="1" x14ac:dyDescent="0.4">
      <c r="B45" s="75" t="s">
        <v>95</v>
      </c>
      <c r="C45" s="76" t="e">
        <f>F89</f>
        <v>#VALUE!</v>
      </c>
      <c r="D45" s="2" t="s">
        <v>94</v>
      </c>
    </row>
    <row r="46" spans="2:60" ht="17" x14ac:dyDescent="0.45">
      <c r="B46" s="77" t="s">
        <v>96</v>
      </c>
      <c r="C46" s="78" t="e">
        <f>G89</f>
        <v>#VALUE!</v>
      </c>
      <c r="D46" s="2" t="s">
        <v>94</v>
      </c>
      <c r="E46" s="82" t="e">
        <f>STDEV(G$83:G$85)/100</f>
        <v>#VALUE!</v>
      </c>
    </row>
    <row r="47" spans="2:60" x14ac:dyDescent="0.25">
      <c r="B47" s="91" t="s">
        <v>78</v>
      </c>
      <c r="C47" s="91" t="e">
        <f>SQRT(0.001^2+D35^2+D30^2)</f>
        <v>#DIV/0!</v>
      </c>
    </row>
    <row r="48" spans="2:60" ht="13" x14ac:dyDescent="0.3">
      <c r="E48" s="92" t="s">
        <v>97</v>
      </c>
      <c r="F48" s="93"/>
      <c r="G48" s="94" t="s">
        <v>98</v>
      </c>
      <c r="H48" s="95"/>
      <c r="I48" s="95"/>
    </row>
    <row r="49" spans="2:16" ht="15.5" x14ac:dyDescent="0.35">
      <c r="B49" s="96" t="s">
        <v>99</v>
      </c>
      <c r="C49" s="97"/>
      <c r="E49" s="98" t="s">
        <v>100</v>
      </c>
      <c r="F49" s="99" t="s">
        <v>101</v>
      </c>
      <c r="G49" s="98" t="s">
        <v>102</v>
      </c>
      <c r="H49" s="99" t="s">
        <v>101</v>
      </c>
      <c r="I49" s="98" t="s">
        <v>103</v>
      </c>
      <c r="J49" s="99" t="s">
        <v>101</v>
      </c>
      <c r="K49" s="100" t="s">
        <v>104</v>
      </c>
      <c r="L49" s="99" t="s">
        <v>101</v>
      </c>
      <c r="M49" s="101" t="s">
        <v>105</v>
      </c>
      <c r="N49" s="99" t="s">
        <v>101</v>
      </c>
    </row>
    <row r="50" spans="2:16" x14ac:dyDescent="0.25">
      <c r="E50" s="102" t="e">
        <f>C35</f>
        <v>#DIV/0!</v>
      </c>
      <c r="F50" s="103" t="e">
        <f>D35</f>
        <v>#DIV/0!</v>
      </c>
      <c r="G50" s="103" t="e">
        <f>C31</f>
        <v>#DIV/0!</v>
      </c>
      <c r="H50" s="103" t="e">
        <f>E31</f>
        <v>#DIV/0!</v>
      </c>
      <c r="I50" s="103" t="e">
        <f>G50-E50</f>
        <v>#DIV/0!</v>
      </c>
      <c r="J50" s="104" t="e">
        <f>F50+H50</f>
        <v>#DIV/0!</v>
      </c>
      <c r="K50" s="104">
        <f>C30</f>
        <v>0</v>
      </c>
      <c r="L50" s="104" t="e">
        <f>E31</f>
        <v>#DIV/0!</v>
      </c>
      <c r="M50" s="104" t="e">
        <f>C46</f>
        <v>#VALUE!</v>
      </c>
      <c r="N50" s="104" t="e">
        <f>E46</f>
        <v>#VALUE!</v>
      </c>
    </row>
    <row r="51" spans="2:16" ht="13" x14ac:dyDescent="0.3">
      <c r="B51" s="105" t="s">
        <v>106</v>
      </c>
      <c r="C51" s="105" t="s">
        <v>107</v>
      </c>
    </row>
    <row r="52" spans="2:16" ht="13" x14ac:dyDescent="0.3">
      <c r="B52" s="106" t="s">
        <v>108</v>
      </c>
      <c r="C52" s="107" t="str">
        <f>C23</f>
        <v>FBW6</v>
      </c>
      <c r="D52" s="2" t="str">
        <f ca="1">$O$75</f>
        <v>FBW6</v>
      </c>
      <c r="O52" s="108" t="s">
        <v>109</v>
      </c>
      <c r="P52" s="35"/>
    </row>
    <row r="53" spans="2:16" ht="13" x14ac:dyDescent="0.3">
      <c r="B53" s="109" t="s">
        <v>110</v>
      </c>
      <c r="C53" s="2" t="s">
        <v>111</v>
      </c>
      <c r="O53" s="108" t="s">
        <v>112</v>
      </c>
      <c r="P53" s="35"/>
    </row>
    <row r="54" spans="2:16" ht="13" x14ac:dyDescent="0.3">
      <c r="B54" s="109" t="s">
        <v>113</v>
      </c>
      <c r="C54" s="2" t="s">
        <v>114</v>
      </c>
      <c r="O54" s="108" t="s">
        <v>115</v>
      </c>
      <c r="P54" s="35"/>
    </row>
    <row r="55" spans="2:16" ht="13" x14ac:dyDescent="0.3">
      <c r="B55" s="109" t="s">
        <v>116</v>
      </c>
      <c r="C55" s="2" t="s">
        <v>114</v>
      </c>
      <c r="O55" s="108" t="s">
        <v>117</v>
      </c>
      <c r="P55" s="35"/>
    </row>
    <row r="56" spans="2:16" ht="13" x14ac:dyDescent="0.3">
      <c r="B56" s="109" t="s">
        <v>118</v>
      </c>
      <c r="C56" s="2" t="s">
        <v>119</v>
      </c>
      <c r="D56" s="110">
        <f>$M$315</f>
        <v>0</v>
      </c>
      <c r="O56" s="108"/>
      <c r="P56" s="35"/>
    </row>
    <row r="57" spans="2:16" ht="13" x14ac:dyDescent="0.3">
      <c r="B57" s="34" t="s">
        <v>120</v>
      </c>
      <c r="C57" s="32" t="s">
        <v>119</v>
      </c>
      <c r="D57" s="110">
        <f>$N$315</f>
        <v>0</v>
      </c>
      <c r="O57" s="108"/>
      <c r="P57" s="35"/>
    </row>
    <row r="58" spans="2:16" ht="13" x14ac:dyDescent="0.3">
      <c r="O58" s="108" t="s">
        <v>121</v>
      </c>
      <c r="P58" s="35"/>
    </row>
    <row r="59" spans="2:16" ht="13" x14ac:dyDescent="0.3">
      <c r="B59" s="106" t="s">
        <v>122</v>
      </c>
      <c r="C59" s="111" t="s">
        <v>217</v>
      </c>
      <c r="D59" s="112">
        <f>IF($C59&gt;" ",$Q$315,"")</f>
        <v>0</v>
      </c>
      <c r="E59" s="113">
        <f>$Q$315</f>
        <v>0</v>
      </c>
      <c r="F59" s="114">
        <f>$R$315</f>
        <v>0</v>
      </c>
      <c r="G59" s="114">
        <f>$S$315</f>
        <v>0</v>
      </c>
      <c r="H59" s="114">
        <f>$T$315</f>
        <v>0</v>
      </c>
      <c r="I59" s="114">
        <f>$Y$315</f>
        <v>0</v>
      </c>
      <c r="J59" s="4"/>
      <c r="O59" s="108" t="s">
        <v>123</v>
      </c>
      <c r="P59" s="35"/>
    </row>
    <row r="60" spans="2:16" x14ac:dyDescent="0.25">
      <c r="B60" s="109"/>
      <c r="C60" s="2" t="s">
        <v>218</v>
      </c>
      <c r="D60" s="112">
        <f>IF($C60&gt;" ",$R$315,"")</f>
        <v>0</v>
      </c>
    </row>
    <row r="61" spans="2:16" x14ac:dyDescent="0.25">
      <c r="B61" s="109"/>
      <c r="C61" s="2" t="s">
        <v>219</v>
      </c>
      <c r="D61" s="112">
        <f>IF($C61&gt;" ",$S$315,"")</f>
        <v>0</v>
      </c>
    </row>
    <row r="62" spans="2:16" x14ac:dyDescent="0.25">
      <c r="B62" s="109"/>
      <c r="C62" s="2" t="s">
        <v>220</v>
      </c>
      <c r="D62" s="112">
        <f>IF($C62&gt;" ",$T$315,"")</f>
        <v>0</v>
      </c>
    </row>
    <row r="63" spans="2:16" x14ac:dyDescent="0.25">
      <c r="B63" s="109"/>
      <c r="C63" s="2" t="s">
        <v>221</v>
      </c>
      <c r="D63" s="112">
        <f>IF($C63&gt;" ",$U$315,"")</f>
        <v>0</v>
      </c>
    </row>
    <row r="64" spans="2:16" x14ac:dyDescent="0.25">
      <c r="B64" s="109"/>
      <c r="C64" s="2" t="s">
        <v>222</v>
      </c>
      <c r="D64" s="112">
        <f>IF($C64&gt;" ",$V$315,"")</f>
        <v>0</v>
      </c>
    </row>
    <row r="65" spans="2:53" x14ac:dyDescent="0.25">
      <c r="B65" s="109"/>
      <c r="C65" s="2" t="s">
        <v>223</v>
      </c>
      <c r="D65" s="112">
        <f>IF($C65&gt;" ",$W$315,"")</f>
        <v>0</v>
      </c>
    </row>
    <row r="66" spans="2:53" ht="13" x14ac:dyDescent="0.3">
      <c r="B66" s="109"/>
      <c r="C66" s="2" t="s">
        <v>224</v>
      </c>
      <c r="D66" s="112">
        <f>IF($C66&gt;" ",$X$315,"")</f>
        <v>0</v>
      </c>
      <c r="Y66" s="115" t="s">
        <v>124</v>
      </c>
      <c r="Z66" s="116" t="str">
        <f t="shared" ref="Z66:AJ66" si="2">Z77</f>
        <v>M1</v>
      </c>
      <c r="AA66" s="116" t="str">
        <f t="shared" si="2"/>
        <v>M2</v>
      </c>
      <c r="AB66" s="116" t="str">
        <f t="shared" si="2"/>
        <v>M3</v>
      </c>
      <c r="AC66" s="116" t="str">
        <f t="shared" si="2"/>
        <v>M4</v>
      </c>
      <c r="AD66" s="116" t="s">
        <v>221</v>
      </c>
      <c r="AE66" s="116" t="s">
        <v>222</v>
      </c>
      <c r="AF66" s="116" t="s">
        <v>223</v>
      </c>
      <c r="AG66" s="116" t="s">
        <v>224</v>
      </c>
      <c r="AH66" s="116" t="str">
        <f t="shared" si="2"/>
        <v>M9</v>
      </c>
      <c r="AI66" s="116" t="str">
        <f t="shared" si="2"/>
        <v>ρ gemittelt</v>
      </c>
      <c r="AJ66" s="116" t="str">
        <f t="shared" si="2"/>
        <v>ρ gemittelt</v>
      </c>
    </row>
    <row r="67" spans="2:53" ht="13" x14ac:dyDescent="0.3">
      <c r="B67" s="34"/>
      <c r="C67" s="32" t="s">
        <v>225</v>
      </c>
      <c r="D67" s="112">
        <f>IF($C67&gt;" ",$Y$315,"")</f>
        <v>0</v>
      </c>
      <c r="T67" s="117"/>
      <c r="U67" s="117"/>
      <c r="V67" s="117"/>
      <c r="W67" s="117"/>
      <c r="X67" s="117"/>
      <c r="Y67" s="117" t="s">
        <v>125</v>
      </c>
      <c r="Z67" s="118">
        <f t="shared" ref="Z67:AJ67" si="3">IF(Z$66&gt;" ",SUMPRODUCT(Z$79:Z$518,Sol_I9050),"")</f>
        <v>0</v>
      </c>
      <c r="AA67" s="118">
        <f t="shared" si="3"/>
        <v>0</v>
      </c>
      <c r="AB67" s="118">
        <f t="shared" si="3"/>
        <v>0</v>
      </c>
      <c r="AC67" s="118">
        <f t="shared" si="3"/>
        <v>0</v>
      </c>
      <c r="AD67" s="118">
        <f t="shared" si="3"/>
        <v>0</v>
      </c>
      <c r="AE67" s="118">
        <f t="shared" si="3"/>
        <v>0</v>
      </c>
      <c r="AF67" s="118">
        <f t="shared" si="3"/>
        <v>0</v>
      </c>
      <c r="AG67" s="118">
        <f t="shared" si="3"/>
        <v>0</v>
      </c>
      <c r="AH67" s="118">
        <f t="shared" si="3"/>
        <v>0</v>
      </c>
      <c r="AI67" s="118">
        <f t="shared" si="3"/>
        <v>0</v>
      </c>
      <c r="AJ67" s="118">
        <f t="shared" si="3"/>
        <v>0</v>
      </c>
    </row>
    <row r="68" spans="2:53" ht="13" x14ac:dyDescent="0.3">
      <c r="B68" s="106" t="s">
        <v>126</v>
      </c>
      <c r="C68" s="111" t="s">
        <v>127</v>
      </c>
      <c r="Y68" s="117" t="s">
        <v>128</v>
      </c>
      <c r="Z68" s="118">
        <f t="shared" ref="Z68:AJ68" si="4">IF(Z$66&gt;" ",SUMPRODUCT(Z$79:Z$518,Sol_E891),"")</f>
        <v>0</v>
      </c>
      <c r="AA68" s="118">
        <f t="shared" si="4"/>
        <v>0</v>
      </c>
      <c r="AB68" s="118">
        <f t="shared" si="4"/>
        <v>0</v>
      </c>
      <c r="AC68" s="118">
        <f t="shared" si="4"/>
        <v>0</v>
      </c>
      <c r="AD68" s="118">
        <f t="shared" si="4"/>
        <v>0</v>
      </c>
      <c r="AE68" s="118">
        <f t="shared" si="4"/>
        <v>0</v>
      </c>
      <c r="AF68" s="118">
        <f t="shared" si="4"/>
        <v>0</v>
      </c>
      <c r="AG68" s="118">
        <f t="shared" si="4"/>
        <v>0</v>
      </c>
      <c r="AH68" s="118">
        <f t="shared" si="4"/>
        <v>0</v>
      </c>
      <c r="AI68" s="118">
        <f t="shared" si="4"/>
        <v>0</v>
      </c>
      <c r="AJ68" s="118">
        <f t="shared" si="4"/>
        <v>0</v>
      </c>
    </row>
    <row r="69" spans="2:53" ht="13" x14ac:dyDescent="0.3">
      <c r="B69" s="109" t="s">
        <v>129</v>
      </c>
      <c r="C69" s="2" t="s">
        <v>130</v>
      </c>
      <c r="Y69" s="117" t="s">
        <v>131</v>
      </c>
      <c r="Z69" s="118">
        <f t="shared" ref="Z69:AJ69" si="5">IF(Z$66&gt;" ",SUMPRODUCT(Z$79:Z$523,Sol_G173b),"")</f>
        <v>0</v>
      </c>
      <c r="AA69" s="118">
        <f t="shared" si="5"/>
        <v>0</v>
      </c>
      <c r="AB69" s="118">
        <f t="shared" si="5"/>
        <v>0</v>
      </c>
      <c r="AC69" s="118">
        <f t="shared" si="5"/>
        <v>0</v>
      </c>
      <c r="AD69" s="118">
        <f t="shared" si="5"/>
        <v>0</v>
      </c>
      <c r="AE69" s="118">
        <f t="shared" si="5"/>
        <v>0</v>
      </c>
      <c r="AF69" s="118">
        <f t="shared" si="5"/>
        <v>0</v>
      </c>
      <c r="AG69" s="118">
        <f t="shared" si="5"/>
        <v>0</v>
      </c>
      <c r="AH69" s="118">
        <f t="shared" si="5"/>
        <v>0</v>
      </c>
      <c r="AI69" s="118">
        <f t="shared" si="5"/>
        <v>0</v>
      </c>
      <c r="AJ69" s="118">
        <f t="shared" si="5"/>
        <v>0</v>
      </c>
    </row>
    <row r="70" spans="2:53" x14ac:dyDescent="0.25">
      <c r="B70" s="109" t="s">
        <v>132</v>
      </c>
      <c r="C70" s="2"/>
    </row>
    <row r="71" spans="2:53" ht="15.5" x14ac:dyDescent="0.4">
      <c r="B71" s="109" t="s">
        <v>133</v>
      </c>
      <c r="C71" s="2"/>
      <c r="AH71" s="119" t="s">
        <v>134</v>
      </c>
      <c r="AI71" s="120" t="e">
        <f>AVERAGE(AI79:AI523)</f>
        <v>#DIV/0!</v>
      </c>
      <c r="AJ71" s="120" t="e">
        <f>AVERAGE(AJ79:AJ523)</f>
        <v>#DIV/0!</v>
      </c>
      <c r="AS71" s="121" t="s">
        <v>135</v>
      </c>
    </row>
    <row r="72" spans="2:53" x14ac:dyDescent="0.25">
      <c r="B72" s="34"/>
      <c r="C72" s="32"/>
      <c r="AP72" t="s">
        <v>136</v>
      </c>
    </row>
    <row r="73" spans="2:53" ht="13.5" thickBot="1" x14ac:dyDescent="0.35">
      <c r="AR73" s="122" t="s">
        <v>137</v>
      </c>
      <c r="AS73" s="122" t="s">
        <v>138</v>
      </c>
      <c r="AT73" s="122" t="s">
        <v>139</v>
      </c>
      <c r="AU73" s="122" t="s">
        <v>140</v>
      </c>
      <c r="AV73" s="122" t="s">
        <v>141</v>
      </c>
      <c r="AW73" s="122" t="s">
        <v>142</v>
      </c>
    </row>
    <row r="74" spans="2:53" ht="13" x14ac:dyDescent="0.3">
      <c r="B74" s="105" t="s">
        <v>143</v>
      </c>
      <c r="C74" s="10" t="s">
        <v>144</v>
      </c>
      <c r="D74" s="4"/>
      <c r="E74" s="123" t="s">
        <v>145</v>
      </c>
      <c r="F74" s="124" t="s">
        <v>128</v>
      </c>
      <c r="G74" s="124" t="s">
        <v>45</v>
      </c>
      <c r="H74" s="125"/>
      <c r="I74" s="126"/>
      <c r="L74" s="127"/>
      <c r="M74" s="128" t="s">
        <v>146</v>
      </c>
      <c r="N74" s="128"/>
      <c r="O74" s="129">
        <f>MATCH(refname,RefListeStart,0)-1</f>
        <v>2</v>
      </c>
      <c r="Q74" s="130"/>
      <c r="R74" s="131" t="s">
        <v>147</v>
      </c>
      <c r="S74" s="132"/>
      <c r="T74" s="132"/>
      <c r="U74" s="132"/>
      <c r="V74" s="132"/>
      <c r="W74" s="132"/>
      <c r="X74" s="132"/>
      <c r="Y74" s="133"/>
      <c r="Z74" s="134"/>
      <c r="AA74" s="131" t="s">
        <v>148</v>
      </c>
      <c r="AB74" s="131"/>
      <c r="AC74" s="131"/>
      <c r="AD74" s="131"/>
      <c r="AE74" s="131"/>
      <c r="AF74" s="131"/>
      <c r="AG74" s="131"/>
      <c r="AH74" s="131"/>
      <c r="AI74" s="135"/>
      <c r="AJ74" s="136"/>
      <c r="AK74" s="4"/>
      <c r="AL74" s="137"/>
      <c r="AM74" s="138" t="s">
        <v>149</v>
      </c>
      <c r="AN74" s="139"/>
      <c r="AO74" s="139"/>
      <c r="AP74" s="140"/>
      <c r="AR74" s="141" t="s">
        <v>150</v>
      </c>
      <c r="AS74" s="142"/>
      <c r="AT74" s="142"/>
      <c r="AU74" s="142"/>
      <c r="AV74" s="142"/>
      <c r="AW74" s="143"/>
      <c r="AX74" s="144" t="s">
        <v>151</v>
      </c>
      <c r="AY74" s="143"/>
      <c r="AZ74" s="145"/>
      <c r="BA74" s="146"/>
    </row>
    <row r="75" spans="2:53" ht="13" x14ac:dyDescent="0.3">
      <c r="B75" s="106" t="s">
        <v>152</v>
      </c>
      <c r="C75" s="111"/>
      <c r="L75" s="147"/>
      <c r="M75" s="148"/>
      <c r="N75" s="128"/>
      <c r="O75" s="149" t="str">
        <f t="array" aca="1" ref="O75:O529" ca="1">OFFSET(RefListeStart,,O74,455)</f>
        <v>FBW6</v>
      </c>
      <c r="Q75" s="155"/>
      <c r="R75" s="156"/>
      <c r="S75" s="156"/>
      <c r="T75" s="156"/>
      <c r="U75" s="156"/>
      <c r="V75" s="156"/>
      <c r="W75" s="156"/>
      <c r="X75" s="156"/>
      <c r="Y75" s="157"/>
      <c r="Z75" s="158"/>
      <c r="AA75" s="159"/>
      <c r="AB75" s="159"/>
      <c r="AC75" s="159"/>
      <c r="AD75" s="159"/>
      <c r="AE75" s="159"/>
      <c r="AF75" s="159"/>
      <c r="AG75" s="159"/>
      <c r="AH75" s="159"/>
      <c r="AI75" s="160"/>
      <c r="AJ75" s="161"/>
      <c r="AK75" s="4"/>
      <c r="AL75" s="162"/>
      <c r="AM75" s="163" t="s">
        <v>153</v>
      </c>
      <c r="AN75" s="163" t="s">
        <v>153</v>
      </c>
      <c r="AO75" s="164"/>
      <c r="AP75" s="165"/>
      <c r="AR75" s="108" t="s">
        <v>109</v>
      </c>
      <c r="AS75" s="108" t="s">
        <v>112</v>
      </c>
      <c r="AT75" s="108" t="s">
        <v>115</v>
      </c>
      <c r="AU75" s="108" t="s">
        <v>117</v>
      </c>
      <c r="AV75" s="108"/>
      <c r="AW75" s="108"/>
      <c r="AX75" s="166" t="s">
        <v>121</v>
      </c>
      <c r="AY75" s="108" t="s">
        <v>123</v>
      </c>
      <c r="AZ75" s="145" t="s">
        <v>154</v>
      </c>
      <c r="BA75" s="146"/>
    </row>
    <row r="76" spans="2:53" ht="13" x14ac:dyDescent="0.3">
      <c r="B76" s="167" t="s">
        <v>155</v>
      </c>
      <c r="C76" s="168"/>
      <c r="E76" s="169" t="str">
        <f>IF(C76&gt;0, C76*$C$28/$AI$447, "")</f>
        <v/>
      </c>
      <c r="F76" s="170" t="str">
        <f>IF(C76&gt;0, C76*$C$29/$AI$447, "")</f>
        <v/>
      </c>
      <c r="G76" s="170" t="str">
        <f>IF(C76&gt;0, C76*$C$30/$AI$447, "")</f>
        <v/>
      </c>
      <c r="L76" s="147"/>
      <c r="M76" s="148"/>
      <c r="N76" s="128"/>
      <c r="O76" s="149" t="str">
        <f ca="1"/>
        <v>FBW6</v>
      </c>
      <c r="Q76" s="155"/>
      <c r="R76" s="156"/>
      <c r="S76" s="156"/>
      <c r="T76" s="156"/>
      <c r="U76" s="156"/>
      <c r="V76" s="156"/>
      <c r="W76" s="156"/>
      <c r="X76" s="156"/>
      <c r="Y76" s="157"/>
      <c r="Z76" s="158"/>
      <c r="AA76" s="159"/>
      <c r="AB76" s="159"/>
      <c r="AC76" s="159"/>
      <c r="AD76" s="159"/>
      <c r="AE76" s="159"/>
      <c r="AF76" s="159"/>
      <c r="AG76" s="159"/>
      <c r="AH76" s="159"/>
      <c r="AI76" s="160"/>
      <c r="AJ76" s="161"/>
      <c r="AK76" s="4"/>
      <c r="AL76" s="162"/>
      <c r="AM76" s="171" t="s">
        <v>156</v>
      </c>
      <c r="AN76" s="171" t="s">
        <v>125</v>
      </c>
      <c r="AO76" s="171" t="s">
        <v>157</v>
      </c>
      <c r="AP76" s="172" t="s">
        <v>158</v>
      </c>
      <c r="AR76" s="173" t="s">
        <v>109</v>
      </c>
      <c r="AS76" s="173" t="s">
        <v>112</v>
      </c>
      <c r="AT76" s="173" t="s">
        <v>115</v>
      </c>
      <c r="AU76" s="173" t="s">
        <v>117</v>
      </c>
      <c r="AV76" s="173"/>
      <c r="AW76" s="174"/>
      <c r="AX76" s="175" t="s">
        <v>121</v>
      </c>
      <c r="AY76" s="173" t="s">
        <v>123</v>
      </c>
      <c r="AZ76" s="145" t="s">
        <v>154</v>
      </c>
      <c r="BA76" s="146"/>
    </row>
    <row r="77" spans="2:53" ht="13.5" thickBot="1" x14ac:dyDescent="0.35">
      <c r="B77" s="167" t="s">
        <v>159</v>
      </c>
      <c r="C77" s="168"/>
      <c r="E77" s="169" t="str">
        <f>IF(C77&gt;0, (C77*$C$28/$AI$447), "")</f>
        <v/>
      </c>
      <c r="F77" s="170" t="str">
        <f>IF(C77&gt;0, C77*$C$29/$AI$447, "")</f>
        <v/>
      </c>
      <c r="G77" s="170" t="str">
        <f>IF(C77&gt;0, C77*$C$30/$AI$447, "")</f>
        <v/>
      </c>
      <c r="L77" s="176" t="s">
        <v>160</v>
      </c>
      <c r="M77" s="177" t="s">
        <v>161</v>
      </c>
      <c r="N77" s="178" t="s">
        <v>162</v>
      </c>
      <c r="O77" s="150">
        <f ca="1"/>
        <v>0</v>
      </c>
      <c r="Q77" s="179" t="s">
        <v>217</v>
      </c>
      <c r="R77" s="180" t="s">
        <v>218</v>
      </c>
      <c r="S77" s="180" t="s">
        <v>219</v>
      </c>
      <c r="T77" s="180" t="s">
        <v>220</v>
      </c>
      <c r="U77" s="180" t="s">
        <v>221</v>
      </c>
      <c r="V77" s="180" t="s">
        <v>222</v>
      </c>
      <c r="W77" s="180" t="s">
        <v>223</v>
      </c>
      <c r="X77" s="180" t="s">
        <v>224</v>
      </c>
      <c r="Y77" s="181" t="s">
        <v>225</v>
      </c>
      <c r="Z77" s="179" t="s">
        <v>217</v>
      </c>
      <c r="AA77" s="180" t="s">
        <v>218</v>
      </c>
      <c r="AB77" s="180" t="s">
        <v>219</v>
      </c>
      <c r="AC77" s="180" t="s">
        <v>220</v>
      </c>
      <c r="AD77" s="180" t="s">
        <v>221</v>
      </c>
      <c r="AE77" s="180" t="s">
        <v>222</v>
      </c>
      <c r="AF77" s="180" t="s">
        <v>223</v>
      </c>
      <c r="AG77" s="180" t="s">
        <v>224</v>
      </c>
      <c r="AH77" s="180" t="s">
        <v>225</v>
      </c>
      <c r="AI77" s="181" t="s">
        <v>163</v>
      </c>
      <c r="AJ77" s="182" t="s">
        <v>163</v>
      </c>
      <c r="AK77" s="4"/>
      <c r="AL77" s="162"/>
      <c r="AM77" s="183"/>
      <c r="AN77" s="183" t="s">
        <v>164</v>
      </c>
      <c r="AO77" s="183" t="s">
        <v>164</v>
      </c>
      <c r="AP77" s="184" t="s">
        <v>164</v>
      </c>
      <c r="AR77" s="185"/>
      <c r="AS77" s="186"/>
      <c r="AT77" s="186"/>
      <c r="AU77" s="186"/>
      <c r="AV77" s="186"/>
      <c r="AW77" s="187"/>
      <c r="AX77" s="185"/>
      <c r="AY77" s="186"/>
      <c r="AZ77" s="188"/>
    </row>
    <row r="78" spans="2:53" ht="13" x14ac:dyDescent="0.3">
      <c r="B78" s="167" t="s">
        <v>165</v>
      </c>
      <c r="C78" s="168"/>
      <c r="E78" s="169" t="str">
        <f>IF(C78&gt;0, C78*$C$28/$AI$447, "")</f>
        <v/>
      </c>
      <c r="F78" s="170" t="str">
        <f>IF(C78&gt;0, C78*$C$29/$AI$447, "")</f>
        <v/>
      </c>
      <c r="G78" s="170" t="str">
        <f>IF(C78&gt;0, C78*$C$30/$AI$447, "")</f>
        <v/>
      </c>
      <c r="L78" s="189"/>
      <c r="M78" s="190"/>
      <c r="N78" s="191"/>
      <c r="O78" s="151">
        <f ca="1"/>
        <v>0</v>
      </c>
      <c r="Q78" s="155"/>
      <c r="R78" s="156"/>
      <c r="S78" s="156"/>
      <c r="T78" s="156"/>
      <c r="U78" s="156"/>
      <c r="V78" s="156"/>
      <c r="W78" s="156"/>
      <c r="X78" s="156"/>
      <c r="Y78" s="157"/>
      <c r="Z78" s="130"/>
      <c r="AA78" s="132"/>
      <c r="AB78" s="132"/>
      <c r="AC78" s="132"/>
      <c r="AD78" s="132"/>
      <c r="AE78" s="132"/>
      <c r="AF78" s="132"/>
      <c r="AG78" s="132"/>
      <c r="AH78" s="132"/>
      <c r="AI78" s="131">
        <f>$C$5</f>
        <v>0</v>
      </c>
      <c r="AJ78" s="192">
        <f>$C$5</f>
        <v>0</v>
      </c>
      <c r="AK78" s="4"/>
      <c r="AL78" s="162"/>
      <c r="AM78" s="171" t="s">
        <v>156</v>
      </c>
      <c r="AN78" s="193" t="s">
        <v>125</v>
      </c>
      <c r="AO78" s="171" t="s">
        <v>157</v>
      </c>
      <c r="AP78" s="194" t="s">
        <v>158</v>
      </c>
      <c r="AR78" s="185"/>
      <c r="AS78" s="186"/>
      <c r="AT78" s="186"/>
      <c r="AU78" s="186"/>
      <c r="AV78" s="186"/>
      <c r="AW78" s="187"/>
      <c r="AX78" s="185"/>
      <c r="AY78" s="186"/>
      <c r="AZ78" s="188"/>
    </row>
    <row r="79" spans="2:53" x14ac:dyDescent="0.25">
      <c r="B79" s="167" t="s">
        <v>166</v>
      </c>
      <c r="C79" s="195"/>
      <c r="E79" s="169" t="str">
        <f>IF(C79&gt;0, C79*$C$28/$AI$447, "")</f>
        <v/>
      </c>
      <c r="F79" s="170" t="str">
        <f>IF(C79&gt;0, C79*$C$29/$AI$447, "")</f>
        <v/>
      </c>
      <c r="G79" s="170" t="str">
        <f>IF(C79&gt;0, C79*$C$30/$AI$447, "")</f>
        <v/>
      </c>
      <c r="L79" s="189">
        <v>2500</v>
      </c>
      <c r="M79" s="196">
        <f t="shared" ref="M79:N94" si="6">M628</f>
        <v>0</v>
      </c>
      <c r="N79" s="197">
        <f t="shared" si="6"/>
        <v>0</v>
      </c>
      <c r="O79" s="152">
        <f ca="1"/>
        <v>82.817228479480235</v>
      </c>
      <c r="Q79" s="198">
        <f t="array" ref="Q79:Q304">IF(Q77&gt;" ",(Q$628:Q$1078),"")</f>
        <v>0</v>
      </c>
      <c r="R79" s="200">
        <f t="array" ref="R79:R529">IF(R77&gt;" ",(R$628:R$1078),"")</f>
        <v>0</v>
      </c>
      <c r="S79" s="200">
        <f t="array" ref="S79:S529">IF(S77&gt;" ",(S$628:S$1078),"")</f>
        <v>0</v>
      </c>
      <c r="T79" s="200">
        <f t="array" ref="T79:T529">IF(T77&gt;" ",(T$628:T$1078),"")</f>
        <v>0</v>
      </c>
      <c r="U79" s="200">
        <f t="array" ref="U79">IF(U$77&gt;" ",(U$628:U$1078),"")</f>
        <v>0</v>
      </c>
      <c r="V79" s="200">
        <f t="array" ref="V79">IF(V$77&gt;" ",(V$628:V$1078),"")</f>
        <v>0</v>
      </c>
      <c r="W79" s="200">
        <f t="array" ref="W79">IF(W$77&gt;" ",(W$628:W$1078),"")</f>
        <v>0</v>
      </c>
      <c r="X79" s="200">
        <f t="array" ref="X79">IF(X$77&gt;" ",(X$628:X$1078),"")</f>
        <v>0</v>
      </c>
      <c r="Y79" s="204">
        <f t="array" ref="Y79:Y529">IF(Y77&gt;" ",(Y$628:Y$1078),"")</f>
        <v>0</v>
      </c>
      <c r="Z79" s="198" t="str">
        <f>IF(AND(Q79&gt;0,Q79&lt;999),(Q79-$M79)/($N79-$M79)*$O79,"")</f>
        <v/>
      </c>
      <c r="AA79" s="198" t="str">
        <f t="shared" ref="AA79:AH94" si="7">IF(AND(R79&gt;0,R79&lt;999),(R79-$M79)/($N79-$M79)*$O79,"")</f>
        <v/>
      </c>
      <c r="AB79" s="198" t="str">
        <f t="shared" si="7"/>
        <v/>
      </c>
      <c r="AC79" s="198" t="str">
        <f t="shared" si="7"/>
        <v/>
      </c>
      <c r="AD79" s="198" t="str">
        <f t="shared" si="7"/>
        <v/>
      </c>
      <c r="AE79" s="198" t="str">
        <f t="shared" si="7"/>
        <v/>
      </c>
      <c r="AF79" s="198" t="str">
        <f t="shared" si="7"/>
        <v/>
      </c>
      <c r="AG79" s="198" t="str">
        <f t="shared" si="7"/>
        <v/>
      </c>
      <c r="AH79" s="198" t="str">
        <f t="shared" si="7"/>
        <v/>
      </c>
      <c r="AI79" s="200" t="str">
        <f>IF(ISERROR(AVERAGE(Z79:AA79)), "", AVERAGE(Z79:AA79))</f>
        <v/>
      </c>
      <c r="AJ79" s="208" t="str">
        <f>IFERROR(AI79/100,"")</f>
        <v/>
      </c>
      <c r="AK79" s="4"/>
      <c r="AL79" s="162">
        <v>2500</v>
      </c>
      <c r="AM79" s="209">
        <v>1.3767591169662572E-4</v>
      </c>
      <c r="AN79" s="183">
        <v>4.7522846608507064E-5</v>
      </c>
      <c r="AO79" s="183">
        <v>3.5521254083477342E-5</v>
      </c>
      <c r="AP79" s="165">
        <v>3.9358376567825931E-5</v>
      </c>
      <c r="AR79" s="210">
        <v>82.880669689859857</v>
      </c>
      <c r="AS79" s="211">
        <v>82.93400233502193</v>
      </c>
      <c r="AT79" s="211">
        <v>82.817228479480235</v>
      </c>
      <c r="AU79" s="211">
        <v>82.829945706689401</v>
      </c>
      <c r="AV79" s="211"/>
      <c r="AW79" s="212"/>
      <c r="AX79" s="210">
        <v>83.089137387487355</v>
      </c>
      <c r="AY79" s="211">
        <v>87.819517363240209</v>
      </c>
      <c r="AZ79" s="213">
        <v>94.761477396295049</v>
      </c>
    </row>
    <row r="80" spans="2:53" x14ac:dyDescent="0.25">
      <c r="B80" s="214" t="s">
        <v>167</v>
      </c>
      <c r="C80" s="215"/>
      <c r="E80" s="169" t="str">
        <f>IF(C80&gt;0, C80*$C$28/$AI$447, "")</f>
        <v/>
      </c>
      <c r="F80" s="170" t="str">
        <f>IF(C80&gt;0, C80*$C$29/$AI$447, "")</f>
        <v/>
      </c>
      <c r="G80" s="170" t="str">
        <f>IF(C80&gt;0, C80*$C$30/$AI$447, "")</f>
        <v/>
      </c>
      <c r="L80" s="189">
        <v>2495</v>
      </c>
      <c r="M80" s="196">
        <f t="shared" si="6"/>
        <v>0</v>
      </c>
      <c r="N80" s="197">
        <f t="shared" si="6"/>
        <v>0</v>
      </c>
      <c r="O80" s="152">
        <f ca="1"/>
        <v>83.459194133370417</v>
      </c>
      <c r="Q80" s="198">
        <v>0</v>
      </c>
      <c r="R80" s="200">
        <v>0</v>
      </c>
      <c r="S80" s="200">
        <v>0</v>
      </c>
      <c r="T80" s="200">
        <v>0</v>
      </c>
      <c r="U80" s="200">
        <f t="array" ref="U80">IF(U$77&gt;" ",(U$628:U$1078),"")</f>
        <v>0</v>
      </c>
      <c r="V80" s="200">
        <f t="array" ref="V80">IF(V$77&gt;" ",(V$628:V$1078),"")</f>
        <v>0</v>
      </c>
      <c r="W80" s="200">
        <f t="array" ref="W80">IF(W$77&gt;" ",(W$628:W$1078),"")</f>
        <v>0</v>
      </c>
      <c r="X80" s="200">
        <f t="array" ref="X80">IF(X$77&gt;" ",(X$628:X$1078),"")</f>
        <v>0</v>
      </c>
      <c r="Y80" s="204">
        <v>0</v>
      </c>
      <c r="Z80" s="198" t="str">
        <f t="shared" ref="Z80:AD143" si="8">IF(AND(Q80&gt;0,Q80&lt;999),(Q80-$M80)/($N80-$M80)*$O80,"")</f>
        <v/>
      </c>
      <c r="AA80" s="198" t="str">
        <f t="shared" si="7"/>
        <v/>
      </c>
      <c r="AB80" s="198" t="str">
        <f t="shared" si="7"/>
        <v/>
      </c>
      <c r="AC80" s="198" t="str">
        <f t="shared" si="7"/>
        <v/>
      </c>
      <c r="AD80" s="198" t="str">
        <f t="shared" si="7"/>
        <v/>
      </c>
      <c r="AE80" s="198" t="str">
        <f t="shared" si="7"/>
        <v/>
      </c>
      <c r="AF80" s="198" t="str">
        <f t="shared" si="7"/>
        <v/>
      </c>
      <c r="AG80" s="198" t="str">
        <f t="shared" si="7"/>
        <v/>
      </c>
      <c r="AH80" s="198" t="str">
        <f t="shared" si="7"/>
        <v/>
      </c>
      <c r="AI80" s="200" t="str">
        <f t="shared" ref="AI80:AI143" si="9">IFERROR(AVERAGE(Z80:AA80),"")</f>
        <v/>
      </c>
      <c r="AJ80" s="208" t="str">
        <f t="shared" ref="AJ80:AJ143" si="10">IFERROR(AI80/100,"")</f>
        <v/>
      </c>
      <c r="AK80" s="4"/>
      <c r="AL80" s="162">
        <v>2495</v>
      </c>
      <c r="AM80" s="209">
        <v>1.165356565416736E-4</v>
      </c>
      <c r="AN80" s="183">
        <v>5.4796343342061727E-5</v>
      </c>
      <c r="AO80" s="183">
        <v>1.446756210879944E-5</v>
      </c>
      <c r="AP80" s="165">
        <v>1.6032013046560538E-5</v>
      </c>
      <c r="AR80" s="210">
        <v>83.410157734244066</v>
      </c>
      <c r="AS80" s="211">
        <v>83.487570343747237</v>
      </c>
      <c r="AT80" s="211">
        <v>83.459194133370417</v>
      </c>
      <c r="AU80" s="211">
        <v>83.382214197977206</v>
      </c>
      <c r="AV80" s="211"/>
      <c r="AW80" s="212"/>
      <c r="AX80" s="210">
        <v>82.9461638400835</v>
      </c>
      <c r="AY80" s="211">
        <v>87.776571244317779</v>
      </c>
      <c r="AZ80" s="213">
        <v>95.835999203767386</v>
      </c>
    </row>
    <row r="81" spans="2:52" x14ac:dyDescent="0.25">
      <c r="C81" s="216"/>
      <c r="D81" s="2" t="s">
        <v>168</v>
      </c>
      <c r="E81" s="217" t="e">
        <f>AVERAGE(E76:E80)</f>
        <v>#DIV/0!</v>
      </c>
      <c r="F81" s="218" t="e">
        <f>AVERAGE(F76:F80)</f>
        <v>#DIV/0!</v>
      </c>
      <c r="G81" s="218" t="e">
        <f>AVERAGE(G76:G80)</f>
        <v>#DIV/0!</v>
      </c>
      <c r="L81" s="189">
        <v>2490</v>
      </c>
      <c r="M81" s="196">
        <f t="shared" si="6"/>
        <v>0</v>
      </c>
      <c r="N81" s="197">
        <f t="shared" si="6"/>
        <v>0</v>
      </c>
      <c r="O81" s="152">
        <f ca="1"/>
        <v>82.280088513953487</v>
      </c>
      <c r="Q81" s="198">
        <v>0</v>
      </c>
      <c r="R81" s="200">
        <v>0</v>
      </c>
      <c r="S81" s="200">
        <v>0</v>
      </c>
      <c r="T81" s="200">
        <v>0</v>
      </c>
      <c r="U81" s="200">
        <f t="array" ref="U81">IF(U$77&gt;" ",(U$628:U$1078),"")</f>
        <v>0</v>
      </c>
      <c r="V81" s="200">
        <f t="array" ref="V81">IF(V$77&gt;" ",(V$628:V$1078),"")</f>
        <v>0</v>
      </c>
      <c r="W81" s="200">
        <f t="array" ref="W81">IF(W$77&gt;" ",(W$628:W$1078),"")</f>
        <v>0</v>
      </c>
      <c r="X81" s="200">
        <f t="array" ref="X81">IF(X$77&gt;" ",(X$628:X$1078),"")</f>
        <v>0</v>
      </c>
      <c r="Y81" s="204">
        <v>0</v>
      </c>
      <c r="Z81" s="198" t="str">
        <f t="shared" si="8"/>
        <v/>
      </c>
      <c r="AA81" s="198" t="str">
        <f t="shared" si="7"/>
        <v/>
      </c>
      <c r="AB81" s="198" t="str">
        <f t="shared" si="7"/>
        <v/>
      </c>
      <c r="AC81" s="198" t="str">
        <f t="shared" si="7"/>
        <v/>
      </c>
      <c r="AD81" s="198" t="str">
        <f t="shared" si="7"/>
        <v/>
      </c>
      <c r="AE81" s="198" t="str">
        <f t="shared" si="7"/>
        <v/>
      </c>
      <c r="AF81" s="198" t="str">
        <f t="shared" si="7"/>
        <v/>
      </c>
      <c r="AG81" s="198" t="str">
        <f t="shared" si="7"/>
        <v/>
      </c>
      <c r="AH81" s="198" t="str">
        <f t="shared" si="7"/>
        <v/>
      </c>
      <c r="AI81" s="200" t="str">
        <f t="shared" si="9"/>
        <v/>
      </c>
      <c r="AJ81" s="208" t="str">
        <f t="shared" si="10"/>
        <v/>
      </c>
      <c r="AK81" s="4"/>
      <c r="AL81" s="162">
        <v>2490</v>
      </c>
      <c r="AM81" s="209">
        <v>1.1395918794466382E-4</v>
      </c>
      <c r="AN81" s="183">
        <v>6.2069840075616375E-5</v>
      </c>
      <c r="AO81" s="183">
        <v>1.7656037408809772E-5</v>
      </c>
      <c r="AP81" s="165">
        <v>1.9563342760799268E-5</v>
      </c>
      <c r="AR81" s="210">
        <v>82.355762612049006</v>
      </c>
      <c r="AS81" s="211">
        <v>82.317082397562856</v>
      </c>
      <c r="AT81" s="211">
        <v>82.280088513953487</v>
      </c>
      <c r="AU81" s="211">
        <v>82.155440556644791</v>
      </c>
      <c r="AV81" s="211"/>
      <c r="AW81" s="212"/>
      <c r="AX81" s="210">
        <v>83.080999989912769</v>
      </c>
      <c r="AY81" s="211">
        <v>87.754924718287327</v>
      </c>
      <c r="AZ81" s="213">
        <v>96.246535464723777</v>
      </c>
    </row>
    <row r="82" spans="2:52" x14ac:dyDescent="0.25">
      <c r="B82" s="106" t="s">
        <v>94</v>
      </c>
      <c r="C82" s="219"/>
      <c r="E82" s="217"/>
      <c r="F82" s="218"/>
      <c r="G82" s="218"/>
      <c r="K82" s="220"/>
      <c r="L82" s="189">
        <v>2485</v>
      </c>
      <c r="M82" s="196">
        <f t="shared" si="6"/>
        <v>0</v>
      </c>
      <c r="N82" s="197">
        <f t="shared" si="6"/>
        <v>0</v>
      </c>
      <c r="O82" s="152">
        <f ca="1"/>
        <v>83.555537369813365</v>
      </c>
      <c r="Q82" s="198">
        <v>0</v>
      </c>
      <c r="R82" s="200">
        <v>0</v>
      </c>
      <c r="S82" s="200">
        <v>0</v>
      </c>
      <c r="T82" s="200">
        <v>0</v>
      </c>
      <c r="U82" s="200">
        <f t="array" ref="U82">IF(U$77&gt;" ",(U$628:U$1078),"")</f>
        <v>0</v>
      </c>
      <c r="V82" s="200">
        <f t="array" ref="V82">IF(V$77&gt;" ",(V$628:V$1078),"")</f>
        <v>0</v>
      </c>
      <c r="W82" s="200">
        <f t="array" ref="W82">IF(W$77&gt;" ",(W$628:W$1078),"")</f>
        <v>0</v>
      </c>
      <c r="X82" s="200">
        <f t="array" ref="X82">IF(X$77&gt;" ",(X$628:X$1078),"")</f>
        <v>0</v>
      </c>
      <c r="Y82" s="204">
        <v>0</v>
      </c>
      <c r="Z82" s="198" t="str">
        <f t="shared" si="8"/>
        <v/>
      </c>
      <c r="AA82" s="198" t="str">
        <f t="shared" si="7"/>
        <v/>
      </c>
      <c r="AB82" s="198" t="str">
        <f t="shared" si="7"/>
        <v/>
      </c>
      <c r="AC82" s="198" t="str">
        <f t="shared" si="7"/>
        <v/>
      </c>
      <c r="AD82" s="198" t="str">
        <f t="shared" si="7"/>
        <v/>
      </c>
      <c r="AE82" s="198" t="str">
        <f t="shared" si="7"/>
        <v/>
      </c>
      <c r="AF82" s="198" t="str">
        <f t="shared" si="7"/>
        <v/>
      </c>
      <c r="AG82" s="198" t="str">
        <f t="shared" si="7"/>
        <v/>
      </c>
      <c r="AH82" s="198" t="str">
        <f t="shared" si="7"/>
        <v/>
      </c>
      <c r="AI82" s="200" t="str">
        <f t="shared" si="9"/>
        <v/>
      </c>
      <c r="AJ82" s="208" t="str">
        <f t="shared" si="10"/>
        <v/>
      </c>
      <c r="AK82" s="4"/>
      <c r="AL82" s="162">
        <v>2485</v>
      </c>
      <c r="AM82" s="209">
        <v>1.1607321346015902E-4</v>
      </c>
      <c r="AN82" s="183">
        <v>6.9343336809171038E-5</v>
      </c>
      <c r="AO82" s="183">
        <v>2.8210036473928342E-5</v>
      </c>
      <c r="AP82" s="165">
        <v>3.1250309230283816E-5</v>
      </c>
      <c r="AR82" s="210">
        <v>83.530233327036285</v>
      </c>
      <c r="AS82" s="211">
        <v>83.558925358804444</v>
      </c>
      <c r="AT82" s="211">
        <v>83.555537369813365</v>
      </c>
      <c r="AU82" s="211">
        <v>83.407454017661777</v>
      </c>
      <c r="AV82" s="211"/>
      <c r="AW82" s="212"/>
      <c r="AX82" s="210">
        <v>83.101559192331095</v>
      </c>
      <c r="AY82" s="211">
        <v>87.835688236580268</v>
      </c>
      <c r="AZ82" s="213">
        <v>95.711140761030578</v>
      </c>
    </row>
    <row r="83" spans="2:52" x14ac:dyDescent="0.25">
      <c r="B83" s="167" t="s">
        <v>155</v>
      </c>
      <c r="C83" s="195"/>
      <c r="E83" s="169" t="e">
        <f t="shared" ref="E83:E88" si="11">C83*$C$28/$AI$447</f>
        <v>#VALUE!</v>
      </c>
      <c r="F83" s="170" t="e">
        <f t="shared" ref="F83:F88" si="12">C83*$C$29/$AI$447</f>
        <v>#VALUE!</v>
      </c>
      <c r="G83" s="170" t="e">
        <f t="shared" ref="G83:G88" si="13">C83*$C$30/$AI$447</f>
        <v>#VALUE!</v>
      </c>
      <c r="L83" s="189">
        <v>2480</v>
      </c>
      <c r="M83" s="196">
        <f t="shared" si="6"/>
        <v>0</v>
      </c>
      <c r="N83" s="197">
        <f t="shared" si="6"/>
        <v>0</v>
      </c>
      <c r="O83" s="152">
        <f ca="1"/>
        <v>83.281192151892313</v>
      </c>
      <c r="Q83" s="198">
        <v>0</v>
      </c>
      <c r="R83" s="200">
        <v>0</v>
      </c>
      <c r="S83" s="200">
        <v>0</v>
      </c>
      <c r="T83" s="200">
        <v>0</v>
      </c>
      <c r="U83" s="200">
        <f t="array" ref="U83">IF(U$77&gt;" ",(U$628:U$1078),"")</f>
        <v>0</v>
      </c>
      <c r="V83" s="200">
        <f t="array" ref="V83">IF(V$77&gt;" ",(V$628:V$1078),"")</f>
        <v>0</v>
      </c>
      <c r="W83" s="200">
        <f t="array" ref="W83">IF(W$77&gt;" ",(W$628:W$1078),"")</f>
        <v>0</v>
      </c>
      <c r="X83" s="200">
        <f t="array" ref="X83">IF(X$77&gt;" ",(X$628:X$1078),"")</f>
        <v>0</v>
      </c>
      <c r="Y83" s="204">
        <v>0</v>
      </c>
      <c r="Z83" s="198" t="str">
        <f t="shared" si="8"/>
        <v/>
      </c>
      <c r="AA83" s="198" t="str">
        <f t="shared" si="7"/>
        <v/>
      </c>
      <c r="AB83" s="198" t="str">
        <f t="shared" si="7"/>
        <v/>
      </c>
      <c r="AC83" s="198" t="str">
        <f t="shared" si="7"/>
        <v/>
      </c>
      <c r="AD83" s="198" t="str">
        <f t="shared" si="7"/>
        <v/>
      </c>
      <c r="AE83" s="198" t="str">
        <f t="shared" si="7"/>
        <v/>
      </c>
      <c r="AF83" s="198" t="str">
        <f t="shared" si="7"/>
        <v/>
      </c>
      <c r="AG83" s="198" t="str">
        <f t="shared" si="7"/>
        <v/>
      </c>
      <c r="AH83" s="198" t="str">
        <f t="shared" si="7"/>
        <v/>
      </c>
      <c r="AI83" s="200" t="str">
        <f t="shared" si="9"/>
        <v/>
      </c>
      <c r="AJ83" s="208" t="str">
        <f t="shared" si="10"/>
        <v/>
      </c>
      <c r="AK83" s="4"/>
      <c r="AL83" s="162">
        <v>2480</v>
      </c>
      <c r="AM83" s="209">
        <v>1.1818723897565425E-4</v>
      </c>
      <c r="AN83" s="183">
        <v>7.66168335427257E-5</v>
      </c>
      <c r="AO83" s="183">
        <v>4.0425401631340578E-5</v>
      </c>
      <c r="AP83" s="165">
        <v>4.4768978101464617E-5</v>
      </c>
      <c r="AR83" s="210">
        <v>83.294699706132505</v>
      </c>
      <c r="AS83" s="211">
        <v>83.321749717853791</v>
      </c>
      <c r="AT83" s="211">
        <v>83.281192151892313</v>
      </c>
      <c r="AU83" s="211">
        <v>83.115087628303058</v>
      </c>
      <c r="AV83" s="211"/>
      <c r="AW83" s="212"/>
      <c r="AX83" s="210">
        <v>83.379186541740481</v>
      </c>
      <c r="AY83" s="211">
        <v>87.944168937114284</v>
      </c>
      <c r="AZ83" s="213">
        <v>96.149400833504146</v>
      </c>
    </row>
    <row r="84" spans="2:52" x14ac:dyDescent="0.25">
      <c r="B84" s="167" t="s">
        <v>159</v>
      </c>
      <c r="C84" s="195"/>
      <c r="E84" s="169" t="e">
        <f t="shared" si="11"/>
        <v>#VALUE!</v>
      </c>
      <c r="F84" s="170" t="e">
        <f t="shared" si="12"/>
        <v>#VALUE!</v>
      </c>
      <c r="G84" s="170" t="e">
        <f t="shared" si="13"/>
        <v>#VALUE!</v>
      </c>
      <c r="L84" s="189">
        <v>2475</v>
      </c>
      <c r="M84" s="196">
        <f t="shared" si="6"/>
        <v>0</v>
      </c>
      <c r="N84" s="197">
        <f t="shared" si="6"/>
        <v>0</v>
      </c>
      <c r="O84" s="152">
        <f ca="1"/>
        <v>84.064014212277115</v>
      </c>
      <c r="Q84" s="198">
        <v>0</v>
      </c>
      <c r="R84" s="200">
        <v>0</v>
      </c>
      <c r="S84" s="200">
        <v>0</v>
      </c>
      <c r="T84" s="200">
        <v>0</v>
      </c>
      <c r="U84" s="200">
        <f t="array" ref="U84">IF(U$77&gt;" ",(U$628:U$1078),"")</f>
        <v>0</v>
      </c>
      <c r="V84" s="200">
        <f t="array" ref="V84">IF(V$77&gt;" ",(V$628:V$1078),"")</f>
        <v>0</v>
      </c>
      <c r="W84" s="200">
        <f t="array" ref="W84">IF(W$77&gt;" ",(W$628:W$1078),"")</f>
        <v>0</v>
      </c>
      <c r="X84" s="200">
        <f t="array" ref="X84">IF(X$77&gt;" ",(X$628:X$1078),"")</f>
        <v>0</v>
      </c>
      <c r="Y84" s="204">
        <v>0</v>
      </c>
      <c r="Z84" s="198" t="str">
        <f t="shared" si="8"/>
        <v/>
      </c>
      <c r="AA84" s="198" t="str">
        <f t="shared" si="7"/>
        <v/>
      </c>
      <c r="AB84" s="198" t="str">
        <f t="shared" si="7"/>
        <v/>
      </c>
      <c r="AC84" s="198" t="str">
        <f t="shared" si="7"/>
        <v/>
      </c>
      <c r="AD84" s="198" t="str">
        <f t="shared" si="7"/>
        <v/>
      </c>
      <c r="AE84" s="198" t="str">
        <f t="shared" si="7"/>
        <v/>
      </c>
      <c r="AF84" s="198" t="str">
        <f t="shared" si="7"/>
        <v/>
      </c>
      <c r="AG84" s="198" t="str">
        <f t="shared" si="7"/>
        <v/>
      </c>
      <c r="AH84" s="198" t="str">
        <f t="shared" si="7"/>
        <v/>
      </c>
      <c r="AI84" s="200" t="str">
        <f t="shared" si="9"/>
        <v/>
      </c>
      <c r="AJ84" s="208" t="str">
        <f t="shared" si="10"/>
        <v/>
      </c>
      <c r="AK84" s="4"/>
      <c r="AL84" s="162">
        <v>2475</v>
      </c>
      <c r="AM84" s="209">
        <v>1.2030126449114945E-4</v>
      </c>
      <c r="AN84" s="183">
        <v>8.3890330276280363E-5</v>
      </c>
      <c r="AO84" s="183">
        <v>8.274146201178049E-5</v>
      </c>
      <c r="AP84" s="165">
        <v>9.1601909291061154E-5</v>
      </c>
      <c r="AR84" s="210">
        <v>84.019097398387615</v>
      </c>
      <c r="AS84" s="211">
        <v>84.118346817898114</v>
      </c>
      <c r="AT84" s="211">
        <v>84.064014212277115</v>
      </c>
      <c r="AU84" s="211">
        <v>83.874477812052376</v>
      </c>
      <c r="AV84" s="211"/>
      <c r="AW84" s="212"/>
      <c r="AX84" s="210">
        <v>83.496688247257637</v>
      </c>
      <c r="AY84" s="211">
        <v>87.970265693057328</v>
      </c>
      <c r="AZ84" s="213">
        <v>97.099175867426908</v>
      </c>
    </row>
    <row r="85" spans="2:52" x14ac:dyDescent="0.25">
      <c r="B85" s="167" t="s">
        <v>165</v>
      </c>
      <c r="C85" s="195"/>
      <c r="E85" s="169" t="e">
        <f t="shared" si="11"/>
        <v>#VALUE!</v>
      </c>
      <c r="F85" s="170" t="e">
        <f t="shared" si="12"/>
        <v>#VALUE!</v>
      </c>
      <c r="G85" s="170" t="e">
        <f t="shared" si="13"/>
        <v>#VALUE!</v>
      </c>
      <c r="L85" s="189">
        <v>2470</v>
      </c>
      <c r="M85" s="196">
        <f t="shared" si="6"/>
        <v>0</v>
      </c>
      <c r="N85" s="197">
        <f t="shared" si="6"/>
        <v>0</v>
      </c>
      <c r="O85" s="152">
        <f ca="1"/>
        <v>84.266221707243048</v>
      </c>
      <c r="Q85" s="198">
        <v>0</v>
      </c>
      <c r="R85" s="200">
        <v>0</v>
      </c>
      <c r="S85" s="200">
        <v>0</v>
      </c>
      <c r="T85" s="200">
        <v>0</v>
      </c>
      <c r="U85" s="200">
        <f t="array" ref="U85">IF(U$77&gt;" ",(U$628:U$1078),"")</f>
        <v>0</v>
      </c>
      <c r="V85" s="200">
        <f t="array" ref="V85">IF(V$77&gt;" ",(V$628:V$1078),"")</f>
        <v>0</v>
      </c>
      <c r="W85" s="200">
        <f t="array" ref="W85">IF(W$77&gt;" ",(W$628:W$1078),"")</f>
        <v>0</v>
      </c>
      <c r="X85" s="200">
        <f t="array" ref="X85">IF(X$77&gt;" ",(X$628:X$1078),"")</f>
        <v>0</v>
      </c>
      <c r="Y85" s="204">
        <v>0</v>
      </c>
      <c r="Z85" s="198" t="str">
        <f t="shared" si="8"/>
        <v/>
      </c>
      <c r="AA85" s="198" t="str">
        <f t="shared" si="7"/>
        <v/>
      </c>
      <c r="AB85" s="198" t="str">
        <f t="shared" si="7"/>
        <v/>
      </c>
      <c r="AC85" s="198" t="str">
        <f t="shared" si="7"/>
        <v/>
      </c>
      <c r="AD85" s="198" t="str">
        <f t="shared" si="7"/>
        <v/>
      </c>
      <c r="AE85" s="198" t="str">
        <f t="shared" si="7"/>
        <v/>
      </c>
      <c r="AF85" s="198" t="str">
        <f t="shared" si="7"/>
        <v/>
      </c>
      <c r="AG85" s="198" t="str">
        <f t="shared" si="7"/>
        <v/>
      </c>
      <c r="AH85" s="198" t="str">
        <f t="shared" si="7"/>
        <v/>
      </c>
      <c r="AI85" s="200" t="str">
        <f t="shared" si="9"/>
        <v/>
      </c>
      <c r="AJ85" s="208" t="str">
        <f t="shared" si="10"/>
        <v/>
      </c>
      <c r="AK85" s="4"/>
      <c r="AL85" s="162">
        <v>2470</v>
      </c>
      <c r="AM85" s="209">
        <v>1.2241529000664466E-4</v>
      </c>
      <c r="AN85" s="183">
        <v>9.1163827009835025E-5</v>
      </c>
      <c r="AO85" s="183">
        <v>8.4109172596235309E-5</v>
      </c>
      <c r="AP85" s="165">
        <v>9.3096148647165328E-5</v>
      </c>
      <c r="AR85" s="210">
        <v>84.266464897496007</v>
      </c>
      <c r="AS85" s="211">
        <v>84.302839211047157</v>
      </c>
      <c r="AT85" s="211">
        <v>84.266221707243048</v>
      </c>
      <c r="AU85" s="211">
        <v>84.152999273753892</v>
      </c>
      <c r="AV85" s="211"/>
      <c r="AW85" s="212"/>
      <c r="AX85" s="210">
        <v>83.620248941939749</v>
      </c>
      <c r="AY85" s="211">
        <v>88.116257261337111</v>
      </c>
      <c r="AZ85" s="213">
        <v>96.925047596011296</v>
      </c>
    </row>
    <row r="86" spans="2:52" x14ac:dyDescent="0.25">
      <c r="B86" s="167" t="s">
        <v>166</v>
      </c>
      <c r="C86" s="195"/>
      <c r="E86" s="169" t="e">
        <f t="shared" si="11"/>
        <v>#VALUE!</v>
      </c>
      <c r="F86" s="170" t="e">
        <f t="shared" si="12"/>
        <v>#VALUE!</v>
      </c>
      <c r="G86" s="170" t="e">
        <f t="shared" si="13"/>
        <v>#VALUE!</v>
      </c>
      <c r="L86" s="189">
        <v>2465</v>
      </c>
      <c r="M86" s="196">
        <f t="shared" si="6"/>
        <v>0</v>
      </c>
      <c r="N86" s="197">
        <f t="shared" si="6"/>
        <v>0</v>
      </c>
      <c r="O86" s="152">
        <f ca="1"/>
        <v>84.263275487135033</v>
      </c>
      <c r="Q86" s="198">
        <v>0</v>
      </c>
      <c r="R86" s="200">
        <v>0</v>
      </c>
      <c r="S86" s="200">
        <v>0</v>
      </c>
      <c r="T86" s="200">
        <v>0</v>
      </c>
      <c r="U86" s="200">
        <f t="array" ref="U86">IF(U$77&gt;" ",(U$628:U$1078),"")</f>
        <v>0</v>
      </c>
      <c r="V86" s="200">
        <f t="array" ref="V86">IF(V$77&gt;" ",(V$628:V$1078),"")</f>
        <v>0</v>
      </c>
      <c r="W86" s="200">
        <f t="array" ref="W86">IF(W$77&gt;" ",(W$628:W$1078),"")</f>
        <v>0</v>
      </c>
      <c r="X86" s="200">
        <f t="array" ref="X86">IF(X$77&gt;" ",(X$628:X$1078),"")</f>
        <v>0</v>
      </c>
      <c r="Y86" s="204">
        <v>0</v>
      </c>
      <c r="Z86" s="198" t="str">
        <f t="shared" si="8"/>
        <v/>
      </c>
      <c r="AA86" s="198" t="str">
        <f t="shared" si="7"/>
        <v/>
      </c>
      <c r="AB86" s="198" t="str">
        <f t="shared" si="7"/>
        <v/>
      </c>
      <c r="AC86" s="198" t="str">
        <f t="shared" si="7"/>
        <v/>
      </c>
      <c r="AD86" s="198" t="str">
        <f t="shared" si="7"/>
        <v/>
      </c>
      <c r="AE86" s="198" t="str">
        <f t="shared" si="7"/>
        <v/>
      </c>
      <c r="AF86" s="198" t="str">
        <f t="shared" si="7"/>
        <v/>
      </c>
      <c r="AG86" s="198" t="str">
        <f t="shared" si="7"/>
        <v/>
      </c>
      <c r="AH86" s="198" t="str">
        <f t="shared" si="7"/>
        <v/>
      </c>
      <c r="AI86" s="200" t="str">
        <f t="shared" si="9"/>
        <v/>
      </c>
      <c r="AJ86" s="208" t="str">
        <f t="shared" si="10"/>
        <v/>
      </c>
      <c r="AK86" s="4"/>
      <c r="AL86" s="162">
        <v>2465</v>
      </c>
      <c r="AM86" s="209">
        <v>1.245293155221399E-4</v>
      </c>
      <c r="AN86" s="183">
        <v>9.8437323743389674E-5</v>
      </c>
      <c r="AO86" s="183">
        <v>1.2142454115226224E-4</v>
      </c>
      <c r="AP86" s="165">
        <v>1.3436401760563826E-4</v>
      </c>
      <c r="AR86" s="210">
        <v>84.25279435415132</v>
      </c>
      <c r="AS86" s="211">
        <v>84.265792338147591</v>
      </c>
      <c r="AT86" s="211">
        <v>84.263275487135033</v>
      </c>
      <c r="AU86" s="211">
        <v>84.130813273570979</v>
      </c>
      <c r="AV86" s="211"/>
      <c r="AW86" s="212"/>
      <c r="AX86" s="210">
        <v>83.785207999089195</v>
      </c>
      <c r="AY86" s="211">
        <v>88.164738419796706</v>
      </c>
      <c r="AZ86" s="213">
        <v>96.357112892428148</v>
      </c>
    </row>
    <row r="87" spans="2:52" x14ac:dyDescent="0.25">
      <c r="B87" s="214" t="s">
        <v>167</v>
      </c>
      <c r="C87" s="215"/>
      <c r="E87" s="169" t="e">
        <f t="shared" si="11"/>
        <v>#VALUE!</v>
      </c>
      <c r="F87" s="170" t="e">
        <f t="shared" si="12"/>
        <v>#VALUE!</v>
      </c>
      <c r="G87" s="170" t="e">
        <f t="shared" si="13"/>
        <v>#VALUE!</v>
      </c>
      <c r="L87" s="189">
        <v>2460</v>
      </c>
      <c r="M87" s="196">
        <f t="shared" si="6"/>
        <v>0</v>
      </c>
      <c r="N87" s="197">
        <f t="shared" si="6"/>
        <v>0</v>
      </c>
      <c r="O87" s="152">
        <f ca="1"/>
        <v>84.39809220402266</v>
      </c>
      <c r="Q87" s="198">
        <v>0</v>
      </c>
      <c r="R87" s="200">
        <v>0</v>
      </c>
      <c r="S87" s="200">
        <v>0</v>
      </c>
      <c r="T87" s="200">
        <v>0</v>
      </c>
      <c r="U87" s="200">
        <f t="array" ref="U87">IF(U$77&gt;" ",(U$628:U$1078),"")</f>
        <v>0</v>
      </c>
      <c r="V87" s="200">
        <f t="array" ref="V87">IF(V$77&gt;" ",(V$628:V$1078),"")</f>
        <v>0</v>
      </c>
      <c r="W87" s="200">
        <f t="array" ref="W87">IF(W$77&gt;" ",(W$628:W$1078),"")</f>
        <v>0</v>
      </c>
      <c r="X87" s="200">
        <f t="array" ref="X87">IF(X$77&gt;" ",(X$628:X$1078),"")</f>
        <v>0</v>
      </c>
      <c r="Y87" s="204">
        <v>0</v>
      </c>
      <c r="Z87" s="198" t="str">
        <f t="shared" si="8"/>
        <v/>
      </c>
      <c r="AA87" s="198" t="str">
        <f t="shared" si="7"/>
        <v/>
      </c>
      <c r="AB87" s="198" t="str">
        <f t="shared" si="7"/>
        <v/>
      </c>
      <c r="AC87" s="198" t="str">
        <f t="shared" si="7"/>
        <v/>
      </c>
      <c r="AD87" s="198" t="str">
        <f t="shared" si="7"/>
        <v/>
      </c>
      <c r="AE87" s="198" t="str">
        <f t="shared" si="7"/>
        <v/>
      </c>
      <c r="AF87" s="198" t="str">
        <f t="shared" si="7"/>
        <v/>
      </c>
      <c r="AG87" s="198" t="str">
        <f t="shared" si="7"/>
        <v/>
      </c>
      <c r="AH87" s="198" t="str">
        <f t="shared" si="7"/>
        <v/>
      </c>
      <c r="AI87" s="200" t="str">
        <f t="shared" si="9"/>
        <v/>
      </c>
      <c r="AJ87" s="208" t="str">
        <f t="shared" si="10"/>
        <v/>
      </c>
      <c r="AK87" s="4"/>
      <c r="AL87" s="162">
        <v>2460</v>
      </c>
      <c r="AM87" s="209">
        <v>1.2657727774027585E-4</v>
      </c>
      <c r="AN87" s="183">
        <v>1.0571082047694434E-4</v>
      </c>
      <c r="AO87" s="183">
        <v>1.6776076554840668E-4</v>
      </c>
      <c r="AP87" s="165">
        <v>1.8555990385897572E-4</v>
      </c>
      <c r="AR87" s="210">
        <v>84.42333049829378</v>
      </c>
      <c r="AS87" s="211">
        <v>84.437786718549773</v>
      </c>
      <c r="AT87" s="211">
        <v>84.39809220402266</v>
      </c>
      <c r="AU87" s="211">
        <v>84.290305801686472</v>
      </c>
      <c r="AV87" s="211"/>
      <c r="AW87" s="212"/>
      <c r="AX87" s="210">
        <v>84.050236612082557</v>
      </c>
      <c r="AY87" s="211">
        <v>88.366788295799793</v>
      </c>
      <c r="AZ87" s="213">
        <v>98.193861369388316</v>
      </c>
    </row>
    <row r="88" spans="2:52" x14ac:dyDescent="0.25">
      <c r="B88" s="167" t="s">
        <v>169</v>
      </c>
      <c r="C88" s="216"/>
      <c r="D88" s="2" t="s">
        <v>168</v>
      </c>
      <c r="E88" s="169" t="e">
        <f t="shared" si="11"/>
        <v>#VALUE!</v>
      </c>
      <c r="F88" s="170" t="e">
        <f t="shared" si="12"/>
        <v>#VALUE!</v>
      </c>
      <c r="G88" s="170" t="e">
        <f t="shared" si="13"/>
        <v>#VALUE!</v>
      </c>
      <c r="L88" s="189">
        <v>2455</v>
      </c>
      <c r="M88" s="196">
        <f t="shared" si="6"/>
        <v>0</v>
      </c>
      <c r="N88" s="197">
        <f t="shared" si="6"/>
        <v>0</v>
      </c>
      <c r="O88" s="152">
        <f ca="1"/>
        <v>84.685170350322593</v>
      </c>
      <c r="Q88" s="198">
        <v>0</v>
      </c>
      <c r="R88" s="200">
        <v>0</v>
      </c>
      <c r="S88" s="200">
        <v>0</v>
      </c>
      <c r="T88" s="200">
        <v>0</v>
      </c>
      <c r="U88" s="200">
        <f t="array" ref="U88">IF(U$77&gt;" ",(U$628:U$1078),"")</f>
        <v>0</v>
      </c>
      <c r="V88" s="200">
        <f t="array" ref="V88">IF(V$77&gt;" ",(V$628:V$1078),"")</f>
        <v>0</v>
      </c>
      <c r="W88" s="200">
        <f t="array" ref="W88">IF(W$77&gt;" ",(W$628:W$1078),"")</f>
        <v>0</v>
      </c>
      <c r="X88" s="200">
        <f t="array" ref="X88">IF(X$77&gt;" ",(X$628:X$1078),"")</f>
        <v>0</v>
      </c>
      <c r="Y88" s="204">
        <v>0</v>
      </c>
      <c r="Z88" s="198" t="str">
        <f t="shared" si="8"/>
        <v/>
      </c>
      <c r="AA88" s="198" t="str">
        <f t="shared" si="7"/>
        <v/>
      </c>
      <c r="AB88" s="198" t="str">
        <f t="shared" si="7"/>
        <v/>
      </c>
      <c r="AC88" s="198" t="str">
        <f t="shared" si="7"/>
        <v/>
      </c>
      <c r="AD88" s="198" t="str">
        <f t="shared" si="7"/>
        <v/>
      </c>
      <c r="AE88" s="198" t="str">
        <f t="shared" si="7"/>
        <v/>
      </c>
      <c r="AF88" s="198" t="str">
        <f t="shared" si="7"/>
        <v/>
      </c>
      <c r="AG88" s="198" t="str">
        <f t="shared" si="7"/>
        <v/>
      </c>
      <c r="AH88" s="198" t="str">
        <f t="shared" si="7"/>
        <v/>
      </c>
      <c r="AI88" s="200" t="str">
        <f t="shared" si="9"/>
        <v/>
      </c>
      <c r="AJ88" s="208" t="str">
        <f t="shared" si="10"/>
        <v/>
      </c>
      <c r="AK88" s="4"/>
      <c r="AL88" s="162">
        <v>2455</v>
      </c>
      <c r="AM88" s="209">
        <v>1.2869130325577109E-4</v>
      </c>
      <c r="AN88" s="183">
        <v>1.12984317210499E-4</v>
      </c>
      <c r="AO88" s="183">
        <v>1.2496952630682348E-4</v>
      </c>
      <c r="AP88" s="165">
        <v>1.3820314943443032E-4</v>
      </c>
      <c r="AR88" s="210">
        <v>84.710824749095792</v>
      </c>
      <c r="AS88" s="211">
        <v>84.721496978985428</v>
      </c>
      <c r="AT88" s="211">
        <v>84.685170350322593</v>
      </c>
      <c r="AU88" s="211">
        <v>84.561892412751121</v>
      </c>
      <c r="AV88" s="211"/>
      <c r="AW88" s="212"/>
      <c r="AX88" s="210">
        <v>84.442665674757748</v>
      </c>
      <c r="AY88" s="211">
        <v>88.611192418978092</v>
      </c>
      <c r="AZ88" s="213">
        <v>96.683594597635363</v>
      </c>
    </row>
    <row r="89" spans="2:52" x14ac:dyDescent="0.25">
      <c r="B89" s="106" t="s">
        <v>170</v>
      </c>
      <c r="C89" s="219"/>
      <c r="E89" s="217" t="e">
        <f>AVERAGE(E83:E88)</f>
        <v>#VALUE!</v>
      </c>
      <c r="F89" s="218" t="e">
        <f>AVERAGE(F83:F88)</f>
        <v>#VALUE!</v>
      </c>
      <c r="G89" s="218" t="e">
        <f>AVERAGE(G83:G88)</f>
        <v>#VALUE!</v>
      </c>
      <c r="L89" s="189">
        <v>2450</v>
      </c>
      <c r="M89" s="196">
        <f t="shared" si="6"/>
        <v>0</v>
      </c>
      <c r="N89" s="197">
        <f t="shared" si="6"/>
        <v>0</v>
      </c>
      <c r="O89" s="152">
        <f ca="1"/>
        <v>85.028971315898161</v>
      </c>
      <c r="Q89" s="198">
        <v>0</v>
      </c>
      <c r="R89" s="200">
        <v>0</v>
      </c>
      <c r="S89" s="200">
        <v>0</v>
      </c>
      <c r="T89" s="200">
        <v>0</v>
      </c>
      <c r="U89" s="200">
        <f t="array" ref="U89">IF(U$77&gt;" ",(U$628:U$1078),"")</f>
        <v>0</v>
      </c>
      <c r="V89" s="200">
        <f t="array" ref="V89">IF(V$77&gt;" ",(V$628:V$1078),"")</f>
        <v>0</v>
      </c>
      <c r="W89" s="200">
        <f t="array" ref="W89">IF(W$77&gt;" ",(W$628:W$1078),"")</f>
        <v>0</v>
      </c>
      <c r="X89" s="200">
        <f t="array" ref="X89">IF(X$77&gt;" ",(X$628:X$1078),"")</f>
        <v>0</v>
      </c>
      <c r="Y89" s="204">
        <v>0</v>
      </c>
      <c r="Z89" s="198" t="str">
        <f t="shared" si="8"/>
        <v/>
      </c>
      <c r="AA89" s="198" t="str">
        <f t="shared" si="7"/>
        <v/>
      </c>
      <c r="AB89" s="198" t="str">
        <f t="shared" si="7"/>
        <v/>
      </c>
      <c r="AC89" s="198" t="str">
        <f t="shared" si="7"/>
        <v/>
      </c>
      <c r="AD89" s="198" t="str">
        <f t="shared" si="7"/>
        <v/>
      </c>
      <c r="AE89" s="198" t="str">
        <f t="shared" si="7"/>
        <v/>
      </c>
      <c r="AF89" s="198" t="str">
        <f t="shared" si="7"/>
        <v/>
      </c>
      <c r="AG89" s="198" t="str">
        <f t="shared" si="7"/>
        <v/>
      </c>
      <c r="AH89" s="198" t="str">
        <f t="shared" si="7"/>
        <v/>
      </c>
      <c r="AI89" s="200" t="str">
        <f t="shared" si="9"/>
        <v/>
      </c>
      <c r="AJ89" s="208" t="str">
        <f t="shared" si="10"/>
        <v/>
      </c>
      <c r="AK89" s="4"/>
      <c r="AL89" s="162">
        <v>2450</v>
      </c>
      <c r="AM89" s="209">
        <v>1.3080532877126629E-4</v>
      </c>
      <c r="AN89" s="183">
        <v>1.2025781394405366E-4</v>
      </c>
      <c r="AO89" s="183">
        <v>6.8440841047848325E-5</v>
      </c>
      <c r="AP89" s="165">
        <v>7.5680145365531522E-5</v>
      </c>
      <c r="AR89" s="210">
        <v>85.013155550387779</v>
      </c>
      <c r="AS89" s="211">
        <v>85.061525148579349</v>
      </c>
      <c r="AT89" s="211">
        <v>85.028971315898161</v>
      </c>
      <c r="AU89" s="211">
        <v>84.92611760109952</v>
      </c>
      <c r="AV89" s="211"/>
      <c r="AW89" s="212"/>
      <c r="AX89" s="210">
        <v>84.611616757811461</v>
      </c>
      <c r="AY89" s="211">
        <v>88.74150048915449</v>
      </c>
      <c r="AZ89" s="213">
        <v>96.82219138720609</v>
      </c>
    </row>
    <row r="90" spans="2:52" x14ac:dyDescent="0.25">
      <c r="B90" s="167" t="s">
        <v>155</v>
      </c>
      <c r="C90" s="195"/>
      <c r="E90" s="169" t="e">
        <f>C90*$C$28/$AI$447</f>
        <v>#VALUE!</v>
      </c>
      <c r="F90" s="170" t="e">
        <f>C90*$C$29/$AI$447</f>
        <v>#VALUE!</v>
      </c>
      <c r="G90" s="170" t="e">
        <f>C90*$C$30/$AI$447</f>
        <v>#VALUE!</v>
      </c>
      <c r="L90" s="189">
        <v>2445</v>
      </c>
      <c r="M90" s="196">
        <f t="shared" si="6"/>
        <v>0</v>
      </c>
      <c r="N90" s="197">
        <f t="shared" si="6"/>
        <v>0</v>
      </c>
      <c r="O90" s="152">
        <f ca="1"/>
        <v>85.345946437430939</v>
      </c>
      <c r="Q90" s="198">
        <v>0</v>
      </c>
      <c r="R90" s="200">
        <v>0</v>
      </c>
      <c r="S90" s="200">
        <v>0</v>
      </c>
      <c r="T90" s="200">
        <v>0</v>
      </c>
      <c r="U90" s="200">
        <f t="array" ref="U90">IF(U$77&gt;" ",(U$628:U$1078),"")</f>
        <v>0</v>
      </c>
      <c r="V90" s="200">
        <f t="array" ref="V90">IF(V$77&gt;" ",(V$628:V$1078),"")</f>
        <v>0</v>
      </c>
      <c r="W90" s="200">
        <f t="array" ref="W90">IF(W$77&gt;" ",(W$628:W$1078),"")</f>
        <v>0</v>
      </c>
      <c r="X90" s="200">
        <f t="array" ref="X90">IF(X$77&gt;" ",(X$628:X$1078),"")</f>
        <v>0</v>
      </c>
      <c r="Y90" s="204">
        <v>0</v>
      </c>
      <c r="Z90" s="198" t="str">
        <f t="shared" si="8"/>
        <v/>
      </c>
      <c r="AA90" s="198" t="str">
        <f t="shared" si="7"/>
        <v/>
      </c>
      <c r="AB90" s="198" t="str">
        <f t="shared" si="7"/>
        <v/>
      </c>
      <c r="AC90" s="198" t="str">
        <f t="shared" si="7"/>
        <v/>
      </c>
      <c r="AD90" s="198" t="str">
        <f t="shared" si="7"/>
        <v/>
      </c>
      <c r="AE90" s="198" t="str">
        <f t="shared" si="7"/>
        <v/>
      </c>
      <c r="AF90" s="198" t="str">
        <f t="shared" si="7"/>
        <v/>
      </c>
      <c r="AG90" s="198" t="str">
        <f t="shared" si="7"/>
        <v/>
      </c>
      <c r="AH90" s="198" t="str">
        <f t="shared" si="7"/>
        <v/>
      </c>
      <c r="AI90" s="200" t="str">
        <f t="shared" si="9"/>
        <v/>
      </c>
      <c r="AJ90" s="208" t="str">
        <f t="shared" si="10"/>
        <v/>
      </c>
      <c r="AK90" s="4"/>
      <c r="AL90" s="162">
        <v>2445</v>
      </c>
      <c r="AM90" s="209">
        <v>1.4467862121670362E-4</v>
      </c>
      <c r="AN90" s="183">
        <v>1.3057277286055279E-4</v>
      </c>
      <c r="AO90" s="183">
        <v>1.0457957623342513E-4</v>
      </c>
      <c r="AP90" s="165">
        <v>1.1560487782413551E-4</v>
      </c>
      <c r="AR90" s="210">
        <v>85.336704164322597</v>
      </c>
      <c r="AS90" s="211">
        <v>85.376299290074599</v>
      </c>
      <c r="AT90" s="211">
        <v>85.345946437430939</v>
      </c>
      <c r="AU90" s="211">
        <v>85.219794525151329</v>
      </c>
      <c r="AV90" s="211"/>
      <c r="AW90" s="212"/>
      <c r="AX90" s="210">
        <v>84.874136639978204</v>
      </c>
      <c r="AY90" s="211">
        <v>88.927514483015827</v>
      </c>
      <c r="AZ90" s="213">
        <v>97.135719123269723</v>
      </c>
    </row>
    <row r="91" spans="2:52" x14ac:dyDescent="0.25">
      <c r="B91" s="167" t="s">
        <v>159</v>
      </c>
      <c r="C91" s="195"/>
      <c r="E91" s="169" t="e">
        <f>C91*$C$28/$AI$447</f>
        <v>#VALUE!</v>
      </c>
      <c r="F91" s="170" t="e">
        <f>C91*$C$29/$AI$447</f>
        <v>#VALUE!</v>
      </c>
      <c r="G91" s="170" t="e">
        <f>C91*$C$30/$AI$447</f>
        <v>#VALUE!</v>
      </c>
      <c r="L91" s="189">
        <v>2440</v>
      </c>
      <c r="M91" s="196">
        <f t="shared" si="6"/>
        <v>0</v>
      </c>
      <c r="N91" s="197">
        <f t="shared" si="6"/>
        <v>0</v>
      </c>
      <c r="O91" s="152">
        <f ca="1"/>
        <v>85.542102883422103</v>
      </c>
      <c r="Q91" s="198">
        <v>0</v>
      </c>
      <c r="R91" s="200">
        <v>0</v>
      </c>
      <c r="S91" s="200">
        <v>0</v>
      </c>
      <c r="T91" s="200">
        <v>0</v>
      </c>
      <c r="U91" s="200">
        <f t="array" ref="U91">IF(U$77&gt;" ",(U$628:U$1078),"")</f>
        <v>0</v>
      </c>
      <c r="V91" s="200">
        <f t="array" ref="V91">IF(V$77&gt;" ",(V$628:V$1078),"")</f>
        <v>0</v>
      </c>
      <c r="W91" s="200">
        <f t="array" ref="W91">IF(W$77&gt;" ",(W$628:W$1078),"")</f>
        <v>0</v>
      </c>
      <c r="X91" s="200">
        <f t="array" ref="X91">IF(X$77&gt;" ",(X$628:X$1078),"")</f>
        <v>0</v>
      </c>
      <c r="Y91" s="204">
        <v>0</v>
      </c>
      <c r="Z91" s="198" t="str">
        <f t="shared" si="8"/>
        <v/>
      </c>
      <c r="AA91" s="198" t="str">
        <f t="shared" si="7"/>
        <v/>
      </c>
      <c r="AB91" s="198" t="str">
        <f t="shared" si="7"/>
        <v/>
      </c>
      <c r="AC91" s="198" t="str">
        <f t="shared" si="7"/>
        <v/>
      </c>
      <c r="AD91" s="198" t="str">
        <f t="shared" si="7"/>
        <v/>
      </c>
      <c r="AE91" s="198" t="str">
        <f t="shared" si="7"/>
        <v/>
      </c>
      <c r="AF91" s="198" t="str">
        <f t="shared" si="7"/>
        <v/>
      </c>
      <c r="AG91" s="198" t="str">
        <f t="shared" si="7"/>
        <v/>
      </c>
      <c r="AH91" s="198" t="str">
        <f t="shared" si="7"/>
        <v/>
      </c>
      <c r="AI91" s="200" t="str">
        <f t="shared" si="9"/>
        <v/>
      </c>
      <c r="AJ91" s="208" t="str">
        <f t="shared" si="10"/>
        <v/>
      </c>
      <c r="AK91" s="4"/>
      <c r="AL91" s="162">
        <v>2440</v>
      </c>
      <c r="AM91" s="209">
        <v>1.5855191366214095E-4</v>
      </c>
      <c r="AN91" s="183">
        <v>1.408877317770519E-4</v>
      </c>
      <c r="AO91" s="183">
        <v>2.1747101127605556E-4</v>
      </c>
      <c r="AP91" s="165">
        <v>2.4023115580572402E-4</v>
      </c>
      <c r="AR91" s="210">
        <v>85.539110705977677</v>
      </c>
      <c r="AS91" s="211">
        <v>85.590215736647409</v>
      </c>
      <c r="AT91" s="211">
        <v>85.542102883422103</v>
      </c>
      <c r="AU91" s="211">
        <v>85.423979878400999</v>
      </c>
      <c r="AV91" s="211"/>
      <c r="AW91" s="212"/>
      <c r="AX91" s="210">
        <v>85.115500029841655</v>
      </c>
      <c r="AY91" s="211">
        <v>89.098293081737623</v>
      </c>
      <c r="AZ91" s="213">
        <v>97.869889157720962</v>
      </c>
    </row>
    <row r="92" spans="2:52" x14ac:dyDescent="0.25">
      <c r="B92" s="167" t="s">
        <v>165</v>
      </c>
      <c r="C92" s="195"/>
      <c r="E92" s="169" t="e">
        <f>C92*$C$28/$AI$447</f>
        <v>#VALUE!</v>
      </c>
      <c r="F92" s="170" t="e">
        <f>C92*$C$29/$AI$447</f>
        <v>#VALUE!</v>
      </c>
      <c r="G92" s="170" t="e">
        <f>C92*$C$30/$AI$447</f>
        <v>#VALUE!</v>
      </c>
      <c r="L92" s="189">
        <v>2435</v>
      </c>
      <c r="M92" s="196">
        <f t="shared" si="6"/>
        <v>0</v>
      </c>
      <c r="N92" s="197">
        <f t="shared" si="6"/>
        <v>0</v>
      </c>
      <c r="O92" s="152">
        <f ca="1"/>
        <v>85.76320242972929</v>
      </c>
      <c r="Q92" s="198">
        <v>0</v>
      </c>
      <c r="R92" s="200">
        <v>0</v>
      </c>
      <c r="S92" s="200">
        <v>0</v>
      </c>
      <c r="T92" s="200">
        <v>0</v>
      </c>
      <c r="U92" s="200">
        <f t="array" ref="U92">IF(U$77&gt;" ",(U$628:U$1078),"")</f>
        <v>0</v>
      </c>
      <c r="V92" s="200">
        <f t="array" ref="V92">IF(V$77&gt;" ",(V$628:V$1078),"")</f>
        <v>0</v>
      </c>
      <c r="W92" s="200">
        <f t="array" ref="W92">IF(W$77&gt;" ",(W$628:W$1078),"")</f>
        <v>0</v>
      </c>
      <c r="X92" s="200">
        <f t="array" ref="X92">IF(X$77&gt;" ",(X$628:X$1078),"")</f>
        <v>0</v>
      </c>
      <c r="Y92" s="204">
        <v>0</v>
      </c>
      <c r="Z92" s="198" t="str">
        <f t="shared" si="8"/>
        <v/>
      </c>
      <c r="AA92" s="198" t="str">
        <f t="shared" si="7"/>
        <v/>
      </c>
      <c r="AB92" s="198" t="str">
        <f t="shared" si="7"/>
        <v/>
      </c>
      <c r="AC92" s="198" t="str">
        <f t="shared" si="7"/>
        <v/>
      </c>
      <c r="AD92" s="198" t="str">
        <f t="shared" si="7"/>
        <v/>
      </c>
      <c r="AE92" s="198" t="str">
        <f t="shared" si="7"/>
        <v/>
      </c>
      <c r="AF92" s="198" t="str">
        <f t="shared" si="7"/>
        <v/>
      </c>
      <c r="AG92" s="198" t="str">
        <f t="shared" si="7"/>
        <v/>
      </c>
      <c r="AH92" s="198" t="str">
        <f t="shared" si="7"/>
        <v/>
      </c>
      <c r="AI92" s="200" t="str">
        <f t="shared" si="9"/>
        <v/>
      </c>
      <c r="AJ92" s="208" t="str">
        <f t="shared" si="10"/>
        <v/>
      </c>
      <c r="AK92" s="4"/>
      <c r="AL92" s="162">
        <v>2435</v>
      </c>
      <c r="AM92" s="209">
        <v>1.724252061075783E-4</v>
      </c>
      <c r="AN92" s="183">
        <v>1.5120269069355101E-4</v>
      </c>
      <c r="AO92" s="183">
        <v>7.4811757630584625E-5</v>
      </c>
      <c r="AP92" s="165">
        <v>8.263087675235324E-5</v>
      </c>
      <c r="AR92" s="210">
        <v>85.764627118356103</v>
      </c>
      <c r="AS92" s="211">
        <v>85.807740909895983</v>
      </c>
      <c r="AT92" s="211">
        <v>85.76320242972929</v>
      </c>
      <c r="AU92" s="211">
        <v>85.639831178879149</v>
      </c>
      <c r="AV92" s="211"/>
      <c r="AW92" s="212"/>
      <c r="AX92" s="210">
        <v>85.388164102292706</v>
      </c>
      <c r="AY92" s="211">
        <v>89.283663827618057</v>
      </c>
      <c r="AZ92" s="213">
        <v>96.758255893931192</v>
      </c>
    </row>
    <row r="93" spans="2:52" x14ac:dyDescent="0.25">
      <c r="B93" s="167" t="s">
        <v>166</v>
      </c>
      <c r="C93" s="195"/>
      <c r="E93" s="169" t="e">
        <f>C93*$C$28/$AI$447</f>
        <v>#VALUE!</v>
      </c>
      <c r="F93" s="170" t="e">
        <f>C93*$C$29/$AI$447</f>
        <v>#VALUE!</v>
      </c>
      <c r="G93" s="170" t="e">
        <f>C93*$C$30/$AI$447</f>
        <v>#VALUE!</v>
      </c>
      <c r="L93" s="189">
        <v>2430</v>
      </c>
      <c r="M93" s="196">
        <f t="shared" si="6"/>
        <v>0</v>
      </c>
      <c r="N93" s="197">
        <f t="shared" si="6"/>
        <v>0</v>
      </c>
      <c r="O93" s="152">
        <f ca="1"/>
        <v>86.065021514412209</v>
      </c>
      <c r="Q93" s="198">
        <v>0</v>
      </c>
      <c r="R93" s="200">
        <v>0</v>
      </c>
      <c r="S93" s="200">
        <v>0</v>
      </c>
      <c r="T93" s="200">
        <v>0</v>
      </c>
      <c r="U93" s="200">
        <f t="array" ref="U93">IF(U$77&gt;" ",(U$628:U$1078),"")</f>
        <v>0</v>
      </c>
      <c r="V93" s="200">
        <f t="array" ref="V93">IF(V$77&gt;" ",(V$628:V$1078),"")</f>
        <v>0</v>
      </c>
      <c r="W93" s="200">
        <f t="array" ref="W93">IF(W$77&gt;" ",(W$628:W$1078),"")</f>
        <v>0</v>
      </c>
      <c r="X93" s="200">
        <f t="array" ref="X93">IF(X$77&gt;" ",(X$628:X$1078),"")</f>
        <v>0</v>
      </c>
      <c r="Y93" s="204">
        <v>0</v>
      </c>
      <c r="Z93" s="198" t="str">
        <f t="shared" si="8"/>
        <v/>
      </c>
      <c r="AA93" s="198" t="str">
        <f t="shared" si="7"/>
        <v/>
      </c>
      <c r="AB93" s="198" t="str">
        <f t="shared" si="7"/>
        <v/>
      </c>
      <c r="AC93" s="198" t="str">
        <f t="shared" si="7"/>
        <v/>
      </c>
      <c r="AD93" s="198" t="str">
        <f t="shared" si="7"/>
        <v/>
      </c>
      <c r="AE93" s="198" t="str">
        <f t="shared" si="7"/>
        <v/>
      </c>
      <c r="AF93" s="198" t="str">
        <f t="shared" si="7"/>
        <v/>
      </c>
      <c r="AG93" s="198" t="str">
        <f t="shared" si="7"/>
        <v/>
      </c>
      <c r="AH93" s="198" t="str">
        <f t="shared" si="7"/>
        <v/>
      </c>
      <c r="AI93" s="200" t="str">
        <f t="shared" si="9"/>
        <v/>
      </c>
      <c r="AJ93" s="208" t="str">
        <f t="shared" si="10"/>
        <v/>
      </c>
      <c r="AK93" s="4"/>
      <c r="AL93" s="162">
        <v>2430</v>
      </c>
      <c r="AM93" s="209">
        <v>1.8629849855301563E-4</v>
      </c>
      <c r="AN93" s="183">
        <v>1.615176496100501E-4</v>
      </c>
      <c r="AO93" s="183">
        <v>2.267734545894432E-4</v>
      </c>
      <c r="AP93" s="165">
        <v>2.502990831526582E-4</v>
      </c>
      <c r="AR93" s="210">
        <v>86.067697799359252</v>
      </c>
      <c r="AS93" s="211">
        <v>86.114177077173508</v>
      </c>
      <c r="AT93" s="211">
        <v>86.065021514412209</v>
      </c>
      <c r="AU93" s="211">
        <v>85.952482038538292</v>
      </c>
      <c r="AV93" s="211"/>
      <c r="AW93" s="212"/>
      <c r="AX93" s="210">
        <v>85.543848507881137</v>
      </c>
      <c r="AY93" s="211">
        <v>89.38041221847665</v>
      </c>
      <c r="AZ93" s="213">
        <v>98.112888457054027</v>
      </c>
    </row>
    <row r="94" spans="2:52" x14ac:dyDescent="0.25">
      <c r="B94" s="214" t="s">
        <v>167</v>
      </c>
      <c r="C94" s="215"/>
      <c r="E94" s="169" t="e">
        <f>C94*$C$28/$AI$447</f>
        <v>#VALUE!</v>
      </c>
      <c r="F94" s="170" t="e">
        <f>C94*$C$29/$AI$447</f>
        <v>#VALUE!</v>
      </c>
      <c r="G94" s="170" t="e">
        <f>C94*$C$30/$AI$447</f>
        <v>#VALUE!</v>
      </c>
      <c r="L94" s="189">
        <v>2425</v>
      </c>
      <c r="M94" s="196">
        <f t="shared" si="6"/>
        <v>0</v>
      </c>
      <c r="N94" s="197">
        <f t="shared" si="6"/>
        <v>0</v>
      </c>
      <c r="O94" s="152">
        <f ca="1"/>
        <v>86.269329259796322</v>
      </c>
      <c r="Q94" s="198">
        <v>0</v>
      </c>
      <c r="R94" s="200">
        <v>0</v>
      </c>
      <c r="S94" s="200">
        <v>0</v>
      </c>
      <c r="T94" s="200">
        <v>0</v>
      </c>
      <c r="U94" s="200">
        <f t="array" ref="U94">IF(U$77&gt;" ",(U$628:U$1078),"")</f>
        <v>0</v>
      </c>
      <c r="V94" s="200">
        <f t="array" ref="V94">IF(V$77&gt;" ",(V$628:V$1078),"")</f>
        <v>0</v>
      </c>
      <c r="W94" s="200">
        <f t="array" ref="W94">IF(W$77&gt;" ",(W$628:W$1078),"")</f>
        <v>0</v>
      </c>
      <c r="X94" s="200">
        <f t="array" ref="X94">IF(X$77&gt;" ",(X$628:X$1078),"")</f>
        <v>0</v>
      </c>
      <c r="Y94" s="204">
        <v>0</v>
      </c>
      <c r="Z94" s="198" t="str">
        <f t="shared" si="8"/>
        <v/>
      </c>
      <c r="AA94" s="198" t="str">
        <f t="shared" si="7"/>
        <v/>
      </c>
      <c r="AB94" s="198" t="str">
        <f t="shared" si="7"/>
        <v/>
      </c>
      <c r="AC94" s="198" t="str">
        <f t="shared" si="7"/>
        <v/>
      </c>
      <c r="AD94" s="198" t="str">
        <f t="shared" si="7"/>
        <v/>
      </c>
      <c r="AE94" s="198" t="str">
        <f t="shared" si="7"/>
        <v/>
      </c>
      <c r="AF94" s="198" t="str">
        <f t="shared" si="7"/>
        <v/>
      </c>
      <c r="AG94" s="198" t="str">
        <f t="shared" si="7"/>
        <v/>
      </c>
      <c r="AH94" s="198" t="str">
        <f t="shared" si="7"/>
        <v/>
      </c>
      <c r="AI94" s="200" t="str">
        <f t="shared" si="9"/>
        <v/>
      </c>
      <c r="AJ94" s="208" t="str">
        <f t="shared" si="10"/>
        <v/>
      </c>
      <c r="AK94" s="4"/>
      <c r="AL94" s="162">
        <v>2425</v>
      </c>
      <c r="AM94" s="209">
        <v>2.0017179099845295E-4</v>
      </c>
      <c r="AN94" s="183">
        <v>1.7183260852654926E-4</v>
      </c>
      <c r="AO94" s="183">
        <v>1.6632768644337132E-4</v>
      </c>
      <c r="AP94" s="165">
        <v>1.8357318111958623E-4</v>
      </c>
      <c r="AR94" s="210">
        <v>86.263346129968625</v>
      </c>
      <c r="AS94" s="211">
        <v>86.316788662497345</v>
      </c>
      <c r="AT94" s="211">
        <v>86.269329259796322</v>
      </c>
      <c r="AU94" s="211">
        <v>86.15152582787816</v>
      </c>
      <c r="AV94" s="211"/>
      <c r="AW94" s="212"/>
      <c r="AX94" s="210">
        <v>85.827983228315929</v>
      </c>
      <c r="AY94" s="211">
        <v>89.581908387338345</v>
      </c>
      <c r="AZ94" s="213">
        <v>98.623280816763923</v>
      </c>
    </row>
    <row r="95" spans="2:52" x14ac:dyDescent="0.25">
      <c r="D95" s="2" t="s">
        <v>168</v>
      </c>
      <c r="E95" s="217" t="e">
        <f>AVERAGE(E90:E94)</f>
        <v>#VALUE!</v>
      </c>
      <c r="F95" s="218" t="e">
        <f>AVERAGE(F90:F94)</f>
        <v>#VALUE!</v>
      </c>
      <c r="G95" s="218" t="e">
        <f>AVERAGE(G90:G94)</f>
        <v>#VALUE!</v>
      </c>
      <c r="L95" s="189">
        <v>2420</v>
      </c>
      <c r="M95" s="196">
        <f t="shared" ref="M95:N110" si="14">M644</f>
        <v>0</v>
      </c>
      <c r="N95" s="197">
        <f t="shared" si="14"/>
        <v>0</v>
      </c>
      <c r="O95" s="152">
        <f ca="1"/>
        <v>86.482509190167661</v>
      </c>
      <c r="Q95" s="198">
        <v>0</v>
      </c>
      <c r="R95" s="200">
        <v>0</v>
      </c>
      <c r="S95" s="200">
        <v>0</v>
      </c>
      <c r="T95" s="200">
        <v>0</v>
      </c>
      <c r="U95" s="200">
        <f t="array" ref="U95">IF(U$77&gt;" ",(U$628:U$1078),"")</f>
        <v>0</v>
      </c>
      <c r="V95" s="200">
        <f t="array" ref="V95">IF(V$77&gt;" ",(V$628:V$1078),"")</f>
        <v>0</v>
      </c>
      <c r="W95" s="200">
        <f t="array" ref="W95">IF(W$77&gt;" ",(W$628:W$1078),"")</f>
        <v>0</v>
      </c>
      <c r="X95" s="200">
        <f t="array" ref="X95">IF(X$77&gt;" ",(X$628:X$1078),"")</f>
        <v>0</v>
      </c>
      <c r="Y95" s="204">
        <v>0</v>
      </c>
      <c r="Z95" s="198" t="str">
        <f t="shared" si="8"/>
        <v/>
      </c>
      <c r="AA95" s="198" t="str">
        <f t="shared" si="8"/>
        <v/>
      </c>
      <c r="AB95" s="198" t="str">
        <f t="shared" si="8"/>
        <v/>
      </c>
      <c r="AC95" s="198" t="str">
        <f t="shared" si="8"/>
        <v/>
      </c>
      <c r="AD95" s="198" t="str">
        <f t="shared" si="8"/>
        <v/>
      </c>
      <c r="AE95" s="198" t="str">
        <f t="shared" ref="AE95:AH158" si="15">IF(AND(V95&gt;0,V95&lt;999),(V95-$M95)/($N95-$M95)*$O95,"")</f>
        <v/>
      </c>
      <c r="AF95" s="198" t="str">
        <f t="shared" si="15"/>
        <v/>
      </c>
      <c r="AG95" s="198" t="str">
        <f t="shared" si="15"/>
        <v/>
      </c>
      <c r="AH95" s="198" t="str">
        <f t="shared" si="15"/>
        <v/>
      </c>
      <c r="AI95" s="200" t="str">
        <f t="shared" si="9"/>
        <v/>
      </c>
      <c r="AJ95" s="208" t="str">
        <f t="shared" si="10"/>
        <v/>
      </c>
      <c r="AK95" s="4"/>
      <c r="AL95" s="162">
        <v>2420</v>
      </c>
      <c r="AM95" s="209">
        <v>2.1404508344389028E-4</v>
      </c>
      <c r="AN95" s="183">
        <v>1.8214756744304835E-4</v>
      </c>
      <c r="AO95" s="183">
        <v>1.3370376632593393E-4</v>
      </c>
      <c r="AP95" s="165">
        <v>1.4750996609810542E-4</v>
      </c>
      <c r="AR95" s="210">
        <v>86.483588884145973</v>
      </c>
      <c r="AS95" s="211">
        <v>86.523335118722613</v>
      </c>
      <c r="AT95" s="211">
        <v>86.482509190167661</v>
      </c>
      <c r="AU95" s="211">
        <v>86.358141940040767</v>
      </c>
      <c r="AV95" s="211"/>
      <c r="AW95" s="212"/>
      <c r="AX95" s="210">
        <v>86.103414514846463</v>
      </c>
      <c r="AY95" s="211">
        <v>89.775636013728374</v>
      </c>
      <c r="AZ95" s="213">
        <v>98.794538912754746</v>
      </c>
    </row>
    <row r="96" spans="2:52" x14ac:dyDescent="0.25">
      <c r="L96" s="189">
        <v>2415</v>
      </c>
      <c r="M96" s="196">
        <f t="shared" si="14"/>
        <v>0</v>
      </c>
      <c r="N96" s="197">
        <f t="shared" si="14"/>
        <v>0</v>
      </c>
      <c r="O96" s="152">
        <f ca="1"/>
        <v>86.713097611734199</v>
      </c>
      <c r="Q96" s="198">
        <v>0</v>
      </c>
      <c r="R96" s="200">
        <v>0</v>
      </c>
      <c r="S96" s="200">
        <v>0</v>
      </c>
      <c r="T96" s="200">
        <v>0</v>
      </c>
      <c r="U96" s="200">
        <f t="array" ref="U96">IF(U$77&gt;" ",(U$628:U$1078),"")</f>
        <v>0</v>
      </c>
      <c r="V96" s="200">
        <f t="array" ref="V96">IF(V$77&gt;" ",(V$628:V$1078),"")</f>
        <v>0</v>
      </c>
      <c r="W96" s="200">
        <f t="array" ref="W96">IF(W$77&gt;" ",(W$628:W$1078),"")</f>
        <v>0</v>
      </c>
      <c r="X96" s="200">
        <f t="array" ref="X96">IF(X$77&gt;" ",(X$628:X$1078),"")</f>
        <v>0</v>
      </c>
      <c r="Y96" s="204">
        <v>0</v>
      </c>
      <c r="Z96" s="198" t="str">
        <f t="shared" si="8"/>
        <v/>
      </c>
      <c r="AA96" s="198" t="str">
        <f t="shared" si="8"/>
        <v/>
      </c>
      <c r="AB96" s="198" t="str">
        <f t="shared" si="8"/>
        <v/>
      </c>
      <c r="AC96" s="198" t="str">
        <f t="shared" si="8"/>
        <v/>
      </c>
      <c r="AD96" s="198" t="str">
        <f t="shared" si="8"/>
        <v/>
      </c>
      <c r="AE96" s="198" t="str">
        <f t="shared" si="15"/>
        <v/>
      </c>
      <c r="AF96" s="198" t="str">
        <f t="shared" si="15"/>
        <v/>
      </c>
      <c r="AG96" s="198" t="str">
        <f t="shared" si="15"/>
        <v/>
      </c>
      <c r="AH96" s="198" t="str">
        <f t="shared" si="15"/>
        <v/>
      </c>
      <c r="AI96" s="200" t="str">
        <f t="shared" si="9"/>
        <v/>
      </c>
      <c r="AJ96" s="208" t="str">
        <f t="shared" si="10"/>
        <v/>
      </c>
      <c r="AK96" s="4"/>
      <c r="AL96" s="162">
        <v>2415</v>
      </c>
      <c r="AM96" s="209">
        <v>2.2791837588932763E-4</v>
      </c>
      <c r="AN96" s="183">
        <v>1.9246252635954749E-4</v>
      </c>
      <c r="AO96" s="183">
        <v>1.3727389321918003E-4</v>
      </c>
      <c r="AP96" s="165">
        <v>1.5142744755605649E-4</v>
      </c>
      <c r="AR96" s="210">
        <v>86.718253340947072</v>
      </c>
      <c r="AS96" s="211">
        <v>86.765935411772261</v>
      </c>
      <c r="AT96" s="211">
        <v>86.713097611734199</v>
      </c>
      <c r="AU96" s="211">
        <v>86.593639702847057</v>
      </c>
      <c r="AV96" s="211"/>
      <c r="AW96" s="212"/>
      <c r="AX96" s="210">
        <v>86.280509782876337</v>
      </c>
      <c r="AY96" s="211">
        <v>89.917874165708398</v>
      </c>
      <c r="AZ96" s="213">
        <v>98.771735683831849</v>
      </c>
    </row>
    <row r="97" spans="2:52" ht="13" x14ac:dyDescent="0.3">
      <c r="B97" s="221" t="s">
        <v>171</v>
      </c>
      <c r="C97" s="97"/>
      <c r="L97" s="189">
        <v>2410</v>
      </c>
      <c r="M97" s="196">
        <f t="shared" si="14"/>
        <v>0</v>
      </c>
      <c r="N97" s="197">
        <f t="shared" si="14"/>
        <v>0</v>
      </c>
      <c r="O97" s="152">
        <f ca="1"/>
        <v>86.971702428331355</v>
      </c>
      <c r="Q97" s="198">
        <v>0</v>
      </c>
      <c r="R97" s="200">
        <v>0</v>
      </c>
      <c r="S97" s="200">
        <v>0</v>
      </c>
      <c r="T97" s="200">
        <v>0</v>
      </c>
      <c r="U97" s="200">
        <f t="array" ref="U97">IF(U$77&gt;" ",(U$628:U$1078),"")</f>
        <v>0</v>
      </c>
      <c r="V97" s="200">
        <f t="array" ref="V97">IF(V$77&gt;" ",(V$628:V$1078),"")</f>
        <v>0</v>
      </c>
      <c r="W97" s="200">
        <f t="array" ref="W97">IF(W$77&gt;" ",(W$628:W$1078),"")</f>
        <v>0</v>
      </c>
      <c r="X97" s="200">
        <f t="array" ref="X97">IF(X$77&gt;" ",(X$628:X$1078),"")</f>
        <v>0</v>
      </c>
      <c r="Y97" s="204">
        <v>0</v>
      </c>
      <c r="Z97" s="198" t="str">
        <f t="shared" si="8"/>
        <v/>
      </c>
      <c r="AA97" s="198" t="str">
        <f t="shared" si="8"/>
        <v/>
      </c>
      <c r="AB97" s="198" t="str">
        <f t="shared" si="8"/>
        <v/>
      </c>
      <c r="AC97" s="198" t="str">
        <f t="shared" si="8"/>
        <v/>
      </c>
      <c r="AD97" s="198" t="str">
        <f t="shared" si="8"/>
        <v/>
      </c>
      <c r="AE97" s="198" t="str">
        <f t="shared" si="15"/>
        <v/>
      </c>
      <c r="AF97" s="198" t="str">
        <f t="shared" si="15"/>
        <v/>
      </c>
      <c r="AG97" s="198" t="str">
        <f t="shared" si="15"/>
        <v/>
      </c>
      <c r="AH97" s="198" t="str">
        <f t="shared" si="15"/>
        <v/>
      </c>
      <c r="AI97" s="200" t="str">
        <f t="shared" si="9"/>
        <v/>
      </c>
      <c r="AJ97" s="208" t="str">
        <f t="shared" si="10"/>
        <v/>
      </c>
      <c r="AK97" s="4"/>
      <c r="AL97" s="162">
        <v>2410</v>
      </c>
      <c r="AM97" s="209">
        <v>2.4179166833476496E-4</v>
      </c>
      <c r="AN97" s="183">
        <v>2.0277748527604657E-4</v>
      </c>
      <c r="AO97" s="183">
        <v>1.7002352203004156E-4</v>
      </c>
      <c r="AP97" s="165">
        <v>1.8750185538170288E-4</v>
      </c>
      <c r="AR97" s="210">
        <v>86.988582816588675</v>
      </c>
      <c r="AS97" s="211">
        <v>87.030430006639776</v>
      </c>
      <c r="AT97" s="211">
        <v>86.971702428331355</v>
      </c>
      <c r="AU97" s="211">
        <v>86.854584205611886</v>
      </c>
      <c r="AV97" s="211"/>
      <c r="AW97" s="212"/>
      <c r="AX97" s="210">
        <v>86.540863557161174</v>
      </c>
      <c r="AY97" s="211">
        <v>90.090031460010053</v>
      </c>
      <c r="AZ97" s="213">
        <v>98.172788825518111</v>
      </c>
    </row>
    <row r="98" spans="2:52" x14ac:dyDescent="0.25">
      <c r="B98" s="106" t="s">
        <v>172</v>
      </c>
      <c r="C98" s="111"/>
      <c r="L98" s="189">
        <v>2405</v>
      </c>
      <c r="M98" s="196">
        <f t="shared" si="14"/>
        <v>0</v>
      </c>
      <c r="N98" s="197">
        <f t="shared" si="14"/>
        <v>0</v>
      </c>
      <c r="O98" s="152">
        <f ca="1"/>
        <v>87.136062344336423</v>
      </c>
      <c r="Q98" s="198">
        <v>0</v>
      </c>
      <c r="R98" s="200">
        <v>0</v>
      </c>
      <c r="S98" s="200">
        <v>0</v>
      </c>
      <c r="T98" s="200">
        <v>0</v>
      </c>
      <c r="U98" s="200">
        <f t="array" ref="U98">IF(U$77&gt;" ",(U$628:U$1078),"")</f>
        <v>0</v>
      </c>
      <c r="V98" s="200">
        <f t="array" ref="V98">IF(V$77&gt;" ",(V$628:V$1078),"")</f>
        <v>0</v>
      </c>
      <c r="W98" s="200">
        <f t="array" ref="W98">IF(W$77&gt;" ",(W$628:W$1078),"")</f>
        <v>0</v>
      </c>
      <c r="X98" s="200">
        <f t="array" ref="X98">IF(X$77&gt;" ",(X$628:X$1078),"")</f>
        <v>0</v>
      </c>
      <c r="Y98" s="204">
        <v>0</v>
      </c>
      <c r="Z98" s="198" t="str">
        <f t="shared" si="8"/>
        <v/>
      </c>
      <c r="AA98" s="198" t="str">
        <f t="shared" si="8"/>
        <v/>
      </c>
      <c r="AB98" s="198" t="str">
        <f t="shared" si="8"/>
        <v/>
      </c>
      <c r="AC98" s="198" t="str">
        <f t="shared" si="8"/>
        <v/>
      </c>
      <c r="AD98" s="198" t="str">
        <f t="shared" si="8"/>
        <v/>
      </c>
      <c r="AE98" s="198" t="str">
        <f t="shared" si="15"/>
        <v/>
      </c>
      <c r="AF98" s="198" t="str">
        <f t="shared" si="15"/>
        <v/>
      </c>
      <c r="AG98" s="198" t="str">
        <f t="shared" si="15"/>
        <v/>
      </c>
      <c r="AH98" s="198" t="str">
        <f t="shared" si="15"/>
        <v/>
      </c>
      <c r="AI98" s="200" t="str">
        <f t="shared" si="9"/>
        <v/>
      </c>
      <c r="AJ98" s="208" t="str">
        <f t="shared" si="10"/>
        <v/>
      </c>
      <c r="AK98" s="4"/>
      <c r="AL98" s="162">
        <v>2405</v>
      </c>
      <c r="AM98" s="209">
        <v>2.5566496078020232E-4</v>
      </c>
      <c r="AN98" s="183">
        <v>2.1309244419254574E-4</v>
      </c>
      <c r="AO98" s="183">
        <v>1.6894745561433074E-4</v>
      </c>
      <c r="AP98" s="165">
        <v>1.8628183972765528E-4</v>
      </c>
      <c r="AR98" s="210">
        <v>87.133572359924344</v>
      </c>
      <c r="AS98" s="211">
        <v>87.190068087328072</v>
      </c>
      <c r="AT98" s="211">
        <v>87.136062344336423</v>
      </c>
      <c r="AU98" s="211">
        <v>87.011024748724594</v>
      </c>
      <c r="AV98" s="211"/>
      <c r="AW98" s="212"/>
      <c r="AX98" s="210">
        <v>86.65953789665059</v>
      </c>
      <c r="AY98" s="211">
        <v>90.180239754971851</v>
      </c>
      <c r="AZ98" s="213">
        <v>98.560303604037273</v>
      </c>
    </row>
    <row r="99" spans="2:52" x14ac:dyDescent="0.25">
      <c r="B99" s="167" t="s">
        <v>155</v>
      </c>
      <c r="C99" s="195"/>
      <c r="L99" s="189">
        <v>2400</v>
      </c>
      <c r="M99" s="196">
        <f t="shared" si="14"/>
        <v>0</v>
      </c>
      <c r="N99" s="197">
        <f t="shared" si="14"/>
        <v>0</v>
      </c>
      <c r="O99" s="152">
        <f ca="1"/>
        <v>87.280247320222315</v>
      </c>
      <c r="Q99" s="198">
        <v>0</v>
      </c>
      <c r="R99" s="200">
        <v>0</v>
      </c>
      <c r="S99" s="200">
        <v>0</v>
      </c>
      <c r="T99" s="200">
        <v>0</v>
      </c>
      <c r="U99" s="200">
        <f t="array" ref="U99">IF(U$77&gt;" ",(U$628:U$1078),"")</f>
        <v>0</v>
      </c>
      <c r="V99" s="200">
        <f t="array" ref="V99">IF(V$77&gt;" ",(V$628:V$1078),"")</f>
        <v>0</v>
      </c>
      <c r="W99" s="200">
        <f t="array" ref="W99">IF(W$77&gt;" ",(W$628:W$1078),"")</f>
        <v>0</v>
      </c>
      <c r="X99" s="200">
        <f t="array" ref="X99">IF(X$77&gt;" ",(X$628:X$1078),"")</f>
        <v>0</v>
      </c>
      <c r="Y99" s="204">
        <v>0</v>
      </c>
      <c r="Z99" s="198" t="str">
        <f t="shared" si="8"/>
        <v/>
      </c>
      <c r="AA99" s="198" t="str">
        <f t="shared" si="8"/>
        <v/>
      </c>
      <c r="AB99" s="198" t="str">
        <f t="shared" si="8"/>
        <v/>
      </c>
      <c r="AC99" s="198" t="str">
        <f t="shared" si="8"/>
        <v/>
      </c>
      <c r="AD99" s="198" t="str">
        <f t="shared" si="8"/>
        <v/>
      </c>
      <c r="AE99" s="198" t="str">
        <f t="shared" si="15"/>
        <v/>
      </c>
      <c r="AF99" s="198" t="str">
        <f t="shared" si="15"/>
        <v/>
      </c>
      <c r="AG99" s="198" t="str">
        <f t="shared" si="15"/>
        <v/>
      </c>
      <c r="AH99" s="198" t="str">
        <f t="shared" si="15"/>
        <v/>
      </c>
      <c r="AI99" s="200" t="str">
        <f t="shared" si="9"/>
        <v/>
      </c>
      <c r="AJ99" s="208" t="str">
        <f t="shared" si="10"/>
        <v/>
      </c>
      <c r="AK99" s="4"/>
      <c r="AL99" s="162">
        <v>2400</v>
      </c>
      <c r="AM99" s="209">
        <v>2.6953825322563961E-4</v>
      </c>
      <c r="AN99" s="183">
        <v>2.2340740310904483E-4</v>
      </c>
      <c r="AO99" s="183">
        <v>2.220015525870622E-4</v>
      </c>
      <c r="AP99" s="165">
        <v>2.4470827747195378E-4</v>
      </c>
      <c r="AR99" s="210">
        <v>87.270869503547829</v>
      </c>
      <c r="AS99" s="211">
        <v>87.327069179102537</v>
      </c>
      <c r="AT99" s="211">
        <v>87.280247320222315</v>
      </c>
      <c r="AU99" s="211">
        <v>87.150907397055747</v>
      </c>
      <c r="AV99" s="211"/>
      <c r="AW99" s="212"/>
      <c r="AX99" s="210">
        <v>86.81565084153317</v>
      </c>
      <c r="AY99" s="211">
        <v>90.304020431470349</v>
      </c>
      <c r="AZ99" s="213">
        <v>98.826265926502515</v>
      </c>
    </row>
    <row r="100" spans="2:52" x14ac:dyDescent="0.25">
      <c r="B100" s="167" t="s">
        <v>159</v>
      </c>
      <c r="C100" s="195"/>
      <c r="L100" s="189">
        <v>2395</v>
      </c>
      <c r="M100" s="196">
        <f t="shared" si="14"/>
        <v>0</v>
      </c>
      <c r="N100" s="197">
        <f t="shared" si="14"/>
        <v>0</v>
      </c>
      <c r="O100" s="152">
        <f ca="1"/>
        <v>87.357613956991329</v>
      </c>
      <c r="Q100" s="198">
        <v>0</v>
      </c>
      <c r="R100" s="200">
        <v>0</v>
      </c>
      <c r="S100" s="200">
        <v>0</v>
      </c>
      <c r="T100" s="200">
        <v>0</v>
      </c>
      <c r="U100" s="200">
        <f t="array" ref="U100">IF(U$77&gt;" ",(U$628:U$1078),"")</f>
        <v>0</v>
      </c>
      <c r="V100" s="200">
        <f t="array" ref="V100">IF(V$77&gt;" ",(V$628:V$1078),"")</f>
        <v>0</v>
      </c>
      <c r="W100" s="200">
        <f t="array" ref="W100">IF(W$77&gt;" ",(W$628:W$1078),"")</f>
        <v>0</v>
      </c>
      <c r="X100" s="200">
        <f t="array" ref="X100">IF(X$77&gt;" ",(X$628:X$1078),"")</f>
        <v>0</v>
      </c>
      <c r="Y100" s="204">
        <v>0</v>
      </c>
      <c r="Z100" s="198" t="str">
        <f t="shared" si="8"/>
        <v/>
      </c>
      <c r="AA100" s="198" t="str">
        <f t="shared" si="8"/>
        <v/>
      </c>
      <c r="AB100" s="198" t="str">
        <f t="shared" si="8"/>
        <v/>
      </c>
      <c r="AC100" s="198" t="str">
        <f t="shared" si="8"/>
        <v/>
      </c>
      <c r="AD100" s="198" t="str">
        <f t="shared" si="8"/>
        <v/>
      </c>
      <c r="AE100" s="198" t="str">
        <f t="shared" si="15"/>
        <v/>
      </c>
      <c r="AF100" s="198" t="str">
        <f t="shared" si="15"/>
        <v/>
      </c>
      <c r="AG100" s="198" t="str">
        <f t="shared" si="15"/>
        <v/>
      </c>
      <c r="AH100" s="198" t="str">
        <f t="shared" si="15"/>
        <v/>
      </c>
      <c r="AI100" s="200" t="str">
        <f t="shared" si="9"/>
        <v/>
      </c>
      <c r="AJ100" s="208" t="str">
        <f t="shared" si="10"/>
        <v/>
      </c>
      <c r="AK100" s="4"/>
      <c r="AL100" s="162">
        <v>2395</v>
      </c>
      <c r="AM100" s="209">
        <v>2.8341154567107697E-4</v>
      </c>
      <c r="AN100" s="183">
        <v>2.3271187623449989E-4</v>
      </c>
      <c r="AO100" s="183">
        <v>2.0412074803441001E-4</v>
      </c>
      <c r="AP100" s="165">
        <v>2.2496976732596329E-4</v>
      </c>
      <c r="AR100" s="210">
        <v>87.371071185240197</v>
      </c>
      <c r="AS100" s="211">
        <v>87.410503213151415</v>
      </c>
      <c r="AT100" s="211">
        <v>87.357613956991329</v>
      </c>
      <c r="AU100" s="211">
        <v>87.229787068213625</v>
      </c>
      <c r="AV100" s="211"/>
      <c r="AW100" s="212"/>
      <c r="AX100" s="210">
        <v>86.942117600136498</v>
      </c>
      <c r="AY100" s="211">
        <v>90.392245334467376</v>
      </c>
      <c r="AZ100" s="213">
        <v>98.893593212337819</v>
      </c>
    </row>
    <row r="101" spans="2:52" x14ac:dyDescent="0.25">
      <c r="B101" s="167" t="s">
        <v>165</v>
      </c>
      <c r="C101" s="195"/>
      <c r="L101" s="189">
        <v>2390</v>
      </c>
      <c r="M101" s="196">
        <f t="shared" si="14"/>
        <v>0</v>
      </c>
      <c r="N101" s="197">
        <f t="shared" si="14"/>
        <v>0</v>
      </c>
      <c r="O101" s="152">
        <f ca="1"/>
        <v>87.496914175585331</v>
      </c>
      <c r="Q101" s="198">
        <v>0</v>
      </c>
      <c r="R101" s="200">
        <v>0</v>
      </c>
      <c r="S101" s="200">
        <v>0</v>
      </c>
      <c r="T101" s="200">
        <v>0</v>
      </c>
      <c r="U101" s="200">
        <f t="array" ref="U101">IF(U$77&gt;" ",(U$628:U$1078),"")</f>
        <v>0</v>
      </c>
      <c r="V101" s="200">
        <f t="array" ref="V101">IF(V$77&gt;" ",(V$628:V$1078),"")</f>
        <v>0</v>
      </c>
      <c r="W101" s="200">
        <f t="array" ref="W101">IF(W$77&gt;" ",(W$628:W$1078),"")</f>
        <v>0</v>
      </c>
      <c r="X101" s="200">
        <f t="array" ref="X101">IF(X$77&gt;" ",(X$628:X$1078),"")</f>
        <v>0</v>
      </c>
      <c r="Y101" s="204">
        <v>0</v>
      </c>
      <c r="Z101" s="198" t="str">
        <f t="shared" si="8"/>
        <v/>
      </c>
      <c r="AA101" s="198" t="str">
        <f t="shared" si="8"/>
        <v/>
      </c>
      <c r="AB101" s="198" t="str">
        <f t="shared" si="8"/>
        <v/>
      </c>
      <c r="AC101" s="198" t="str">
        <f t="shared" si="8"/>
        <v/>
      </c>
      <c r="AD101" s="198" t="str">
        <f t="shared" si="8"/>
        <v/>
      </c>
      <c r="AE101" s="198" t="str">
        <f t="shared" si="15"/>
        <v/>
      </c>
      <c r="AF101" s="198" t="str">
        <f t="shared" si="15"/>
        <v/>
      </c>
      <c r="AG101" s="198" t="str">
        <f t="shared" si="15"/>
        <v/>
      </c>
      <c r="AH101" s="198" t="str">
        <f t="shared" si="15"/>
        <v/>
      </c>
      <c r="AI101" s="200" t="str">
        <f t="shared" si="9"/>
        <v/>
      </c>
      <c r="AJ101" s="208" t="str">
        <f t="shared" si="10"/>
        <v/>
      </c>
      <c r="AK101" s="4"/>
      <c r="AL101" s="162">
        <v>2390</v>
      </c>
      <c r="AM101" s="209">
        <v>2.9728483811651427E-4</v>
      </c>
      <c r="AN101" s="183">
        <v>2.4201634935995495E-4</v>
      </c>
      <c r="AO101" s="183">
        <v>1.8659695617108247E-4</v>
      </c>
      <c r="AP101" s="165">
        <v>2.0565658373826462E-4</v>
      </c>
      <c r="AR101" s="210">
        <v>87.514256790573469</v>
      </c>
      <c r="AS101" s="211">
        <v>87.553269288119324</v>
      </c>
      <c r="AT101" s="211">
        <v>87.496914175585331</v>
      </c>
      <c r="AU101" s="211">
        <v>87.376555756673426</v>
      </c>
      <c r="AV101" s="211"/>
      <c r="AW101" s="212"/>
      <c r="AX101" s="210">
        <v>87.046240747749835</v>
      </c>
      <c r="AY101" s="211">
        <v>90.454869022753144</v>
      </c>
      <c r="AZ101" s="213">
        <v>98.910343394127466</v>
      </c>
    </row>
    <row r="102" spans="2:52" x14ac:dyDescent="0.25">
      <c r="B102" s="214" t="s">
        <v>166</v>
      </c>
      <c r="C102" s="215"/>
      <c r="L102" s="189">
        <v>2385</v>
      </c>
      <c r="M102" s="196">
        <f t="shared" si="14"/>
        <v>0</v>
      </c>
      <c r="N102" s="197">
        <f t="shared" si="14"/>
        <v>0</v>
      </c>
      <c r="O102" s="152">
        <f ca="1"/>
        <v>87.631258301848632</v>
      </c>
      <c r="Q102" s="198">
        <v>0</v>
      </c>
      <c r="R102" s="200">
        <v>0</v>
      </c>
      <c r="S102" s="200">
        <v>0</v>
      </c>
      <c r="T102" s="200">
        <v>0</v>
      </c>
      <c r="U102" s="200">
        <f t="array" ref="U102">IF(U$77&gt;" ",(U$628:U$1078),"")</f>
        <v>0</v>
      </c>
      <c r="V102" s="200">
        <f t="array" ref="V102">IF(V$77&gt;" ",(V$628:V$1078),"")</f>
        <v>0</v>
      </c>
      <c r="W102" s="200">
        <f t="array" ref="W102">IF(W$77&gt;" ",(W$628:W$1078),"")</f>
        <v>0</v>
      </c>
      <c r="X102" s="200">
        <f t="array" ref="X102">IF(X$77&gt;" ",(X$628:X$1078),"")</f>
        <v>0</v>
      </c>
      <c r="Y102" s="204">
        <v>0</v>
      </c>
      <c r="Z102" s="198" t="str">
        <f t="shared" si="8"/>
        <v/>
      </c>
      <c r="AA102" s="198" t="str">
        <f t="shared" si="8"/>
        <v/>
      </c>
      <c r="AB102" s="198" t="str">
        <f t="shared" si="8"/>
        <v/>
      </c>
      <c r="AC102" s="198" t="str">
        <f t="shared" si="8"/>
        <v/>
      </c>
      <c r="AD102" s="198" t="str">
        <f t="shared" si="8"/>
        <v/>
      </c>
      <c r="AE102" s="198" t="str">
        <f t="shared" si="15"/>
        <v/>
      </c>
      <c r="AF102" s="198" t="str">
        <f t="shared" si="15"/>
        <v/>
      </c>
      <c r="AG102" s="198" t="str">
        <f t="shared" si="15"/>
        <v/>
      </c>
      <c r="AH102" s="198" t="str">
        <f t="shared" si="15"/>
        <v/>
      </c>
      <c r="AI102" s="200" t="str">
        <f t="shared" si="9"/>
        <v/>
      </c>
      <c r="AJ102" s="208" t="str">
        <f t="shared" si="10"/>
        <v/>
      </c>
      <c r="AK102" s="4"/>
      <c r="AL102" s="162">
        <v>2385</v>
      </c>
      <c r="AM102" s="209">
        <v>3.1115813056195162E-4</v>
      </c>
      <c r="AN102" s="183">
        <v>2.5132082248541005E-4</v>
      </c>
      <c r="AO102" s="183">
        <v>1.550038473397232E-4</v>
      </c>
      <c r="AP102" s="165">
        <v>1.7083017357707975E-4</v>
      </c>
      <c r="AR102" s="210">
        <v>87.629749144075603</v>
      </c>
      <c r="AS102" s="211">
        <v>87.682703813489567</v>
      </c>
      <c r="AT102" s="211">
        <v>87.631258301848632</v>
      </c>
      <c r="AU102" s="211">
        <v>87.507943343371679</v>
      </c>
      <c r="AV102" s="211"/>
      <c r="AW102" s="212"/>
      <c r="AX102" s="210">
        <v>87.240930434815979</v>
      </c>
      <c r="AY102" s="211">
        <v>90.628120207159327</v>
      </c>
      <c r="AZ102" s="213">
        <v>99.181169968062989</v>
      </c>
    </row>
    <row r="103" spans="2:52" x14ac:dyDescent="0.25">
      <c r="B103" s="188"/>
      <c r="C103" s="222"/>
      <c r="L103" s="189">
        <v>2380</v>
      </c>
      <c r="M103" s="196">
        <f t="shared" si="14"/>
        <v>0</v>
      </c>
      <c r="N103" s="197">
        <f t="shared" si="14"/>
        <v>0</v>
      </c>
      <c r="O103" s="152">
        <f ca="1"/>
        <v>87.734900914679926</v>
      </c>
      <c r="Q103" s="198">
        <v>0</v>
      </c>
      <c r="R103" s="200">
        <v>0</v>
      </c>
      <c r="S103" s="200">
        <v>0</v>
      </c>
      <c r="T103" s="200">
        <v>0</v>
      </c>
      <c r="U103" s="200">
        <f t="array" ref="U103">IF(U$77&gt;" ",(U$628:U$1078),"")</f>
        <v>0</v>
      </c>
      <c r="V103" s="200">
        <f t="array" ref="V103">IF(V$77&gt;" ",(V$628:V$1078),"")</f>
        <v>0</v>
      </c>
      <c r="W103" s="200">
        <f t="array" ref="W103">IF(W$77&gt;" ",(W$628:W$1078),"")</f>
        <v>0</v>
      </c>
      <c r="X103" s="200">
        <f t="array" ref="X103">IF(X$77&gt;" ",(X$628:X$1078),"")</f>
        <v>0</v>
      </c>
      <c r="Y103" s="204">
        <v>0</v>
      </c>
      <c r="Z103" s="198" t="str">
        <f t="shared" si="8"/>
        <v/>
      </c>
      <c r="AA103" s="198" t="str">
        <f t="shared" si="8"/>
        <v/>
      </c>
      <c r="AB103" s="198" t="str">
        <f t="shared" si="8"/>
        <v/>
      </c>
      <c r="AC103" s="198" t="str">
        <f t="shared" si="8"/>
        <v/>
      </c>
      <c r="AD103" s="198" t="str">
        <f t="shared" si="8"/>
        <v/>
      </c>
      <c r="AE103" s="198" t="str">
        <f t="shared" si="15"/>
        <v/>
      </c>
      <c r="AF103" s="198" t="str">
        <f t="shared" si="15"/>
        <v/>
      </c>
      <c r="AG103" s="198" t="str">
        <f t="shared" si="15"/>
        <v/>
      </c>
      <c r="AH103" s="198" t="str">
        <f t="shared" si="15"/>
        <v/>
      </c>
      <c r="AI103" s="200" t="str">
        <f t="shared" si="9"/>
        <v/>
      </c>
      <c r="AJ103" s="208" t="str">
        <f t="shared" si="10"/>
        <v/>
      </c>
      <c r="AK103" s="4"/>
      <c r="AL103" s="162">
        <v>2380</v>
      </c>
      <c r="AM103" s="209">
        <v>3.2503142300738898E-4</v>
      </c>
      <c r="AN103" s="183">
        <v>2.6062529561086511E-4</v>
      </c>
      <c r="AO103" s="183">
        <v>2.1396625290339005E-4</v>
      </c>
      <c r="AP103" s="165">
        <v>2.3576522694365983E-4</v>
      </c>
      <c r="AR103" s="210">
        <v>87.739929279014788</v>
      </c>
      <c r="AS103" s="211">
        <v>87.792157223239585</v>
      </c>
      <c r="AT103" s="211">
        <v>87.734900914679926</v>
      </c>
      <c r="AU103" s="211">
        <v>87.611136107184507</v>
      </c>
      <c r="AV103" s="211"/>
      <c r="AW103" s="212"/>
      <c r="AX103" s="210">
        <v>87.39831800423714</v>
      </c>
      <c r="AY103" s="211">
        <v>90.757532057752954</v>
      </c>
      <c r="AZ103" s="213">
        <v>99.187082938358614</v>
      </c>
    </row>
    <row r="104" spans="2:52" x14ac:dyDescent="0.25">
      <c r="B104" s="106" t="s">
        <v>173</v>
      </c>
      <c r="C104" s="219"/>
      <c r="L104" s="189">
        <v>2375</v>
      </c>
      <c r="M104" s="196">
        <f t="shared" si="14"/>
        <v>0</v>
      </c>
      <c r="N104" s="197">
        <f t="shared" si="14"/>
        <v>0</v>
      </c>
      <c r="O104" s="152">
        <f ca="1"/>
        <v>87.830818142694326</v>
      </c>
      <c r="Q104" s="198">
        <v>0</v>
      </c>
      <c r="R104" s="200">
        <v>0</v>
      </c>
      <c r="S104" s="200">
        <v>0</v>
      </c>
      <c r="T104" s="200">
        <v>0</v>
      </c>
      <c r="U104" s="200">
        <f t="array" ref="U104">IF(U$77&gt;" ",(U$628:U$1078),"")</f>
        <v>0</v>
      </c>
      <c r="V104" s="200">
        <f t="array" ref="V104">IF(V$77&gt;" ",(V$628:V$1078),"")</f>
        <v>0</v>
      </c>
      <c r="W104" s="200">
        <f t="array" ref="W104">IF(W$77&gt;" ",(W$628:W$1078),"")</f>
        <v>0</v>
      </c>
      <c r="X104" s="200">
        <f t="array" ref="X104">IF(X$77&gt;" ",(X$628:X$1078),"")</f>
        <v>0</v>
      </c>
      <c r="Y104" s="204">
        <v>0</v>
      </c>
      <c r="Z104" s="198" t="str">
        <f t="shared" si="8"/>
        <v/>
      </c>
      <c r="AA104" s="198" t="str">
        <f t="shared" si="8"/>
        <v/>
      </c>
      <c r="AB104" s="198" t="str">
        <f t="shared" si="8"/>
        <v/>
      </c>
      <c r="AC104" s="198" t="str">
        <f t="shared" si="8"/>
        <v/>
      </c>
      <c r="AD104" s="198" t="str">
        <f t="shared" si="8"/>
        <v/>
      </c>
      <c r="AE104" s="198" t="str">
        <f t="shared" si="15"/>
        <v/>
      </c>
      <c r="AF104" s="198" t="str">
        <f t="shared" si="15"/>
        <v/>
      </c>
      <c r="AG104" s="198" t="str">
        <f t="shared" si="15"/>
        <v/>
      </c>
      <c r="AH104" s="198" t="str">
        <f t="shared" si="15"/>
        <v/>
      </c>
      <c r="AI104" s="200" t="str">
        <f t="shared" si="9"/>
        <v/>
      </c>
      <c r="AJ104" s="208" t="str">
        <f t="shared" si="10"/>
        <v/>
      </c>
      <c r="AK104" s="4"/>
      <c r="AL104" s="162">
        <v>2375</v>
      </c>
      <c r="AM104" s="209">
        <v>3.3890471545282628E-4</v>
      </c>
      <c r="AN104" s="183">
        <v>2.6992976873632018E-4</v>
      </c>
      <c r="AO104" s="183">
        <v>2.2198646754385129E-4</v>
      </c>
      <c r="AP104" s="165">
        <v>2.4458515662613249E-4</v>
      </c>
      <c r="AR104" s="210">
        <v>87.830516520004309</v>
      </c>
      <c r="AS104" s="211">
        <v>87.884808604210448</v>
      </c>
      <c r="AT104" s="211">
        <v>87.830818142694326</v>
      </c>
      <c r="AU104" s="211">
        <v>87.701958226785322</v>
      </c>
      <c r="AV104" s="211"/>
      <c r="AW104" s="212"/>
      <c r="AX104" s="210">
        <v>87.45100271188339</v>
      </c>
      <c r="AY104" s="211">
        <v>90.80041544506031</v>
      </c>
      <c r="AZ104" s="213">
        <v>98.582590369600638</v>
      </c>
    </row>
    <row r="105" spans="2:52" x14ac:dyDescent="0.25">
      <c r="B105" s="167" t="s">
        <v>155</v>
      </c>
      <c r="C105" s="195"/>
      <c r="L105" s="189">
        <v>2370</v>
      </c>
      <c r="M105" s="196">
        <f t="shared" si="14"/>
        <v>0</v>
      </c>
      <c r="N105" s="197">
        <f t="shared" si="14"/>
        <v>0</v>
      </c>
      <c r="O105" s="152">
        <f ca="1"/>
        <v>87.782456173477627</v>
      </c>
      <c r="Q105" s="198">
        <v>0</v>
      </c>
      <c r="R105" s="200">
        <v>0</v>
      </c>
      <c r="S105" s="200">
        <v>0</v>
      </c>
      <c r="T105" s="200">
        <v>0</v>
      </c>
      <c r="U105" s="200">
        <f t="array" ref="U105">IF(U$77&gt;" ",(U$628:U$1078),"")</f>
        <v>0</v>
      </c>
      <c r="V105" s="200">
        <f t="array" ref="V105">IF(V$77&gt;" ",(V$628:V$1078),"")</f>
        <v>0</v>
      </c>
      <c r="W105" s="200">
        <f t="array" ref="W105">IF(W$77&gt;" ",(W$628:W$1078),"")</f>
        <v>0</v>
      </c>
      <c r="X105" s="200">
        <f t="array" ref="X105">IF(X$77&gt;" ",(X$628:X$1078),"")</f>
        <v>0</v>
      </c>
      <c r="Y105" s="204">
        <v>0</v>
      </c>
      <c r="Z105" s="198" t="str">
        <f t="shared" si="8"/>
        <v/>
      </c>
      <c r="AA105" s="198" t="str">
        <f t="shared" si="8"/>
        <v/>
      </c>
      <c r="AB105" s="198" t="str">
        <f t="shared" si="8"/>
        <v/>
      </c>
      <c r="AC105" s="198" t="str">
        <f t="shared" si="8"/>
        <v/>
      </c>
      <c r="AD105" s="198" t="str">
        <f t="shared" si="8"/>
        <v/>
      </c>
      <c r="AE105" s="198" t="str">
        <f t="shared" si="15"/>
        <v/>
      </c>
      <c r="AF105" s="198" t="str">
        <f t="shared" si="15"/>
        <v/>
      </c>
      <c r="AG105" s="198" t="str">
        <f t="shared" si="15"/>
        <v/>
      </c>
      <c r="AH105" s="198" t="str">
        <f t="shared" si="15"/>
        <v/>
      </c>
      <c r="AI105" s="200" t="str">
        <f t="shared" si="9"/>
        <v/>
      </c>
      <c r="AJ105" s="208" t="str">
        <f t="shared" si="10"/>
        <v/>
      </c>
      <c r="AK105" s="4"/>
      <c r="AL105" s="162">
        <v>2370</v>
      </c>
      <c r="AM105" s="209">
        <v>3.5277800789826363E-4</v>
      </c>
      <c r="AN105" s="183">
        <v>2.7923424186177524E-4</v>
      </c>
      <c r="AO105" s="183">
        <v>1.549585922100905E-4</v>
      </c>
      <c r="AP105" s="165">
        <v>1.7076861315416908E-4</v>
      </c>
      <c r="AR105" s="210">
        <v>87.784764822283393</v>
      </c>
      <c r="AS105" s="211">
        <v>87.838466001025949</v>
      </c>
      <c r="AT105" s="211">
        <v>87.782456173477627</v>
      </c>
      <c r="AU105" s="211">
        <v>87.663677865355453</v>
      </c>
      <c r="AV105" s="211"/>
      <c r="AW105" s="212"/>
      <c r="AX105" s="210">
        <v>87.526426716222204</v>
      </c>
      <c r="AY105" s="211">
        <v>90.845009274185486</v>
      </c>
      <c r="AZ105" s="213">
        <v>98.725180186735884</v>
      </c>
    </row>
    <row r="106" spans="2:52" x14ac:dyDescent="0.25">
      <c r="B106" s="167" t="s">
        <v>159</v>
      </c>
      <c r="C106" s="195"/>
      <c r="L106" s="189">
        <v>2365</v>
      </c>
      <c r="M106" s="196">
        <f t="shared" si="14"/>
        <v>0</v>
      </c>
      <c r="N106" s="197">
        <f t="shared" si="14"/>
        <v>0</v>
      </c>
      <c r="O106" s="152">
        <f ca="1"/>
        <v>87.918131659493824</v>
      </c>
      <c r="Q106" s="198">
        <v>0</v>
      </c>
      <c r="R106" s="200">
        <v>0</v>
      </c>
      <c r="S106" s="200">
        <v>0</v>
      </c>
      <c r="T106" s="200">
        <v>0</v>
      </c>
      <c r="U106" s="200">
        <f t="array" ref="U106">IF(U$77&gt;" ",(U$628:U$1078),"")</f>
        <v>0</v>
      </c>
      <c r="V106" s="200">
        <f t="array" ref="V106">IF(V$77&gt;" ",(V$628:V$1078),"")</f>
        <v>0</v>
      </c>
      <c r="W106" s="200">
        <f t="array" ref="W106">IF(W$77&gt;" ",(W$628:W$1078),"")</f>
        <v>0</v>
      </c>
      <c r="X106" s="200">
        <f t="array" ref="X106">IF(X$77&gt;" ",(X$628:X$1078),"")</f>
        <v>0</v>
      </c>
      <c r="Y106" s="204">
        <v>0</v>
      </c>
      <c r="Z106" s="198" t="str">
        <f t="shared" si="8"/>
        <v/>
      </c>
      <c r="AA106" s="198" t="str">
        <f t="shared" si="8"/>
        <v/>
      </c>
      <c r="AB106" s="198" t="str">
        <f t="shared" si="8"/>
        <v/>
      </c>
      <c r="AC106" s="198" t="str">
        <f t="shared" si="8"/>
        <v/>
      </c>
      <c r="AD106" s="198" t="str">
        <f t="shared" si="8"/>
        <v/>
      </c>
      <c r="AE106" s="198" t="str">
        <f t="shared" si="15"/>
        <v/>
      </c>
      <c r="AF106" s="198" t="str">
        <f t="shared" si="15"/>
        <v/>
      </c>
      <c r="AG106" s="198" t="str">
        <f t="shared" si="15"/>
        <v/>
      </c>
      <c r="AH106" s="198" t="str">
        <f t="shared" si="15"/>
        <v/>
      </c>
      <c r="AI106" s="200" t="str">
        <f t="shared" si="9"/>
        <v/>
      </c>
      <c r="AJ106" s="208" t="str">
        <f t="shared" si="10"/>
        <v/>
      </c>
      <c r="AK106" s="4"/>
      <c r="AL106" s="162">
        <v>2365</v>
      </c>
      <c r="AM106" s="209">
        <v>3.6665130034370093E-4</v>
      </c>
      <c r="AN106" s="183">
        <v>2.885387149872303E-4</v>
      </c>
      <c r="AO106" s="183">
        <v>2.4844563333576797E-4</v>
      </c>
      <c r="AP106" s="165">
        <v>2.7371442946703994E-4</v>
      </c>
      <c r="AR106" s="210">
        <v>87.922048747290773</v>
      </c>
      <c r="AS106" s="211">
        <v>87.974611378412419</v>
      </c>
      <c r="AT106" s="211">
        <v>87.918131659493824</v>
      </c>
      <c r="AU106" s="211">
        <v>87.800183793607502</v>
      </c>
      <c r="AV106" s="211"/>
      <c r="AW106" s="212"/>
      <c r="AX106" s="210">
        <v>87.572894108119499</v>
      </c>
      <c r="AY106" s="211">
        <v>90.873635466333141</v>
      </c>
      <c r="AZ106" s="213">
        <v>99.013400708549938</v>
      </c>
    </row>
    <row r="107" spans="2:52" x14ac:dyDescent="0.25">
      <c r="B107" s="167" t="s">
        <v>165</v>
      </c>
      <c r="C107" s="195"/>
      <c r="L107" s="189">
        <v>2360</v>
      </c>
      <c r="M107" s="196">
        <f t="shared" si="14"/>
        <v>0</v>
      </c>
      <c r="N107" s="197">
        <f t="shared" si="14"/>
        <v>0</v>
      </c>
      <c r="O107" s="152">
        <f ca="1"/>
        <v>87.956180906919812</v>
      </c>
      <c r="Q107" s="198">
        <v>0</v>
      </c>
      <c r="R107" s="200">
        <v>0</v>
      </c>
      <c r="S107" s="200">
        <v>0</v>
      </c>
      <c r="T107" s="200">
        <v>0</v>
      </c>
      <c r="U107" s="200">
        <f t="array" ref="U107">IF(U$77&gt;" ",(U$628:U$1078),"")</f>
        <v>0</v>
      </c>
      <c r="V107" s="200">
        <f t="array" ref="V107">IF(V$77&gt;" ",(V$628:V$1078),"")</f>
        <v>0</v>
      </c>
      <c r="W107" s="200">
        <f t="array" ref="W107">IF(W$77&gt;" ",(W$628:W$1078),"")</f>
        <v>0</v>
      </c>
      <c r="X107" s="200">
        <f t="array" ref="X107">IF(X$77&gt;" ",(X$628:X$1078),"")</f>
        <v>0</v>
      </c>
      <c r="Y107" s="204">
        <v>0</v>
      </c>
      <c r="Z107" s="198" t="str">
        <f t="shared" si="8"/>
        <v/>
      </c>
      <c r="AA107" s="198" t="str">
        <f t="shared" si="8"/>
        <v/>
      </c>
      <c r="AB107" s="198" t="str">
        <f t="shared" si="8"/>
        <v/>
      </c>
      <c r="AC107" s="198" t="str">
        <f t="shared" si="8"/>
        <v/>
      </c>
      <c r="AD107" s="198" t="str">
        <f t="shared" si="8"/>
        <v/>
      </c>
      <c r="AE107" s="198" t="str">
        <f t="shared" si="15"/>
        <v/>
      </c>
      <c r="AF107" s="198" t="str">
        <f t="shared" si="15"/>
        <v/>
      </c>
      <c r="AG107" s="198" t="str">
        <f t="shared" si="15"/>
        <v/>
      </c>
      <c r="AH107" s="198" t="str">
        <f t="shared" si="15"/>
        <v/>
      </c>
      <c r="AI107" s="200" t="str">
        <f t="shared" si="9"/>
        <v/>
      </c>
      <c r="AJ107" s="208" t="str">
        <f t="shared" si="10"/>
        <v/>
      </c>
      <c r="AK107" s="4"/>
      <c r="AL107" s="162">
        <v>2360</v>
      </c>
      <c r="AM107" s="209">
        <v>3.8052459278913828E-4</v>
      </c>
      <c r="AN107" s="183">
        <v>2.9784318811268542E-4</v>
      </c>
      <c r="AO107" s="183">
        <v>2.5260910526197605E-4</v>
      </c>
      <c r="AP107" s="165">
        <v>2.7827549716451152E-4</v>
      </c>
      <c r="AR107" s="210">
        <v>87.952098360787318</v>
      </c>
      <c r="AS107" s="211">
        <v>88.010291374921692</v>
      </c>
      <c r="AT107" s="211">
        <v>87.956180906919812</v>
      </c>
      <c r="AU107" s="211">
        <v>87.83571233251854</v>
      </c>
      <c r="AV107" s="211"/>
      <c r="AW107" s="212"/>
      <c r="AX107" s="210">
        <v>87.596616021356795</v>
      </c>
      <c r="AY107" s="211">
        <v>90.922125053392904</v>
      </c>
      <c r="AZ107" s="213">
        <v>99.046506529704658</v>
      </c>
    </row>
    <row r="108" spans="2:52" x14ac:dyDescent="0.25">
      <c r="B108" s="214" t="s">
        <v>166</v>
      </c>
      <c r="C108" s="215"/>
      <c r="L108" s="189">
        <v>2355</v>
      </c>
      <c r="M108" s="196">
        <f t="shared" si="14"/>
        <v>0</v>
      </c>
      <c r="N108" s="197">
        <f t="shared" si="14"/>
        <v>0</v>
      </c>
      <c r="O108" s="152">
        <f ca="1"/>
        <v>88.023358409165851</v>
      </c>
      <c r="Q108" s="198">
        <v>0</v>
      </c>
      <c r="R108" s="200">
        <v>0</v>
      </c>
      <c r="S108" s="200">
        <v>0</v>
      </c>
      <c r="T108" s="200">
        <v>0</v>
      </c>
      <c r="U108" s="200">
        <f t="array" ref="U108">IF(U$77&gt;" ",(U$628:U$1078),"")</f>
        <v>0</v>
      </c>
      <c r="V108" s="200">
        <f t="array" ref="V108">IF(V$77&gt;" ",(V$628:V$1078),"")</f>
        <v>0</v>
      </c>
      <c r="W108" s="200">
        <f t="array" ref="W108">IF(W$77&gt;" ",(W$628:W$1078),"")</f>
        <v>0</v>
      </c>
      <c r="X108" s="200">
        <f t="array" ref="X108">IF(X$77&gt;" ",(X$628:X$1078),"")</f>
        <v>0</v>
      </c>
      <c r="Y108" s="204">
        <v>0</v>
      </c>
      <c r="Z108" s="198" t="str">
        <f t="shared" si="8"/>
        <v/>
      </c>
      <c r="AA108" s="198" t="str">
        <f t="shared" si="8"/>
        <v/>
      </c>
      <c r="AB108" s="198" t="str">
        <f t="shared" si="8"/>
        <v/>
      </c>
      <c r="AC108" s="198" t="str">
        <f t="shared" si="8"/>
        <v/>
      </c>
      <c r="AD108" s="198" t="str">
        <f t="shared" si="8"/>
        <v/>
      </c>
      <c r="AE108" s="198" t="str">
        <f t="shared" si="15"/>
        <v/>
      </c>
      <c r="AF108" s="198" t="str">
        <f t="shared" si="15"/>
        <v/>
      </c>
      <c r="AG108" s="198" t="str">
        <f t="shared" si="15"/>
        <v/>
      </c>
      <c r="AH108" s="198" t="str">
        <f t="shared" si="15"/>
        <v/>
      </c>
      <c r="AI108" s="200" t="str">
        <f t="shared" si="9"/>
        <v/>
      </c>
      <c r="AJ108" s="208" t="str">
        <f t="shared" si="10"/>
        <v/>
      </c>
      <c r="AK108" s="4"/>
      <c r="AL108" s="162">
        <v>2355</v>
      </c>
      <c r="AM108" s="209">
        <v>3.8323318798086652E-4</v>
      </c>
      <c r="AN108" s="183">
        <v>3.0714766123814043E-4</v>
      </c>
      <c r="AO108" s="183">
        <v>2.3871075211700122E-4</v>
      </c>
      <c r="AP108" s="165">
        <v>2.6296374106600572E-4</v>
      </c>
      <c r="AR108" s="210">
        <v>88.018439299112799</v>
      </c>
      <c r="AS108" s="211">
        <v>88.078807153097102</v>
      </c>
      <c r="AT108" s="211">
        <v>88.023358409165851</v>
      </c>
      <c r="AU108" s="211">
        <v>87.897603201143156</v>
      </c>
      <c r="AV108" s="211"/>
      <c r="AW108" s="212"/>
      <c r="AX108" s="210">
        <v>87.633255340013832</v>
      </c>
      <c r="AY108" s="211">
        <v>90.932475603623104</v>
      </c>
      <c r="AZ108" s="213">
        <v>98.861937775102234</v>
      </c>
    </row>
    <row r="109" spans="2:52" x14ac:dyDescent="0.25">
      <c r="B109" s="188"/>
      <c r="C109" s="222"/>
      <c r="L109" s="189">
        <v>2350</v>
      </c>
      <c r="M109" s="196">
        <f t="shared" si="14"/>
        <v>0</v>
      </c>
      <c r="N109" s="197">
        <f t="shared" si="14"/>
        <v>0</v>
      </c>
      <c r="O109" s="152">
        <f ca="1"/>
        <v>88.058143022123389</v>
      </c>
      <c r="Q109" s="198">
        <v>0</v>
      </c>
      <c r="R109" s="200">
        <v>0</v>
      </c>
      <c r="S109" s="200">
        <v>0</v>
      </c>
      <c r="T109" s="200">
        <v>0</v>
      </c>
      <c r="U109" s="200">
        <f t="array" ref="U109">IF(U$77&gt;" ",(U$628:U$1078),"")</f>
        <v>0</v>
      </c>
      <c r="V109" s="200">
        <f t="array" ref="V109">IF(V$77&gt;" ",(V$628:V$1078),"")</f>
        <v>0</v>
      </c>
      <c r="W109" s="200">
        <f t="array" ref="W109">IF(W$77&gt;" ",(W$628:W$1078),"")</f>
        <v>0</v>
      </c>
      <c r="X109" s="200">
        <f t="array" ref="X109">IF(X$77&gt;" ",(X$628:X$1078),"")</f>
        <v>0</v>
      </c>
      <c r="Y109" s="204">
        <v>0</v>
      </c>
      <c r="Z109" s="198" t="str">
        <f t="shared" si="8"/>
        <v/>
      </c>
      <c r="AA109" s="198" t="str">
        <f t="shared" si="8"/>
        <v/>
      </c>
      <c r="AB109" s="198" t="str">
        <f t="shared" si="8"/>
        <v/>
      </c>
      <c r="AC109" s="198" t="str">
        <f t="shared" si="8"/>
        <v/>
      </c>
      <c r="AD109" s="198" t="str">
        <f t="shared" si="8"/>
        <v/>
      </c>
      <c r="AE109" s="198" t="str">
        <f t="shared" si="15"/>
        <v/>
      </c>
      <c r="AF109" s="198" t="str">
        <f t="shared" si="15"/>
        <v/>
      </c>
      <c r="AG109" s="198" t="str">
        <f t="shared" si="15"/>
        <v/>
      </c>
      <c r="AH109" s="198" t="str">
        <f t="shared" si="15"/>
        <v/>
      </c>
      <c r="AI109" s="200" t="str">
        <f t="shared" si="9"/>
        <v/>
      </c>
      <c r="AJ109" s="208" t="str">
        <f t="shared" si="10"/>
        <v/>
      </c>
      <c r="AK109" s="4"/>
      <c r="AL109" s="162">
        <v>2350</v>
      </c>
      <c r="AM109" s="209">
        <v>3.8594178317259481E-4</v>
      </c>
      <c r="AN109" s="183">
        <v>3.164521343635955E-4</v>
      </c>
      <c r="AO109" s="183">
        <v>2.0885745160263225E-4</v>
      </c>
      <c r="AP109" s="165">
        <v>2.3009607163379639E-4</v>
      </c>
      <c r="AR109" s="210">
        <v>88.056436560395525</v>
      </c>
      <c r="AS109" s="211">
        <v>88.113084397753553</v>
      </c>
      <c r="AT109" s="211">
        <v>88.058143022123389</v>
      </c>
      <c r="AU109" s="211">
        <v>87.932667895075198</v>
      </c>
      <c r="AV109" s="211"/>
      <c r="AW109" s="212"/>
      <c r="AX109" s="210">
        <v>87.683954012129945</v>
      </c>
      <c r="AY109" s="211">
        <v>90.971583320489955</v>
      </c>
      <c r="AZ109" s="213">
        <v>99.00232480318428</v>
      </c>
    </row>
    <row r="110" spans="2:52" x14ac:dyDescent="0.25">
      <c r="B110" s="106" t="s">
        <v>174</v>
      </c>
      <c r="C110" s="219"/>
      <c r="L110" s="189">
        <v>2345</v>
      </c>
      <c r="M110" s="196">
        <f t="shared" si="14"/>
        <v>0</v>
      </c>
      <c r="N110" s="197">
        <f t="shared" si="14"/>
        <v>0</v>
      </c>
      <c r="O110" s="152">
        <f ca="1"/>
        <v>88.041616424032142</v>
      </c>
      <c r="Q110" s="198">
        <v>0</v>
      </c>
      <c r="R110" s="200">
        <v>0</v>
      </c>
      <c r="S110" s="200">
        <v>0</v>
      </c>
      <c r="T110" s="200">
        <v>0</v>
      </c>
      <c r="U110" s="200">
        <f t="array" ref="U110">IF(U$77&gt;" ",(U$628:U$1078),"")</f>
        <v>0</v>
      </c>
      <c r="V110" s="200">
        <f t="array" ref="V110">IF(V$77&gt;" ",(V$628:V$1078),"")</f>
        <v>0</v>
      </c>
      <c r="W110" s="200">
        <f t="array" ref="W110">IF(W$77&gt;" ",(W$628:W$1078),"")</f>
        <v>0</v>
      </c>
      <c r="X110" s="200">
        <f t="array" ref="X110">IF(X$77&gt;" ",(X$628:X$1078),"")</f>
        <v>0</v>
      </c>
      <c r="Y110" s="204">
        <v>0</v>
      </c>
      <c r="Z110" s="198" t="str">
        <f t="shared" si="8"/>
        <v/>
      </c>
      <c r="AA110" s="198" t="str">
        <f t="shared" si="8"/>
        <v/>
      </c>
      <c r="AB110" s="198" t="str">
        <f t="shared" si="8"/>
        <v/>
      </c>
      <c r="AC110" s="198" t="str">
        <f t="shared" si="8"/>
        <v/>
      </c>
      <c r="AD110" s="198" t="str">
        <f t="shared" si="8"/>
        <v/>
      </c>
      <c r="AE110" s="198" t="str">
        <f t="shared" si="15"/>
        <v/>
      </c>
      <c r="AF110" s="198" t="str">
        <f t="shared" si="15"/>
        <v/>
      </c>
      <c r="AG110" s="198" t="str">
        <f t="shared" si="15"/>
        <v/>
      </c>
      <c r="AH110" s="198" t="str">
        <f t="shared" si="15"/>
        <v/>
      </c>
      <c r="AI110" s="200" t="str">
        <f t="shared" si="9"/>
        <v/>
      </c>
      <c r="AJ110" s="208" t="str">
        <f t="shared" si="10"/>
        <v/>
      </c>
      <c r="AK110" s="4"/>
      <c r="AL110" s="162">
        <v>2345</v>
      </c>
      <c r="AM110" s="209">
        <v>3.8865037836432299E-4</v>
      </c>
      <c r="AN110" s="183">
        <v>3.1918344744235819E-4</v>
      </c>
      <c r="AO110" s="183">
        <v>2.5845707368006787E-4</v>
      </c>
      <c r="AP110" s="165">
        <v>2.8468337754930284E-4</v>
      </c>
      <c r="AR110" s="210">
        <v>88.043154853621459</v>
      </c>
      <c r="AS110" s="211">
        <v>88.102651945783066</v>
      </c>
      <c r="AT110" s="211">
        <v>88.041616424032142</v>
      </c>
      <c r="AU110" s="211">
        <v>87.919244383436649</v>
      </c>
      <c r="AV110" s="211"/>
      <c r="AW110" s="212"/>
      <c r="AX110" s="210">
        <v>87.631989547040845</v>
      </c>
      <c r="AY110" s="211">
        <v>90.918910989352369</v>
      </c>
      <c r="AZ110" s="213">
        <v>98.793675666581748</v>
      </c>
    </row>
    <row r="111" spans="2:52" x14ac:dyDescent="0.25">
      <c r="B111" s="167" t="s">
        <v>155</v>
      </c>
      <c r="C111" s="195"/>
      <c r="L111" s="189">
        <v>2340</v>
      </c>
      <c r="M111" s="196">
        <f t="shared" ref="M111:N126" si="16">M660</f>
        <v>0</v>
      </c>
      <c r="N111" s="197">
        <f t="shared" si="16"/>
        <v>0</v>
      </c>
      <c r="O111" s="152">
        <f ca="1"/>
        <v>88.102831643027912</v>
      </c>
      <c r="Q111" s="198">
        <v>0</v>
      </c>
      <c r="R111" s="200">
        <v>0</v>
      </c>
      <c r="S111" s="200">
        <v>0</v>
      </c>
      <c r="T111" s="200">
        <v>0</v>
      </c>
      <c r="U111" s="200">
        <f t="array" ref="U111">IF(U$77&gt;" ",(U$628:U$1078),"")</f>
        <v>0</v>
      </c>
      <c r="V111" s="200">
        <f t="array" ref="V111">IF(V$77&gt;" ",(V$628:V$1078),"")</f>
        <v>0</v>
      </c>
      <c r="W111" s="200">
        <f t="array" ref="W111">IF(W$77&gt;" ",(W$628:W$1078),"")</f>
        <v>0</v>
      </c>
      <c r="X111" s="200">
        <f t="array" ref="X111">IF(X$77&gt;" ",(X$628:X$1078),"")</f>
        <v>0</v>
      </c>
      <c r="Y111" s="204">
        <v>0</v>
      </c>
      <c r="Z111" s="198" t="str">
        <f t="shared" si="8"/>
        <v/>
      </c>
      <c r="AA111" s="198" t="str">
        <f t="shared" si="8"/>
        <v/>
      </c>
      <c r="AB111" s="198" t="str">
        <f t="shared" si="8"/>
        <v/>
      </c>
      <c r="AC111" s="198" t="str">
        <f t="shared" si="8"/>
        <v/>
      </c>
      <c r="AD111" s="198" t="str">
        <f t="shared" si="8"/>
        <v/>
      </c>
      <c r="AE111" s="198" t="str">
        <f t="shared" si="15"/>
        <v/>
      </c>
      <c r="AF111" s="198" t="str">
        <f t="shared" si="15"/>
        <v/>
      </c>
      <c r="AG111" s="198" t="str">
        <f t="shared" si="15"/>
        <v/>
      </c>
      <c r="AH111" s="198" t="str">
        <f t="shared" si="15"/>
        <v/>
      </c>
      <c r="AI111" s="200" t="str">
        <f t="shared" si="9"/>
        <v/>
      </c>
      <c r="AJ111" s="208" t="str">
        <f t="shared" si="10"/>
        <v/>
      </c>
      <c r="AK111" s="4"/>
      <c r="AL111" s="162">
        <v>2340</v>
      </c>
      <c r="AM111" s="209">
        <v>3.9135897355605128E-4</v>
      </c>
      <c r="AN111" s="183">
        <v>3.2191476052112082E-4</v>
      </c>
      <c r="AO111" s="183">
        <v>2.3047934687158738E-4</v>
      </c>
      <c r="AP111" s="165">
        <v>2.5388637688772485E-4</v>
      </c>
      <c r="AR111" s="210">
        <v>88.104571506365545</v>
      </c>
      <c r="AS111" s="211">
        <v>88.163258435100317</v>
      </c>
      <c r="AT111" s="211">
        <v>88.102831643027912</v>
      </c>
      <c r="AU111" s="211">
        <v>87.984219805875853</v>
      </c>
      <c r="AV111" s="211"/>
      <c r="AW111" s="212"/>
      <c r="AX111" s="210">
        <v>87.592527450297226</v>
      </c>
      <c r="AY111" s="211">
        <v>90.887359561385139</v>
      </c>
      <c r="AZ111" s="213">
        <v>98.75892118482389</v>
      </c>
    </row>
    <row r="112" spans="2:52" x14ac:dyDescent="0.25">
      <c r="B112" s="167" t="s">
        <v>159</v>
      </c>
      <c r="C112" s="195"/>
      <c r="L112" s="189">
        <v>2335</v>
      </c>
      <c r="M112" s="196">
        <f t="shared" si="16"/>
        <v>0</v>
      </c>
      <c r="N112" s="197">
        <f t="shared" si="16"/>
        <v>0</v>
      </c>
      <c r="O112" s="152">
        <f ca="1"/>
        <v>88.053098325780681</v>
      </c>
      <c r="Q112" s="198">
        <v>0</v>
      </c>
      <c r="R112" s="200">
        <v>0</v>
      </c>
      <c r="S112" s="200">
        <v>0</v>
      </c>
      <c r="T112" s="200">
        <v>0</v>
      </c>
      <c r="U112" s="200">
        <f t="array" ref="U112">IF(U$77&gt;" ",(U$628:U$1078),"")</f>
        <v>0</v>
      </c>
      <c r="V112" s="200">
        <f t="array" ref="V112">IF(V$77&gt;" ",(V$628:V$1078),"")</f>
        <v>0</v>
      </c>
      <c r="W112" s="200">
        <f t="array" ref="W112">IF(W$77&gt;" ",(W$628:W$1078),"")</f>
        <v>0</v>
      </c>
      <c r="X112" s="200">
        <f t="array" ref="X112">IF(X$77&gt;" ",(X$628:X$1078),"")</f>
        <v>0</v>
      </c>
      <c r="Y112" s="204">
        <v>0</v>
      </c>
      <c r="Z112" s="198" t="str">
        <f t="shared" si="8"/>
        <v/>
      </c>
      <c r="AA112" s="198" t="str">
        <f t="shared" si="8"/>
        <v/>
      </c>
      <c r="AB112" s="198" t="str">
        <f t="shared" si="8"/>
        <v/>
      </c>
      <c r="AC112" s="198" t="str">
        <f t="shared" si="8"/>
        <v/>
      </c>
      <c r="AD112" s="198" t="str">
        <f t="shared" si="8"/>
        <v/>
      </c>
      <c r="AE112" s="198" t="str">
        <f t="shared" si="15"/>
        <v/>
      </c>
      <c r="AF112" s="198" t="str">
        <f t="shared" si="15"/>
        <v/>
      </c>
      <c r="AG112" s="198" t="str">
        <f t="shared" si="15"/>
        <v/>
      </c>
      <c r="AH112" s="198" t="str">
        <f t="shared" si="15"/>
        <v/>
      </c>
      <c r="AI112" s="200" t="str">
        <f t="shared" si="9"/>
        <v/>
      </c>
      <c r="AJ112" s="208" t="str">
        <f t="shared" si="10"/>
        <v/>
      </c>
      <c r="AK112" s="4"/>
      <c r="AL112" s="162">
        <v>2335</v>
      </c>
      <c r="AM112" s="209">
        <v>3.9413363204513868E-4</v>
      </c>
      <c r="AN112" s="183">
        <v>3.2464607359988329E-4</v>
      </c>
      <c r="AO112" s="183">
        <v>2.9147823326872553E-4</v>
      </c>
      <c r="AP112" s="165">
        <v>3.2102081627284027E-4</v>
      </c>
      <c r="AR112" s="210">
        <v>88.057243618210663</v>
      </c>
      <c r="AS112" s="211">
        <v>88.111767585576047</v>
      </c>
      <c r="AT112" s="211">
        <v>88.053098325780681</v>
      </c>
      <c r="AU112" s="211">
        <v>87.933051994199374</v>
      </c>
      <c r="AV112" s="211"/>
      <c r="AW112" s="212"/>
      <c r="AX112" s="210">
        <v>87.586199442869315</v>
      </c>
      <c r="AY112" s="211">
        <v>90.894228966710372</v>
      </c>
      <c r="AZ112" s="213">
        <v>98.950758781394441</v>
      </c>
    </row>
    <row r="113" spans="2:52" x14ac:dyDescent="0.25">
      <c r="B113" s="167" t="s">
        <v>165</v>
      </c>
      <c r="C113" s="195"/>
      <c r="L113" s="189">
        <v>2330</v>
      </c>
      <c r="M113" s="196">
        <f t="shared" si="16"/>
        <v>0</v>
      </c>
      <c r="N113" s="197">
        <f t="shared" si="16"/>
        <v>0</v>
      </c>
      <c r="O113" s="152">
        <f ca="1"/>
        <v>88.054701770832011</v>
      </c>
      <c r="Q113" s="198">
        <v>0</v>
      </c>
      <c r="R113" s="200">
        <v>0</v>
      </c>
      <c r="S113" s="200">
        <v>0</v>
      </c>
      <c r="T113" s="200">
        <v>0</v>
      </c>
      <c r="U113" s="200">
        <f t="array" ref="U113">IF(U$77&gt;" ",(U$628:U$1078),"")</f>
        <v>0</v>
      </c>
      <c r="V113" s="200">
        <f t="array" ref="V113">IF(V$77&gt;" ",(V$628:V$1078),"")</f>
        <v>0</v>
      </c>
      <c r="W113" s="200">
        <f t="array" ref="W113">IF(W$77&gt;" ",(W$628:W$1078),"")</f>
        <v>0</v>
      </c>
      <c r="X113" s="200">
        <f t="array" ref="X113">IF(X$77&gt;" ",(X$628:X$1078),"")</f>
        <v>0</v>
      </c>
      <c r="Y113" s="204">
        <v>0</v>
      </c>
      <c r="Z113" s="198" t="str">
        <f t="shared" si="8"/>
        <v/>
      </c>
      <c r="AA113" s="198" t="str">
        <f t="shared" si="8"/>
        <v/>
      </c>
      <c r="AB113" s="198" t="str">
        <f t="shared" si="8"/>
        <v/>
      </c>
      <c r="AC113" s="198" t="str">
        <f t="shared" si="8"/>
        <v/>
      </c>
      <c r="AD113" s="198" t="str">
        <f t="shared" si="8"/>
        <v/>
      </c>
      <c r="AE113" s="198" t="str">
        <f t="shared" si="15"/>
        <v/>
      </c>
      <c r="AF113" s="198" t="str">
        <f t="shared" si="15"/>
        <v/>
      </c>
      <c r="AG113" s="198" t="str">
        <f t="shared" si="15"/>
        <v/>
      </c>
      <c r="AH113" s="198" t="str">
        <f t="shared" si="15"/>
        <v/>
      </c>
      <c r="AI113" s="200" t="str">
        <f t="shared" si="9"/>
        <v/>
      </c>
      <c r="AJ113" s="208" t="str">
        <f t="shared" si="10"/>
        <v/>
      </c>
      <c r="AK113" s="4"/>
      <c r="AL113" s="162">
        <v>2330</v>
      </c>
      <c r="AM113" s="209">
        <v>3.9684222723686697E-4</v>
      </c>
      <c r="AN113" s="183">
        <v>3.2737738667864592E-4</v>
      </c>
      <c r="AO113" s="183">
        <v>2.8573083180537311E-4</v>
      </c>
      <c r="AP113" s="165">
        <v>3.1469128551720794E-4</v>
      </c>
      <c r="AR113" s="210">
        <v>88.05349861859429</v>
      </c>
      <c r="AS113" s="211">
        <v>88.111650976750468</v>
      </c>
      <c r="AT113" s="211">
        <v>88.054701770832011</v>
      </c>
      <c r="AU113" s="211">
        <v>87.931646033630258</v>
      </c>
      <c r="AV113" s="211"/>
      <c r="AW113" s="212"/>
      <c r="AX113" s="210">
        <v>87.594687190060242</v>
      </c>
      <c r="AY113" s="211">
        <v>90.888256162221083</v>
      </c>
      <c r="AZ113" s="213">
        <v>98.990188469093368</v>
      </c>
    </row>
    <row r="114" spans="2:52" x14ac:dyDescent="0.25">
      <c r="B114" s="214" t="s">
        <v>166</v>
      </c>
      <c r="C114" s="215"/>
      <c r="L114" s="189">
        <v>2325</v>
      </c>
      <c r="M114" s="196">
        <f t="shared" si="16"/>
        <v>0</v>
      </c>
      <c r="N114" s="197">
        <f t="shared" si="16"/>
        <v>0</v>
      </c>
      <c r="O114" s="152">
        <f ca="1"/>
        <v>88.061715389707203</v>
      </c>
      <c r="Q114" s="198">
        <v>0</v>
      </c>
      <c r="R114" s="200">
        <v>0</v>
      </c>
      <c r="S114" s="200">
        <v>0</v>
      </c>
      <c r="T114" s="200">
        <v>0</v>
      </c>
      <c r="U114" s="200">
        <f t="array" ref="U114">IF(U$77&gt;" ",(U$628:U$1078),"")</f>
        <v>0</v>
      </c>
      <c r="V114" s="200">
        <f t="array" ref="V114">IF(V$77&gt;" ",(V$628:V$1078),"")</f>
        <v>0</v>
      </c>
      <c r="W114" s="200">
        <f t="array" ref="W114">IF(W$77&gt;" ",(W$628:W$1078),"")</f>
        <v>0</v>
      </c>
      <c r="X114" s="200">
        <f t="array" ref="X114">IF(X$77&gt;" ",(X$628:X$1078),"")</f>
        <v>0</v>
      </c>
      <c r="Y114" s="204">
        <v>0</v>
      </c>
      <c r="Z114" s="198" t="str">
        <f t="shared" si="8"/>
        <v/>
      </c>
      <c r="AA114" s="198" t="str">
        <f t="shared" si="8"/>
        <v/>
      </c>
      <c r="AB114" s="198" t="str">
        <f t="shared" si="8"/>
        <v/>
      </c>
      <c r="AC114" s="198" t="str">
        <f t="shared" si="8"/>
        <v/>
      </c>
      <c r="AD114" s="198" t="str">
        <f t="shared" si="8"/>
        <v/>
      </c>
      <c r="AE114" s="198" t="str">
        <f t="shared" si="15"/>
        <v/>
      </c>
      <c r="AF114" s="198" t="str">
        <f t="shared" si="15"/>
        <v/>
      </c>
      <c r="AG114" s="198" t="str">
        <f t="shared" si="15"/>
        <v/>
      </c>
      <c r="AH114" s="198" t="str">
        <f t="shared" si="15"/>
        <v/>
      </c>
      <c r="AI114" s="200" t="str">
        <f t="shared" si="9"/>
        <v/>
      </c>
      <c r="AJ114" s="208" t="str">
        <f t="shared" si="10"/>
        <v/>
      </c>
      <c r="AK114" s="4"/>
      <c r="AL114" s="162">
        <v>2325</v>
      </c>
      <c r="AM114" s="209">
        <v>3.9955082242859521E-4</v>
      </c>
      <c r="AN114" s="183">
        <v>3.3010869975740861E-4</v>
      </c>
      <c r="AO114" s="183">
        <v>2.8266856803356059E-4</v>
      </c>
      <c r="AP114" s="165">
        <v>3.1130546225712163E-4</v>
      </c>
      <c r="AR114" s="210">
        <v>88.062116368755426</v>
      </c>
      <c r="AS114" s="211">
        <v>88.119389542810538</v>
      </c>
      <c r="AT114" s="211">
        <v>88.061715389707203</v>
      </c>
      <c r="AU114" s="211">
        <v>87.938581406980816</v>
      </c>
      <c r="AV114" s="211"/>
      <c r="AW114" s="212"/>
      <c r="AX114" s="210">
        <v>87.551022867502866</v>
      </c>
      <c r="AY114" s="211">
        <v>90.869322275001153</v>
      </c>
      <c r="AZ114" s="213">
        <v>99.179704086013118</v>
      </c>
    </row>
    <row r="115" spans="2:52" x14ac:dyDescent="0.25">
      <c r="B115" s="188"/>
      <c r="C115" s="4"/>
      <c r="L115" s="189">
        <v>2320</v>
      </c>
      <c r="M115" s="196">
        <f t="shared" si="16"/>
        <v>0</v>
      </c>
      <c r="N115" s="197">
        <f t="shared" si="16"/>
        <v>0</v>
      </c>
      <c r="O115" s="152">
        <f ca="1"/>
        <v>88.017750272197461</v>
      </c>
      <c r="Q115" s="198">
        <v>0</v>
      </c>
      <c r="R115" s="200">
        <v>0</v>
      </c>
      <c r="S115" s="200">
        <v>0</v>
      </c>
      <c r="T115" s="200">
        <v>0</v>
      </c>
      <c r="U115" s="200">
        <f t="array" ref="U115">IF(U$77&gt;" ",(U$628:U$1078),"")</f>
        <v>0</v>
      </c>
      <c r="V115" s="200">
        <f t="array" ref="V115">IF(V$77&gt;" ",(V$628:V$1078),"")</f>
        <v>0</v>
      </c>
      <c r="W115" s="200">
        <f t="array" ref="W115">IF(W$77&gt;" ",(W$628:W$1078),"")</f>
        <v>0</v>
      </c>
      <c r="X115" s="200">
        <f t="array" ref="X115">IF(X$77&gt;" ",(X$628:X$1078),"")</f>
        <v>0</v>
      </c>
      <c r="Y115" s="204">
        <v>0</v>
      </c>
      <c r="Z115" s="198" t="str">
        <f t="shared" si="8"/>
        <v/>
      </c>
      <c r="AA115" s="198" t="str">
        <f t="shared" si="8"/>
        <v/>
      </c>
      <c r="AB115" s="198" t="str">
        <f t="shared" si="8"/>
        <v/>
      </c>
      <c r="AC115" s="198" t="str">
        <f t="shared" si="8"/>
        <v/>
      </c>
      <c r="AD115" s="198" t="str">
        <f t="shared" si="8"/>
        <v/>
      </c>
      <c r="AE115" s="198" t="str">
        <f t="shared" si="15"/>
        <v/>
      </c>
      <c r="AF115" s="198" t="str">
        <f t="shared" si="15"/>
        <v/>
      </c>
      <c r="AG115" s="198" t="str">
        <f t="shared" si="15"/>
        <v/>
      </c>
      <c r="AH115" s="198" t="str">
        <f t="shared" si="15"/>
        <v/>
      </c>
      <c r="AI115" s="200" t="str">
        <f t="shared" si="9"/>
        <v/>
      </c>
      <c r="AJ115" s="208" t="str">
        <f t="shared" si="10"/>
        <v/>
      </c>
      <c r="AK115" s="4"/>
      <c r="AL115" s="162">
        <v>2320</v>
      </c>
      <c r="AM115" s="209">
        <v>4.0225941762032344E-4</v>
      </c>
      <c r="AN115" s="183">
        <v>3.3284001283617124E-4</v>
      </c>
      <c r="AO115" s="183">
        <v>2.6162996110209362E-4</v>
      </c>
      <c r="AP115" s="165">
        <v>2.8815314684063099E-4</v>
      </c>
      <c r="AR115" s="210">
        <v>88.020688953640544</v>
      </c>
      <c r="AS115" s="211">
        <v>88.077191783205421</v>
      </c>
      <c r="AT115" s="211">
        <v>88.017750272197461</v>
      </c>
      <c r="AU115" s="211">
        <v>87.894793169089951</v>
      </c>
      <c r="AV115" s="211"/>
      <c r="AW115" s="212"/>
      <c r="AX115" s="210">
        <v>87.535925220077374</v>
      </c>
      <c r="AY115" s="211">
        <v>90.862600406122297</v>
      </c>
      <c r="AZ115" s="213">
        <v>98.722468674270957</v>
      </c>
    </row>
    <row r="116" spans="2:52" x14ac:dyDescent="0.25">
      <c r="B116" s="106" t="s">
        <v>175</v>
      </c>
      <c r="C116" s="106"/>
      <c r="L116" s="189">
        <v>2315</v>
      </c>
      <c r="M116" s="196">
        <f t="shared" si="16"/>
        <v>0</v>
      </c>
      <c r="N116" s="197">
        <f t="shared" si="16"/>
        <v>0</v>
      </c>
      <c r="O116" s="152">
        <f ca="1"/>
        <v>88.01277854780291</v>
      </c>
      <c r="Q116" s="198">
        <v>0</v>
      </c>
      <c r="R116" s="200">
        <v>0</v>
      </c>
      <c r="S116" s="200">
        <v>0</v>
      </c>
      <c r="T116" s="200">
        <v>0</v>
      </c>
      <c r="U116" s="200">
        <f t="array" ref="U116">IF(U$77&gt;" ",(U$628:U$1078),"")</f>
        <v>0</v>
      </c>
      <c r="V116" s="200">
        <f t="array" ref="V116">IF(V$77&gt;" ",(V$628:V$1078),"")</f>
        <v>0</v>
      </c>
      <c r="W116" s="200">
        <f t="array" ref="W116">IF(W$77&gt;" ",(W$628:W$1078),"")</f>
        <v>0</v>
      </c>
      <c r="X116" s="200">
        <f t="array" ref="X116">IF(X$77&gt;" ",(X$628:X$1078),"")</f>
        <v>0</v>
      </c>
      <c r="Y116" s="204">
        <v>0</v>
      </c>
      <c r="Z116" s="198" t="str">
        <f t="shared" si="8"/>
        <v/>
      </c>
      <c r="AA116" s="198" t="str">
        <f t="shared" si="8"/>
        <v/>
      </c>
      <c r="AB116" s="198" t="str">
        <f t="shared" si="8"/>
        <v/>
      </c>
      <c r="AC116" s="198" t="str">
        <f t="shared" si="8"/>
        <v/>
      </c>
      <c r="AD116" s="198" t="str">
        <f t="shared" si="8"/>
        <v/>
      </c>
      <c r="AE116" s="198" t="str">
        <f t="shared" si="15"/>
        <v/>
      </c>
      <c r="AF116" s="198" t="str">
        <f t="shared" si="15"/>
        <v/>
      </c>
      <c r="AG116" s="198" t="str">
        <f t="shared" si="15"/>
        <v/>
      </c>
      <c r="AH116" s="198" t="str">
        <f t="shared" si="15"/>
        <v/>
      </c>
      <c r="AI116" s="200" t="str">
        <f t="shared" si="9"/>
        <v/>
      </c>
      <c r="AJ116" s="208" t="str">
        <f t="shared" si="10"/>
        <v/>
      </c>
      <c r="AK116" s="4"/>
      <c r="AL116" s="162">
        <v>2315</v>
      </c>
      <c r="AM116" s="209">
        <v>4.0496801281205167E-4</v>
      </c>
      <c r="AN116" s="183">
        <v>3.3557132591493382E-4</v>
      </c>
      <c r="AO116" s="183">
        <v>2.923531657749577E-4</v>
      </c>
      <c r="AP116" s="165">
        <v>3.2194981901858296E-4</v>
      </c>
      <c r="AR116" s="210">
        <v>88.012110514052765</v>
      </c>
      <c r="AS116" s="211">
        <v>88.070663672252962</v>
      </c>
      <c r="AT116" s="211">
        <v>88.01277854780291</v>
      </c>
      <c r="AU116" s="211">
        <v>87.893901941964671</v>
      </c>
      <c r="AV116" s="211"/>
      <c r="AW116" s="212"/>
      <c r="AX116" s="210">
        <v>87.496703342158298</v>
      </c>
      <c r="AY116" s="211">
        <v>90.842144744562532</v>
      </c>
      <c r="AZ116" s="213">
        <v>98.946100047196666</v>
      </c>
    </row>
    <row r="117" spans="2:52" x14ac:dyDescent="0.25">
      <c r="B117" s="109" t="s">
        <v>176</v>
      </c>
      <c r="C117" s="223">
        <v>0.3</v>
      </c>
      <c r="L117" s="189">
        <v>2310</v>
      </c>
      <c r="M117" s="196">
        <f t="shared" si="16"/>
        <v>0</v>
      </c>
      <c r="N117" s="197">
        <f t="shared" si="16"/>
        <v>0</v>
      </c>
      <c r="O117" s="152">
        <f ca="1"/>
        <v>87.915748799241285</v>
      </c>
      <c r="Q117" s="198">
        <v>0</v>
      </c>
      <c r="R117" s="200">
        <v>0</v>
      </c>
      <c r="S117" s="200">
        <v>0</v>
      </c>
      <c r="T117" s="200">
        <v>0</v>
      </c>
      <c r="U117" s="200">
        <f t="array" ref="U117">IF(U$77&gt;" ",(U$628:U$1078),"")</f>
        <v>0</v>
      </c>
      <c r="V117" s="200">
        <f t="array" ref="V117">IF(V$77&gt;" ",(V$628:V$1078),"")</f>
        <v>0</v>
      </c>
      <c r="W117" s="200">
        <f t="array" ref="W117">IF(W$77&gt;" ",(W$628:W$1078),"")</f>
        <v>0</v>
      </c>
      <c r="X117" s="200">
        <f t="array" ref="X117">IF(X$77&gt;" ",(X$628:X$1078),"")</f>
        <v>0</v>
      </c>
      <c r="Y117" s="204">
        <v>0</v>
      </c>
      <c r="Z117" s="198" t="str">
        <f t="shared" si="8"/>
        <v/>
      </c>
      <c r="AA117" s="198" t="str">
        <f t="shared" si="8"/>
        <v/>
      </c>
      <c r="AB117" s="198" t="str">
        <f t="shared" si="8"/>
        <v/>
      </c>
      <c r="AC117" s="198" t="str">
        <f t="shared" si="8"/>
        <v/>
      </c>
      <c r="AD117" s="198" t="str">
        <f t="shared" si="8"/>
        <v/>
      </c>
      <c r="AE117" s="198" t="str">
        <f t="shared" si="15"/>
        <v/>
      </c>
      <c r="AF117" s="198" t="str">
        <f t="shared" si="15"/>
        <v/>
      </c>
      <c r="AG117" s="198" t="str">
        <f t="shared" si="15"/>
        <v/>
      </c>
      <c r="AH117" s="198" t="str">
        <f t="shared" si="15"/>
        <v/>
      </c>
      <c r="AI117" s="200" t="str">
        <f t="shared" si="9"/>
        <v/>
      </c>
      <c r="AJ117" s="208" t="str">
        <f t="shared" si="10"/>
        <v/>
      </c>
      <c r="AK117" s="4"/>
      <c r="AL117" s="162">
        <v>2310</v>
      </c>
      <c r="AM117" s="209">
        <v>4.0767660800377991E-4</v>
      </c>
      <c r="AN117" s="183">
        <v>3.3830263899369646E-4</v>
      </c>
      <c r="AO117" s="183">
        <v>3.2116056996003763E-4</v>
      </c>
      <c r="AP117" s="165">
        <v>3.536310512092413E-4</v>
      </c>
      <c r="AR117" s="210">
        <v>87.913912070648195</v>
      </c>
      <c r="AS117" s="211">
        <v>87.968379422199362</v>
      </c>
      <c r="AT117" s="211">
        <v>87.915748799241285</v>
      </c>
      <c r="AU117" s="211">
        <v>87.795059033143204</v>
      </c>
      <c r="AV117" s="211"/>
      <c r="AW117" s="212"/>
      <c r="AX117" s="210">
        <v>87.444393759199116</v>
      </c>
      <c r="AY117" s="211">
        <v>90.809264979869184</v>
      </c>
      <c r="AZ117" s="213">
        <v>98.904532715748417</v>
      </c>
    </row>
    <row r="118" spans="2:52" x14ac:dyDescent="0.25">
      <c r="B118" s="109" t="s">
        <v>177</v>
      </c>
      <c r="C118" s="223">
        <v>265</v>
      </c>
      <c r="L118" s="189">
        <v>2305</v>
      </c>
      <c r="M118" s="196">
        <f t="shared" si="16"/>
        <v>0</v>
      </c>
      <c r="N118" s="197">
        <f t="shared" si="16"/>
        <v>0</v>
      </c>
      <c r="O118" s="152">
        <f ca="1"/>
        <v>87.889723714924841</v>
      </c>
      <c r="Q118" s="198">
        <v>0</v>
      </c>
      <c r="R118" s="200">
        <v>0</v>
      </c>
      <c r="S118" s="200">
        <v>0</v>
      </c>
      <c r="T118" s="200">
        <v>0</v>
      </c>
      <c r="U118" s="200">
        <f t="array" ref="U118">IF(U$77&gt;" ",(U$628:U$1078),"")</f>
        <v>0</v>
      </c>
      <c r="V118" s="200">
        <f t="array" ref="V118">IF(V$77&gt;" ",(V$628:V$1078),"")</f>
        <v>0</v>
      </c>
      <c r="W118" s="200">
        <f t="array" ref="W118">IF(W$77&gt;" ",(W$628:W$1078),"")</f>
        <v>0</v>
      </c>
      <c r="X118" s="200">
        <f t="array" ref="X118">IF(X$77&gt;" ",(X$628:X$1078),"")</f>
        <v>0</v>
      </c>
      <c r="Y118" s="204">
        <v>0</v>
      </c>
      <c r="Z118" s="198" t="str">
        <f t="shared" si="8"/>
        <v/>
      </c>
      <c r="AA118" s="198" t="str">
        <f t="shared" si="8"/>
        <v/>
      </c>
      <c r="AB118" s="198" t="str">
        <f t="shared" si="8"/>
        <v/>
      </c>
      <c r="AC118" s="198" t="str">
        <f t="shared" si="8"/>
        <v/>
      </c>
      <c r="AD118" s="198" t="str">
        <f t="shared" si="8"/>
        <v/>
      </c>
      <c r="AE118" s="198" t="str">
        <f t="shared" si="15"/>
        <v/>
      </c>
      <c r="AF118" s="198" t="str">
        <f t="shared" si="15"/>
        <v/>
      </c>
      <c r="AG118" s="198" t="str">
        <f t="shared" si="15"/>
        <v/>
      </c>
      <c r="AH118" s="198" t="str">
        <f t="shared" si="15"/>
        <v/>
      </c>
      <c r="AI118" s="200" t="str">
        <f t="shared" si="9"/>
        <v/>
      </c>
      <c r="AJ118" s="208" t="str">
        <f t="shared" si="10"/>
        <v/>
      </c>
      <c r="AK118" s="4"/>
      <c r="AL118" s="162">
        <v>2305</v>
      </c>
      <c r="AM118" s="209">
        <v>4.1038520319550814E-4</v>
      </c>
      <c r="AN118" s="183">
        <v>3.4103395207245909E-4</v>
      </c>
      <c r="AO118" s="183">
        <v>2.9753236394403299E-4</v>
      </c>
      <c r="AP118" s="165">
        <v>3.2763576353469478E-4</v>
      </c>
      <c r="AR118" s="210">
        <v>87.889389624800742</v>
      </c>
      <c r="AS118" s="211">
        <v>87.941574502183201</v>
      </c>
      <c r="AT118" s="211">
        <v>87.889723714924841</v>
      </c>
      <c r="AU118" s="211">
        <v>87.767914455682558</v>
      </c>
      <c r="AV118" s="211"/>
      <c r="AW118" s="212"/>
      <c r="AX118" s="210">
        <v>87.400170778640174</v>
      </c>
      <c r="AY118" s="211">
        <v>90.787561214965265</v>
      </c>
      <c r="AZ118" s="213">
        <v>98.695231936632808</v>
      </c>
    </row>
    <row r="119" spans="2:52" x14ac:dyDescent="0.25">
      <c r="B119" s="109" t="s">
        <v>178</v>
      </c>
      <c r="C119" s="109" t="s">
        <v>114</v>
      </c>
      <c r="L119" s="189">
        <v>2300</v>
      </c>
      <c r="M119" s="196">
        <f t="shared" si="16"/>
        <v>0</v>
      </c>
      <c r="N119" s="197">
        <f t="shared" si="16"/>
        <v>0</v>
      </c>
      <c r="O119" s="152">
        <f ca="1"/>
        <v>87.786592723791728</v>
      </c>
      <c r="Q119" s="198">
        <v>0</v>
      </c>
      <c r="R119" s="200">
        <v>0</v>
      </c>
      <c r="S119" s="200">
        <v>0</v>
      </c>
      <c r="T119" s="200">
        <v>0</v>
      </c>
      <c r="U119" s="200">
        <f t="array" ref="U119">IF(U$77&gt;" ",(U$628:U$1078),"")</f>
        <v>0</v>
      </c>
      <c r="V119" s="200">
        <f t="array" ref="V119">IF(V$77&gt;" ",(V$628:V$1078),"")</f>
        <v>0</v>
      </c>
      <c r="W119" s="200">
        <f t="array" ref="W119">IF(W$77&gt;" ",(W$628:W$1078),"")</f>
        <v>0</v>
      </c>
      <c r="X119" s="200">
        <f t="array" ref="X119">IF(X$77&gt;" ",(X$628:X$1078),"")</f>
        <v>0</v>
      </c>
      <c r="Y119" s="204">
        <v>0</v>
      </c>
      <c r="Z119" s="198" t="str">
        <f t="shared" si="8"/>
        <v/>
      </c>
      <c r="AA119" s="198" t="str">
        <f t="shared" si="8"/>
        <v/>
      </c>
      <c r="AB119" s="198" t="str">
        <f t="shared" si="8"/>
        <v/>
      </c>
      <c r="AC119" s="198" t="str">
        <f t="shared" si="8"/>
        <v/>
      </c>
      <c r="AD119" s="198" t="str">
        <f t="shared" si="8"/>
        <v/>
      </c>
      <c r="AE119" s="198" t="str">
        <f t="shared" si="15"/>
        <v/>
      </c>
      <c r="AF119" s="198" t="str">
        <f t="shared" si="15"/>
        <v/>
      </c>
      <c r="AG119" s="198" t="str">
        <f t="shared" si="15"/>
        <v/>
      </c>
      <c r="AH119" s="198" t="str">
        <f t="shared" si="15"/>
        <v/>
      </c>
      <c r="AI119" s="200" t="str">
        <f t="shared" si="9"/>
        <v/>
      </c>
      <c r="AJ119" s="208" t="str">
        <f t="shared" si="10"/>
        <v/>
      </c>
      <c r="AK119" s="4"/>
      <c r="AL119" s="162">
        <v>2300</v>
      </c>
      <c r="AM119" s="209">
        <v>4.1309379838723643E-4</v>
      </c>
      <c r="AN119" s="183">
        <v>3.4376526515122167E-4</v>
      </c>
      <c r="AO119" s="183">
        <v>2.9578752727930571E-4</v>
      </c>
      <c r="AP119" s="165">
        <v>3.256714264036365E-4</v>
      </c>
      <c r="AR119" s="210">
        <v>87.783422057934317</v>
      </c>
      <c r="AS119" s="211">
        <v>87.836555742618472</v>
      </c>
      <c r="AT119" s="211">
        <v>87.786592723791728</v>
      </c>
      <c r="AU119" s="211">
        <v>87.665139533737943</v>
      </c>
      <c r="AV119" s="211"/>
      <c r="AW119" s="212"/>
      <c r="AX119" s="210">
        <v>87.337835104994994</v>
      </c>
      <c r="AY119" s="211">
        <v>90.748572575785218</v>
      </c>
      <c r="AZ119" s="213">
        <v>98.755866553218681</v>
      </c>
    </row>
    <row r="120" spans="2:52" x14ac:dyDescent="0.25">
      <c r="B120" s="109" t="s">
        <v>179</v>
      </c>
      <c r="C120" s="109" t="s">
        <v>114</v>
      </c>
      <c r="L120" s="189">
        <v>2295</v>
      </c>
      <c r="M120" s="196">
        <f t="shared" si="16"/>
        <v>0</v>
      </c>
      <c r="N120" s="197">
        <f t="shared" si="16"/>
        <v>0</v>
      </c>
      <c r="O120" s="152">
        <f ca="1"/>
        <v>87.755940810755703</v>
      </c>
      <c r="Q120" s="198">
        <v>0</v>
      </c>
      <c r="R120" s="200">
        <v>0</v>
      </c>
      <c r="S120" s="200">
        <v>0</v>
      </c>
      <c r="T120" s="200">
        <v>0</v>
      </c>
      <c r="U120" s="200">
        <f t="array" ref="U120">IF(U$77&gt;" ",(U$628:U$1078),"")</f>
        <v>0</v>
      </c>
      <c r="V120" s="200">
        <f t="array" ref="V120">IF(V$77&gt;" ",(V$628:V$1078),"")</f>
        <v>0</v>
      </c>
      <c r="W120" s="200">
        <f t="array" ref="W120">IF(W$77&gt;" ",(W$628:W$1078),"")</f>
        <v>0</v>
      </c>
      <c r="X120" s="200">
        <f t="array" ref="X120">IF(X$77&gt;" ",(X$628:X$1078),"")</f>
        <v>0</v>
      </c>
      <c r="Y120" s="204">
        <v>0</v>
      </c>
      <c r="Z120" s="198" t="str">
        <f t="shared" si="8"/>
        <v/>
      </c>
      <c r="AA120" s="198" t="str">
        <f t="shared" si="8"/>
        <v/>
      </c>
      <c r="AB120" s="198" t="str">
        <f t="shared" si="8"/>
        <v/>
      </c>
      <c r="AC120" s="198" t="str">
        <f t="shared" si="8"/>
        <v/>
      </c>
      <c r="AD120" s="198" t="str">
        <f t="shared" si="8"/>
        <v/>
      </c>
      <c r="AE120" s="198" t="str">
        <f t="shared" si="15"/>
        <v/>
      </c>
      <c r="AF120" s="198" t="str">
        <f t="shared" si="15"/>
        <v/>
      </c>
      <c r="AG120" s="198" t="str">
        <f t="shared" si="15"/>
        <v/>
      </c>
      <c r="AH120" s="198" t="str">
        <f t="shared" si="15"/>
        <v/>
      </c>
      <c r="AI120" s="200" t="str">
        <f t="shared" si="9"/>
        <v/>
      </c>
      <c r="AJ120" s="208" t="str">
        <f t="shared" si="10"/>
        <v/>
      </c>
      <c r="AK120" s="4"/>
      <c r="AL120" s="162">
        <v>2295</v>
      </c>
      <c r="AM120" s="209">
        <v>4.1580239357896461E-4</v>
      </c>
      <c r="AN120" s="183">
        <v>3.4532601548194317E-4</v>
      </c>
      <c r="AO120" s="183">
        <v>3.0806172410524044E-4</v>
      </c>
      <c r="AP120" s="165">
        <v>3.391587554231536E-4</v>
      </c>
      <c r="AR120" s="210">
        <v>87.750501098514462</v>
      </c>
      <c r="AS120" s="211">
        <v>87.802228423507856</v>
      </c>
      <c r="AT120" s="211">
        <v>87.755940810755703</v>
      </c>
      <c r="AU120" s="211">
        <v>87.635399457287249</v>
      </c>
      <c r="AV120" s="211"/>
      <c r="AW120" s="212"/>
      <c r="AX120" s="210">
        <v>87.287243759684387</v>
      </c>
      <c r="AY120" s="211">
        <v>90.705470647591824</v>
      </c>
      <c r="AZ120" s="213">
        <v>98.986643858580152</v>
      </c>
    </row>
    <row r="121" spans="2:52" x14ac:dyDescent="0.25">
      <c r="B121" s="34" t="s">
        <v>180</v>
      </c>
      <c r="C121" s="67"/>
      <c r="L121" s="189">
        <v>2290</v>
      </c>
      <c r="M121" s="196">
        <f t="shared" si="16"/>
        <v>0</v>
      </c>
      <c r="N121" s="197">
        <f t="shared" si="16"/>
        <v>0</v>
      </c>
      <c r="O121" s="152">
        <f ca="1"/>
        <v>87.65948950966937</v>
      </c>
      <c r="Q121" s="198">
        <v>0</v>
      </c>
      <c r="R121" s="200">
        <v>0</v>
      </c>
      <c r="S121" s="200">
        <v>0</v>
      </c>
      <c r="T121" s="200">
        <v>0</v>
      </c>
      <c r="U121" s="200">
        <f t="array" ref="U121">IF(U$77&gt;" ",(U$628:U$1078),"")</f>
        <v>0</v>
      </c>
      <c r="V121" s="200">
        <f t="array" ref="V121">IF(V$77&gt;" ",(V$628:V$1078),"")</f>
        <v>0</v>
      </c>
      <c r="W121" s="200">
        <f t="array" ref="W121">IF(W$77&gt;" ",(W$628:W$1078),"")</f>
        <v>0</v>
      </c>
      <c r="X121" s="200">
        <f t="array" ref="X121">IF(X$77&gt;" ",(X$628:X$1078),"")</f>
        <v>0</v>
      </c>
      <c r="Y121" s="204">
        <v>0</v>
      </c>
      <c r="Z121" s="198" t="str">
        <f t="shared" si="8"/>
        <v/>
      </c>
      <c r="AA121" s="198" t="str">
        <f t="shared" si="8"/>
        <v/>
      </c>
      <c r="AB121" s="198" t="str">
        <f t="shared" si="8"/>
        <v/>
      </c>
      <c r="AC121" s="198" t="str">
        <f t="shared" si="8"/>
        <v/>
      </c>
      <c r="AD121" s="198" t="str">
        <f t="shared" si="8"/>
        <v/>
      </c>
      <c r="AE121" s="198" t="str">
        <f t="shared" si="15"/>
        <v/>
      </c>
      <c r="AF121" s="198" t="str">
        <f t="shared" si="15"/>
        <v/>
      </c>
      <c r="AG121" s="198" t="str">
        <f t="shared" si="15"/>
        <v/>
      </c>
      <c r="AH121" s="198" t="str">
        <f t="shared" si="15"/>
        <v/>
      </c>
      <c r="AI121" s="200" t="str">
        <f t="shared" si="9"/>
        <v/>
      </c>
      <c r="AJ121" s="208" t="str">
        <f t="shared" si="10"/>
        <v/>
      </c>
      <c r="AK121" s="4"/>
      <c r="AL121" s="162">
        <v>2290</v>
      </c>
      <c r="AM121" s="209">
        <v>4.1857705206805213E-4</v>
      </c>
      <c r="AN121" s="183">
        <v>3.4688676581266466E-4</v>
      </c>
      <c r="AO121" s="183">
        <v>3.1789214393100954E-4</v>
      </c>
      <c r="AP121" s="165">
        <v>3.4996540784501578E-4</v>
      </c>
      <c r="AR121" s="210">
        <v>87.653619633981847</v>
      </c>
      <c r="AS121" s="211">
        <v>87.701178967677421</v>
      </c>
      <c r="AT121" s="211">
        <v>87.65948950966937</v>
      </c>
      <c r="AU121" s="211">
        <v>87.532286635395209</v>
      </c>
      <c r="AV121" s="211"/>
      <c r="AW121" s="212"/>
      <c r="AX121" s="210">
        <v>87.230689364762313</v>
      </c>
      <c r="AY121" s="211">
        <v>90.655946647939501</v>
      </c>
      <c r="AZ121" s="213">
        <v>98.909306772398196</v>
      </c>
    </row>
    <row r="122" spans="2:52" x14ac:dyDescent="0.25">
      <c r="L122" s="189">
        <v>2285</v>
      </c>
      <c r="M122" s="196">
        <f t="shared" si="16"/>
        <v>0</v>
      </c>
      <c r="N122" s="197">
        <f t="shared" si="16"/>
        <v>0</v>
      </c>
      <c r="O122" s="152">
        <f ca="1"/>
        <v>87.567851386431698</v>
      </c>
      <c r="Q122" s="198">
        <v>0</v>
      </c>
      <c r="R122" s="200">
        <v>0</v>
      </c>
      <c r="S122" s="200">
        <v>0</v>
      </c>
      <c r="T122" s="200">
        <v>0</v>
      </c>
      <c r="U122" s="200">
        <f t="array" ref="U122">IF(U$77&gt;" ",(U$628:U$1078),"")</f>
        <v>0</v>
      </c>
      <c r="V122" s="200">
        <f t="array" ref="V122">IF(V$77&gt;" ",(V$628:V$1078),"")</f>
        <v>0</v>
      </c>
      <c r="W122" s="200">
        <f t="array" ref="W122">IF(W$77&gt;" ",(W$628:W$1078),"")</f>
        <v>0</v>
      </c>
      <c r="X122" s="200">
        <f t="array" ref="X122">IF(X$77&gt;" ",(X$628:X$1078),"")</f>
        <v>0</v>
      </c>
      <c r="Y122" s="204">
        <v>0</v>
      </c>
      <c r="Z122" s="198" t="str">
        <f t="shared" si="8"/>
        <v/>
      </c>
      <c r="AA122" s="198" t="str">
        <f t="shared" si="8"/>
        <v/>
      </c>
      <c r="AB122" s="198" t="str">
        <f t="shared" si="8"/>
        <v/>
      </c>
      <c r="AC122" s="198" t="str">
        <f t="shared" si="8"/>
        <v/>
      </c>
      <c r="AD122" s="198" t="str">
        <f t="shared" si="8"/>
        <v/>
      </c>
      <c r="AE122" s="198" t="str">
        <f t="shared" si="15"/>
        <v/>
      </c>
      <c r="AF122" s="198" t="str">
        <f t="shared" si="15"/>
        <v/>
      </c>
      <c r="AG122" s="198" t="str">
        <f t="shared" si="15"/>
        <v/>
      </c>
      <c r="AH122" s="198" t="str">
        <f t="shared" si="15"/>
        <v/>
      </c>
      <c r="AI122" s="200" t="str">
        <f t="shared" si="9"/>
        <v/>
      </c>
      <c r="AJ122" s="208" t="str">
        <f t="shared" si="10"/>
        <v/>
      </c>
      <c r="AK122" s="4"/>
      <c r="AL122" s="162">
        <v>2285</v>
      </c>
      <c r="AM122" s="209">
        <v>4.2128564725978036E-4</v>
      </c>
      <c r="AN122" s="183">
        <v>3.4844751614338611E-4</v>
      </c>
      <c r="AO122" s="183">
        <v>3.1718817524783424E-4</v>
      </c>
      <c r="AP122" s="165">
        <v>3.4915392954301157E-4</v>
      </c>
      <c r="AR122" s="210">
        <v>87.561549835552526</v>
      </c>
      <c r="AS122" s="211">
        <v>87.610028433321517</v>
      </c>
      <c r="AT122" s="211">
        <v>87.567851386431698</v>
      </c>
      <c r="AU122" s="211">
        <v>87.443787519651551</v>
      </c>
      <c r="AV122" s="211"/>
      <c r="AW122" s="212"/>
      <c r="AX122" s="210">
        <v>87.115432369659985</v>
      </c>
      <c r="AY122" s="211">
        <v>90.59846491170579</v>
      </c>
      <c r="AZ122" s="213">
        <v>98.752338168696866</v>
      </c>
    </row>
    <row r="123" spans="2:52" x14ac:dyDescent="0.25">
      <c r="L123" s="189">
        <v>2280</v>
      </c>
      <c r="M123" s="196">
        <f t="shared" si="16"/>
        <v>0</v>
      </c>
      <c r="N123" s="197">
        <f t="shared" si="16"/>
        <v>0</v>
      </c>
      <c r="O123" s="152">
        <f ca="1"/>
        <v>87.467269809313166</v>
      </c>
      <c r="Q123" s="198">
        <v>0</v>
      </c>
      <c r="R123" s="200">
        <v>0</v>
      </c>
      <c r="S123" s="200">
        <v>0</v>
      </c>
      <c r="T123" s="200">
        <v>0</v>
      </c>
      <c r="U123" s="200">
        <f t="array" ref="U123">IF(U$77&gt;" ",(U$628:U$1078),"")</f>
        <v>0</v>
      </c>
      <c r="V123" s="200">
        <f t="array" ref="V123">IF(V$77&gt;" ",(V$628:V$1078),"")</f>
        <v>0</v>
      </c>
      <c r="W123" s="200">
        <f t="array" ref="W123">IF(W$77&gt;" ",(W$628:W$1078),"")</f>
        <v>0</v>
      </c>
      <c r="X123" s="200">
        <f t="array" ref="X123">IF(X$77&gt;" ",(X$628:X$1078),"")</f>
        <v>0</v>
      </c>
      <c r="Y123" s="204">
        <v>0</v>
      </c>
      <c r="Z123" s="198" t="str">
        <f t="shared" si="8"/>
        <v/>
      </c>
      <c r="AA123" s="198" t="str">
        <f t="shared" si="8"/>
        <v/>
      </c>
      <c r="AB123" s="198" t="str">
        <f t="shared" si="8"/>
        <v/>
      </c>
      <c r="AC123" s="198" t="str">
        <f t="shared" si="8"/>
        <v/>
      </c>
      <c r="AD123" s="198" t="str">
        <f t="shared" si="8"/>
        <v/>
      </c>
      <c r="AE123" s="198" t="str">
        <f t="shared" si="15"/>
        <v/>
      </c>
      <c r="AF123" s="198" t="str">
        <f t="shared" si="15"/>
        <v/>
      </c>
      <c r="AG123" s="198" t="str">
        <f t="shared" si="15"/>
        <v/>
      </c>
      <c r="AH123" s="198" t="str">
        <f t="shared" si="15"/>
        <v/>
      </c>
      <c r="AI123" s="200" t="str">
        <f t="shared" si="9"/>
        <v/>
      </c>
      <c r="AJ123" s="208" t="str">
        <f t="shared" si="10"/>
        <v/>
      </c>
      <c r="AK123" s="4"/>
      <c r="AL123" s="162">
        <v>2280</v>
      </c>
      <c r="AM123" s="209">
        <v>4.2399424245150865E-4</v>
      </c>
      <c r="AN123" s="183">
        <v>3.500082664741076E-4</v>
      </c>
      <c r="AO123" s="183">
        <v>3.3331911478802218E-4</v>
      </c>
      <c r="AP123" s="165">
        <v>3.6684975292878479E-4</v>
      </c>
      <c r="AR123" s="210">
        <v>87.459470186527312</v>
      </c>
      <c r="AS123" s="211">
        <v>87.506634572176793</v>
      </c>
      <c r="AT123" s="211">
        <v>87.467269809313166</v>
      </c>
      <c r="AU123" s="211">
        <v>87.3414092296577</v>
      </c>
      <c r="AV123" s="211"/>
      <c r="AW123" s="212"/>
      <c r="AX123" s="210">
        <v>87.001866072644248</v>
      </c>
      <c r="AY123" s="211">
        <v>90.535499379491924</v>
      </c>
      <c r="AZ123" s="213">
        <v>98.880523866065985</v>
      </c>
    </row>
    <row r="124" spans="2:52" x14ac:dyDescent="0.25">
      <c r="C124" t="s">
        <v>226</v>
      </c>
      <c r="L124" s="189">
        <v>2275</v>
      </c>
      <c r="M124" s="196">
        <f t="shared" si="16"/>
        <v>0</v>
      </c>
      <c r="N124" s="197">
        <f t="shared" si="16"/>
        <v>0</v>
      </c>
      <c r="O124" s="152">
        <f ca="1"/>
        <v>87.317798041115225</v>
      </c>
      <c r="Q124" s="198">
        <v>0</v>
      </c>
      <c r="R124" s="200">
        <v>0</v>
      </c>
      <c r="S124" s="200">
        <v>0</v>
      </c>
      <c r="T124" s="200">
        <v>0</v>
      </c>
      <c r="U124" s="200">
        <f t="array" ref="U124">IF(U$77&gt;" ",(U$628:U$1078),"")</f>
        <v>0</v>
      </c>
      <c r="V124" s="200">
        <f t="array" ref="V124">IF(V$77&gt;" ",(V$628:V$1078),"")</f>
        <v>0</v>
      </c>
      <c r="W124" s="200">
        <f t="array" ref="W124">IF(W$77&gt;" ",(W$628:W$1078),"")</f>
        <v>0</v>
      </c>
      <c r="X124" s="200">
        <f t="array" ref="X124">IF(X$77&gt;" ",(X$628:X$1078),"")</f>
        <v>0</v>
      </c>
      <c r="Y124" s="204">
        <v>0</v>
      </c>
      <c r="Z124" s="198" t="str">
        <f t="shared" si="8"/>
        <v/>
      </c>
      <c r="AA124" s="198" t="str">
        <f t="shared" si="8"/>
        <v/>
      </c>
      <c r="AB124" s="198" t="str">
        <f t="shared" si="8"/>
        <v/>
      </c>
      <c r="AC124" s="198" t="str">
        <f t="shared" si="8"/>
        <v/>
      </c>
      <c r="AD124" s="198" t="str">
        <f t="shared" si="8"/>
        <v/>
      </c>
      <c r="AE124" s="198" t="str">
        <f t="shared" si="15"/>
        <v/>
      </c>
      <c r="AF124" s="198" t="str">
        <f t="shared" si="15"/>
        <v/>
      </c>
      <c r="AG124" s="198" t="str">
        <f t="shared" si="15"/>
        <v/>
      </c>
      <c r="AH124" s="198" t="str">
        <f t="shared" si="15"/>
        <v/>
      </c>
      <c r="AI124" s="200" t="str">
        <f t="shared" si="9"/>
        <v/>
      </c>
      <c r="AJ124" s="208" t="str">
        <f t="shared" si="10"/>
        <v/>
      </c>
      <c r="AK124" s="4"/>
      <c r="AL124" s="162">
        <v>2275</v>
      </c>
      <c r="AM124" s="209">
        <v>4.2670283764323689E-4</v>
      </c>
      <c r="AN124" s="183">
        <v>3.5156901680482916E-4</v>
      </c>
      <c r="AO124" s="183">
        <v>3.2191985046831951E-4</v>
      </c>
      <c r="AP124" s="165">
        <v>3.5430261945917582E-4</v>
      </c>
      <c r="AR124" s="210">
        <v>87.318530856893787</v>
      </c>
      <c r="AS124" s="211">
        <v>87.365997333460598</v>
      </c>
      <c r="AT124" s="211">
        <v>87.317798041115225</v>
      </c>
      <c r="AU124" s="211">
        <v>87.202612724646443</v>
      </c>
      <c r="AV124" s="211"/>
      <c r="AW124" s="212"/>
      <c r="AX124" s="210">
        <v>86.850871921437772</v>
      </c>
      <c r="AY124" s="211">
        <v>90.425843299291103</v>
      </c>
      <c r="AZ124" s="213">
        <v>98.845179729816522</v>
      </c>
    </row>
    <row r="125" spans="2:52" x14ac:dyDescent="0.25">
      <c r="L125" s="189">
        <v>2270</v>
      </c>
      <c r="M125" s="196">
        <f t="shared" si="16"/>
        <v>0</v>
      </c>
      <c r="N125" s="197">
        <f t="shared" si="16"/>
        <v>0</v>
      </c>
      <c r="O125" s="152">
        <f ca="1"/>
        <v>87.237566621760962</v>
      </c>
      <c r="Q125" s="198">
        <v>0</v>
      </c>
      <c r="R125" s="200">
        <v>0</v>
      </c>
      <c r="S125" s="200">
        <v>0</v>
      </c>
      <c r="T125" s="200">
        <v>0</v>
      </c>
      <c r="U125" s="200">
        <f t="array" ref="U125">IF(U$77&gt;" ",(U$628:U$1078),"")</f>
        <v>0</v>
      </c>
      <c r="V125" s="200">
        <f t="array" ref="V125">IF(V$77&gt;" ",(V$628:V$1078),"")</f>
        <v>0</v>
      </c>
      <c r="W125" s="200">
        <f t="array" ref="W125">IF(W$77&gt;" ",(W$628:W$1078),"")</f>
        <v>0</v>
      </c>
      <c r="X125" s="200">
        <f t="array" ref="X125">IF(X$77&gt;" ",(X$628:X$1078),"")</f>
        <v>0</v>
      </c>
      <c r="Y125" s="204">
        <v>0</v>
      </c>
      <c r="Z125" s="198" t="str">
        <f t="shared" si="8"/>
        <v/>
      </c>
      <c r="AA125" s="198" t="str">
        <f t="shared" si="8"/>
        <v/>
      </c>
      <c r="AB125" s="198" t="str">
        <f t="shared" si="8"/>
        <v/>
      </c>
      <c r="AC125" s="198" t="str">
        <f t="shared" si="8"/>
        <v/>
      </c>
      <c r="AD125" s="198" t="str">
        <f t="shared" si="8"/>
        <v/>
      </c>
      <c r="AE125" s="198" t="str">
        <f t="shared" si="15"/>
        <v/>
      </c>
      <c r="AF125" s="198" t="str">
        <f t="shared" si="15"/>
        <v/>
      </c>
      <c r="AG125" s="198" t="str">
        <f t="shared" si="15"/>
        <v/>
      </c>
      <c r="AH125" s="198" t="str">
        <f t="shared" si="15"/>
        <v/>
      </c>
      <c r="AI125" s="200" t="str">
        <f t="shared" si="9"/>
        <v/>
      </c>
      <c r="AJ125" s="208" t="str">
        <f t="shared" si="10"/>
        <v/>
      </c>
      <c r="AK125" s="4"/>
      <c r="AL125" s="162">
        <v>2270</v>
      </c>
      <c r="AM125" s="209">
        <v>4.2941143283496507E-4</v>
      </c>
      <c r="AN125" s="183">
        <v>3.531297671355506E-4</v>
      </c>
      <c r="AO125" s="183">
        <v>3.26173832653793E-4</v>
      </c>
      <c r="AP125" s="165">
        <v>3.5894203678580645E-4</v>
      </c>
      <c r="AR125" s="210">
        <v>87.241264458551797</v>
      </c>
      <c r="AS125" s="211">
        <v>87.284605770847975</v>
      </c>
      <c r="AT125" s="211">
        <v>87.237566621760962</v>
      </c>
      <c r="AU125" s="211">
        <v>87.12033520133798</v>
      </c>
      <c r="AV125" s="211"/>
      <c r="AW125" s="212"/>
      <c r="AX125" s="210">
        <v>86.739998138572119</v>
      </c>
      <c r="AY125" s="211">
        <v>90.341338010231695</v>
      </c>
      <c r="AZ125" s="213">
        <v>98.862275884766262</v>
      </c>
    </row>
    <row r="126" spans="2:52" x14ac:dyDescent="0.25">
      <c r="L126" s="189">
        <v>2265</v>
      </c>
      <c r="M126" s="196">
        <f t="shared" si="16"/>
        <v>0</v>
      </c>
      <c r="N126" s="197">
        <f t="shared" si="16"/>
        <v>0</v>
      </c>
      <c r="O126" s="152">
        <f ca="1"/>
        <v>87.132037574174134</v>
      </c>
      <c r="Q126" s="198">
        <v>0</v>
      </c>
      <c r="R126" s="200">
        <v>0</v>
      </c>
      <c r="S126" s="200">
        <v>0</v>
      </c>
      <c r="T126" s="200">
        <v>0</v>
      </c>
      <c r="U126" s="200">
        <f t="array" ref="U126">IF(U$77&gt;" ",(U$628:U$1078),"")</f>
        <v>0</v>
      </c>
      <c r="V126" s="200">
        <f t="array" ref="V126">IF(V$77&gt;" ",(V$628:V$1078),"")</f>
        <v>0</v>
      </c>
      <c r="W126" s="200">
        <f t="array" ref="W126">IF(W$77&gt;" ",(W$628:W$1078),"")</f>
        <v>0</v>
      </c>
      <c r="X126" s="200">
        <f t="array" ref="X126">IF(X$77&gt;" ",(X$628:X$1078),"")</f>
        <v>0</v>
      </c>
      <c r="Y126" s="204">
        <v>0</v>
      </c>
      <c r="Z126" s="198" t="str">
        <f t="shared" si="8"/>
        <v/>
      </c>
      <c r="AA126" s="198" t="str">
        <f t="shared" si="8"/>
        <v/>
      </c>
      <c r="AB126" s="198" t="str">
        <f t="shared" si="8"/>
        <v/>
      </c>
      <c r="AC126" s="198" t="str">
        <f t="shared" si="8"/>
        <v/>
      </c>
      <c r="AD126" s="198" t="str">
        <f t="shared" si="8"/>
        <v/>
      </c>
      <c r="AE126" s="198" t="str">
        <f t="shared" si="15"/>
        <v/>
      </c>
      <c r="AF126" s="198" t="str">
        <f t="shared" si="15"/>
        <v/>
      </c>
      <c r="AG126" s="198" t="str">
        <f t="shared" si="15"/>
        <v/>
      </c>
      <c r="AH126" s="198" t="str">
        <f t="shared" si="15"/>
        <v/>
      </c>
      <c r="AI126" s="200" t="str">
        <f t="shared" si="9"/>
        <v/>
      </c>
      <c r="AJ126" s="208" t="str">
        <f t="shared" si="10"/>
        <v/>
      </c>
      <c r="AK126" s="4"/>
      <c r="AL126" s="162">
        <v>2265</v>
      </c>
      <c r="AM126" s="209">
        <v>4.3007206580855732E-4</v>
      </c>
      <c r="AN126" s="183">
        <v>3.546905174662721E-4</v>
      </c>
      <c r="AO126" s="183">
        <v>3.4261652975367285E-4</v>
      </c>
      <c r="AP126" s="165">
        <v>3.7694566228613289E-4</v>
      </c>
      <c r="AR126" s="210">
        <v>87.134635982826197</v>
      </c>
      <c r="AS126" s="211">
        <v>87.182240161849094</v>
      </c>
      <c r="AT126" s="211">
        <v>87.132037574174134</v>
      </c>
      <c r="AU126" s="211">
        <v>87.016241824500526</v>
      </c>
      <c r="AV126" s="211"/>
      <c r="AW126" s="212"/>
      <c r="AX126" s="210">
        <v>86.615627320756673</v>
      </c>
      <c r="AY126" s="211">
        <v>90.234314367409453</v>
      </c>
      <c r="AZ126" s="213">
        <v>99.03638897868413</v>
      </c>
    </row>
    <row r="127" spans="2:52" x14ac:dyDescent="0.25">
      <c r="L127" s="189">
        <v>2260</v>
      </c>
      <c r="M127" s="196">
        <f t="shared" ref="M127:N142" si="17">M676</f>
        <v>0</v>
      </c>
      <c r="N127" s="197">
        <f t="shared" si="17"/>
        <v>0</v>
      </c>
      <c r="O127" s="152">
        <f ca="1"/>
        <v>87.004991061746452</v>
      </c>
      <c r="Q127" s="198">
        <v>0</v>
      </c>
      <c r="R127" s="200">
        <v>0</v>
      </c>
      <c r="S127" s="200">
        <v>0</v>
      </c>
      <c r="T127" s="200">
        <v>0</v>
      </c>
      <c r="U127" s="200">
        <f t="array" ref="U127">IF(U$77&gt;" ",(U$628:U$1078),"")</f>
        <v>0</v>
      </c>
      <c r="V127" s="200">
        <f t="array" ref="V127">IF(V$77&gt;" ",(V$628:V$1078),"")</f>
        <v>0</v>
      </c>
      <c r="W127" s="200">
        <f t="array" ref="W127">IF(W$77&gt;" ",(W$628:W$1078),"")</f>
        <v>0</v>
      </c>
      <c r="X127" s="200">
        <f t="array" ref="X127">IF(X$77&gt;" ",(X$628:X$1078),"")</f>
        <v>0</v>
      </c>
      <c r="Y127" s="204">
        <v>0</v>
      </c>
      <c r="Z127" s="198" t="str">
        <f t="shared" si="8"/>
        <v/>
      </c>
      <c r="AA127" s="198" t="str">
        <f t="shared" si="8"/>
        <v/>
      </c>
      <c r="AB127" s="198" t="str">
        <f t="shared" si="8"/>
        <v/>
      </c>
      <c r="AC127" s="198" t="str">
        <f t="shared" si="8"/>
        <v/>
      </c>
      <c r="AD127" s="198" t="str">
        <f t="shared" si="8"/>
        <v/>
      </c>
      <c r="AE127" s="198" t="str">
        <f t="shared" si="15"/>
        <v/>
      </c>
      <c r="AF127" s="198" t="str">
        <f t="shared" si="15"/>
        <v/>
      </c>
      <c r="AG127" s="198" t="str">
        <f t="shared" si="15"/>
        <v/>
      </c>
      <c r="AH127" s="198" t="str">
        <f t="shared" si="15"/>
        <v/>
      </c>
      <c r="AI127" s="200" t="str">
        <f t="shared" si="9"/>
        <v/>
      </c>
      <c r="AJ127" s="208" t="str">
        <f t="shared" si="10"/>
        <v/>
      </c>
      <c r="AK127" s="4"/>
      <c r="AL127" s="162">
        <v>2260</v>
      </c>
      <c r="AM127" s="209">
        <v>4.3066663548479035E-4</v>
      </c>
      <c r="AN127" s="183">
        <v>3.5625126779699359E-4</v>
      </c>
      <c r="AO127" s="183">
        <v>3.3654228568741757E-4</v>
      </c>
      <c r="AP127" s="165">
        <v>3.7016282296179479E-4</v>
      </c>
      <c r="AR127" s="210">
        <v>87.004991061746438</v>
      </c>
      <c r="AS127" s="211">
        <v>87.05235028673782</v>
      </c>
      <c r="AT127" s="211">
        <v>87.004991061746452</v>
      </c>
      <c r="AU127" s="211">
        <v>86.885160898934217</v>
      </c>
      <c r="AV127" s="211"/>
      <c r="AW127" s="212"/>
      <c r="AX127" s="210">
        <v>86.459184874576025</v>
      </c>
      <c r="AY127" s="211">
        <v>90.118086416676149</v>
      </c>
      <c r="AZ127" s="213">
        <v>99.037727665687811</v>
      </c>
    </row>
    <row r="128" spans="2:52" x14ac:dyDescent="0.25">
      <c r="L128" s="189">
        <v>2255</v>
      </c>
      <c r="M128" s="196">
        <f t="shared" si="17"/>
        <v>0</v>
      </c>
      <c r="N128" s="197">
        <f t="shared" si="17"/>
        <v>0</v>
      </c>
      <c r="O128" s="152">
        <f ca="1"/>
        <v>86.893281059207155</v>
      </c>
      <c r="Q128" s="198">
        <v>0</v>
      </c>
      <c r="R128" s="200">
        <v>0</v>
      </c>
      <c r="S128" s="200">
        <v>0</v>
      </c>
      <c r="T128" s="200">
        <v>0</v>
      </c>
      <c r="U128" s="200">
        <f t="array" ref="U128">IF(U$77&gt;" ",(U$628:U$1078),"")</f>
        <v>0</v>
      </c>
      <c r="V128" s="200">
        <f t="array" ref="V128">IF(V$77&gt;" ",(V$628:V$1078),"")</f>
        <v>0</v>
      </c>
      <c r="W128" s="200">
        <f t="array" ref="W128">IF(W$77&gt;" ",(W$628:W$1078),"")</f>
        <v>0</v>
      </c>
      <c r="X128" s="200">
        <f t="array" ref="X128">IF(X$77&gt;" ",(X$628:X$1078),"")</f>
        <v>0</v>
      </c>
      <c r="Y128" s="204">
        <v>0</v>
      </c>
      <c r="Z128" s="198" t="str">
        <f t="shared" si="8"/>
        <v/>
      </c>
      <c r="AA128" s="198" t="str">
        <f t="shared" si="8"/>
        <v/>
      </c>
      <c r="AB128" s="198" t="str">
        <f t="shared" si="8"/>
        <v/>
      </c>
      <c r="AC128" s="198" t="str">
        <f t="shared" si="8"/>
        <v/>
      </c>
      <c r="AD128" s="198" t="str">
        <f t="shared" si="8"/>
        <v/>
      </c>
      <c r="AE128" s="198" t="str">
        <f t="shared" si="15"/>
        <v/>
      </c>
      <c r="AF128" s="198" t="str">
        <f t="shared" si="15"/>
        <v/>
      </c>
      <c r="AG128" s="198" t="str">
        <f t="shared" si="15"/>
        <v/>
      </c>
      <c r="AH128" s="198" t="str">
        <f t="shared" si="15"/>
        <v/>
      </c>
      <c r="AI128" s="200" t="str">
        <f t="shared" si="9"/>
        <v/>
      </c>
      <c r="AJ128" s="208" t="str">
        <f t="shared" si="10"/>
        <v/>
      </c>
      <c r="AK128" s="4"/>
      <c r="AL128" s="162">
        <v>2255</v>
      </c>
      <c r="AM128" s="209">
        <v>4.3132726845838265E-4</v>
      </c>
      <c r="AN128" s="183">
        <v>3.5781201812771514E-4</v>
      </c>
      <c r="AO128" s="183">
        <v>3.4036885831524892E-4</v>
      </c>
      <c r="AP128" s="165">
        <v>3.7420342526556715E-4</v>
      </c>
      <c r="AR128" s="210">
        <v>86.885687518929345</v>
      </c>
      <c r="AS128" s="211">
        <v>86.937676625831486</v>
      </c>
      <c r="AT128" s="211">
        <v>86.893281059207155</v>
      </c>
      <c r="AU128" s="211">
        <v>86.771851024764359</v>
      </c>
      <c r="AV128" s="211"/>
      <c r="AW128" s="212"/>
      <c r="AX128" s="210">
        <v>86.324442238120923</v>
      </c>
      <c r="AY128" s="211">
        <v>90.038010967208606</v>
      </c>
      <c r="AZ128" s="213">
        <v>99.212976695693044</v>
      </c>
    </row>
    <row r="129" spans="12:52" x14ac:dyDescent="0.25">
      <c r="L129" s="189">
        <v>2250</v>
      </c>
      <c r="M129" s="196">
        <f t="shared" si="17"/>
        <v>0</v>
      </c>
      <c r="N129" s="197">
        <f t="shared" si="17"/>
        <v>0</v>
      </c>
      <c r="O129" s="152">
        <f ca="1"/>
        <v>86.742848992289794</v>
      </c>
      <c r="Q129" s="198">
        <v>0</v>
      </c>
      <c r="R129" s="200">
        <v>0</v>
      </c>
      <c r="S129" s="200">
        <v>0</v>
      </c>
      <c r="T129" s="200">
        <v>0</v>
      </c>
      <c r="U129" s="200">
        <f t="array" ref="U129">IF(U$77&gt;" ",(U$628:U$1078),"")</f>
        <v>0</v>
      </c>
      <c r="V129" s="200">
        <f t="array" ref="V129">IF(V$77&gt;" ",(V$628:V$1078),"")</f>
        <v>0</v>
      </c>
      <c r="W129" s="200">
        <f t="array" ref="W129">IF(W$77&gt;" ",(W$628:W$1078),"")</f>
        <v>0</v>
      </c>
      <c r="X129" s="200">
        <f t="array" ref="X129">IF(X$77&gt;" ",(X$628:X$1078),"")</f>
        <v>0</v>
      </c>
      <c r="Y129" s="204">
        <v>0</v>
      </c>
      <c r="Z129" s="198" t="str">
        <f t="shared" si="8"/>
        <v/>
      </c>
      <c r="AA129" s="198" t="str">
        <f t="shared" si="8"/>
        <v/>
      </c>
      <c r="AB129" s="198" t="str">
        <f t="shared" si="8"/>
        <v/>
      </c>
      <c r="AC129" s="198" t="str">
        <f t="shared" si="8"/>
        <v/>
      </c>
      <c r="AD129" s="198" t="str">
        <f t="shared" si="8"/>
        <v/>
      </c>
      <c r="AE129" s="198" t="str">
        <f t="shared" si="15"/>
        <v/>
      </c>
      <c r="AF129" s="198" t="str">
        <f t="shared" si="15"/>
        <v/>
      </c>
      <c r="AG129" s="198" t="str">
        <f t="shared" si="15"/>
        <v/>
      </c>
      <c r="AH129" s="198" t="str">
        <f t="shared" si="15"/>
        <v/>
      </c>
      <c r="AI129" s="200" t="str">
        <f t="shared" si="9"/>
        <v/>
      </c>
      <c r="AJ129" s="208" t="str">
        <f t="shared" si="10"/>
        <v/>
      </c>
      <c r="AK129" s="4"/>
      <c r="AL129" s="162">
        <v>2250</v>
      </c>
      <c r="AM129" s="209">
        <v>4.319879014319749E-4</v>
      </c>
      <c r="AN129" s="183">
        <v>3.5937276845843659E-4</v>
      </c>
      <c r="AO129" s="183">
        <v>3.617242511541448E-4</v>
      </c>
      <c r="AP129" s="165">
        <v>3.9753482554870704E-4</v>
      </c>
      <c r="AR129" s="210">
        <v>86.739020050324427</v>
      </c>
      <c r="AS129" s="211">
        <v>86.787630965710832</v>
      </c>
      <c r="AT129" s="211">
        <v>86.742848992289794</v>
      </c>
      <c r="AU129" s="211">
        <v>86.622586919429736</v>
      </c>
      <c r="AV129" s="211"/>
      <c r="AW129" s="212"/>
      <c r="AX129" s="210">
        <v>86.195881246077292</v>
      </c>
      <c r="AY129" s="211">
        <v>89.957918187371277</v>
      </c>
      <c r="AZ129" s="213">
        <v>98.822237862307901</v>
      </c>
    </row>
    <row r="130" spans="12:52" x14ac:dyDescent="0.25">
      <c r="L130" s="189">
        <v>2245</v>
      </c>
      <c r="M130" s="196">
        <f t="shared" si="17"/>
        <v>0</v>
      </c>
      <c r="N130" s="197">
        <f t="shared" si="17"/>
        <v>0</v>
      </c>
      <c r="O130" s="152">
        <f ca="1"/>
        <v>86.619534900902934</v>
      </c>
      <c r="Q130" s="198">
        <v>0</v>
      </c>
      <c r="R130" s="200">
        <v>0</v>
      </c>
      <c r="S130" s="200">
        <v>0</v>
      </c>
      <c r="T130" s="200">
        <v>0</v>
      </c>
      <c r="U130" s="200">
        <f t="array" ref="U130">IF(U$77&gt;" ",(U$628:U$1078),"")</f>
        <v>0</v>
      </c>
      <c r="V130" s="200">
        <f t="array" ref="V130">IF(V$77&gt;" ",(V$628:V$1078),"")</f>
        <v>0</v>
      </c>
      <c r="W130" s="200">
        <f t="array" ref="W130">IF(W$77&gt;" ",(W$628:W$1078),"")</f>
        <v>0</v>
      </c>
      <c r="X130" s="200">
        <f t="array" ref="X130">IF(X$77&gt;" ",(X$628:X$1078),"")</f>
        <v>0</v>
      </c>
      <c r="Y130" s="204">
        <v>0</v>
      </c>
      <c r="Z130" s="198" t="str">
        <f t="shared" si="8"/>
        <v/>
      </c>
      <c r="AA130" s="198" t="str">
        <f t="shared" si="8"/>
        <v/>
      </c>
      <c r="AB130" s="198" t="str">
        <f t="shared" si="8"/>
        <v/>
      </c>
      <c r="AC130" s="198" t="str">
        <f t="shared" si="8"/>
        <v/>
      </c>
      <c r="AD130" s="198" t="str">
        <f t="shared" si="8"/>
        <v/>
      </c>
      <c r="AE130" s="198" t="str">
        <f t="shared" si="15"/>
        <v/>
      </c>
      <c r="AF130" s="198" t="str">
        <f t="shared" si="15"/>
        <v/>
      </c>
      <c r="AG130" s="198" t="str">
        <f t="shared" si="15"/>
        <v/>
      </c>
      <c r="AH130" s="198" t="str">
        <f t="shared" si="15"/>
        <v/>
      </c>
      <c r="AI130" s="200" t="str">
        <f t="shared" si="9"/>
        <v/>
      </c>
      <c r="AJ130" s="208" t="str">
        <f t="shared" si="10"/>
        <v/>
      </c>
      <c r="AK130" s="4"/>
      <c r="AL130" s="162">
        <v>2245</v>
      </c>
      <c r="AM130" s="209">
        <v>4.326485344055671E-4</v>
      </c>
      <c r="AN130" s="183">
        <v>3.603532398200437E-4</v>
      </c>
      <c r="AO130" s="183">
        <v>3.5619809699121883E-4</v>
      </c>
      <c r="AP130" s="165">
        <v>3.9125006600973706E-4</v>
      </c>
      <c r="AR130" s="210">
        <v>86.615972274469073</v>
      </c>
      <c r="AS130" s="211">
        <v>86.665782453395011</v>
      </c>
      <c r="AT130" s="211">
        <v>86.619534900902934</v>
      </c>
      <c r="AU130" s="211">
        <v>86.497639803945802</v>
      </c>
      <c r="AV130" s="211"/>
      <c r="AW130" s="212"/>
      <c r="AX130" s="210">
        <v>86.07218863047747</v>
      </c>
      <c r="AY130" s="211">
        <v>89.867002123356428</v>
      </c>
      <c r="AZ130" s="213">
        <v>99.066988867701866</v>
      </c>
    </row>
    <row r="131" spans="12:52" x14ac:dyDescent="0.25">
      <c r="L131" s="189">
        <v>2240</v>
      </c>
      <c r="M131" s="196">
        <f t="shared" si="17"/>
        <v>0</v>
      </c>
      <c r="N131" s="197">
        <f t="shared" si="17"/>
        <v>0</v>
      </c>
      <c r="O131" s="152">
        <f ca="1"/>
        <v>86.532319533748478</v>
      </c>
      <c r="Q131" s="198">
        <v>0</v>
      </c>
      <c r="R131" s="200">
        <v>0</v>
      </c>
      <c r="S131" s="200">
        <v>0</v>
      </c>
      <c r="T131" s="200">
        <v>0</v>
      </c>
      <c r="U131" s="200">
        <f t="array" ref="U131">IF(U$77&gt;" ",(U$628:U$1078),"")</f>
        <v>0</v>
      </c>
      <c r="V131" s="200">
        <f t="array" ref="V131">IF(V$77&gt;" ",(V$628:V$1078),"")</f>
        <v>0</v>
      </c>
      <c r="W131" s="200">
        <f t="array" ref="W131">IF(W$77&gt;" ",(W$628:W$1078),"")</f>
        <v>0</v>
      </c>
      <c r="X131" s="200">
        <f t="array" ref="X131">IF(X$77&gt;" ",(X$628:X$1078),"")</f>
        <v>0</v>
      </c>
      <c r="Y131" s="204">
        <v>0</v>
      </c>
      <c r="Z131" s="198" t="str">
        <f t="shared" si="8"/>
        <v/>
      </c>
      <c r="AA131" s="198" t="str">
        <f t="shared" si="8"/>
        <v/>
      </c>
      <c r="AB131" s="198" t="str">
        <f t="shared" si="8"/>
        <v/>
      </c>
      <c r="AC131" s="198" t="str">
        <f t="shared" si="8"/>
        <v/>
      </c>
      <c r="AD131" s="198" t="str">
        <f t="shared" si="8"/>
        <v/>
      </c>
      <c r="AE131" s="198" t="str">
        <f t="shared" si="15"/>
        <v/>
      </c>
      <c r="AF131" s="198" t="str">
        <f t="shared" si="15"/>
        <v/>
      </c>
      <c r="AG131" s="198" t="str">
        <f t="shared" si="15"/>
        <v/>
      </c>
      <c r="AH131" s="198" t="str">
        <f t="shared" si="15"/>
        <v/>
      </c>
      <c r="AI131" s="200" t="str">
        <f t="shared" si="9"/>
        <v/>
      </c>
      <c r="AJ131" s="208" t="str">
        <f t="shared" si="10"/>
        <v/>
      </c>
      <c r="AK131" s="4"/>
      <c r="AL131" s="162">
        <v>2240</v>
      </c>
      <c r="AM131" s="209">
        <v>4.3324310408180013E-4</v>
      </c>
      <c r="AN131" s="183">
        <v>3.6133371118165082E-4</v>
      </c>
      <c r="AO131" s="183">
        <v>3.6766272983150203E-4</v>
      </c>
      <c r="AP131" s="165">
        <v>4.0372444625226967E-4</v>
      </c>
      <c r="AR131" s="210">
        <v>86.53042110414988</v>
      </c>
      <c r="AS131" s="211">
        <v>86.581245728140445</v>
      </c>
      <c r="AT131" s="211">
        <v>86.532319533748478</v>
      </c>
      <c r="AU131" s="211">
        <v>86.40978756018275</v>
      </c>
      <c r="AV131" s="211"/>
      <c r="AW131" s="212"/>
      <c r="AX131" s="210">
        <v>85.933349443559621</v>
      </c>
      <c r="AY131" s="211">
        <v>89.766520099001468</v>
      </c>
      <c r="AZ131" s="213">
        <v>99.105670694509485</v>
      </c>
    </row>
    <row r="132" spans="12:52" x14ac:dyDescent="0.25">
      <c r="L132" s="189">
        <v>2235</v>
      </c>
      <c r="M132" s="196">
        <f t="shared" si="17"/>
        <v>0</v>
      </c>
      <c r="N132" s="197">
        <f t="shared" si="17"/>
        <v>0</v>
      </c>
      <c r="O132" s="152">
        <f ca="1"/>
        <v>86.433763521412672</v>
      </c>
      <c r="Q132" s="198">
        <v>0</v>
      </c>
      <c r="R132" s="200">
        <v>0</v>
      </c>
      <c r="S132" s="200">
        <v>0</v>
      </c>
      <c r="T132" s="200">
        <v>0</v>
      </c>
      <c r="U132" s="200">
        <f t="array" ref="U132">IF(U$77&gt;" ",(U$628:U$1078),"")</f>
        <v>0</v>
      </c>
      <c r="V132" s="200">
        <f t="array" ref="V132">IF(V$77&gt;" ",(V$628:V$1078),"")</f>
        <v>0</v>
      </c>
      <c r="W132" s="200">
        <f t="array" ref="W132">IF(W$77&gt;" ",(W$628:W$1078),"")</f>
        <v>0</v>
      </c>
      <c r="X132" s="200">
        <f t="array" ref="X132">IF(X$77&gt;" ",(X$628:X$1078),"")</f>
        <v>0</v>
      </c>
      <c r="Y132" s="204">
        <v>0</v>
      </c>
      <c r="Z132" s="198" t="str">
        <f t="shared" si="8"/>
        <v/>
      </c>
      <c r="AA132" s="198" t="str">
        <f t="shared" si="8"/>
        <v/>
      </c>
      <c r="AB132" s="198" t="str">
        <f t="shared" si="8"/>
        <v/>
      </c>
      <c r="AC132" s="198" t="str">
        <f t="shared" si="8"/>
        <v/>
      </c>
      <c r="AD132" s="198" t="str">
        <f t="shared" si="8"/>
        <v/>
      </c>
      <c r="AE132" s="198" t="str">
        <f t="shared" si="15"/>
        <v/>
      </c>
      <c r="AF132" s="198" t="str">
        <f t="shared" si="15"/>
        <v/>
      </c>
      <c r="AG132" s="198" t="str">
        <f t="shared" si="15"/>
        <v/>
      </c>
      <c r="AH132" s="198" t="str">
        <f t="shared" si="15"/>
        <v/>
      </c>
      <c r="AI132" s="200" t="str">
        <f t="shared" si="9"/>
        <v/>
      </c>
      <c r="AJ132" s="208" t="str">
        <f t="shared" si="10"/>
        <v/>
      </c>
      <c r="AK132" s="4"/>
      <c r="AL132" s="162">
        <v>2235</v>
      </c>
      <c r="AM132" s="209">
        <v>4.3390373705539244E-4</v>
      </c>
      <c r="AN132" s="183">
        <v>3.6231418254325783E-4</v>
      </c>
      <c r="AO132" s="183">
        <v>3.736012085088592E-4</v>
      </c>
      <c r="AP132" s="165">
        <v>4.10160308647475E-4</v>
      </c>
      <c r="AR132" s="210">
        <v>86.43479605194284</v>
      </c>
      <c r="AS132" s="211">
        <v>86.481559692728396</v>
      </c>
      <c r="AT132" s="211">
        <v>86.433763521412672</v>
      </c>
      <c r="AU132" s="211">
        <v>86.315688659172835</v>
      </c>
      <c r="AV132" s="211"/>
      <c r="AW132" s="212"/>
      <c r="AX132" s="210">
        <v>85.866024850256963</v>
      </c>
      <c r="AY132" s="211">
        <v>89.724557288925709</v>
      </c>
      <c r="AZ132" s="213">
        <v>98.974772507109762</v>
      </c>
    </row>
    <row r="133" spans="12:52" x14ac:dyDescent="0.25">
      <c r="L133" s="189">
        <v>2230</v>
      </c>
      <c r="M133" s="196">
        <f t="shared" si="17"/>
        <v>0</v>
      </c>
      <c r="N133" s="197">
        <f t="shared" si="17"/>
        <v>0</v>
      </c>
      <c r="O133" s="152">
        <f ca="1"/>
        <v>86.371078767349744</v>
      </c>
      <c r="Q133" s="198">
        <v>0</v>
      </c>
      <c r="R133" s="200">
        <v>0</v>
      </c>
      <c r="S133" s="200">
        <v>0</v>
      </c>
      <c r="T133" s="200">
        <v>0</v>
      </c>
      <c r="U133" s="200">
        <f t="array" ref="U133">IF(U$77&gt;" ",(U$628:U$1078),"")</f>
        <v>0</v>
      </c>
      <c r="V133" s="200">
        <f t="array" ref="V133">IF(V$77&gt;" ",(V$628:V$1078),"")</f>
        <v>0</v>
      </c>
      <c r="W133" s="200">
        <f t="array" ref="W133">IF(W$77&gt;" ",(W$628:W$1078),"")</f>
        <v>0</v>
      </c>
      <c r="X133" s="200">
        <f t="array" ref="X133">IF(X$77&gt;" ",(X$628:X$1078),"")</f>
        <v>0</v>
      </c>
      <c r="Y133" s="204">
        <v>0</v>
      </c>
      <c r="Z133" s="198" t="str">
        <f t="shared" si="8"/>
        <v/>
      </c>
      <c r="AA133" s="198" t="str">
        <f t="shared" si="8"/>
        <v/>
      </c>
      <c r="AB133" s="198" t="str">
        <f t="shared" si="8"/>
        <v/>
      </c>
      <c r="AC133" s="198" t="str">
        <f t="shared" si="8"/>
        <v/>
      </c>
      <c r="AD133" s="198" t="str">
        <f t="shared" si="8"/>
        <v/>
      </c>
      <c r="AE133" s="198" t="str">
        <f t="shared" si="15"/>
        <v/>
      </c>
      <c r="AF133" s="198" t="str">
        <f t="shared" si="15"/>
        <v/>
      </c>
      <c r="AG133" s="198" t="str">
        <f t="shared" si="15"/>
        <v/>
      </c>
      <c r="AH133" s="198" t="str">
        <f t="shared" si="15"/>
        <v/>
      </c>
      <c r="AI133" s="200" t="str">
        <f t="shared" si="9"/>
        <v/>
      </c>
      <c r="AJ133" s="208" t="str">
        <f t="shared" si="10"/>
        <v/>
      </c>
      <c r="AK133" s="4"/>
      <c r="AL133" s="162">
        <v>2230</v>
      </c>
      <c r="AM133" s="209">
        <v>4.3456437002898469E-4</v>
      </c>
      <c r="AN133" s="183">
        <v>3.6329465390486494E-4</v>
      </c>
      <c r="AO133" s="183">
        <v>3.810129930731475E-4</v>
      </c>
      <c r="AP133" s="165">
        <v>4.1820233844044028E-4</v>
      </c>
      <c r="AR133" s="210">
        <v>86.376975011247453</v>
      </c>
      <c r="AS133" s="211">
        <v>86.414750946727665</v>
      </c>
      <c r="AT133" s="211">
        <v>86.371078767349744</v>
      </c>
      <c r="AU133" s="211">
        <v>86.253553634744662</v>
      </c>
      <c r="AV133" s="211"/>
      <c r="AW133" s="212"/>
      <c r="AX133" s="210">
        <v>85.821913922406495</v>
      </c>
      <c r="AY133" s="211">
        <v>89.671531321927787</v>
      </c>
      <c r="AZ133" s="213">
        <v>98.996092459455411</v>
      </c>
    </row>
    <row r="134" spans="12:52" x14ac:dyDescent="0.25">
      <c r="L134" s="189">
        <v>2225</v>
      </c>
      <c r="M134" s="196">
        <f t="shared" si="17"/>
        <v>0</v>
      </c>
      <c r="N134" s="197">
        <f t="shared" si="17"/>
        <v>0</v>
      </c>
      <c r="O134" s="152">
        <f ca="1"/>
        <v>86.348893125853053</v>
      </c>
      <c r="Q134" s="198">
        <v>0</v>
      </c>
      <c r="R134" s="200">
        <v>0</v>
      </c>
      <c r="S134" s="200">
        <v>0</v>
      </c>
      <c r="T134" s="200">
        <v>0</v>
      </c>
      <c r="U134" s="200">
        <f t="array" ref="U134">IF(U$77&gt;" ",(U$628:U$1078),"")</f>
        <v>0</v>
      </c>
      <c r="V134" s="200">
        <f t="array" ref="V134">IF(V$77&gt;" ",(V$628:V$1078),"")</f>
        <v>0</v>
      </c>
      <c r="W134" s="200">
        <f t="array" ref="W134">IF(W$77&gt;" ",(W$628:W$1078),"")</f>
        <v>0</v>
      </c>
      <c r="X134" s="200">
        <f t="array" ref="X134">IF(X$77&gt;" ",(X$628:X$1078),"")</f>
        <v>0</v>
      </c>
      <c r="Y134" s="204">
        <v>0</v>
      </c>
      <c r="Z134" s="198" t="str">
        <f t="shared" si="8"/>
        <v/>
      </c>
      <c r="AA134" s="198" t="str">
        <f t="shared" si="8"/>
        <v/>
      </c>
      <c r="AB134" s="198" t="str">
        <f t="shared" si="8"/>
        <v/>
      </c>
      <c r="AC134" s="198" t="str">
        <f t="shared" si="8"/>
        <v/>
      </c>
      <c r="AD134" s="198" t="str">
        <f t="shared" si="8"/>
        <v/>
      </c>
      <c r="AE134" s="198" t="str">
        <f t="shared" si="15"/>
        <v/>
      </c>
      <c r="AF134" s="198" t="str">
        <f t="shared" si="15"/>
        <v/>
      </c>
      <c r="AG134" s="198" t="str">
        <f t="shared" si="15"/>
        <v/>
      </c>
      <c r="AH134" s="198" t="str">
        <f t="shared" si="15"/>
        <v/>
      </c>
      <c r="AI134" s="200" t="str">
        <f t="shared" si="9"/>
        <v/>
      </c>
      <c r="AJ134" s="208" t="str">
        <f t="shared" si="10"/>
        <v/>
      </c>
      <c r="AK134" s="4"/>
      <c r="AL134" s="162">
        <v>2225</v>
      </c>
      <c r="AM134" s="209">
        <v>4.3522500300257689E-4</v>
      </c>
      <c r="AN134" s="183">
        <v>3.6427512526647206E-4</v>
      </c>
      <c r="AO134" s="183">
        <v>3.7940392179731833E-4</v>
      </c>
      <c r="AP134" s="165">
        <v>4.1637231495936884E-4</v>
      </c>
      <c r="AR134" s="210">
        <v>86.353756990750767</v>
      </c>
      <c r="AS134" s="211">
        <v>86.390469176485439</v>
      </c>
      <c r="AT134" s="211">
        <v>86.348893125853053</v>
      </c>
      <c r="AU134" s="211">
        <v>86.231927169306346</v>
      </c>
      <c r="AV134" s="211"/>
      <c r="AW134" s="212"/>
      <c r="AX134" s="210">
        <v>85.849934399167424</v>
      </c>
      <c r="AY134" s="211">
        <v>89.690251141440157</v>
      </c>
      <c r="AZ134" s="213">
        <v>98.93887160178312</v>
      </c>
    </row>
    <row r="135" spans="12:52" x14ac:dyDescent="0.25">
      <c r="L135" s="189">
        <v>2220</v>
      </c>
      <c r="M135" s="196">
        <f t="shared" si="17"/>
        <v>0</v>
      </c>
      <c r="N135" s="197">
        <f t="shared" si="17"/>
        <v>0</v>
      </c>
      <c r="O135" s="152">
        <f ca="1"/>
        <v>86.43020465094412</v>
      </c>
      <c r="Q135" s="198">
        <v>0</v>
      </c>
      <c r="R135" s="200">
        <v>0</v>
      </c>
      <c r="S135" s="200">
        <v>0</v>
      </c>
      <c r="T135" s="200">
        <v>0</v>
      </c>
      <c r="U135" s="200">
        <f t="array" ref="U135">IF(U$77&gt;" ",(U$628:U$1078),"")</f>
        <v>0</v>
      </c>
      <c r="V135" s="200">
        <f t="array" ref="V135">IF(V$77&gt;" ",(V$628:V$1078),"")</f>
        <v>0</v>
      </c>
      <c r="W135" s="200">
        <f t="array" ref="W135">IF(W$77&gt;" ",(W$628:W$1078),"")</f>
        <v>0</v>
      </c>
      <c r="X135" s="200">
        <f t="array" ref="X135">IF(X$77&gt;" ",(X$628:X$1078),"")</f>
        <v>0</v>
      </c>
      <c r="Y135" s="204">
        <v>0</v>
      </c>
      <c r="Z135" s="198" t="str">
        <f t="shared" si="8"/>
        <v/>
      </c>
      <c r="AA135" s="198" t="str">
        <f t="shared" si="8"/>
        <v/>
      </c>
      <c r="AB135" s="198" t="str">
        <f t="shared" si="8"/>
        <v/>
      </c>
      <c r="AC135" s="198" t="str">
        <f t="shared" si="8"/>
        <v/>
      </c>
      <c r="AD135" s="198" t="str">
        <f t="shared" si="8"/>
        <v/>
      </c>
      <c r="AE135" s="198" t="str">
        <f t="shared" si="15"/>
        <v/>
      </c>
      <c r="AF135" s="198" t="str">
        <f t="shared" si="15"/>
        <v/>
      </c>
      <c r="AG135" s="198" t="str">
        <f t="shared" si="15"/>
        <v/>
      </c>
      <c r="AH135" s="198" t="str">
        <f t="shared" si="15"/>
        <v/>
      </c>
      <c r="AI135" s="200" t="str">
        <f t="shared" si="9"/>
        <v/>
      </c>
      <c r="AJ135" s="208" t="str">
        <f t="shared" si="10"/>
        <v/>
      </c>
      <c r="AK135" s="4"/>
      <c r="AL135" s="162">
        <v>2220</v>
      </c>
      <c r="AM135" s="209">
        <v>4.3581957267880991E-4</v>
      </c>
      <c r="AN135" s="183">
        <v>3.6525559662807912E-4</v>
      </c>
      <c r="AO135" s="183">
        <v>3.9085346959439053E-4</v>
      </c>
      <c r="AP135" s="165">
        <v>4.2885788800606716E-4</v>
      </c>
      <c r="AR135" s="210">
        <v>86.430037986903827</v>
      </c>
      <c r="AS135" s="211">
        <v>86.469704028490739</v>
      </c>
      <c r="AT135" s="211">
        <v>86.43020465094412</v>
      </c>
      <c r="AU135" s="211">
        <v>86.310373205982003</v>
      </c>
      <c r="AV135" s="211"/>
      <c r="AW135" s="212"/>
      <c r="AX135" s="210">
        <v>85.900337255342208</v>
      </c>
      <c r="AY135" s="211">
        <v>89.700448443669828</v>
      </c>
      <c r="AZ135" s="213">
        <v>99.164410020347304</v>
      </c>
    </row>
    <row r="136" spans="12:52" x14ac:dyDescent="0.25">
      <c r="L136" s="189">
        <v>2215</v>
      </c>
      <c r="M136" s="196">
        <f t="shared" si="17"/>
        <v>0</v>
      </c>
      <c r="N136" s="197">
        <f t="shared" si="17"/>
        <v>0</v>
      </c>
      <c r="O136" s="152">
        <f ca="1"/>
        <v>86.537084792107109</v>
      </c>
      <c r="Q136" s="198">
        <v>0</v>
      </c>
      <c r="R136" s="200">
        <v>0</v>
      </c>
      <c r="S136" s="200">
        <v>0</v>
      </c>
      <c r="T136" s="200">
        <v>0</v>
      </c>
      <c r="U136" s="200">
        <f t="array" ref="U136">IF(U$77&gt;" ",(U$628:U$1078),"")</f>
        <v>0</v>
      </c>
      <c r="V136" s="200">
        <f t="array" ref="V136">IF(V$77&gt;" ",(V$628:V$1078),"")</f>
        <v>0</v>
      </c>
      <c r="W136" s="200">
        <f t="array" ref="W136">IF(W$77&gt;" ",(W$628:W$1078),"")</f>
        <v>0</v>
      </c>
      <c r="X136" s="200">
        <f t="array" ref="X136">IF(X$77&gt;" ",(X$628:X$1078),"")</f>
        <v>0</v>
      </c>
      <c r="Y136" s="204">
        <v>0</v>
      </c>
      <c r="Z136" s="198" t="str">
        <f t="shared" si="8"/>
        <v/>
      </c>
      <c r="AA136" s="198" t="str">
        <f t="shared" si="8"/>
        <v/>
      </c>
      <c r="AB136" s="198" t="str">
        <f t="shared" si="8"/>
        <v/>
      </c>
      <c r="AC136" s="198" t="str">
        <f t="shared" si="8"/>
        <v/>
      </c>
      <c r="AD136" s="198" t="str">
        <f t="shared" si="8"/>
        <v/>
      </c>
      <c r="AE136" s="198" t="str">
        <f t="shared" si="15"/>
        <v/>
      </c>
      <c r="AF136" s="198" t="str">
        <f t="shared" si="15"/>
        <v/>
      </c>
      <c r="AG136" s="198" t="str">
        <f t="shared" si="15"/>
        <v/>
      </c>
      <c r="AH136" s="198" t="str">
        <f t="shared" si="15"/>
        <v/>
      </c>
      <c r="AI136" s="200" t="str">
        <f t="shared" si="9"/>
        <v/>
      </c>
      <c r="AJ136" s="208" t="str">
        <f t="shared" si="10"/>
        <v/>
      </c>
      <c r="AK136" s="4"/>
      <c r="AL136" s="162">
        <v>2215</v>
      </c>
      <c r="AM136" s="209">
        <v>4.3648020565240217E-4</v>
      </c>
      <c r="AN136" s="183">
        <v>3.6623606798968624E-4</v>
      </c>
      <c r="AO136" s="183">
        <v>3.8352716694163065E-4</v>
      </c>
      <c r="AP136" s="165">
        <v>4.2078787620268804E-4</v>
      </c>
      <c r="AR136" s="210">
        <v>86.537951524391431</v>
      </c>
      <c r="AS136" s="211">
        <v>86.576154416615893</v>
      </c>
      <c r="AT136" s="211">
        <v>86.537084792107109</v>
      </c>
      <c r="AU136" s="211">
        <v>86.412242007307285</v>
      </c>
      <c r="AV136" s="211"/>
      <c r="AW136" s="212"/>
      <c r="AX136" s="210">
        <v>86.0834361210879</v>
      </c>
      <c r="AY136" s="211">
        <v>89.830546686805135</v>
      </c>
      <c r="AZ136" s="213">
        <v>99.095730069991646</v>
      </c>
    </row>
    <row r="137" spans="12:52" x14ac:dyDescent="0.25">
      <c r="L137" s="189">
        <v>2210</v>
      </c>
      <c r="M137" s="196">
        <f t="shared" si="17"/>
        <v>0</v>
      </c>
      <c r="N137" s="197">
        <f t="shared" si="17"/>
        <v>0</v>
      </c>
      <c r="O137" s="152">
        <f ca="1"/>
        <v>86.751316295639342</v>
      </c>
      <c r="Q137" s="198">
        <v>0</v>
      </c>
      <c r="R137" s="200">
        <v>0</v>
      </c>
      <c r="S137" s="200">
        <v>0</v>
      </c>
      <c r="T137" s="200">
        <v>0</v>
      </c>
      <c r="U137" s="200">
        <f t="array" ref="U137">IF(U$77&gt;" ",(U$628:U$1078),"")</f>
        <v>0</v>
      </c>
      <c r="V137" s="200">
        <f t="array" ref="V137">IF(V$77&gt;" ",(V$628:V$1078),"")</f>
        <v>0</v>
      </c>
      <c r="W137" s="200">
        <f t="array" ref="W137">IF(W$77&gt;" ",(W$628:W$1078),"")</f>
        <v>0</v>
      </c>
      <c r="X137" s="200">
        <f t="array" ref="X137">IF(X$77&gt;" ",(X$628:X$1078),"")</f>
        <v>0</v>
      </c>
      <c r="Y137" s="204">
        <v>0</v>
      </c>
      <c r="Z137" s="198" t="str">
        <f t="shared" si="8"/>
        <v/>
      </c>
      <c r="AA137" s="198" t="str">
        <f t="shared" si="8"/>
        <v/>
      </c>
      <c r="AB137" s="198" t="str">
        <f t="shared" si="8"/>
        <v/>
      </c>
      <c r="AC137" s="198" t="str">
        <f t="shared" si="8"/>
        <v/>
      </c>
      <c r="AD137" s="198" t="str">
        <f t="shared" si="8"/>
        <v/>
      </c>
      <c r="AE137" s="198" t="str">
        <f t="shared" si="15"/>
        <v/>
      </c>
      <c r="AF137" s="198" t="str">
        <f t="shared" si="15"/>
        <v/>
      </c>
      <c r="AG137" s="198" t="str">
        <f t="shared" si="15"/>
        <v/>
      </c>
      <c r="AH137" s="198" t="str">
        <f t="shared" si="15"/>
        <v/>
      </c>
      <c r="AI137" s="200" t="str">
        <f t="shared" si="9"/>
        <v/>
      </c>
      <c r="AJ137" s="208" t="str">
        <f t="shared" si="10"/>
        <v/>
      </c>
      <c r="AK137" s="4"/>
      <c r="AL137" s="162">
        <v>2210</v>
      </c>
      <c r="AM137" s="209">
        <v>4.3714083862599447E-4</v>
      </c>
      <c r="AN137" s="183">
        <v>3.6721653935129341E-4</v>
      </c>
      <c r="AO137" s="183">
        <v>3.9882340075748213E-4</v>
      </c>
      <c r="AP137" s="165">
        <v>4.374931364198078E-4</v>
      </c>
      <c r="AR137" s="210">
        <v>86.753017323422881</v>
      </c>
      <c r="AS137" s="211">
        <v>86.7927413251915</v>
      </c>
      <c r="AT137" s="211">
        <v>86.751316295639342</v>
      </c>
      <c r="AU137" s="211">
        <v>86.62787504413167</v>
      </c>
      <c r="AV137" s="211"/>
      <c r="AW137" s="212"/>
      <c r="AX137" s="210">
        <v>86.282844964874741</v>
      </c>
      <c r="AY137" s="211">
        <v>89.951884430564135</v>
      </c>
      <c r="AZ137" s="213">
        <v>99.174587587224266</v>
      </c>
    </row>
    <row r="138" spans="12:52" x14ac:dyDescent="0.25">
      <c r="L138" s="189">
        <v>2205</v>
      </c>
      <c r="M138" s="196">
        <f t="shared" si="17"/>
        <v>0</v>
      </c>
      <c r="N138" s="197">
        <f t="shared" si="17"/>
        <v>0</v>
      </c>
      <c r="O138" s="152">
        <f ca="1"/>
        <v>87.043201934734057</v>
      </c>
      <c r="Q138" s="198">
        <v>0</v>
      </c>
      <c r="R138" s="200">
        <v>0</v>
      </c>
      <c r="S138" s="200">
        <v>0</v>
      </c>
      <c r="T138" s="200">
        <v>0</v>
      </c>
      <c r="U138" s="200">
        <f t="array" ref="U138">IF(U$77&gt;" ",(U$628:U$1078),"")</f>
        <v>0</v>
      </c>
      <c r="V138" s="200">
        <f t="array" ref="V138">IF(V$77&gt;" ",(V$628:V$1078),"")</f>
        <v>0</v>
      </c>
      <c r="W138" s="200">
        <f t="array" ref="W138">IF(W$77&gt;" ",(W$628:W$1078),"")</f>
        <v>0</v>
      </c>
      <c r="X138" s="200">
        <f t="array" ref="X138">IF(X$77&gt;" ",(X$628:X$1078),"")</f>
        <v>0</v>
      </c>
      <c r="Y138" s="204">
        <v>0</v>
      </c>
      <c r="Z138" s="198" t="str">
        <f t="shared" si="8"/>
        <v/>
      </c>
      <c r="AA138" s="198" t="str">
        <f t="shared" si="8"/>
        <v/>
      </c>
      <c r="AB138" s="198" t="str">
        <f t="shared" si="8"/>
        <v/>
      </c>
      <c r="AC138" s="198" t="str">
        <f t="shared" si="8"/>
        <v/>
      </c>
      <c r="AD138" s="198" t="str">
        <f t="shared" si="8"/>
        <v/>
      </c>
      <c r="AE138" s="198" t="str">
        <f t="shared" si="15"/>
        <v/>
      </c>
      <c r="AF138" s="198" t="str">
        <f t="shared" si="15"/>
        <v/>
      </c>
      <c r="AG138" s="198" t="str">
        <f t="shared" si="15"/>
        <v/>
      </c>
      <c r="AH138" s="198" t="str">
        <f t="shared" si="15"/>
        <v/>
      </c>
      <c r="AI138" s="200" t="str">
        <f t="shared" si="9"/>
        <v/>
      </c>
      <c r="AJ138" s="208" t="str">
        <f t="shared" si="10"/>
        <v/>
      </c>
      <c r="AK138" s="4"/>
      <c r="AL138" s="162">
        <v>2205</v>
      </c>
      <c r="AM138" s="209">
        <v>4.377354083022275E-4</v>
      </c>
      <c r="AN138" s="183">
        <v>3.6819701071290041E-4</v>
      </c>
      <c r="AO138" s="183">
        <v>3.7214801601287596E-4</v>
      </c>
      <c r="AP138" s="165">
        <v>4.0824074273307901E-4</v>
      </c>
      <c r="AR138" s="210">
        <v>87.042367785215816</v>
      </c>
      <c r="AS138" s="211">
        <v>87.081572812573199</v>
      </c>
      <c r="AT138" s="211">
        <v>87.043201934734057</v>
      </c>
      <c r="AU138" s="211">
        <v>86.921783130858742</v>
      </c>
      <c r="AV138" s="211"/>
      <c r="AW138" s="212"/>
      <c r="AX138" s="210">
        <v>86.651407903986566</v>
      </c>
      <c r="AY138" s="211">
        <v>90.197575112106776</v>
      </c>
      <c r="AZ138" s="213">
        <v>99.15436985849648</v>
      </c>
    </row>
    <row r="139" spans="12:52" x14ac:dyDescent="0.25">
      <c r="L139" s="189">
        <v>2200</v>
      </c>
      <c r="M139" s="196">
        <f t="shared" si="17"/>
        <v>0</v>
      </c>
      <c r="N139" s="197">
        <f t="shared" si="17"/>
        <v>0</v>
      </c>
      <c r="O139" s="152">
        <f ca="1"/>
        <v>87.420273167136045</v>
      </c>
      <c r="Q139" s="198">
        <v>0</v>
      </c>
      <c r="R139" s="200">
        <v>0</v>
      </c>
      <c r="S139" s="200">
        <v>0</v>
      </c>
      <c r="T139" s="200">
        <v>0</v>
      </c>
      <c r="U139" s="200">
        <f t="array" ref="U139">IF(U$77&gt;" ",(U$628:U$1078),"")</f>
        <v>0</v>
      </c>
      <c r="V139" s="200">
        <f t="array" ref="V139">IF(V$77&gt;" ",(V$628:V$1078),"")</f>
        <v>0</v>
      </c>
      <c r="W139" s="200">
        <f t="array" ref="W139">IF(W$77&gt;" ",(W$628:W$1078),"")</f>
        <v>0</v>
      </c>
      <c r="X139" s="200">
        <f t="array" ref="X139">IF(X$77&gt;" ",(X$628:X$1078),"")</f>
        <v>0</v>
      </c>
      <c r="Y139" s="204">
        <v>0</v>
      </c>
      <c r="Z139" s="198" t="str">
        <f t="shared" si="8"/>
        <v/>
      </c>
      <c r="AA139" s="198" t="str">
        <f t="shared" si="8"/>
        <v/>
      </c>
      <c r="AB139" s="198" t="str">
        <f t="shared" si="8"/>
        <v/>
      </c>
      <c r="AC139" s="198" t="str">
        <f t="shared" si="8"/>
        <v/>
      </c>
      <c r="AD139" s="198" t="str">
        <f t="shared" ref="AD139:AG202" si="18">IF(AND(U139&gt;0,U139&lt;999),(U139-$M139)/($N139-$M139)*$O139,"")</f>
        <v/>
      </c>
      <c r="AE139" s="198" t="str">
        <f t="shared" si="15"/>
        <v/>
      </c>
      <c r="AF139" s="198" t="str">
        <f t="shared" si="15"/>
        <v/>
      </c>
      <c r="AG139" s="198" t="str">
        <f t="shared" si="15"/>
        <v/>
      </c>
      <c r="AH139" s="198" t="str">
        <f t="shared" si="15"/>
        <v/>
      </c>
      <c r="AI139" s="200" t="str">
        <f t="shared" si="9"/>
        <v/>
      </c>
      <c r="AJ139" s="208" t="str">
        <f t="shared" si="10"/>
        <v/>
      </c>
      <c r="AK139" s="4"/>
      <c r="AL139" s="162">
        <v>2200</v>
      </c>
      <c r="AM139" s="209">
        <v>4.3839604127581975E-4</v>
      </c>
      <c r="AN139" s="183">
        <v>3.6917748207450753E-4</v>
      </c>
      <c r="AO139" s="183">
        <v>3.5802841556747456E-4</v>
      </c>
      <c r="AP139" s="165">
        <v>3.9272751615959287E-4</v>
      </c>
      <c r="AR139" s="210">
        <v>87.415199901733942</v>
      </c>
      <c r="AS139" s="211">
        <v>87.458623048366462</v>
      </c>
      <c r="AT139" s="211">
        <v>87.420273167136045</v>
      </c>
      <c r="AU139" s="211">
        <v>87.298648304469722</v>
      </c>
      <c r="AV139" s="211"/>
      <c r="AW139" s="212"/>
      <c r="AX139" s="210">
        <v>87.031811981616229</v>
      </c>
      <c r="AY139" s="211">
        <v>90.427607048853986</v>
      </c>
      <c r="AZ139" s="213">
        <v>98.946687141559408</v>
      </c>
    </row>
    <row r="140" spans="12:52" x14ac:dyDescent="0.25">
      <c r="L140" s="189">
        <v>2195</v>
      </c>
      <c r="M140" s="196">
        <f t="shared" si="17"/>
        <v>0</v>
      </c>
      <c r="N140" s="197">
        <f t="shared" si="17"/>
        <v>0</v>
      </c>
      <c r="O140" s="152">
        <f ca="1"/>
        <v>87.899423581258517</v>
      </c>
      <c r="Q140" s="198">
        <v>0</v>
      </c>
      <c r="R140" s="200">
        <v>0</v>
      </c>
      <c r="S140" s="200">
        <v>0</v>
      </c>
      <c r="T140" s="200">
        <v>0</v>
      </c>
      <c r="U140" s="200">
        <f t="array" ref="U140">IF(U$77&gt;" ",(U$628:U$1078),"")</f>
        <v>0</v>
      </c>
      <c r="V140" s="200">
        <f t="array" ref="V140">IF(V$77&gt;" ",(V$628:V$1078),"")</f>
        <v>0</v>
      </c>
      <c r="W140" s="200">
        <f t="array" ref="W140">IF(W$77&gt;" ",(W$628:W$1078),"")</f>
        <v>0</v>
      </c>
      <c r="X140" s="200">
        <f t="array" ref="X140">IF(X$77&gt;" ",(X$628:X$1078),"")</f>
        <v>0</v>
      </c>
      <c r="Y140" s="204">
        <v>0</v>
      </c>
      <c r="Z140" s="198" t="str">
        <f t="shared" si="8"/>
        <v/>
      </c>
      <c r="AA140" s="198" t="str">
        <f t="shared" si="8"/>
        <v/>
      </c>
      <c r="AB140" s="198" t="str">
        <f t="shared" si="8"/>
        <v/>
      </c>
      <c r="AC140" s="198" t="str">
        <f t="shared" si="8"/>
        <v/>
      </c>
      <c r="AD140" s="198" t="str">
        <f t="shared" si="18"/>
        <v/>
      </c>
      <c r="AE140" s="198" t="str">
        <f t="shared" si="15"/>
        <v/>
      </c>
      <c r="AF140" s="198" t="str">
        <f t="shared" si="15"/>
        <v/>
      </c>
      <c r="AG140" s="198" t="str">
        <f t="shared" si="15"/>
        <v/>
      </c>
      <c r="AH140" s="198" t="str">
        <f t="shared" si="15"/>
        <v/>
      </c>
      <c r="AI140" s="200" t="str">
        <f t="shared" si="9"/>
        <v/>
      </c>
      <c r="AJ140" s="208" t="str">
        <f t="shared" si="10"/>
        <v/>
      </c>
      <c r="AK140" s="4"/>
      <c r="AL140" s="162">
        <v>2195</v>
      </c>
      <c r="AM140" s="209">
        <v>4.4255802900945089E-4</v>
      </c>
      <c r="AN140" s="183">
        <v>3.7369965610967496E-4</v>
      </c>
      <c r="AO140" s="183">
        <v>3.9719924443844208E-4</v>
      </c>
      <c r="AP140" s="165">
        <v>4.3558476330957737E-4</v>
      </c>
      <c r="AR140" s="210">
        <v>87.890741401448352</v>
      </c>
      <c r="AS140" s="211">
        <v>87.939795717375873</v>
      </c>
      <c r="AT140" s="211">
        <v>87.899423581258517</v>
      </c>
      <c r="AU140" s="211">
        <v>87.778140207910141</v>
      </c>
      <c r="AV140" s="211"/>
      <c r="AW140" s="212"/>
      <c r="AX140" s="210">
        <v>87.540603886449617</v>
      </c>
      <c r="AY140" s="211">
        <v>90.78449522779708</v>
      </c>
      <c r="AZ140" s="213">
        <v>98.729011346953314</v>
      </c>
    </row>
    <row r="141" spans="12:52" x14ac:dyDescent="0.25">
      <c r="L141" s="189">
        <v>2190</v>
      </c>
      <c r="M141" s="196">
        <f t="shared" si="17"/>
        <v>0</v>
      </c>
      <c r="N141" s="197">
        <f t="shared" si="17"/>
        <v>0</v>
      </c>
      <c r="O141" s="152">
        <f ca="1"/>
        <v>88.430362124497023</v>
      </c>
      <c r="Q141" s="198">
        <v>0</v>
      </c>
      <c r="R141" s="200">
        <v>0</v>
      </c>
      <c r="S141" s="200">
        <v>0</v>
      </c>
      <c r="T141" s="200">
        <v>0</v>
      </c>
      <c r="U141" s="200">
        <f t="array" ref="U141">IF(U$77&gt;" ",(U$628:U$1078),"")</f>
        <v>0</v>
      </c>
      <c r="V141" s="200">
        <f t="array" ref="V141">IF(V$77&gt;" ",(V$628:V$1078),"")</f>
        <v>0</v>
      </c>
      <c r="W141" s="200">
        <f t="array" ref="W141">IF(W$77&gt;" ",(W$628:W$1078),"")</f>
        <v>0</v>
      </c>
      <c r="X141" s="200">
        <f t="array" ref="X141">IF(X$77&gt;" ",(X$628:X$1078),"")</f>
        <v>0</v>
      </c>
      <c r="Y141" s="204">
        <v>0</v>
      </c>
      <c r="Z141" s="198" t="str">
        <f t="shared" si="8"/>
        <v/>
      </c>
      <c r="AA141" s="198" t="str">
        <f t="shared" si="8"/>
        <v/>
      </c>
      <c r="AB141" s="198" t="str">
        <f t="shared" si="8"/>
        <v/>
      </c>
      <c r="AC141" s="198" t="str">
        <f t="shared" si="8"/>
        <v/>
      </c>
      <c r="AD141" s="198" t="str">
        <f t="shared" si="18"/>
        <v/>
      </c>
      <c r="AE141" s="198" t="str">
        <f t="shared" si="15"/>
        <v/>
      </c>
      <c r="AF141" s="198" t="str">
        <f t="shared" si="15"/>
        <v/>
      </c>
      <c r="AG141" s="198" t="str">
        <f t="shared" si="15"/>
        <v/>
      </c>
      <c r="AH141" s="198" t="str">
        <f t="shared" si="15"/>
        <v/>
      </c>
      <c r="AI141" s="200" t="str">
        <f t="shared" si="9"/>
        <v/>
      </c>
      <c r="AJ141" s="208" t="str">
        <f t="shared" si="10"/>
        <v/>
      </c>
      <c r="AK141" s="4"/>
      <c r="AL141" s="162">
        <v>2190</v>
      </c>
      <c r="AM141" s="209">
        <v>4.4903223215065502E-4</v>
      </c>
      <c r="AN141" s="183">
        <v>3.7822183014484239E-4</v>
      </c>
      <c r="AO141" s="183">
        <v>3.9758139886645146E-4</v>
      </c>
      <c r="AP141" s="165">
        <v>4.3598770425953804E-4</v>
      </c>
      <c r="AR141" s="210">
        <v>88.41954192776123</v>
      </c>
      <c r="AS141" s="211">
        <v>88.46883393511321</v>
      </c>
      <c r="AT141" s="211">
        <v>88.430362124497023</v>
      </c>
      <c r="AU141" s="211">
        <v>88.308000393509431</v>
      </c>
      <c r="AV141" s="211"/>
      <c r="AW141" s="212"/>
      <c r="AX141" s="210">
        <v>88.079996457065235</v>
      </c>
      <c r="AY141" s="211">
        <v>91.157133268745682</v>
      </c>
      <c r="AZ141" s="213">
        <v>98.871964529198465</v>
      </c>
    </row>
    <row r="142" spans="12:52" x14ac:dyDescent="0.25">
      <c r="L142" s="189">
        <v>2185</v>
      </c>
      <c r="M142" s="196">
        <f t="shared" si="17"/>
        <v>0</v>
      </c>
      <c r="N142" s="197">
        <f t="shared" si="17"/>
        <v>0</v>
      </c>
      <c r="O142" s="152">
        <f ca="1"/>
        <v>88.995131921757661</v>
      </c>
      <c r="Q142" s="198">
        <v>0</v>
      </c>
      <c r="R142" s="200">
        <v>0</v>
      </c>
      <c r="S142" s="200">
        <v>0</v>
      </c>
      <c r="T142" s="200">
        <v>0</v>
      </c>
      <c r="U142" s="200">
        <f t="array" ref="U142">IF(U$77&gt;" ",(U$628:U$1078),"")</f>
        <v>0</v>
      </c>
      <c r="V142" s="200">
        <f t="array" ref="V142">IF(V$77&gt;" ",(V$628:V$1078),"")</f>
        <v>0</v>
      </c>
      <c r="W142" s="200">
        <f t="array" ref="W142">IF(W$77&gt;" ",(W$628:W$1078),"")</f>
        <v>0</v>
      </c>
      <c r="X142" s="200">
        <f t="array" ref="X142">IF(X$77&gt;" ",(X$628:X$1078),"")</f>
        <v>0</v>
      </c>
      <c r="Y142" s="204">
        <v>0</v>
      </c>
      <c r="Z142" s="198" t="str">
        <f t="shared" si="8"/>
        <v/>
      </c>
      <c r="AA142" s="198" t="str">
        <f t="shared" si="8"/>
        <v/>
      </c>
      <c r="AB142" s="198" t="str">
        <f t="shared" si="8"/>
        <v/>
      </c>
      <c r="AC142" s="198" t="str">
        <f t="shared" si="8"/>
        <v/>
      </c>
      <c r="AD142" s="198" t="str">
        <f t="shared" si="18"/>
        <v/>
      </c>
      <c r="AE142" s="198" t="str">
        <f t="shared" si="15"/>
        <v/>
      </c>
      <c r="AF142" s="198" t="str">
        <f t="shared" si="15"/>
        <v/>
      </c>
      <c r="AG142" s="198" t="str">
        <f t="shared" si="15"/>
        <v/>
      </c>
      <c r="AH142" s="198" t="str">
        <f t="shared" si="15"/>
        <v/>
      </c>
      <c r="AI142" s="200" t="str">
        <f t="shared" si="9"/>
        <v/>
      </c>
      <c r="AJ142" s="208" t="str">
        <f t="shared" si="10"/>
        <v/>
      </c>
      <c r="AK142" s="4"/>
      <c r="AL142" s="162">
        <v>2185</v>
      </c>
      <c r="AM142" s="209">
        <v>4.5550643529185914E-4</v>
      </c>
      <c r="AN142" s="183">
        <v>3.8274400418000971E-4</v>
      </c>
      <c r="AO142" s="183">
        <v>3.7486332379083775E-4</v>
      </c>
      <c r="AP142" s="165">
        <v>4.111005041973833E-4</v>
      </c>
      <c r="AR142" s="210">
        <v>88.979806257283883</v>
      </c>
      <c r="AS142" s="211">
        <v>89.034564622723948</v>
      </c>
      <c r="AT142" s="211">
        <v>88.995131921757661</v>
      </c>
      <c r="AU142" s="211">
        <v>88.873294558653569</v>
      </c>
      <c r="AV142" s="211"/>
      <c r="AW142" s="212"/>
      <c r="AX142" s="210">
        <v>88.650747688778438</v>
      </c>
      <c r="AY142" s="211">
        <v>91.536459552659494</v>
      </c>
      <c r="AZ142" s="213">
        <v>98.946089376751758</v>
      </c>
    </row>
    <row r="143" spans="12:52" x14ac:dyDescent="0.25">
      <c r="L143" s="189">
        <v>2180</v>
      </c>
      <c r="M143" s="196">
        <f t="shared" ref="M143:N158" si="19">M692</f>
        <v>0</v>
      </c>
      <c r="N143" s="197">
        <f t="shared" si="19"/>
        <v>0</v>
      </c>
      <c r="O143" s="152">
        <f ca="1"/>
        <v>89.511184400564574</v>
      </c>
      <c r="Q143" s="198">
        <v>0</v>
      </c>
      <c r="R143" s="200">
        <v>0</v>
      </c>
      <c r="S143" s="200">
        <v>0</v>
      </c>
      <c r="T143" s="200">
        <v>0</v>
      </c>
      <c r="U143" s="200">
        <f t="array" ref="U143">IF(U$77&gt;" ",(U$628:U$1078),"")</f>
        <v>0</v>
      </c>
      <c r="V143" s="200">
        <f t="array" ref="V143">IF(V$77&gt;" ",(V$628:V$1078),"")</f>
        <v>0</v>
      </c>
      <c r="W143" s="200">
        <f t="array" ref="W143">IF(W$77&gt;" ",(W$628:W$1078),"")</f>
        <v>0</v>
      </c>
      <c r="X143" s="200">
        <f t="array" ref="X143">IF(X$77&gt;" ",(X$628:X$1078),"")</f>
        <v>0</v>
      </c>
      <c r="Y143" s="204">
        <v>0</v>
      </c>
      <c r="Z143" s="198" t="str">
        <f t="shared" si="8"/>
        <v/>
      </c>
      <c r="AA143" s="198" t="str">
        <f t="shared" si="8"/>
        <v/>
      </c>
      <c r="AB143" s="198" t="str">
        <f t="shared" si="8"/>
        <v/>
      </c>
      <c r="AC143" s="198" t="str">
        <f t="shared" si="8"/>
        <v/>
      </c>
      <c r="AD143" s="198" t="str">
        <f t="shared" si="18"/>
        <v/>
      </c>
      <c r="AE143" s="198" t="str">
        <f t="shared" si="15"/>
        <v/>
      </c>
      <c r="AF143" s="198" t="str">
        <f t="shared" si="15"/>
        <v/>
      </c>
      <c r="AG143" s="198" t="str">
        <f t="shared" si="15"/>
        <v/>
      </c>
      <c r="AH143" s="198" t="str">
        <f t="shared" si="15"/>
        <v/>
      </c>
      <c r="AI143" s="200" t="str">
        <f t="shared" si="9"/>
        <v/>
      </c>
      <c r="AJ143" s="208" t="str">
        <f t="shared" si="10"/>
        <v/>
      </c>
      <c r="AK143" s="4"/>
      <c r="AL143" s="162">
        <v>2180</v>
      </c>
      <c r="AM143" s="209">
        <v>4.6198063843306327E-4</v>
      </c>
      <c r="AN143" s="183">
        <v>3.8726617821517709E-4</v>
      </c>
      <c r="AO143" s="183">
        <v>4.1135907166573918E-4</v>
      </c>
      <c r="AP143" s="165">
        <v>4.5105321866640121E-4</v>
      </c>
      <c r="AR143" s="210">
        <v>89.499105816357172</v>
      </c>
      <c r="AS143" s="211">
        <v>89.552391725139515</v>
      </c>
      <c r="AT143" s="211">
        <v>89.511184400564574</v>
      </c>
      <c r="AU143" s="211">
        <v>89.387529060584981</v>
      </c>
      <c r="AV143" s="211"/>
      <c r="AW143" s="212"/>
      <c r="AX143" s="210">
        <v>89.207847992825236</v>
      </c>
      <c r="AY143" s="211">
        <v>91.929206520178965</v>
      </c>
      <c r="AZ143" s="213">
        <v>98.94021179649755</v>
      </c>
    </row>
    <row r="144" spans="12:52" x14ac:dyDescent="0.25">
      <c r="L144" s="189">
        <v>2175</v>
      </c>
      <c r="M144" s="196">
        <f t="shared" si="19"/>
        <v>0</v>
      </c>
      <c r="N144" s="197">
        <f t="shared" si="19"/>
        <v>0</v>
      </c>
      <c r="O144" s="152">
        <f ca="1"/>
        <v>90.009758481712993</v>
      </c>
      <c r="Q144" s="198">
        <v>0</v>
      </c>
      <c r="R144" s="200">
        <v>0</v>
      </c>
      <c r="S144" s="200">
        <v>0</v>
      </c>
      <c r="T144" s="200">
        <v>0</v>
      </c>
      <c r="U144" s="200">
        <f t="array" ref="U144">IF(U$77&gt;" ",(U$628:U$1078),"")</f>
        <v>0</v>
      </c>
      <c r="V144" s="200">
        <f t="array" ref="V144">IF(V$77&gt;" ",(V$628:V$1078),"")</f>
        <v>0</v>
      </c>
      <c r="W144" s="200">
        <f t="array" ref="W144">IF(W$77&gt;" ",(W$628:W$1078),"")</f>
        <v>0</v>
      </c>
      <c r="X144" s="200">
        <f t="array" ref="X144">IF(X$77&gt;" ",(X$628:X$1078),"")</f>
        <v>0</v>
      </c>
      <c r="Y144" s="204">
        <v>0</v>
      </c>
      <c r="Z144" s="198" t="str">
        <f t="shared" ref="Z144:AC207" si="20">IF(AND(Q144&gt;0,Q144&lt;999),(Q144-$M144)/($N144-$M144)*$O144,"")</f>
        <v/>
      </c>
      <c r="AA144" s="198" t="str">
        <f t="shared" si="20"/>
        <v/>
      </c>
      <c r="AB144" s="198" t="str">
        <f t="shared" si="20"/>
        <v/>
      </c>
      <c r="AC144" s="198" t="str">
        <f t="shared" si="20"/>
        <v/>
      </c>
      <c r="AD144" s="198" t="str">
        <f t="shared" si="18"/>
        <v/>
      </c>
      <c r="AE144" s="198" t="str">
        <f t="shared" si="15"/>
        <v/>
      </c>
      <c r="AF144" s="198" t="str">
        <f t="shared" si="15"/>
        <v/>
      </c>
      <c r="AG144" s="198" t="str">
        <f t="shared" si="15"/>
        <v/>
      </c>
      <c r="AH144" s="198" t="str">
        <f t="shared" si="15"/>
        <v/>
      </c>
      <c r="AI144" s="200" t="str">
        <f t="shared" ref="AI144:AI207" si="21">IFERROR(AVERAGE(Z144:AA144),"")</f>
        <v/>
      </c>
      <c r="AJ144" s="208" t="str">
        <f t="shared" ref="AJ144:AJ207" si="22">IFERROR(AI144/100,"")</f>
        <v/>
      </c>
      <c r="AK144" s="4"/>
      <c r="AL144" s="162">
        <v>2175</v>
      </c>
      <c r="AM144" s="209">
        <v>4.6845484157426729E-4</v>
      </c>
      <c r="AN144" s="183">
        <v>3.9178835225034457E-4</v>
      </c>
      <c r="AO144" s="183">
        <v>4.0452051874346502E-4</v>
      </c>
      <c r="AP144" s="165">
        <v>4.4355403987546635E-4</v>
      </c>
      <c r="AR144" s="210">
        <v>89.997916461864662</v>
      </c>
      <c r="AS144" s="211">
        <v>90.053023551412423</v>
      </c>
      <c r="AT144" s="211">
        <v>90.009758481712993</v>
      </c>
      <c r="AU144" s="211">
        <v>89.885567383416216</v>
      </c>
      <c r="AV144" s="211"/>
      <c r="AW144" s="212"/>
      <c r="AX144" s="210">
        <v>89.650949501381561</v>
      </c>
      <c r="AY144" s="211">
        <v>92.253995827838665</v>
      </c>
      <c r="AZ144" s="213">
        <v>98.942784415503127</v>
      </c>
    </row>
    <row r="145" spans="12:52" x14ac:dyDescent="0.25">
      <c r="L145" s="189">
        <v>2170</v>
      </c>
      <c r="M145" s="196">
        <f t="shared" si="19"/>
        <v>0</v>
      </c>
      <c r="N145" s="197">
        <f t="shared" si="19"/>
        <v>0</v>
      </c>
      <c r="O145" s="152">
        <f ca="1"/>
        <v>90.422990492447028</v>
      </c>
      <c r="Q145" s="198">
        <v>0</v>
      </c>
      <c r="R145" s="200">
        <v>0</v>
      </c>
      <c r="S145" s="200">
        <v>0</v>
      </c>
      <c r="T145" s="200">
        <v>0</v>
      </c>
      <c r="U145" s="200">
        <f t="array" ref="U145">IF(U$77&gt;" ",(U$628:U$1078),"")</f>
        <v>0</v>
      </c>
      <c r="V145" s="200">
        <f t="array" ref="V145">IF(V$77&gt;" ",(V$628:V$1078),"")</f>
        <v>0</v>
      </c>
      <c r="W145" s="200">
        <f t="array" ref="W145">IF(W$77&gt;" ",(W$628:W$1078),"")</f>
        <v>0</v>
      </c>
      <c r="X145" s="200">
        <f t="array" ref="X145">IF(X$77&gt;" ",(X$628:X$1078),"")</f>
        <v>0</v>
      </c>
      <c r="Y145" s="204">
        <v>0</v>
      </c>
      <c r="Z145" s="198" t="str">
        <f t="shared" si="20"/>
        <v/>
      </c>
      <c r="AA145" s="198" t="str">
        <f t="shared" si="20"/>
        <v/>
      </c>
      <c r="AB145" s="198" t="str">
        <f t="shared" si="20"/>
        <v/>
      </c>
      <c r="AC145" s="198" t="str">
        <f t="shared" si="20"/>
        <v/>
      </c>
      <c r="AD145" s="198" t="str">
        <f t="shared" si="18"/>
        <v/>
      </c>
      <c r="AE145" s="198" t="str">
        <f t="shared" si="15"/>
        <v/>
      </c>
      <c r="AF145" s="198" t="str">
        <f t="shared" si="15"/>
        <v/>
      </c>
      <c r="AG145" s="198" t="str">
        <f t="shared" si="15"/>
        <v/>
      </c>
      <c r="AH145" s="198" t="str">
        <f t="shared" si="15"/>
        <v/>
      </c>
      <c r="AI145" s="200" t="str">
        <f t="shared" si="21"/>
        <v/>
      </c>
      <c r="AJ145" s="208" t="str">
        <f t="shared" si="22"/>
        <v/>
      </c>
      <c r="AK145" s="4"/>
      <c r="AL145" s="162">
        <v>2170</v>
      </c>
      <c r="AM145" s="209">
        <v>4.7492904471547136E-4</v>
      </c>
      <c r="AN145" s="183">
        <v>3.9631052628551189E-4</v>
      </c>
      <c r="AO145" s="183">
        <v>4.1230440104028882E-4</v>
      </c>
      <c r="AP145" s="165">
        <v>4.5205497463922015E-4</v>
      </c>
      <c r="AR145" s="210">
        <v>90.403881808978269</v>
      </c>
      <c r="AS145" s="211">
        <v>90.468844663074535</v>
      </c>
      <c r="AT145" s="211">
        <v>90.422990492447028</v>
      </c>
      <c r="AU145" s="211">
        <v>90.300468148530356</v>
      </c>
      <c r="AV145" s="211"/>
      <c r="AW145" s="212"/>
      <c r="AX145" s="210">
        <v>90.0789915913507</v>
      </c>
      <c r="AY145" s="211">
        <v>92.567607383206976</v>
      </c>
      <c r="AZ145" s="213">
        <v>99.178333251461424</v>
      </c>
    </row>
    <row r="146" spans="12:52" x14ac:dyDescent="0.25">
      <c r="L146" s="189">
        <v>2165</v>
      </c>
      <c r="M146" s="196">
        <f t="shared" si="19"/>
        <v>0</v>
      </c>
      <c r="N146" s="197">
        <f t="shared" si="19"/>
        <v>0</v>
      </c>
      <c r="O146" s="152">
        <f ca="1"/>
        <v>90.767068106454062</v>
      </c>
      <c r="Q146" s="198">
        <v>0</v>
      </c>
      <c r="R146" s="200">
        <v>0</v>
      </c>
      <c r="S146" s="200">
        <v>0</v>
      </c>
      <c r="T146" s="200">
        <v>0</v>
      </c>
      <c r="U146" s="200">
        <f t="array" ref="U146">IF(U$77&gt;" ",(U$628:U$1078),"")</f>
        <v>0</v>
      </c>
      <c r="V146" s="200">
        <f t="array" ref="V146">IF(V$77&gt;" ",(V$628:V$1078),"")</f>
        <v>0</v>
      </c>
      <c r="W146" s="200">
        <f t="array" ref="W146">IF(W$77&gt;" ",(W$628:W$1078),"")</f>
        <v>0</v>
      </c>
      <c r="X146" s="200">
        <f t="array" ref="X146">IF(X$77&gt;" ",(X$628:X$1078),"")</f>
        <v>0</v>
      </c>
      <c r="Y146" s="204">
        <v>0</v>
      </c>
      <c r="Z146" s="198" t="str">
        <f t="shared" si="20"/>
        <v/>
      </c>
      <c r="AA146" s="198" t="str">
        <f t="shared" si="20"/>
        <v/>
      </c>
      <c r="AB146" s="198" t="str">
        <f t="shared" si="20"/>
        <v/>
      </c>
      <c r="AC146" s="198" t="str">
        <f t="shared" si="20"/>
        <v/>
      </c>
      <c r="AD146" s="198" t="str">
        <f t="shared" si="18"/>
        <v/>
      </c>
      <c r="AE146" s="198" t="str">
        <f t="shared" si="15"/>
        <v/>
      </c>
      <c r="AF146" s="198" t="str">
        <f t="shared" si="15"/>
        <v/>
      </c>
      <c r="AG146" s="198" t="str">
        <f t="shared" si="15"/>
        <v/>
      </c>
      <c r="AH146" s="198" t="str">
        <f t="shared" si="15"/>
        <v/>
      </c>
      <c r="AI146" s="200" t="str">
        <f t="shared" si="21"/>
        <v/>
      </c>
      <c r="AJ146" s="208" t="str">
        <f t="shared" si="22"/>
        <v/>
      </c>
      <c r="AK146" s="4"/>
      <c r="AL146" s="162">
        <v>2165</v>
      </c>
      <c r="AM146" s="209">
        <v>4.8140324785667549E-4</v>
      </c>
      <c r="AN146" s="183">
        <v>4.0083270032067927E-4</v>
      </c>
      <c r="AO146" s="183">
        <v>3.8371321580789845E-4</v>
      </c>
      <c r="AP146" s="165">
        <v>4.2070952657352893E-4</v>
      </c>
      <c r="AR146" s="210">
        <v>90.750192998904637</v>
      </c>
      <c r="AS146" s="211">
        <v>90.817093128833747</v>
      </c>
      <c r="AT146" s="211">
        <v>90.767068106454062</v>
      </c>
      <c r="AU146" s="211">
        <v>90.646107602339967</v>
      </c>
      <c r="AV146" s="211"/>
      <c r="AW146" s="212"/>
      <c r="AX146" s="210">
        <v>90.417982517351149</v>
      </c>
      <c r="AY146" s="211">
        <v>92.792934351598504</v>
      </c>
      <c r="AZ146" s="213">
        <v>99.254814374033089</v>
      </c>
    </row>
    <row r="147" spans="12:52" x14ac:dyDescent="0.25">
      <c r="L147" s="189">
        <v>2160</v>
      </c>
      <c r="M147" s="196">
        <f t="shared" si="19"/>
        <v>0</v>
      </c>
      <c r="N147" s="197">
        <f t="shared" si="19"/>
        <v>0</v>
      </c>
      <c r="O147" s="152">
        <f ca="1"/>
        <v>91.061405994685273</v>
      </c>
      <c r="Q147" s="198">
        <v>0</v>
      </c>
      <c r="R147" s="200">
        <v>0</v>
      </c>
      <c r="S147" s="200">
        <v>0</v>
      </c>
      <c r="T147" s="200">
        <v>0</v>
      </c>
      <c r="U147" s="200">
        <f t="array" ref="U147">IF(U$77&gt;" ",(U$628:U$1078),"")</f>
        <v>0</v>
      </c>
      <c r="V147" s="200">
        <f t="array" ref="V147">IF(V$77&gt;" ",(V$628:V$1078),"")</f>
        <v>0</v>
      </c>
      <c r="W147" s="200">
        <f t="array" ref="W147">IF(W$77&gt;" ",(W$628:W$1078),"")</f>
        <v>0</v>
      </c>
      <c r="X147" s="200">
        <f t="array" ref="X147">IF(X$77&gt;" ",(X$628:X$1078),"")</f>
        <v>0</v>
      </c>
      <c r="Y147" s="204">
        <v>0</v>
      </c>
      <c r="Z147" s="198" t="str">
        <f t="shared" si="20"/>
        <v/>
      </c>
      <c r="AA147" s="198" t="str">
        <f t="shared" si="20"/>
        <v/>
      </c>
      <c r="AB147" s="198" t="str">
        <f t="shared" si="20"/>
        <v/>
      </c>
      <c r="AC147" s="198" t="str">
        <f t="shared" si="20"/>
        <v/>
      </c>
      <c r="AD147" s="198" t="str">
        <f t="shared" si="18"/>
        <v/>
      </c>
      <c r="AE147" s="198" t="str">
        <f t="shared" si="15"/>
        <v/>
      </c>
      <c r="AF147" s="198" t="str">
        <f t="shared" si="15"/>
        <v/>
      </c>
      <c r="AG147" s="198" t="str">
        <f t="shared" si="15"/>
        <v/>
      </c>
      <c r="AH147" s="198" t="str">
        <f t="shared" si="15"/>
        <v/>
      </c>
      <c r="AI147" s="200" t="str">
        <f t="shared" si="21"/>
        <v/>
      </c>
      <c r="AJ147" s="208" t="str">
        <f t="shared" si="22"/>
        <v/>
      </c>
      <c r="AK147" s="4"/>
      <c r="AL147" s="162">
        <v>2160</v>
      </c>
      <c r="AM147" s="209">
        <v>4.8787745099787951E-4</v>
      </c>
      <c r="AN147" s="183">
        <v>4.0535487435584675E-4</v>
      </c>
      <c r="AO147" s="183">
        <v>4.2323602902045353E-4</v>
      </c>
      <c r="AP147" s="165">
        <v>4.6400888948805365E-4</v>
      </c>
      <c r="AR147" s="210">
        <v>91.04896132210682</v>
      </c>
      <c r="AS147" s="211">
        <v>91.114821331945606</v>
      </c>
      <c r="AT147" s="211">
        <v>91.061405994685273</v>
      </c>
      <c r="AU147" s="211">
        <v>90.942998104655956</v>
      </c>
      <c r="AV147" s="211"/>
      <c r="AW147" s="212"/>
      <c r="AX147" s="210">
        <v>90.70718198895905</v>
      </c>
      <c r="AY147" s="211">
        <v>93.018561119733363</v>
      </c>
      <c r="AZ147" s="213">
        <v>99.204791416557811</v>
      </c>
    </row>
    <row r="148" spans="12:52" x14ac:dyDescent="0.25">
      <c r="L148" s="189">
        <v>2155</v>
      </c>
      <c r="M148" s="196">
        <f t="shared" si="19"/>
        <v>0</v>
      </c>
      <c r="N148" s="197">
        <f t="shared" si="19"/>
        <v>0</v>
      </c>
      <c r="O148" s="152">
        <f ca="1"/>
        <v>91.288525233753788</v>
      </c>
      <c r="Q148" s="198">
        <v>0</v>
      </c>
      <c r="R148" s="200">
        <v>0</v>
      </c>
      <c r="S148" s="200">
        <v>0</v>
      </c>
      <c r="T148" s="200">
        <v>0</v>
      </c>
      <c r="U148" s="200">
        <f t="array" ref="U148">IF(U$77&gt;" ",(U$628:U$1078),"")</f>
        <v>0</v>
      </c>
      <c r="V148" s="200">
        <f t="array" ref="V148">IF(V$77&gt;" ",(V$628:V$1078),"")</f>
        <v>0</v>
      </c>
      <c r="W148" s="200">
        <f t="array" ref="W148">IF(W$77&gt;" ",(W$628:W$1078),"")</f>
        <v>0</v>
      </c>
      <c r="X148" s="200">
        <f t="array" ref="X148">IF(X$77&gt;" ",(X$628:X$1078),"")</f>
        <v>0</v>
      </c>
      <c r="Y148" s="204">
        <v>0</v>
      </c>
      <c r="Z148" s="198" t="str">
        <f t="shared" si="20"/>
        <v/>
      </c>
      <c r="AA148" s="198" t="str">
        <f t="shared" si="20"/>
        <v/>
      </c>
      <c r="AB148" s="198" t="str">
        <f t="shared" si="20"/>
        <v/>
      </c>
      <c r="AC148" s="198" t="str">
        <f t="shared" si="20"/>
        <v/>
      </c>
      <c r="AD148" s="198" t="str">
        <f t="shared" si="18"/>
        <v/>
      </c>
      <c r="AE148" s="198" t="str">
        <f t="shared" si="15"/>
        <v/>
      </c>
      <c r="AF148" s="198" t="str">
        <f t="shared" si="15"/>
        <v/>
      </c>
      <c r="AG148" s="198" t="str">
        <f t="shared" si="15"/>
        <v/>
      </c>
      <c r="AH148" s="198" t="str">
        <f t="shared" si="15"/>
        <v/>
      </c>
      <c r="AI148" s="200" t="str">
        <f t="shared" si="21"/>
        <v/>
      </c>
      <c r="AJ148" s="208" t="str">
        <f t="shared" si="22"/>
        <v/>
      </c>
      <c r="AK148" s="4"/>
      <c r="AL148" s="162">
        <v>2155</v>
      </c>
      <c r="AM148" s="209">
        <v>4.9435165413908369E-4</v>
      </c>
      <c r="AN148" s="183">
        <v>4.0987704839101413E-4</v>
      </c>
      <c r="AO148" s="183">
        <v>4.2660502200422097E-4</v>
      </c>
      <c r="AP148" s="165">
        <v>4.6766893645019649E-4</v>
      </c>
      <c r="AR148" s="210">
        <v>91.275843194110834</v>
      </c>
      <c r="AS148" s="211">
        <v>91.342524023601982</v>
      </c>
      <c r="AT148" s="211">
        <v>91.288525233753788</v>
      </c>
      <c r="AU148" s="211">
        <v>91.169981536880599</v>
      </c>
      <c r="AV148" s="211"/>
      <c r="AW148" s="212"/>
      <c r="AX148" s="210">
        <v>90.941900690032028</v>
      </c>
      <c r="AY148" s="211">
        <v>93.1791311443436</v>
      </c>
      <c r="AZ148" s="213">
        <v>99.104366228231314</v>
      </c>
    </row>
    <row r="149" spans="12:52" x14ac:dyDescent="0.25">
      <c r="L149" s="189">
        <v>2150</v>
      </c>
      <c r="M149" s="196">
        <f t="shared" si="19"/>
        <v>0</v>
      </c>
      <c r="N149" s="197">
        <f t="shared" si="19"/>
        <v>0</v>
      </c>
      <c r="O149" s="152">
        <f ca="1"/>
        <v>91.518177488407773</v>
      </c>
      <c r="Q149" s="198">
        <v>0</v>
      </c>
      <c r="R149" s="200">
        <v>0</v>
      </c>
      <c r="S149" s="200">
        <v>0</v>
      </c>
      <c r="T149" s="200">
        <v>0</v>
      </c>
      <c r="U149" s="200">
        <f t="array" ref="U149">IF(U$77&gt;" ",(U$628:U$1078),"")</f>
        <v>0</v>
      </c>
      <c r="V149" s="200">
        <f t="array" ref="V149">IF(V$77&gt;" ",(V$628:V$1078),"")</f>
        <v>0</v>
      </c>
      <c r="W149" s="200">
        <f t="array" ref="W149">IF(W$77&gt;" ",(W$628:W$1078),"")</f>
        <v>0</v>
      </c>
      <c r="X149" s="200">
        <f t="array" ref="X149">IF(X$77&gt;" ",(X$628:X$1078),"")</f>
        <v>0</v>
      </c>
      <c r="Y149" s="204">
        <v>0</v>
      </c>
      <c r="Z149" s="198" t="str">
        <f t="shared" si="20"/>
        <v/>
      </c>
      <c r="AA149" s="198" t="str">
        <f t="shared" si="20"/>
        <v/>
      </c>
      <c r="AB149" s="198" t="str">
        <f t="shared" si="20"/>
        <v/>
      </c>
      <c r="AC149" s="198" t="str">
        <f t="shared" si="20"/>
        <v/>
      </c>
      <c r="AD149" s="198" t="str">
        <f t="shared" si="18"/>
        <v/>
      </c>
      <c r="AE149" s="198" t="str">
        <f t="shared" si="15"/>
        <v/>
      </c>
      <c r="AF149" s="198" t="str">
        <f t="shared" si="15"/>
        <v/>
      </c>
      <c r="AG149" s="198" t="str">
        <f t="shared" si="15"/>
        <v/>
      </c>
      <c r="AH149" s="198" t="str">
        <f t="shared" si="15"/>
        <v/>
      </c>
      <c r="AI149" s="200" t="str">
        <f t="shared" si="21"/>
        <v/>
      </c>
      <c r="AJ149" s="208" t="str">
        <f t="shared" si="22"/>
        <v/>
      </c>
      <c r="AK149" s="4"/>
      <c r="AL149" s="162">
        <v>2150</v>
      </c>
      <c r="AM149" s="209">
        <v>5.0082585728028776E-4</v>
      </c>
      <c r="AN149" s="183">
        <v>4.1439922242618151E-4</v>
      </c>
      <c r="AO149" s="183">
        <v>4.2559432410909075E-4</v>
      </c>
      <c r="AP149" s="165">
        <v>4.665664452398874E-4</v>
      </c>
      <c r="AR149" s="210">
        <v>91.503617149155488</v>
      </c>
      <c r="AS149" s="211">
        <v>91.575216615570397</v>
      </c>
      <c r="AT149" s="211">
        <v>91.518177488407773</v>
      </c>
      <c r="AU149" s="211">
        <v>91.400225382354847</v>
      </c>
      <c r="AV149" s="211"/>
      <c r="AW149" s="212"/>
      <c r="AX149" s="210">
        <v>91.15304431873308</v>
      </c>
      <c r="AY149" s="211">
        <v>93.31521639232308</v>
      </c>
      <c r="AZ149" s="213">
        <v>98.960929916521067</v>
      </c>
    </row>
    <row r="150" spans="12:52" x14ac:dyDescent="0.25">
      <c r="L150" s="189">
        <v>2145</v>
      </c>
      <c r="M150" s="196">
        <f t="shared" si="19"/>
        <v>0</v>
      </c>
      <c r="N150" s="197">
        <f t="shared" si="19"/>
        <v>0</v>
      </c>
      <c r="O150" s="152">
        <f ca="1"/>
        <v>91.679692603350716</v>
      </c>
      <c r="Q150" s="198">
        <v>0</v>
      </c>
      <c r="R150" s="200">
        <v>0</v>
      </c>
      <c r="S150" s="200">
        <v>0</v>
      </c>
      <c r="T150" s="200">
        <v>0</v>
      </c>
      <c r="U150" s="200">
        <f t="array" ref="U150">IF(U$77&gt;" ",(U$628:U$1078),"")</f>
        <v>0</v>
      </c>
      <c r="V150" s="200">
        <f t="array" ref="V150">IF(V$77&gt;" ",(V$628:V$1078),"")</f>
        <v>0</v>
      </c>
      <c r="W150" s="200">
        <f t="array" ref="W150">IF(W$77&gt;" ",(W$628:W$1078),"")</f>
        <v>0</v>
      </c>
      <c r="X150" s="200">
        <f t="array" ref="X150">IF(X$77&gt;" ",(X$628:X$1078),"")</f>
        <v>0</v>
      </c>
      <c r="Y150" s="204">
        <v>0</v>
      </c>
      <c r="Z150" s="198" t="str">
        <f t="shared" si="20"/>
        <v/>
      </c>
      <c r="AA150" s="198" t="str">
        <f t="shared" si="20"/>
        <v/>
      </c>
      <c r="AB150" s="198" t="str">
        <f t="shared" si="20"/>
        <v/>
      </c>
      <c r="AC150" s="198" t="str">
        <f t="shared" si="20"/>
        <v/>
      </c>
      <c r="AD150" s="198" t="str">
        <f t="shared" si="18"/>
        <v/>
      </c>
      <c r="AE150" s="198" t="str">
        <f t="shared" si="15"/>
        <v/>
      </c>
      <c r="AF150" s="198" t="str">
        <f t="shared" si="15"/>
        <v/>
      </c>
      <c r="AG150" s="198" t="str">
        <f t="shared" si="15"/>
        <v/>
      </c>
      <c r="AH150" s="198" t="str">
        <f t="shared" si="15"/>
        <v/>
      </c>
      <c r="AI150" s="200" t="str">
        <f t="shared" si="21"/>
        <v/>
      </c>
      <c r="AJ150" s="208" t="str">
        <f t="shared" si="22"/>
        <v/>
      </c>
      <c r="AK150" s="4"/>
      <c r="AL150" s="162">
        <v>2145</v>
      </c>
      <c r="AM150" s="209">
        <v>5.0611092106902578E-4</v>
      </c>
      <c r="AN150" s="183">
        <v>4.152696408798531E-4</v>
      </c>
      <c r="AO150" s="183">
        <v>4.499667255901664E-4</v>
      </c>
      <c r="AP150" s="165">
        <v>4.9322210836020295E-4</v>
      </c>
      <c r="AR150" s="210">
        <v>91.661656859762203</v>
      </c>
      <c r="AS150" s="211">
        <v>91.736071001827341</v>
      </c>
      <c r="AT150" s="211">
        <v>91.679692603350716</v>
      </c>
      <c r="AU150" s="211">
        <v>91.566234416368999</v>
      </c>
      <c r="AV150" s="211"/>
      <c r="AW150" s="212"/>
      <c r="AX150" s="210">
        <v>91.328445011920394</v>
      </c>
      <c r="AY150" s="211">
        <v>93.439549006630784</v>
      </c>
      <c r="AZ150" s="213">
        <v>99.479511681552935</v>
      </c>
    </row>
    <row r="151" spans="12:52" x14ac:dyDescent="0.25">
      <c r="L151" s="189">
        <v>2140</v>
      </c>
      <c r="M151" s="196">
        <f t="shared" si="19"/>
        <v>0</v>
      </c>
      <c r="N151" s="197">
        <f t="shared" si="19"/>
        <v>0</v>
      </c>
      <c r="O151" s="152">
        <f ca="1"/>
        <v>91.841542915496461</v>
      </c>
      <c r="Q151" s="198">
        <v>0</v>
      </c>
      <c r="R151" s="200">
        <v>0</v>
      </c>
      <c r="S151" s="200">
        <v>0</v>
      </c>
      <c r="T151" s="200">
        <v>0</v>
      </c>
      <c r="U151" s="200">
        <f t="array" ref="U151">IF(U$77&gt;" ",(U$628:U$1078),"")</f>
        <v>0</v>
      </c>
      <c r="V151" s="200">
        <f t="array" ref="V151">IF(V$77&gt;" ",(V$628:V$1078),"")</f>
        <v>0</v>
      </c>
      <c r="W151" s="200">
        <f t="array" ref="W151">IF(W$77&gt;" ",(W$628:W$1078),"")</f>
        <v>0</v>
      </c>
      <c r="X151" s="200">
        <f t="array" ref="X151">IF(X$77&gt;" ",(X$628:X$1078),"")</f>
        <v>0</v>
      </c>
      <c r="Y151" s="204">
        <v>0</v>
      </c>
      <c r="Z151" s="198" t="str">
        <f t="shared" si="20"/>
        <v/>
      </c>
      <c r="AA151" s="198" t="str">
        <f t="shared" si="20"/>
        <v/>
      </c>
      <c r="AB151" s="198" t="str">
        <f t="shared" si="20"/>
        <v/>
      </c>
      <c r="AC151" s="198" t="str">
        <f t="shared" si="20"/>
        <v/>
      </c>
      <c r="AD151" s="198" t="str">
        <f t="shared" si="18"/>
        <v/>
      </c>
      <c r="AE151" s="198" t="str">
        <f t="shared" si="15"/>
        <v/>
      </c>
      <c r="AF151" s="198" t="str">
        <f t="shared" si="15"/>
        <v/>
      </c>
      <c r="AG151" s="198" t="str">
        <f t="shared" si="15"/>
        <v/>
      </c>
      <c r="AH151" s="198" t="str">
        <f t="shared" si="15"/>
        <v/>
      </c>
      <c r="AI151" s="200" t="str">
        <f t="shared" si="21"/>
        <v/>
      </c>
      <c r="AJ151" s="208" t="str">
        <f t="shared" si="22"/>
        <v/>
      </c>
      <c r="AK151" s="4"/>
      <c r="AL151" s="162">
        <v>2140</v>
      </c>
      <c r="AM151" s="209">
        <v>5.1053716199209393E-4</v>
      </c>
      <c r="AN151" s="183">
        <v>4.1614005933352476E-4</v>
      </c>
      <c r="AO151" s="183">
        <v>4.5640803904122023E-4</v>
      </c>
      <c r="AP151" s="165">
        <v>5.0026238218034912E-4</v>
      </c>
      <c r="AR151" s="210">
        <v>91.82226560662879</v>
      </c>
      <c r="AS151" s="211">
        <v>91.897971641107461</v>
      </c>
      <c r="AT151" s="211">
        <v>91.841542915496461</v>
      </c>
      <c r="AU151" s="211">
        <v>91.730222303456358</v>
      </c>
      <c r="AV151" s="211"/>
      <c r="AW151" s="212"/>
      <c r="AX151" s="210">
        <v>91.458223562130982</v>
      </c>
      <c r="AY151" s="211">
        <v>93.560623279657989</v>
      </c>
      <c r="AZ151" s="213">
        <v>99.362258182332297</v>
      </c>
    </row>
    <row r="152" spans="12:52" x14ac:dyDescent="0.25">
      <c r="L152" s="189">
        <v>2135</v>
      </c>
      <c r="M152" s="196">
        <f t="shared" si="19"/>
        <v>0</v>
      </c>
      <c r="N152" s="197">
        <f t="shared" si="19"/>
        <v>0</v>
      </c>
      <c r="O152" s="152">
        <f ca="1"/>
        <v>91.986806283143878</v>
      </c>
      <c r="Q152" s="198">
        <v>0</v>
      </c>
      <c r="R152" s="200">
        <v>0</v>
      </c>
      <c r="S152" s="200">
        <v>0</v>
      </c>
      <c r="T152" s="200">
        <v>0</v>
      </c>
      <c r="U152" s="200">
        <f t="array" ref="U152">IF(U$77&gt;" ",(U$628:U$1078),"")</f>
        <v>0</v>
      </c>
      <c r="V152" s="200">
        <f t="array" ref="V152">IF(V$77&gt;" ",(V$628:V$1078),"")</f>
        <v>0</v>
      </c>
      <c r="W152" s="200">
        <f t="array" ref="W152">IF(W$77&gt;" ",(W$628:W$1078),"")</f>
        <v>0</v>
      </c>
      <c r="X152" s="200">
        <f t="array" ref="X152">IF(X$77&gt;" ",(X$628:X$1078),"")</f>
        <v>0</v>
      </c>
      <c r="Y152" s="204">
        <v>0</v>
      </c>
      <c r="Z152" s="198" t="str">
        <f t="shared" si="20"/>
        <v/>
      </c>
      <c r="AA152" s="198" t="str">
        <f t="shared" si="20"/>
        <v/>
      </c>
      <c r="AB152" s="198" t="str">
        <f t="shared" si="20"/>
        <v/>
      </c>
      <c r="AC152" s="198" t="str">
        <f t="shared" si="20"/>
        <v/>
      </c>
      <c r="AD152" s="198" t="str">
        <f t="shared" si="18"/>
        <v/>
      </c>
      <c r="AE152" s="198" t="str">
        <f t="shared" si="15"/>
        <v/>
      </c>
      <c r="AF152" s="198" t="str">
        <f t="shared" si="15"/>
        <v/>
      </c>
      <c r="AG152" s="198" t="str">
        <f t="shared" si="15"/>
        <v/>
      </c>
      <c r="AH152" s="198" t="str">
        <f t="shared" si="15"/>
        <v/>
      </c>
      <c r="AI152" s="200" t="str">
        <f t="shared" si="21"/>
        <v/>
      </c>
      <c r="AJ152" s="208" t="str">
        <f t="shared" si="22"/>
        <v/>
      </c>
      <c r="AK152" s="4"/>
      <c r="AL152" s="162">
        <v>2135</v>
      </c>
      <c r="AM152" s="209">
        <v>5.1502946621252114E-4</v>
      </c>
      <c r="AN152" s="183">
        <v>4.1701047778719636E-4</v>
      </c>
      <c r="AO152" s="183">
        <v>4.5277254362739358E-4</v>
      </c>
      <c r="AP152" s="165">
        <v>4.9628334029948751E-4</v>
      </c>
      <c r="AR152" s="210">
        <v>91.965386235740866</v>
      </c>
      <c r="AS152" s="211">
        <v>92.041943690655458</v>
      </c>
      <c r="AT152" s="211">
        <v>91.986806283143878</v>
      </c>
      <c r="AU152" s="211">
        <v>91.871752892802988</v>
      </c>
      <c r="AV152" s="211"/>
      <c r="AW152" s="212"/>
      <c r="AX152" s="210">
        <v>91.584435456880115</v>
      </c>
      <c r="AY152" s="211">
        <v>93.664611593440384</v>
      </c>
      <c r="AZ152" s="213">
        <v>98.938190538923436</v>
      </c>
    </row>
    <row r="153" spans="12:52" x14ac:dyDescent="0.25">
      <c r="L153" s="189">
        <v>2130</v>
      </c>
      <c r="M153" s="196">
        <f t="shared" si="19"/>
        <v>0</v>
      </c>
      <c r="N153" s="197">
        <f t="shared" si="19"/>
        <v>0</v>
      </c>
      <c r="O153" s="152">
        <f ca="1"/>
        <v>92.123059337350796</v>
      </c>
      <c r="Q153" s="198">
        <v>0</v>
      </c>
      <c r="R153" s="200">
        <v>0</v>
      </c>
      <c r="S153" s="200">
        <v>0</v>
      </c>
      <c r="T153" s="200">
        <v>0</v>
      </c>
      <c r="U153" s="200">
        <f t="array" ref="U153">IF(U$77&gt;" ",(U$628:U$1078),"")</f>
        <v>0</v>
      </c>
      <c r="V153" s="200">
        <f t="array" ref="V153">IF(V$77&gt;" ",(V$628:V$1078),"")</f>
        <v>0</v>
      </c>
      <c r="W153" s="200">
        <f t="array" ref="W153">IF(W$77&gt;" ",(W$628:W$1078),"")</f>
        <v>0</v>
      </c>
      <c r="X153" s="200">
        <f t="array" ref="X153">IF(X$77&gt;" ",(X$628:X$1078),"")</f>
        <v>0</v>
      </c>
      <c r="Y153" s="204">
        <v>0</v>
      </c>
      <c r="Z153" s="198" t="str">
        <f t="shared" si="20"/>
        <v/>
      </c>
      <c r="AA153" s="198" t="str">
        <f t="shared" si="20"/>
        <v/>
      </c>
      <c r="AB153" s="198" t="str">
        <f t="shared" si="20"/>
        <v/>
      </c>
      <c r="AC153" s="198" t="str">
        <f t="shared" si="20"/>
        <v/>
      </c>
      <c r="AD153" s="198" t="str">
        <f t="shared" si="18"/>
        <v/>
      </c>
      <c r="AE153" s="198" t="str">
        <f t="shared" si="15"/>
        <v/>
      </c>
      <c r="AF153" s="198" t="str">
        <f t="shared" si="15"/>
        <v/>
      </c>
      <c r="AG153" s="198" t="str">
        <f t="shared" si="15"/>
        <v/>
      </c>
      <c r="AH153" s="198" t="str">
        <f t="shared" si="15"/>
        <v/>
      </c>
      <c r="AI153" s="200" t="str">
        <f t="shared" si="21"/>
        <v/>
      </c>
      <c r="AJ153" s="208" t="str">
        <f t="shared" si="22"/>
        <v/>
      </c>
      <c r="AK153" s="4"/>
      <c r="AL153" s="162">
        <v>2130</v>
      </c>
      <c r="AM153" s="209">
        <v>5.1952177043294856E-4</v>
      </c>
      <c r="AN153" s="183">
        <v>4.1788089624086801E-4</v>
      </c>
      <c r="AO153" s="183">
        <v>4.5141488973841275E-4</v>
      </c>
      <c r="AP153" s="165">
        <v>4.9484506496421125E-4</v>
      </c>
      <c r="AR153" s="210">
        <v>92.105712741230207</v>
      </c>
      <c r="AS153" s="211">
        <v>92.177940090395097</v>
      </c>
      <c r="AT153" s="211">
        <v>92.123059337350796</v>
      </c>
      <c r="AU153" s="211">
        <v>92.00871886465616</v>
      </c>
      <c r="AV153" s="211"/>
      <c r="AW153" s="212"/>
      <c r="AX153" s="210">
        <v>91.727696154088278</v>
      </c>
      <c r="AY153" s="211">
        <v>93.758139971287804</v>
      </c>
      <c r="AZ153" s="213">
        <v>98.859201609063007</v>
      </c>
    </row>
    <row r="154" spans="12:52" x14ac:dyDescent="0.25">
      <c r="L154" s="189">
        <v>2125</v>
      </c>
      <c r="M154" s="196">
        <f t="shared" si="19"/>
        <v>0</v>
      </c>
      <c r="N154" s="197">
        <f t="shared" si="19"/>
        <v>0</v>
      </c>
      <c r="O154" s="152">
        <f ca="1"/>
        <v>92.239106614459004</v>
      </c>
      <c r="Q154" s="198">
        <v>0</v>
      </c>
      <c r="R154" s="200">
        <v>0</v>
      </c>
      <c r="S154" s="200">
        <v>0</v>
      </c>
      <c r="T154" s="200">
        <v>0</v>
      </c>
      <c r="U154" s="200">
        <f t="array" ref="U154">IF(U$77&gt;" ",(U$628:U$1078),"")</f>
        <v>0</v>
      </c>
      <c r="V154" s="200">
        <f t="array" ref="V154">IF(V$77&gt;" ",(V$628:V$1078),"")</f>
        <v>0</v>
      </c>
      <c r="W154" s="200">
        <f t="array" ref="W154">IF(W$77&gt;" ",(W$628:W$1078),"")</f>
        <v>0</v>
      </c>
      <c r="X154" s="200">
        <f t="array" ref="X154">IF(X$77&gt;" ",(X$628:X$1078),"")</f>
        <v>0</v>
      </c>
      <c r="Y154" s="204">
        <v>0</v>
      </c>
      <c r="Z154" s="198" t="str">
        <f t="shared" si="20"/>
        <v/>
      </c>
      <c r="AA154" s="198" t="str">
        <f t="shared" si="20"/>
        <v/>
      </c>
      <c r="AB154" s="198" t="str">
        <f t="shared" si="20"/>
        <v/>
      </c>
      <c r="AC154" s="198" t="str">
        <f t="shared" si="20"/>
        <v/>
      </c>
      <c r="AD154" s="198" t="str">
        <f t="shared" si="18"/>
        <v/>
      </c>
      <c r="AE154" s="198" t="str">
        <f t="shared" si="15"/>
        <v/>
      </c>
      <c r="AF154" s="198" t="str">
        <f t="shared" si="15"/>
        <v/>
      </c>
      <c r="AG154" s="198" t="str">
        <f t="shared" si="15"/>
        <v/>
      </c>
      <c r="AH154" s="198" t="str">
        <f t="shared" si="15"/>
        <v/>
      </c>
      <c r="AI154" s="200" t="str">
        <f t="shared" si="21"/>
        <v/>
      </c>
      <c r="AJ154" s="208" t="str">
        <f t="shared" si="22"/>
        <v/>
      </c>
      <c r="AK154" s="4"/>
      <c r="AL154" s="162">
        <v>2125</v>
      </c>
      <c r="AM154" s="209">
        <v>5.239480113560166E-4</v>
      </c>
      <c r="AN154" s="183">
        <v>4.1875131469453961E-4</v>
      </c>
      <c r="AO154" s="183">
        <v>4.4567251662279721E-4</v>
      </c>
      <c r="AP154" s="165">
        <v>4.8858269103357237E-4</v>
      </c>
      <c r="AR154" s="210">
        <v>92.222697708334934</v>
      </c>
      <c r="AS154" s="211">
        <v>92.295685592194275</v>
      </c>
      <c r="AT154" s="211">
        <v>92.239106614459004</v>
      </c>
      <c r="AU154" s="211">
        <v>92.124645303919507</v>
      </c>
      <c r="AV154" s="211"/>
      <c r="AW154" s="212"/>
      <c r="AX154" s="210">
        <v>91.853950982840729</v>
      </c>
      <c r="AY154" s="211">
        <v>93.824517177781289</v>
      </c>
      <c r="AZ154" s="213">
        <v>98.915355280376559</v>
      </c>
    </row>
    <row r="155" spans="12:52" x14ac:dyDescent="0.25">
      <c r="L155" s="189">
        <v>2120</v>
      </c>
      <c r="M155" s="196">
        <f t="shared" si="19"/>
        <v>0</v>
      </c>
      <c r="N155" s="197">
        <f t="shared" si="19"/>
        <v>0</v>
      </c>
      <c r="O155" s="152">
        <f ca="1"/>
        <v>92.369955581695834</v>
      </c>
      <c r="Q155" s="198">
        <v>0</v>
      </c>
      <c r="R155" s="200">
        <v>0</v>
      </c>
      <c r="S155" s="200">
        <v>0</v>
      </c>
      <c r="T155" s="200">
        <v>0</v>
      </c>
      <c r="U155" s="200">
        <f t="array" ref="U155">IF(U$77&gt;" ",(U$628:U$1078),"")</f>
        <v>0</v>
      </c>
      <c r="V155" s="200">
        <f t="array" ref="V155">IF(V$77&gt;" ",(V$628:V$1078),"")</f>
        <v>0</v>
      </c>
      <c r="W155" s="200">
        <f t="array" ref="W155">IF(W$77&gt;" ",(W$628:W$1078),"")</f>
        <v>0</v>
      </c>
      <c r="X155" s="200">
        <f t="array" ref="X155">IF(X$77&gt;" ",(X$628:X$1078),"")</f>
        <v>0</v>
      </c>
      <c r="Y155" s="204">
        <v>0</v>
      </c>
      <c r="Z155" s="198" t="str">
        <f t="shared" si="20"/>
        <v/>
      </c>
      <c r="AA155" s="198" t="str">
        <f t="shared" si="20"/>
        <v/>
      </c>
      <c r="AB155" s="198" t="str">
        <f t="shared" si="20"/>
        <v/>
      </c>
      <c r="AC155" s="198" t="str">
        <f t="shared" si="20"/>
        <v/>
      </c>
      <c r="AD155" s="198" t="str">
        <f t="shared" si="18"/>
        <v/>
      </c>
      <c r="AE155" s="198" t="str">
        <f t="shared" si="15"/>
        <v/>
      </c>
      <c r="AF155" s="198" t="str">
        <f t="shared" si="15"/>
        <v/>
      </c>
      <c r="AG155" s="198" t="str">
        <f t="shared" si="15"/>
        <v/>
      </c>
      <c r="AH155" s="198" t="str">
        <f t="shared" si="15"/>
        <v/>
      </c>
      <c r="AI155" s="200" t="str">
        <f t="shared" si="21"/>
        <v/>
      </c>
      <c r="AJ155" s="208" t="str">
        <f t="shared" si="22"/>
        <v/>
      </c>
      <c r="AK155" s="4"/>
      <c r="AL155" s="162">
        <v>2120</v>
      </c>
      <c r="AM155" s="209">
        <v>5.2844031557644391E-4</v>
      </c>
      <c r="AN155" s="183">
        <v>4.1962173314821115E-4</v>
      </c>
      <c r="AO155" s="183">
        <v>4.4042292158540439E-4</v>
      </c>
      <c r="AP155" s="165">
        <v>4.8286316810496375E-4</v>
      </c>
      <c r="AR155" s="210">
        <v>92.350640194955957</v>
      </c>
      <c r="AS155" s="211">
        <v>92.426364531206119</v>
      </c>
      <c r="AT155" s="211">
        <v>92.369955581695834</v>
      </c>
      <c r="AU155" s="211">
        <v>92.251456686575338</v>
      </c>
      <c r="AV155" s="211"/>
      <c r="AW155" s="212"/>
      <c r="AX155" s="210">
        <v>91.958466148795878</v>
      </c>
      <c r="AY155" s="211">
        <v>93.895684344188012</v>
      </c>
      <c r="AZ155" s="213">
        <v>99.221696723215004</v>
      </c>
    </row>
    <row r="156" spans="12:52" x14ac:dyDescent="0.25">
      <c r="L156" s="189">
        <v>2115</v>
      </c>
      <c r="M156" s="196">
        <f t="shared" si="19"/>
        <v>0</v>
      </c>
      <c r="N156" s="197">
        <f t="shared" si="19"/>
        <v>0</v>
      </c>
      <c r="O156" s="152">
        <f ca="1"/>
        <v>92.472387819013306</v>
      </c>
      <c r="Q156" s="198">
        <v>0</v>
      </c>
      <c r="R156" s="200">
        <v>0</v>
      </c>
      <c r="S156" s="200">
        <v>0</v>
      </c>
      <c r="T156" s="200">
        <v>0</v>
      </c>
      <c r="U156" s="200">
        <f t="array" ref="U156">IF(U$77&gt;" ",(U$628:U$1078),"")</f>
        <v>0</v>
      </c>
      <c r="V156" s="200">
        <f t="array" ref="V156">IF(V$77&gt;" ",(V$628:V$1078),"")</f>
        <v>0</v>
      </c>
      <c r="W156" s="200">
        <f t="array" ref="W156">IF(W$77&gt;" ",(W$628:W$1078),"")</f>
        <v>0</v>
      </c>
      <c r="X156" s="200">
        <f t="array" ref="X156">IF(X$77&gt;" ",(X$628:X$1078),"")</f>
        <v>0</v>
      </c>
      <c r="Y156" s="204">
        <v>0</v>
      </c>
      <c r="Z156" s="198" t="str">
        <f t="shared" si="20"/>
        <v/>
      </c>
      <c r="AA156" s="198" t="str">
        <f t="shared" si="20"/>
        <v/>
      </c>
      <c r="AB156" s="198" t="str">
        <f t="shared" si="20"/>
        <v/>
      </c>
      <c r="AC156" s="198" t="str">
        <f t="shared" si="20"/>
        <v/>
      </c>
      <c r="AD156" s="198" t="str">
        <f t="shared" si="18"/>
        <v/>
      </c>
      <c r="AE156" s="198" t="str">
        <f t="shared" si="15"/>
        <v/>
      </c>
      <c r="AF156" s="198" t="str">
        <f t="shared" si="15"/>
        <v/>
      </c>
      <c r="AG156" s="198" t="str">
        <f t="shared" si="15"/>
        <v/>
      </c>
      <c r="AH156" s="198" t="str">
        <f t="shared" si="15"/>
        <v/>
      </c>
      <c r="AI156" s="200" t="str">
        <f t="shared" si="21"/>
        <v/>
      </c>
      <c r="AJ156" s="208" t="str">
        <f t="shared" si="22"/>
        <v/>
      </c>
      <c r="AK156" s="4"/>
      <c r="AL156" s="162">
        <v>2115</v>
      </c>
      <c r="AM156" s="209">
        <v>5.3293261979687134E-4</v>
      </c>
      <c r="AN156" s="183">
        <v>4.2049215160188281E-4</v>
      </c>
      <c r="AO156" s="183">
        <v>4.6096372209091175E-4</v>
      </c>
      <c r="AP156" s="165">
        <v>5.0539987929234793E-4</v>
      </c>
      <c r="AR156" s="210">
        <v>92.451975896937057</v>
      </c>
      <c r="AS156" s="211">
        <v>92.527810697449468</v>
      </c>
      <c r="AT156" s="211">
        <v>92.472387819013306</v>
      </c>
      <c r="AU156" s="211">
        <v>92.353156804463183</v>
      </c>
      <c r="AV156" s="211"/>
      <c r="AW156" s="212"/>
      <c r="AX156" s="210">
        <v>92.049492834938178</v>
      </c>
      <c r="AY156" s="211">
        <v>93.964199119118078</v>
      </c>
      <c r="AZ156" s="213">
        <v>99.13181883755658</v>
      </c>
    </row>
    <row r="157" spans="12:52" x14ac:dyDescent="0.25">
      <c r="L157" s="189">
        <v>2110</v>
      </c>
      <c r="M157" s="196">
        <f t="shared" si="19"/>
        <v>0</v>
      </c>
      <c r="N157" s="197">
        <f t="shared" si="19"/>
        <v>0</v>
      </c>
      <c r="O157" s="152">
        <f ca="1"/>
        <v>92.558747474000882</v>
      </c>
      <c r="Q157" s="198">
        <v>0</v>
      </c>
      <c r="R157" s="200">
        <v>0</v>
      </c>
      <c r="S157" s="200">
        <v>0</v>
      </c>
      <c r="T157" s="200">
        <v>0</v>
      </c>
      <c r="U157" s="200">
        <f t="array" ref="U157">IF(U$77&gt;" ",(U$628:U$1078),"")</f>
        <v>0</v>
      </c>
      <c r="V157" s="200">
        <f t="array" ref="V157">IF(V$77&gt;" ",(V$628:V$1078),"")</f>
        <v>0</v>
      </c>
      <c r="W157" s="200">
        <f t="array" ref="W157">IF(W$77&gt;" ",(W$628:W$1078),"")</f>
        <v>0</v>
      </c>
      <c r="X157" s="200">
        <f t="array" ref="X157">IF(X$77&gt;" ",(X$628:X$1078),"")</f>
        <v>0</v>
      </c>
      <c r="Y157" s="204">
        <v>0</v>
      </c>
      <c r="Z157" s="198" t="str">
        <f t="shared" si="20"/>
        <v/>
      </c>
      <c r="AA157" s="198" t="str">
        <f t="shared" si="20"/>
        <v/>
      </c>
      <c r="AB157" s="198" t="str">
        <f t="shared" si="20"/>
        <v/>
      </c>
      <c r="AC157" s="198" t="str">
        <f t="shared" si="20"/>
        <v/>
      </c>
      <c r="AD157" s="198" t="str">
        <f t="shared" si="18"/>
        <v/>
      </c>
      <c r="AE157" s="198" t="str">
        <f t="shared" si="15"/>
        <v/>
      </c>
      <c r="AF157" s="198" t="str">
        <f t="shared" si="15"/>
        <v/>
      </c>
      <c r="AG157" s="198" t="str">
        <f t="shared" si="15"/>
        <v/>
      </c>
      <c r="AH157" s="198" t="str">
        <f t="shared" si="15"/>
        <v/>
      </c>
      <c r="AI157" s="200" t="str">
        <f t="shared" si="21"/>
        <v/>
      </c>
      <c r="AJ157" s="208" t="str">
        <f t="shared" si="22"/>
        <v/>
      </c>
      <c r="AK157" s="4"/>
      <c r="AL157" s="162">
        <v>2110</v>
      </c>
      <c r="AM157" s="209">
        <v>5.3742492401729854E-4</v>
      </c>
      <c r="AN157" s="183">
        <v>4.2136257005555446E-4</v>
      </c>
      <c r="AO157" s="183">
        <v>4.5081148800997674E-4</v>
      </c>
      <c r="AP157" s="165">
        <v>4.9427423195176688E-4</v>
      </c>
      <c r="AR157" s="210">
        <v>92.535039753488007</v>
      </c>
      <c r="AS157" s="211">
        <v>92.615078353585702</v>
      </c>
      <c r="AT157" s="211">
        <v>92.558747474000882</v>
      </c>
      <c r="AU157" s="211">
        <v>92.442011993841717</v>
      </c>
      <c r="AV157" s="211"/>
      <c r="AW157" s="212"/>
      <c r="AX157" s="210">
        <v>92.146409086714371</v>
      </c>
      <c r="AY157" s="211">
        <v>94.026371590183373</v>
      </c>
      <c r="AZ157" s="213">
        <v>99.196662257963681</v>
      </c>
    </row>
    <row r="158" spans="12:52" x14ac:dyDescent="0.25">
      <c r="L158" s="189">
        <v>2105</v>
      </c>
      <c r="M158" s="196">
        <f t="shared" si="19"/>
        <v>0</v>
      </c>
      <c r="N158" s="197">
        <f t="shared" si="19"/>
        <v>0</v>
      </c>
      <c r="O158" s="152">
        <f ca="1"/>
        <v>92.639476382397376</v>
      </c>
      <c r="Q158" s="198">
        <v>0</v>
      </c>
      <c r="R158" s="200">
        <v>0</v>
      </c>
      <c r="S158" s="200">
        <v>0</v>
      </c>
      <c r="T158" s="200">
        <v>0</v>
      </c>
      <c r="U158" s="200">
        <f t="array" ref="U158">IF(U$77&gt;" ",(U$628:U$1078),"")</f>
        <v>0</v>
      </c>
      <c r="V158" s="200">
        <f t="array" ref="V158">IF(V$77&gt;" ",(V$628:V$1078),"")</f>
        <v>0</v>
      </c>
      <c r="W158" s="200">
        <f t="array" ref="W158">IF(W$77&gt;" ",(W$628:W$1078),"")</f>
        <v>0</v>
      </c>
      <c r="X158" s="200">
        <f t="array" ref="X158">IF(X$77&gt;" ",(X$628:X$1078),"")</f>
        <v>0</v>
      </c>
      <c r="Y158" s="204">
        <v>0</v>
      </c>
      <c r="Z158" s="198" t="str">
        <f t="shared" si="20"/>
        <v/>
      </c>
      <c r="AA158" s="198" t="str">
        <f t="shared" si="20"/>
        <v/>
      </c>
      <c r="AB158" s="198" t="str">
        <f t="shared" si="20"/>
        <v/>
      </c>
      <c r="AC158" s="198" t="str">
        <f t="shared" si="20"/>
        <v/>
      </c>
      <c r="AD158" s="198" t="str">
        <f t="shared" si="18"/>
        <v/>
      </c>
      <c r="AE158" s="198" t="str">
        <f t="shared" si="15"/>
        <v/>
      </c>
      <c r="AF158" s="198" t="str">
        <f t="shared" si="15"/>
        <v/>
      </c>
      <c r="AG158" s="198" t="str">
        <f t="shared" si="15"/>
        <v/>
      </c>
      <c r="AH158" s="198" t="str">
        <f t="shared" ref="AH158:AH221" si="23">IF(AND(Y158&gt;0,Y158&lt;999),(Y158-$M158)/($N158-$M158)*$O158,"")</f>
        <v/>
      </c>
      <c r="AI158" s="200" t="str">
        <f t="shared" si="21"/>
        <v/>
      </c>
      <c r="AJ158" s="208" t="str">
        <f t="shared" si="22"/>
        <v/>
      </c>
      <c r="AK158" s="4"/>
      <c r="AL158" s="162">
        <v>2105</v>
      </c>
      <c r="AM158" s="209">
        <v>5.4185116494036669E-4</v>
      </c>
      <c r="AN158" s="183">
        <v>4.2223298850922606E-4</v>
      </c>
      <c r="AO158" s="183">
        <v>4.6840567674162186E-4</v>
      </c>
      <c r="AP158" s="165">
        <v>5.135874155394656E-4</v>
      </c>
      <c r="AR158" s="210">
        <v>92.616011224250983</v>
      </c>
      <c r="AS158" s="211">
        <v>92.696887580138139</v>
      </c>
      <c r="AT158" s="211">
        <v>92.639476382397376</v>
      </c>
      <c r="AU158" s="211">
        <v>92.523118571162271</v>
      </c>
      <c r="AV158" s="211"/>
      <c r="AW158" s="212"/>
      <c r="AX158" s="210">
        <v>92.20775013683236</v>
      </c>
      <c r="AY158" s="211">
        <v>94.06699991041485</v>
      </c>
      <c r="AZ158" s="213">
        <v>99.195086400777114</v>
      </c>
    </row>
    <row r="159" spans="12:52" x14ac:dyDescent="0.25">
      <c r="L159" s="189">
        <v>2100</v>
      </c>
      <c r="M159" s="196">
        <f t="shared" ref="M159:N174" si="24">M708</f>
        <v>0</v>
      </c>
      <c r="N159" s="197">
        <f t="shared" si="24"/>
        <v>0</v>
      </c>
      <c r="O159" s="152">
        <f ca="1"/>
        <v>92.698963296501518</v>
      </c>
      <c r="Q159" s="198">
        <v>0</v>
      </c>
      <c r="R159" s="200">
        <v>0</v>
      </c>
      <c r="S159" s="200">
        <v>0</v>
      </c>
      <c r="T159" s="200">
        <v>0</v>
      </c>
      <c r="U159" s="200">
        <f t="array" ref="U159">IF(U$77&gt;" ",(U$628:U$1078),"")</f>
        <v>0</v>
      </c>
      <c r="V159" s="200">
        <f t="array" ref="V159">IF(V$77&gt;" ",(V$628:V$1078),"")</f>
        <v>0</v>
      </c>
      <c r="W159" s="200">
        <f t="array" ref="W159">IF(W$77&gt;" ",(W$628:W$1078),"")</f>
        <v>0</v>
      </c>
      <c r="X159" s="200">
        <f t="array" ref="X159">IF(X$77&gt;" ",(X$628:X$1078),"")</f>
        <v>0</v>
      </c>
      <c r="Y159" s="204">
        <v>0</v>
      </c>
      <c r="Z159" s="198" t="str">
        <f t="shared" si="20"/>
        <v/>
      </c>
      <c r="AA159" s="198" t="str">
        <f t="shared" si="20"/>
        <v/>
      </c>
      <c r="AB159" s="198" t="str">
        <f t="shared" si="20"/>
        <v/>
      </c>
      <c r="AC159" s="198" t="str">
        <f t="shared" si="20"/>
        <v/>
      </c>
      <c r="AD159" s="198" t="str">
        <f t="shared" si="18"/>
        <v/>
      </c>
      <c r="AE159" s="198" t="str">
        <f t="shared" si="18"/>
        <v/>
      </c>
      <c r="AF159" s="198" t="str">
        <f t="shared" si="18"/>
        <v/>
      </c>
      <c r="AG159" s="198" t="str">
        <f t="shared" si="18"/>
        <v/>
      </c>
      <c r="AH159" s="198" t="str">
        <f t="shared" si="23"/>
        <v/>
      </c>
      <c r="AI159" s="200" t="str">
        <f t="shared" si="21"/>
        <v/>
      </c>
      <c r="AJ159" s="208" t="str">
        <f t="shared" si="22"/>
        <v/>
      </c>
      <c r="AK159" s="4"/>
      <c r="AL159" s="162">
        <v>2100</v>
      </c>
      <c r="AM159" s="209">
        <v>5.4634346916079401E-4</v>
      </c>
      <c r="AN159" s="183">
        <v>4.2310340696289766E-4</v>
      </c>
      <c r="AO159" s="183">
        <v>4.3310667562811839E-4</v>
      </c>
      <c r="AP159" s="165">
        <v>4.7496104836406821E-4</v>
      </c>
      <c r="AR159" s="210">
        <v>92.679381569136027</v>
      </c>
      <c r="AS159" s="211">
        <v>92.753705399749848</v>
      </c>
      <c r="AT159" s="211">
        <v>92.698963296501518</v>
      </c>
      <c r="AU159" s="211">
        <v>92.580038495721325</v>
      </c>
      <c r="AV159" s="211"/>
      <c r="AW159" s="212"/>
      <c r="AX159" s="210">
        <v>92.266124389377794</v>
      </c>
      <c r="AY159" s="211">
        <v>94.112360584256479</v>
      </c>
      <c r="AZ159" s="213">
        <v>99.329139425321756</v>
      </c>
    </row>
    <row r="160" spans="12:52" x14ac:dyDescent="0.25">
      <c r="L160" s="189">
        <v>2095</v>
      </c>
      <c r="M160" s="196">
        <f t="shared" si="24"/>
        <v>0</v>
      </c>
      <c r="N160" s="197">
        <f t="shared" si="24"/>
        <v>0</v>
      </c>
      <c r="O160" s="152">
        <f ca="1"/>
        <v>92.7414417309014</v>
      </c>
      <c r="Q160" s="198">
        <v>0</v>
      </c>
      <c r="R160" s="200">
        <v>0</v>
      </c>
      <c r="S160" s="200">
        <v>0</v>
      </c>
      <c r="T160" s="200">
        <v>0</v>
      </c>
      <c r="U160" s="200">
        <f t="array" ref="U160">IF(U$77&gt;" ",(U$628:U$1078),"")</f>
        <v>0</v>
      </c>
      <c r="V160" s="200">
        <f t="array" ref="V160">IF(V$77&gt;" ",(V$628:V$1078),"")</f>
        <v>0</v>
      </c>
      <c r="W160" s="200">
        <f t="array" ref="W160">IF(W$77&gt;" ",(W$628:W$1078),"")</f>
        <v>0</v>
      </c>
      <c r="X160" s="200">
        <f t="array" ref="X160">IF(X$77&gt;" ",(X$628:X$1078),"")</f>
        <v>0</v>
      </c>
      <c r="Y160" s="204">
        <v>0</v>
      </c>
      <c r="Z160" s="198" t="str">
        <f t="shared" si="20"/>
        <v/>
      </c>
      <c r="AA160" s="198" t="str">
        <f t="shared" si="20"/>
        <v/>
      </c>
      <c r="AB160" s="198" t="str">
        <f t="shared" si="20"/>
        <v/>
      </c>
      <c r="AC160" s="198" t="str">
        <f t="shared" si="20"/>
        <v/>
      </c>
      <c r="AD160" s="198" t="str">
        <f t="shared" si="18"/>
        <v/>
      </c>
      <c r="AE160" s="198" t="str">
        <f t="shared" si="18"/>
        <v/>
      </c>
      <c r="AF160" s="198" t="str">
        <f t="shared" si="18"/>
        <v/>
      </c>
      <c r="AG160" s="198" t="str">
        <f t="shared" si="18"/>
        <v/>
      </c>
      <c r="AH160" s="198" t="str">
        <f t="shared" si="23"/>
        <v/>
      </c>
      <c r="AI160" s="200" t="str">
        <f t="shared" si="21"/>
        <v/>
      </c>
      <c r="AJ160" s="208" t="str">
        <f t="shared" si="22"/>
        <v/>
      </c>
      <c r="AK160" s="4"/>
      <c r="AL160" s="162">
        <v>2095</v>
      </c>
      <c r="AM160" s="209">
        <v>5.2143760605636615E-4</v>
      </c>
      <c r="AN160" s="183">
        <v>4.206922477981292E-4</v>
      </c>
      <c r="AO160" s="183">
        <v>4.5127912434951459E-4</v>
      </c>
      <c r="AP160" s="165">
        <v>4.948394685621284E-4</v>
      </c>
      <c r="AR160" s="210">
        <v>92.72553875720287</v>
      </c>
      <c r="AS160" s="211">
        <v>92.794551661932417</v>
      </c>
      <c r="AT160" s="211">
        <v>92.7414417309014</v>
      </c>
      <c r="AU160" s="211">
        <v>92.62188604183855</v>
      </c>
      <c r="AV160" s="211"/>
      <c r="AW160" s="212"/>
      <c r="AX160" s="210">
        <v>92.323270402944331</v>
      </c>
      <c r="AY160" s="211">
        <v>94.152235776451434</v>
      </c>
      <c r="AZ160" s="213">
        <v>99.02561050328228</v>
      </c>
    </row>
    <row r="161" spans="12:52" x14ac:dyDescent="0.25">
      <c r="L161" s="189">
        <v>2090</v>
      </c>
      <c r="M161" s="196">
        <f t="shared" si="24"/>
        <v>0</v>
      </c>
      <c r="N161" s="197">
        <f t="shared" si="24"/>
        <v>0</v>
      </c>
      <c r="O161" s="152">
        <f ca="1"/>
        <v>92.812051527502433</v>
      </c>
      <c r="Q161" s="198">
        <v>0</v>
      </c>
      <c r="R161" s="200">
        <v>0</v>
      </c>
      <c r="S161" s="200">
        <v>0</v>
      </c>
      <c r="T161" s="200">
        <v>0</v>
      </c>
      <c r="U161" s="200">
        <f t="array" ref="U161">IF(U$77&gt;" ",(U$628:U$1078),"")</f>
        <v>0</v>
      </c>
      <c r="V161" s="200">
        <f t="array" ref="V161">IF(V$77&gt;" ",(V$628:V$1078),"")</f>
        <v>0</v>
      </c>
      <c r="W161" s="200">
        <f t="array" ref="W161">IF(W$77&gt;" ",(W$628:W$1078),"")</f>
        <v>0</v>
      </c>
      <c r="X161" s="200">
        <f t="array" ref="X161">IF(X$77&gt;" ",(X$628:X$1078),"")</f>
        <v>0</v>
      </c>
      <c r="Y161" s="204">
        <v>0</v>
      </c>
      <c r="Z161" s="198" t="str">
        <f t="shared" si="20"/>
        <v/>
      </c>
      <c r="AA161" s="198" t="str">
        <f t="shared" si="20"/>
        <v/>
      </c>
      <c r="AB161" s="198" t="str">
        <f t="shared" si="20"/>
        <v/>
      </c>
      <c r="AC161" s="198" t="str">
        <f t="shared" si="20"/>
        <v/>
      </c>
      <c r="AD161" s="198" t="str">
        <f t="shared" si="18"/>
        <v/>
      </c>
      <c r="AE161" s="198" t="str">
        <f t="shared" si="18"/>
        <v/>
      </c>
      <c r="AF161" s="198" t="str">
        <f t="shared" si="18"/>
        <v/>
      </c>
      <c r="AG161" s="198" t="str">
        <f t="shared" si="18"/>
        <v/>
      </c>
      <c r="AH161" s="198" t="str">
        <f t="shared" si="23"/>
        <v/>
      </c>
      <c r="AI161" s="200" t="str">
        <f t="shared" si="21"/>
        <v/>
      </c>
      <c r="AJ161" s="208" t="str">
        <f t="shared" si="22"/>
        <v/>
      </c>
      <c r="AK161" s="4"/>
      <c r="AL161" s="162">
        <v>2090</v>
      </c>
      <c r="AM161" s="209">
        <v>4.9653174295193807E-4</v>
      </c>
      <c r="AN161" s="183">
        <v>4.1828108863336074E-4</v>
      </c>
      <c r="AO161" s="183">
        <v>4.4802578336369743E-4</v>
      </c>
      <c r="AP161" s="165">
        <v>4.9124657842497901E-4</v>
      </c>
      <c r="AR161" s="210">
        <v>92.791817274547057</v>
      </c>
      <c r="AS161" s="211">
        <v>92.865987312151177</v>
      </c>
      <c r="AT161" s="211">
        <v>92.812051527502433</v>
      </c>
      <c r="AU161" s="211">
        <v>92.691979403704678</v>
      </c>
      <c r="AV161" s="211"/>
      <c r="AW161" s="212"/>
      <c r="AX161" s="210">
        <v>92.40474266009403</v>
      </c>
      <c r="AY161" s="211">
        <v>94.204052429074139</v>
      </c>
      <c r="AZ161" s="213">
        <v>99.034342989090931</v>
      </c>
    </row>
    <row r="162" spans="12:52" x14ac:dyDescent="0.25">
      <c r="L162" s="189">
        <v>2085</v>
      </c>
      <c r="M162" s="196">
        <f t="shared" si="24"/>
        <v>0</v>
      </c>
      <c r="N162" s="197">
        <f t="shared" si="24"/>
        <v>0</v>
      </c>
      <c r="O162" s="152">
        <f ca="1"/>
        <v>92.858785440413797</v>
      </c>
      <c r="Q162" s="198">
        <v>0</v>
      </c>
      <c r="R162" s="200">
        <v>0</v>
      </c>
      <c r="S162" s="200">
        <v>0</v>
      </c>
      <c r="T162" s="200">
        <v>0</v>
      </c>
      <c r="U162" s="200">
        <f t="array" ref="U162">IF(U$77&gt;" ",(U$628:U$1078),"")</f>
        <v>0</v>
      </c>
      <c r="V162" s="200">
        <f t="array" ref="V162">IF(V$77&gt;" ",(V$628:V$1078),"")</f>
        <v>0</v>
      </c>
      <c r="W162" s="200">
        <f t="array" ref="W162">IF(W$77&gt;" ",(W$628:W$1078),"")</f>
        <v>0</v>
      </c>
      <c r="X162" s="200">
        <f t="array" ref="X162">IF(X$77&gt;" ",(X$628:X$1078),"")</f>
        <v>0</v>
      </c>
      <c r="Y162" s="204">
        <v>0</v>
      </c>
      <c r="Z162" s="198" t="str">
        <f t="shared" si="20"/>
        <v/>
      </c>
      <c r="AA162" s="198" t="str">
        <f t="shared" si="20"/>
        <v/>
      </c>
      <c r="AB162" s="198" t="str">
        <f t="shared" si="20"/>
        <v/>
      </c>
      <c r="AC162" s="198" t="str">
        <f t="shared" si="20"/>
        <v/>
      </c>
      <c r="AD162" s="198" t="str">
        <f t="shared" si="18"/>
        <v/>
      </c>
      <c r="AE162" s="198" t="str">
        <f t="shared" si="18"/>
        <v/>
      </c>
      <c r="AF162" s="198" t="str">
        <f t="shared" si="18"/>
        <v/>
      </c>
      <c r="AG162" s="198" t="str">
        <f t="shared" si="18"/>
        <v/>
      </c>
      <c r="AH162" s="198" t="str">
        <f t="shared" si="23"/>
        <v/>
      </c>
      <c r="AI162" s="200" t="str">
        <f t="shared" si="21"/>
        <v/>
      </c>
      <c r="AJ162" s="208" t="str">
        <f t="shared" si="22"/>
        <v/>
      </c>
      <c r="AK162" s="4"/>
      <c r="AL162" s="162">
        <v>2085</v>
      </c>
      <c r="AM162" s="209">
        <v>4.716258798475101E-4</v>
      </c>
      <c r="AN162" s="183">
        <v>4.1586992946859223E-4</v>
      </c>
      <c r="AO162" s="183">
        <v>4.2792244911130616E-4</v>
      </c>
      <c r="AP162" s="165">
        <v>4.692415254354597E-4</v>
      </c>
      <c r="AR162" s="210">
        <v>92.835626001807768</v>
      </c>
      <c r="AS162" s="211">
        <v>92.911535643742411</v>
      </c>
      <c r="AT162" s="211">
        <v>92.858785440413797</v>
      </c>
      <c r="AU162" s="211">
        <v>92.736556921267081</v>
      </c>
      <c r="AV162" s="211"/>
      <c r="AW162" s="212"/>
      <c r="AX162" s="210">
        <v>92.464503852148894</v>
      </c>
      <c r="AY162" s="211">
        <v>94.248961966502677</v>
      </c>
      <c r="AZ162" s="213">
        <v>99.082423788978559</v>
      </c>
    </row>
    <row r="163" spans="12:52" x14ac:dyDescent="0.25">
      <c r="L163" s="189">
        <v>2080</v>
      </c>
      <c r="M163" s="196">
        <f t="shared" si="24"/>
        <v>0</v>
      </c>
      <c r="N163" s="197">
        <f t="shared" si="24"/>
        <v>0</v>
      </c>
      <c r="O163" s="152">
        <f ca="1"/>
        <v>92.918054793000536</v>
      </c>
      <c r="Q163" s="198">
        <v>0</v>
      </c>
      <c r="R163" s="200">
        <v>0</v>
      </c>
      <c r="S163" s="200">
        <v>0</v>
      </c>
      <c r="T163" s="200">
        <v>0</v>
      </c>
      <c r="U163" s="200">
        <f t="array" ref="U163">IF(U$77&gt;" ",(U$628:U$1078),"")</f>
        <v>0</v>
      </c>
      <c r="V163" s="200">
        <f t="array" ref="V163">IF(V$77&gt;" ",(V$628:V$1078),"")</f>
        <v>0</v>
      </c>
      <c r="W163" s="200">
        <f t="array" ref="W163">IF(W$77&gt;" ",(W$628:W$1078),"")</f>
        <v>0</v>
      </c>
      <c r="X163" s="200">
        <f t="array" ref="X163">IF(X$77&gt;" ",(X$628:X$1078),"")</f>
        <v>0</v>
      </c>
      <c r="Y163" s="204">
        <v>0</v>
      </c>
      <c r="Z163" s="198" t="str">
        <f t="shared" si="20"/>
        <v/>
      </c>
      <c r="AA163" s="198" t="str">
        <f t="shared" si="20"/>
        <v/>
      </c>
      <c r="AB163" s="198" t="str">
        <f t="shared" si="20"/>
        <v/>
      </c>
      <c r="AC163" s="198" t="str">
        <f t="shared" si="20"/>
        <v/>
      </c>
      <c r="AD163" s="198" t="str">
        <f t="shared" si="18"/>
        <v/>
      </c>
      <c r="AE163" s="198" t="str">
        <f t="shared" si="18"/>
        <v/>
      </c>
      <c r="AF163" s="198" t="str">
        <f t="shared" si="18"/>
        <v/>
      </c>
      <c r="AG163" s="198" t="str">
        <f t="shared" si="18"/>
        <v/>
      </c>
      <c r="AH163" s="198" t="str">
        <f t="shared" si="23"/>
        <v/>
      </c>
      <c r="AI163" s="200" t="str">
        <f t="shared" si="21"/>
        <v/>
      </c>
      <c r="AJ163" s="208" t="str">
        <f t="shared" si="22"/>
        <v/>
      </c>
      <c r="AK163" s="4"/>
      <c r="AL163" s="162">
        <v>2080</v>
      </c>
      <c r="AM163" s="209">
        <v>4.4665395344572291E-4</v>
      </c>
      <c r="AN163" s="183">
        <v>4.1345877030382378E-4</v>
      </c>
      <c r="AO163" s="183">
        <v>4.3652092374151853E-4</v>
      </c>
      <c r="AP163" s="165">
        <v>4.78649077336625E-4</v>
      </c>
      <c r="AR163" s="210">
        <v>92.895965477779171</v>
      </c>
      <c r="AS163" s="211">
        <v>92.971462292698718</v>
      </c>
      <c r="AT163" s="211">
        <v>92.918054793000536</v>
      </c>
      <c r="AU163" s="211">
        <v>92.794014792142036</v>
      </c>
      <c r="AV163" s="211"/>
      <c r="AW163" s="212"/>
      <c r="AX163" s="210">
        <v>92.527805124264731</v>
      </c>
      <c r="AY163" s="211">
        <v>94.280893005701714</v>
      </c>
      <c r="AZ163" s="213">
        <v>98.96894731817747</v>
      </c>
    </row>
    <row r="164" spans="12:52" x14ac:dyDescent="0.25">
      <c r="L164" s="189">
        <v>2075</v>
      </c>
      <c r="M164" s="196">
        <f t="shared" si="24"/>
        <v>0</v>
      </c>
      <c r="N164" s="197">
        <f t="shared" si="24"/>
        <v>0</v>
      </c>
      <c r="O164" s="152">
        <f ca="1"/>
        <v>92.9555155496098</v>
      </c>
      <c r="Q164" s="198">
        <v>0</v>
      </c>
      <c r="R164" s="200">
        <v>0</v>
      </c>
      <c r="S164" s="200">
        <v>0</v>
      </c>
      <c r="T164" s="200">
        <v>0</v>
      </c>
      <c r="U164" s="200">
        <f t="array" ref="U164">IF(U$77&gt;" ",(U$628:U$1078),"")</f>
        <v>0</v>
      </c>
      <c r="V164" s="200">
        <f t="array" ref="V164">IF(V$77&gt;" ",(V$628:V$1078),"")</f>
        <v>0</v>
      </c>
      <c r="W164" s="200">
        <f t="array" ref="W164">IF(W$77&gt;" ",(W$628:W$1078),"")</f>
        <v>0</v>
      </c>
      <c r="X164" s="200">
        <f t="array" ref="X164">IF(X$77&gt;" ",(X$628:X$1078),"")</f>
        <v>0</v>
      </c>
      <c r="Y164" s="204">
        <v>0</v>
      </c>
      <c r="Z164" s="198" t="str">
        <f t="shared" si="20"/>
        <v/>
      </c>
      <c r="AA164" s="198" t="str">
        <f t="shared" si="20"/>
        <v/>
      </c>
      <c r="AB164" s="198" t="str">
        <f t="shared" si="20"/>
        <v/>
      </c>
      <c r="AC164" s="198" t="str">
        <f t="shared" si="20"/>
        <v/>
      </c>
      <c r="AD164" s="198" t="str">
        <f t="shared" si="18"/>
        <v/>
      </c>
      <c r="AE164" s="198" t="str">
        <f t="shared" si="18"/>
        <v/>
      </c>
      <c r="AF164" s="198" t="str">
        <f t="shared" si="18"/>
        <v/>
      </c>
      <c r="AG164" s="198" t="str">
        <f t="shared" si="18"/>
        <v/>
      </c>
      <c r="AH164" s="198" t="str">
        <f t="shared" si="23"/>
        <v/>
      </c>
      <c r="AI164" s="200" t="str">
        <f t="shared" si="21"/>
        <v/>
      </c>
      <c r="AJ164" s="208" t="str">
        <f t="shared" si="22"/>
        <v/>
      </c>
      <c r="AK164" s="4"/>
      <c r="AL164" s="162">
        <v>2075</v>
      </c>
      <c r="AM164" s="209">
        <v>4.2174809034129494E-4</v>
      </c>
      <c r="AN164" s="183">
        <v>4.1104761113905537E-4</v>
      </c>
      <c r="AO164" s="183">
        <v>3.8941033379388123E-4</v>
      </c>
      <c r="AP164" s="165">
        <v>4.2703346092707852E-4</v>
      </c>
      <c r="AR164" s="210">
        <v>92.941992765863546</v>
      </c>
      <c r="AS164" s="211">
        <v>93.013603566490204</v>
      </c>
      <c r="AT164" s="211">
        <v>92.9555155496098</v>
      </c>
      <c r="AU164" s="211">
        <v>92.833677266497133</v>
      </c>
      <c r="AV164" s="211"/>
      <c r="AW164" s="212"/>
      <c r="AX164" s="210">
        <v>92.559329273542019</v>
      </c>
      <c r="AY164" s="211">
        <v>94.315627656042736</v>
      </c>
      <c r="AZ164" s="213">
        <v>98.981456604767544</v>
      </c>
    </row>
    <row r="165" spans="12:52" x14ac:dyDescent="0.25">
      <c r="L165" s="189">
        <v>2070</v>
      </c>
      <c r="M165" s="196">
        <f t="shared" si="24"/>
        <v>0</v>
      </c>
      <c r="N165" s="197">
        <f t="shared" si="24"/>
        <v>0</v>
      </c>
      <c r="O165" s="152">
        <f ca="1"/>
        <v>92.999215320925558</v>
      </c>
      <c r="Q165" s="198">
        <v>0</v>
      </c>
      <c r="R165" s="200">
        <v>0</v>
      </c>
      <c r="S165" s="200">
        <v>0</v>
      </c>
      <c r="T165" s="200">
        <v>0</v>
      </c>
      <c r="U165" s="200">
        <f t="array" ref="U165">IF(U$77&gt;" ",(U$628:U$1078),"")</f>
        <v>0</v>
      </c>
      <c r="V165" s="200">
        <f t="array" ref="V165">IF(V$77&gt;" ",(V$628:V$1078),"")</f>
        <v>0</v>
      </c>
      <c r="W165" s="200">
        <f t="array" ref="W165">IF(W$77&gt;" ",(W$628:W$1078),"")</f>
        <v>0</v>
      </c>
      <c r="X165" s="200">
        <f t="array" ref="X165">IF(X$77&gt;" ",(X$628:X$1078),"")</f>
        <v>0</v>
      </c>
      <c r="Y165" s="204">
        <v>0</v>
      </c>
      <c r="Z165" s="198" t="str">
        <f t="shared" si="20"/>
        <v/>
      </c>
      <c r="AA165" s="198" t="str">
        <f t="shared" si="20"/>
        <v/>
      </c>
      <c r="AB165" s="198" t="str">
        <f t="shared" si="20"/>
        <v/>
      </c>
      <c r="AC165" s="198" t="str">
        <f t="shared" si="20"/>
        <v/>
      </c>
      <c r="AD165" s="198" t="str">
        <f t="shared" si="18"/>
        <v/>
      </c>
      <c r="AE165" s="198" t="str">
        <f t="shared" si="18"/>
        <v/>
      </c>
      <c r="AF165" s="198" t="str">
        <f t="shared" si="18"/>
        <v/>
      </c>
      <c r="AG165" s="198" t="str">
        <f t="shared" si="18"/>
        <v/>
      </c>
      <c r="AH165" s="198" t="str">
        <f t="shared" si="23"/>
        <v/>
      </c>
      <c r="AI165" s="200" t="str">
        <f t="shared" si="21"/>
        <v/>
      </c>
      <c r="AJ165" s="208" t="str">
        <f t="shared" si="22"/>
        <v/>
      </c>
      <c r="AK165" s="4"/>
      <c r="AL165" s="162">
        <v>2070</v>
      </c>
      <c r="AM165" s="209">
        <v>3.9684222723686697E-4</v>
      </c>
      <c r="AN165" s="183">
        <v>4.0863645197428692E-4</v>
      </c>
      <c r="AO165" s="183">
        <v>3.3024176597299879E-4</v>
      </c>
      <c r="AP165" s="165">
        <v>3.6217116078757461E-4</v>
      </c>
      <c r="AR165" s="210">
        <v>92.982698791617608</v>
      </c>
      <c r="AS165" s="211">
        <v>93.058088756039368</v>
      </c>
      <c r="AT165" s="211">
        <v>92.999215320925558</v>
      </c>
      <c r="AU165" s="211">
        <v>92.877972008001692</v>
      </c>
      <c r="AV165" s="211"/>
      <c r="AW165" s="212"/>
      <c r="AX165" s="210">
        <v>92.582867432439954</v>
      </c>
      <c r="AY165" s="211">
        <v>94.333190064753126</v>
      </c>
      <c r="AZ165" s="213">
        <v>99.026337458986276</v>
      </c>
    </row>
    <row r="166" spans="12:52" x14ac:dyDescent="0.25">
      <c r="L166" s="189">
        <v>2065</v>
      </c>
      <c r="M166" s="196">
        <f t="shared" si="24"/>
        <v>0</v>
      </c>
      <c r="N166" s="197">
        <f t="shared" si="24"/>
        <v>0</v>
      </c>
      <c r="O166" s="152">
        <f ca="1"/>
        <v>93.041572104197783</v>
      </c>
      <c r="Q166" s="198">
        <v>0</v>
      </c>
      <c r="R166" s="200">
        <v>0</v>
      </c>
      <c r="S166" s="200">
        <v>0</v>
      </c>
      <c r="T166" s="200">
        <v>0</v>
      </c>
      <c r="U166" s="200">
        <f t="array" ref="U166">IF(U$77&gt;" ",(U$628:U$1078),"")</f>
        <v>0</v>
      </c>
      <c r="V166" s="200">
        <f t="array" ref="V166">IF(V$77&gt;" ",(V$628:V$1078),"")</f>
        <v>0</v>
      </c>
      <c r="W166" s="200">
        <f t="array" ref="W166">IF(W$77&gt;" ",(W$628:W$1078),"")</f>
        <v>0</v>
      </c>
      <c r="X166" s="200">
        <f t="array" ref="X166">IF(X$77&gt;" ",(X$628:X$1078),"")</f>
        <v>0</v>
      </c>
      <c r="Y166" s="204">
        <v>0</v>
      </c>
      <c r="Z166" s="198" t="str">
        <f t="shared" si="20"/>
        <v/>
      </c>
      <c r="AA166" s="198" t="str">
        <f t="shared" si="20"/>
        <v/>
      </c>
      <c r="AB166" s="198" t="str">
        <f t="shared" si="20"/>
        <v/>
      </c>
      <c r="AC166" s="198" t="str">
        <f t="shared" si="20"/>
        <v/>
      </c>
      <c r="AD166" s="198" t="str">
        <f t="shared" si="18"/>
        <v/>
      </c>
      <c r="AE166" s="198" t="str">
        <f t="shared" si="18"/>
        <v/>
      </c>
      <c r="AF166" s="198" t="str">
        <f t="shared" si="18"/>
        <v/>
      </c>
      <c r="AG166" s="198" t="str">
        <f t="shared" si="18"/>
        <v/>
      </c>
      <c r="AH166" s="198" t="str">
        <f t="shared" si="23"/>
        <v/>
      </c>
      <c r="AI166" s="200" t="str">
        <f t="shared" si="21"/>
        <v/>
      </c>
      <c r="AJ166" s="208" t="str">
        <f t="shared" si="22"/>
        <v/>
      </c>
      <c r="AK166" s="4"/>
      <c r="AL166" s="162">
        <v>2065</v>
      </c>
      <c r="AM166" s="209">
        <v>3.7193636413243895E-4</v>
      </c>
      <c r="AN166" s="183">
        <v>4.0622529280951841E-4</v>
      </c>
      <c r="AO166" s="183">
        <v>3.1112901622478984E-4</v>
      </c>
      <c r="AP166" s="165">
        <v>3.4116786377087424E-4</v>
      </c>
      <c r="AR166" s="210">
        <v>93.024891167170324</v>
      </c>
      <c r="AS166" s="211">
        <v>93.102902016382586</v>
      </c>
      <c r="AT166" s="211">
        <v>93.041572104197783</v>
      </c>
      <c r="AU166" s="211">
        <v>92.923906572351385</v>
      </c>
      <c r="AV166" s="211"/>
      <c r="AW166" s="212"/>
      <c r="AX166" s="210">
        <v>92.615941215215045</v>
      </c>
      <c r="AY166" s="211">
        <v>94.343471227636954</v>
      </c>
      <c r="AZ166" s="213">
        <v>99.313225042046966</v>
      </c>
    </row>
    <row r="167" spans="12:52" x14ac:dyDescent="0.25">
      <c r="L167" s="189">
        <v>2060</v>
      </c>
      <c r="M167" s="196">
        <f t="shared" si="24"/>
        <v>0</v>
      </c>
      <c r="N167" s="197">
        <f t="shared" si="24"/>
        <v>0</v>
      </c>
      <c r="O167" s="152">
        <f ca="1"/>
        <v>93.072069408879315</v>
      </c>
      <c r="Q167" s="198">
        <v>0</v>
      </c>
      <c r="R167" s="200">
        <v>0</v>
      </c>
      <c r="S167" s="200">
        <v>0</v>
      </c>
      <c r="T167" s="200">
        <v>0</v>
      </c>
      <c r="U167" s="200">
        <f t="array" ref="U167">IF(U$77&gt;" ",(U$628:U$1078),"")</f>
        <v>0</v>
      </c>
      <c r="V167" s="200">
        <f t="array" ref="V167">IF(V$77&gt;" ",(V$628:V$1078),"")</f>
        <v>0</v>
      </c>
      <c r="W167" s="200">
        <f t="array" ref="W167">IF(W$77&gt;" ",(W$628:W$1078),"")</f>
        <v>0</v>
      </c>
      <c r="X167" s="200">
        <f t="array" ref="X167">IF(X$77&gt;" ",(X$628:X$1078),"")</f>
        <v>0</v>
      </c>
      <c r="Y167" s="204">
        <v>0</v>
      </c>
      <c r="Z167" s="198" t="str">
        <f t="shared" si="20"/>
        <v/>
      </c>
      <c r="AA167" s="198" t="str">
        <f t="shared" si="20"/>
        <v/>
      </c>
      <c r="AB167" s="198" t="str">
        <f t="shared" si="20"/>
        <v/>
      </c>
      <c r="AC167" s="198" t="str">
        <f t="shared" si="20"/>
        <v/>
      </c>
      <c r="AD167" s="198" t="str">
        <f t="shared" si="18"/>
        <v/>
      </c>
      <c r="AE167" s="198" t="str">
        <f t="shared" si="18"/>
        <v/>
      </c>
      <c r="AF167" s="198" t="str">
        <f t="shared" si="18"/>
        <v/>
      </c>
      <c r="AG167" s="198" t="str">
        <f t="shared" si="18"/>
        <v/>
      </c>
      <c r="AH167" s="198" t="str">
        <f t="shared" si="23"/>
        <v/>
      </c>
      <c r="AI167" s="200" t="str">
        <f t="shared" si="21"/>
        <v/>
      </c>
      <c r="AJ167" s="208" t="str">
        <f t="shared" si="22"/>
        <v/>
      </c>
      <c r="AK167" s="4"/>
      <c r="AL167" s="162">
        <v>2060</v>
      </c>
      <c r="AM167" s="209">
        <v>4.1289560849515876E-4</v>
      </c>
      <c r="AN167" s="183">
        <v>4.0381413364475E-4</v>
      </c>
      <c r="AO167" s="183">
        <v>3.4792646496390931E-4</v>
      </c>
      <c r="AP167" s="165">
        <v>3.8143397675652823E-4</v>
      </c>
      <c r="AR167" s="210">
        <v>93.048137146423372</v>
      </c>
      <c r="AS167" s="211">
        <v>93.129853007799341</v>
      </c>
      <c r="AT167" s="211">
        <v>93.072069408879315</v>
      </c>
      <c r="AU167" s="211">
        <v>92.951209819202674</v>
      </c>
      <c r="AV167" s="211"/>
      <c r="AW167" s="212"/>
      <c r="AX167" s="210">
        <v>92.640524850825884</v>
      </c>
      <c r="AY167" s="211">
        <v>94.364609764063957</v>
      </c>
      <c r="AZ167" s="213">
        <v>99.154370970745148</v>
      </c>
    </row>
    <row r="168" spans="12:52" x14ac:dyDescent="0.25">
      <c r="L168" s="189">
        <v>2055</v>
      </c>
      <c r="M168" s="196">
        <f t="shared" si="24"/>
        <v>0</v>
      </c>
      <c r="N168" s="197">
        <f t="shared" si="24"/>
        <v>0</v>
      </c>
      <c r="O168" s="152">
        <f ca="1"/>
        <v>93.125540438397152</v>
      </c>
      <c r="Q168" s="198">
        <v>0</v>
      </c>
      <c r="R168" s="200">
        <v>0</v>
      </c>
      <c r="S168" s="200">
        <v>0</v>
      </c>
      <c r="T168" s="200">
        <v>0</v>
      </c>
      <c r="U168" s="200">
        <f t="array" ref="U168">IF(U$77&gt;" ",(U$628:U$1078),"")</f>
        <v>0</v>
      </c>
      <c r="V168" s="200">
        <f t="array" ref="V168">IF(V$77&gt;" ",(V$628:V$1078),"")</f>
        <v>0</v>
      </c>
      <c r="W168" s="200">
        <f t="array" ref="W168">IF(W$77&gt;" ",(W$628:W$1078),"")</f>
        <v>0</v>
      </c>
      <c r="X168" s="200">
        <f t="array" ref="X168">IF(X$77&gt;" ",(X$628:X$1078),"")</f>
        <v>0</v>
      </c>
      <c r="Y168" s="204">
        <v>0</v>
      </c>
      <c r="Z168" s="198" t="str">
        <f t="shared" si="20"/>
        <v/>
      </c>
      <c r="AA168" s="198" t="str">
        <f t="shared" si="20"/>
        <v/>
      </c>
      <c r="AB168" s="198" t="str">
        <f t="shared" si="20"/>
        <v/>
      </c>
      <c r="AC168" s="198" t="str">
        <f t="shared" si="20"/>
        <v/>
      </c>
      <c r="AD168" s="198" t="str">
        <f t="shared" si="18"/>
        <v/>
      </c>
      <c r="AE168" s="198" t="str">
        <f t="shared" si="18"/>
        <v/>
      </c>
      <c r="AF168" s="198" t="str">
        <f t="shared" si="18"/>
        <v/>
      </c>
      <c r="AG168" s="198" t="str">
        <f t="shared" si="18"/>
        <v/>
      </c>
      <c r="AH168" s="198" t="str">
        <f t="shared" si="23"/>
        <v/>
      </c>
      <c r="AI168" s="200" t="str">
        <f t="shared" si="21"/>
        <v/>
      </c>
      <c r="AJ168" s="208" t="str">
        <f t="shared" si="22"/>
        <v/>
      </c>
      <c r="AK168" s="4"/>
      <c r="AL168" s="162">
        <v>2055</v>
      </c>
      <c r="AM168" s="209">
        <v>4.5385485285787851E-4</v>
      </c>
      <c r="AN168" s="183">
        <v>4.0140297447998149E-4</v>
      </c>
      <c r="AO168" s="183">
        <v>2.7608646084587176E-4</v>
      </c>
      <c r="AP168" s="165">
        <v>3.0270938865796049E-4</v>
      </c>
      <c r="AR168" s="210">
        <v>93.096979621176331</v>
      </c>
      <c r="AS168" s="211">
        <v>93.182362483846973</v>
      </c>
      <c r="AT168" s="211">
        <v>93.125540438397152</v>
      </c>
      <c r="AU168" s="211">
        <v>92.99957991116689</v>
      </c>
      <c r="AV168" s="211"/>
      <c r="AW168" s="212"/>
      <c r="AX168" s="210">
        <v>92.700232439096212</v>
      </c>
      <c r="AY168" s="211">
        <v>94.407893429358793</v>
      </c>
      <c r="AZ168" s="213">
        <v>99.22632837925056</v>
      </c>
    </row>
    <row r="169" spans="12:52" x14ac:dyDescent="0.25">
      <c r="L169" s="189">
        <v>2050</v>
      </c>
      <c r="M169" s="196">
        <f t="shared" si="24"/>
        <v>0</v>
      </c>
      <c r="N169" s="197">
        <f t="shared" si="24"/>
        <v>0</v>
      </c>
      <c r="O169" s="152">
        <f ca="1"/>
        <v>93.139990522654657</v>
      </c>
      <c r="Q169" s="198">
        <v>0</v>
      </c>
      <c r="R169" s="200">
        <v>0</v>
      </c>
      <c r="S169" s="200">
        <v>0</v>
      </c>
      <c r="T169" s="200">
        <v>0</v>
      </c>
      <c r="U169" s="200">
        <f t="array" ref="U169">IF(U$77&gt;" ",(U$628:U$1078),"")</f>
        <v>0</v>
      </c>
      <c r="V169" s="200">
        <f t="array" ref="V169">IF(V$77&gt;" ",(V$628:V$1078),"")</f>
        <v>0</v>
      </c>
      <c r="W169" s="200">
        <f t="array" ref="W169">IF(W$77&gt;" ",(W$628:W$1078),"")</f>
        <v>0</v>
      </c>
      <c r="X169" s="200">
        <f t="array" ref="X169">IF(X$77&gt;" ",(X$628:X$1078),"")</f>
        <v>0</v>
      </c>
      <c r="Y169" s="204">
        <v>0</v>
      </c>
      <c r="Z169" s="198" t="str">
        <f t="shared" si="20"/>
        <v/>
      </c>
      <c r="AA169" s="198" t="str">
        <f t="shared" si="20"/>
        <v/>
      </c>
      <c r="AB169" s="198" t="str">
        <f t="shared" si="20"/>
        <v/>
      </c>
      <c r="AC169" s="198" t="str">
        <f t="shared" si="20"/>
        <v/>
      </c>
      <c r="AD169" s="198" t="str">
        <f t="shared" si="18"/>
        <v/>
      </c>
      <c r="AE169" s="198" t="str">
        <f t="shared" si="18"/>
        <v/>
      </c>
      <c r="AF169" s="198" t="str">
        <f t="shared" si="18"/>
        <v/>
      </c>
      <c r="AG169" s="198" t="str">
        <f t="shared" si="18"/>
        <v/>
      </c>
      <c r="AH169" s="198" t="str">
        <f t="shared" si="23"/>
        <v/>
      </c>
      <c r="AI169" s="200" t="str">
        <f t="shared" si="21"/>
        <v/>
      </c>
      <c r="AJ169" s="208" t="str">
        <f t="shared" si="22"/>
        <v/>
      </c>
      <c r="AK169" s="4"/>
      <c r="AL169" s="162">
        <v>2050</v>
      </c>
      <c r="AM169" s="209">
        <v>4.9481409722059821E-4</v>
      </c>
      <c r="AN169" s="183">
        <v>3.9899181531521304E-4</v>
      </c>
      <c r="AO169" s="183">
        <v>3.4156057672890994E-4</v>
      </c>
      <c r="AP169" s="165">
        <v>3.7435452812180239E-4</v>
      </c>
      <c r="AR169" s="210">
        <v>93.11802731103252</v>
      </c>
      <c r="AS169" s="211">
        <v>93.19786025751965</v>
      </c>
      <c r="AT169" s="211">
        <v>93.139990522654657</v>
      </c>
      <c r="AU169" s="211">
        <v>93.012138008939147</v>
      </c>
      <c r="AV169" s="211"/>
      <c r="AW169" s="212"/>
      <c r="AX169" s="210">
        <v>92.739347445330679</v>
      </c>
      <c r="AY169" s="211">
        <v>94.432721879516649</v>
      </c>
      <c r="AZ169" s="213">
        <v>99.171887581309591</v>
      </c>
    </row>
    <row r="170" spans="12:52" x14ac:dyDescent="0.25">
      <c r="L170" s="189">
        <v>2045</v>
      </c>
      <c r="M170" s="196">
        <f t="shared" si="24"/>
        <v>0</v>
      </c>
      <c r="N170" s="197">
        <f t="shared" si="24"/>
        <v>0</v>
      </c>
      <c r="O170" s="152">
        <f ca="1"/>
        <v>93.192178947884159</v>
      </c>
      <c r="Q170" s="198">
        <v>0</v>
      </c>
      <c r="R170" s="200">
        <v>0</v>
      </c>
      <c r="S170" s="200">
        <v>0</v>
      </c>
      <c r="T170" s="200">
        <v>0</v>
      </c>
      <c r="U170" s="200">
        <f t="array" ref="U170">IF(U$77&gt;" ",(U$628:U$1078),"")</f>
        <v>0</v>
      </c>
      <c r="V170" s="200">
        <f t="array" ref="V170">IF(V$77&gt;" ",(V$628:V$1078),"")</f>
        <v>0</v>
      </c>
      <c r="W170" s="200">
        <f t="array" ref="W170">IF(W$77&gt;" ",(W$628:W$1078),"")</f>
        <v>0</v>
      </c>
      <c r="X170" s="200">
        <f t="array" ref="X170">IF(X$77&gt;" ",(X$628:X$1078),"")</f>
        <v>0</v>
      </c>
      <c r="Y170" s="204">
        <v>0</v>
      </c>
      <c r="Z170" s="198" t="str">
        <f t="shared" si="20"/>
        <v/>
      </c>
      <c r="AA170" s="198" t="str">
        <f t="shared" si="20"/>
        <v/>
      </c>
      <c r="AB170" s="198" t="str">
        <f t="shared" si="20"/>
        <v/>
      </c>
      <c r="AC170" s="198" t="str">
        <f t="shared" si="20"/>
        <v/>
      </c>
      <c r="AD170" s="198" t="str">
        <f t="shared" si="18"/>
        <v/>
      </c>
      <c r="AE170" s="198" t="str">
        <f t="shared" si="18"/>
        <v/>
      </c>
      <c r="AF170" s="198" t="str">
        <f t="shared" si="18"/>
        <v/>
      </c>
      <c r="AG170" s="198" t="str">
        <f t="shared" si="18"/>
        <v/>
      </c>
      <c r="AH170" s="198" t="str">
        <f t="shared" si="23"/>
        <v/>
      </c>
      <c r="AI170" s="200" t="str">
        <f t="shared" si="21"/>
        <v/>
      </c>
      <c r="AJ170" s="208" t="str">
        <f t="shared" si="22"/>
        <v/>
      </c>
      <c r="AK170" s="4"/>
      <c r="AL170" s="162">
        <v>2045</v>
      </c>
      <c r="AM170" s="209">
        <v>5.357072782859588E-4</v>
      </c>
      <c r="AN170" s="183">
        <v>3.8934717865613921E-4</v>
      </c>
      <c r="AO170" s="183">
        <v>4.5795174179646893E-4</v>
      </c>
      <c r="AP170" s="165">
        <v>5.0163909709271485E-4</v>
      </c>
      <c r="AR170" s="210">
        <v>93.168452631489401</v>
      </c>
      <c r="AS170" s="211">
        <v>93.245787777774694</v>
      </c>
      <c r="AT170" s="211">
        <v>93.192178947884159</v>
      </c>
      <c r="AU170" s="211">
        <v>93.063863834254178</v>
      </c>
      <c r="AV170" s="211"/>
      <c r="AW170" s="212"/>
      <c r="AX170" s="210">
        <v>92.776331366683436</v>
      </c>
      <c r="AY170" s="211">
        <v>94.448250953442425</v>
      </c>
      <c r="AZ170" s="213">
        <v>99.043638292400658</v>
      </c>
    </row>
    <row r="171" spans="12:52" x14ac:dyDescent="0.25">
      <c r="L171" s="189">
        <v>2040</v>
      </c>
      <c r="M171" s="196">
        <f t="shared" si="24"/>
        <v>0</v>
      </c>
      <c r="N171" s="197">
        <f t="shared" si="24"/>
        <v>0</v>
      </c>
      <c r="O171" s="152">
        <f ca="1"/>
        <v>93.221138880981968</v>
      </c>
      <c r="Q171" s="198">
        <v>0</v>
      </c>
      <c r="R171" s="200">
        <v>0</v>
      </c>
      <c r="S171" s="200">
        <v>0</v>
      </c>
      <c r="T171" s="200">
        <v>0</v>
      </c>
      <c r="U171" s="200">
        <f t="array" ref="U171">IF(U$77&gt;" ",(U$628:U$1078),"")</f>
        <v>0</v>
      </c>
      <c r="V171" s="200">
        <f t="array" ref="V171">IF(V$77&gt;" ",(V$628:V$1078),"")</f>
        <v>0</v>
      </c>
      <c r="W171" s="200">
        <f t="array" ref="W171">IF(W$77&gt;" ",(W$628:W$1078),"")</f>
        <v>0</v>
      </c>
      <c r="X171" s="200">
        <f t="array" ref="X171">IF(X$77&gt;" ",(X$628:X$1078),"")</f>
        <v>0</v>
      </c>
      <c r="Y171" s="204">
        <v>0</v>
      </c>
      <c r="Z171" s="198" t="str">
        <f t="shared" si="20"/>
        <v/>
      </c>
      <c r="AA171" s="198" t="str">
        <f t="shared" si="20"/>
        <v/>
      </c>
      <c r="AB171" s="198" t="str">
        <f t="shared" si="20"/>
        <v/>
      </c>
      <c r="AC171" s="198" t="str">
        <f t="shared" si="20"/>
        <v/>
      </c>
      <c r="AD171" s="198" t="str">
        <f t="shared" si="18"/>
        <v/>
      </c>
      <c r="AE171" s="198" t="str">
        <f t="shared" si="18"/>
        <v/>
      </c>
      <c r="AF171" s="198" t="str">
        <f t="shared" si="18"/>
        <v/>
      </c>
      <c r="AG171" s="198" t="str">
        <f t="shared" si="18"/>
        <v/>
      </c>
      <c r="AH171" s="198" t="str">
        <f t="shared" si="23"/>
        <v/>
      </c>
      <c r="AI171" s="200" t="str">
        <f t="shared" si="21"/>
        <v/>
      </c>
      <c r="AJ171" s="208" t="str">
        <f t="shared" si="22"/>
        <v/>
      </c>
      <c r="AK171" s="4"/>
      <c r="AL171" s="162">
        <v>2040</v>
      </c>
      <c r="AM171" s="209">
        <v>5.7666652264867855E-4</v>
      </c>
      <c r="AN171" s="183">
        <v>3.7970254199706538E-4</v>
      </c>
      <c r="AO171" s="183">
        <v>4.5145008817257145E-4</v>
      </c>
      <c r="AP171" s="165">
        <v>4.9440854560175388E-4</v>
      </c>
      <c r="AR171" s="210">
        <v>93.19435774593461</v>
      </c>
      <c r="AS171" s="211">
        <v>93.275067104474871</v>
      </c>
      <c r="AT171" s="211">
        <v>93.221138880981968</v>
      </c>
      <c r="AU171" s="211">
        <v>93.093753829930577</v>
      </c>
      <c r="AV171" s="211"/>
      <c r="AW171" s="212"/>
      <c r="AX171" s="210">
        <v>92.798471578086989</v>
      </c>
      <c r="AY171" s="211">
        <v>94.464081997560285</v>
      </c>
      <c r="AZ171" s="213">
        <v>99.156492443729576</v>
      </c>
    </row>
    <row r="172" spans="12:52" x14ac:dyDescent="0.25">
      <c r="L172" s="189">
        <v>2035</v>
      </c>
      <c r="M172" s="196">
        <f t="shared" si="24"/>
        <v>0</v>
      </c>
      <c r="N172" s="197">
        <f t="shared" si="24"/>
        <v>0</v>
      </c>
      <c r="O172" s="152">
        <f ca="1"/>
        <v>93.230022790086423</v>
      </c>
      <c r="Q172" s="198">
        <v>0</v>
      </c>
      <c r="R172" s="200">
        <v>0</v>
      </c>
      <c r="S172" s="200">
        <v>0</v>
      </c>
      <c r="T172" s="200">
        <v>0</v>
      </c>
      <c r="U172" s="200">
        <f t="array" ref="U172">IF(U$77&gt;" ",(U$628:U$1078),"")</f>
        <v>0</v>
      </c>
      <c r="V172" s="200">
        <f t="array" ref="V172">IF(V$77&gt;" ",(V$628:V$1078),"")</f>
        <v>0</v>
      </c>
      <c r="W172" s="200">
        <f t="array" ref="W172">IF(W$77&gt;" ",(W$628:W$1078),"")</f>
        <v>0</v>
      </c>
      <c r="X172" s="200">
        <f t="array" ref="X172">IF(X$77&gt;" ",(X$628:X$1078),"")</f>
        <v>0</v>
      </c>
      <c r="Y172" s="204">
        <v>0</v>
      </c>
      <c r="Z172" s="198" t="str">
        <f t="shared" si="20"/>
        <v/>
      </c>
      <c r="AA172" s="198" t="str">
        <f t="shared" si="20"/>
        <v/>
      </c>
      <c r="AB172" s="198" t="str">
        <f t="shared" si="20"/>
        <v/>
      </c>
      <c r="AC172" s="198" t="str">
        <f t="shared" si="20"/>
        <v/>
      </c>
      <c r="AD172" s="198" t="str">
        <f t="shared" si="18"/>
        <v/>
      </c>
      <c r="AE172" s="198" t="str">
        <f t="shared" si="18"/>
        <v/>
      </c>
      <c r="AF172" s="198" t="str">
        <f t="shared" si="18"/>
        <v/>
      </c>
      <c r="AG172" s="198" t="str">
        <f t="shared" si="18"/>
        <v/>
      </c>
      <c r="AH172" s="198" t="str">
        <f t="shared" si="23"/>
        <v/>
      </c>
      <c r="AI172" s="200" t="str">
        <f t="shared" si="21"/>
        <v/>
      </c>
      <c r="AJ172" s="208" t="str">
        <f t="shared" si="22"/>
        <v/>
      </c>
      <c r="AK172" s="4"/>
      <c r="AL172" s="162">
        <v>2035</v>
      </c>
      <c r="AM172" s="209">
        <v>5.9952442353497048E-4</v>
      </c>
      <c r="AN172" s="183">
        <v>3.700579053379915E-4</v>
      </c>
      <c r="AO172" s="183">
        <v>4.8466232497523386E-4</v>
      </c>
      <c r="AP172" s="165">
        <v>5.3058368866489036E-4</v>
      </c>
      <c r="AR172" s="210">
        <v>93.207875593003649</v>
      </c>
      <c r="AS172" s="211">
        <v>93.288084360816981</v>
      </c>
      <c r="AT172" s="211">
        <v>93.230022790086423</v>
      </c>
      <c r="AU172" s="211">
        <v>93.106450741498364</v>
      </c>
      <c r="AV172" s="211"/>
      <c r="AW172" s="212"/>
      <c r="AX172" s="210">
        <v>92.817973274807116</v>
      </c>
      <c r="AY172" s="211">
        <v>94.484633187457803</v>
      </c>
      <c r="AZ172" s="213">
        <v>99.001543352719423</v>
      </c>
    </row>
    <row r="173" spans="12:52" x14ac:dyDescent="0.25">
      <c r="L173" s="189">
        <v>2030</v>
      </c>
      <c r="M173" s="196">
        <f t="shared" si="24"/>
        <v>0</v>
      </c>
      <c r="N173" s="197">
        <f t="shared" si="24"/>
        <v>0</v>
      </c>
      <c r="O173" s="152">
        <f ca="1"/>
        <v>93.283676976473487</v>
      </c>
      <c r="Q173" s="198">
        <v>0</v>
      </c>
      <c r="R173" s="200">
        <v>0</v>
      </c>
      <c r="S173" s="200">
        <v>0</v>
      </c>
      <c r="T173" s="200">
        <v>0</v>
      </c>
      <c r="U173" s="200">
        <f t="array" ref="U173">IF(U$77&gt;" ",(U$628:U$1078),"")</f>
        <v>0</v>
      </c>
      <c r="V173" s="200">
        <f t="array" ref="V173">IF(V$77&gt;" ",(V$628:V$1078),"")</f>
        <v>0</v>
      </c>
      <c r="W173" s="200">
        <f t="array" ref="W173">IF(W$77&gt;" ",(W$628:W$1078),"")</f>
        <v>0</v>
      </c>
      <c r="X173" s="200">
        <f t="array" ref="X173">IF(X$77&gt;" ",(X$628:X$1078),"")</f>
        <v>0</v>
      </c>
      <c r="Y173" s="204">
        <v>0</v>
      </c>
      <c r="Z173" s="198" t="str">
        <f t="shared" si="20"/>
        <v/>
      </c>
      <c r="AA173" s="198" t="str">
        <f t="shared" si="20"/>
        <v/>
      </c>
      <c r="AB173" s="198" t="str">
        <f t="shared" si="20"/>
        <v/>
      </c>
      <c r="AC173" s="198" t="str">
        <f t="shared" si="20"/>
        <v/>
      </c>
      <c r="AD173" s="198" t="str">
        <f t="shared" si="18"/>
        <v/>
      </c>
      <c r="AE173" s="198" t="str">
        <f t="shared" si="18"/>
        <v/>
      </c>
      <c r="AF173" s="198" t="str">
        <f t="shared" si="18"/>
        <v/>
      </c>
      <c r="AG173" s="198" t="str">
        <f t="shared" si="18"/>
        <v/>
      </c>
      <c r="AH173" s="198" t="str">
        <f t="shared" si="23"/>
        <v/>
      </c>
      <c r="AI173" s="200" t="str">
        <f t="shared" si="21"/>
        <v/>
      </c>
      <c r="AJ173" s="208" t="str">
        <f t="shared" si="22"/>
        <v/>
      </c>
      <c r="AK173" s="4"/>
      <c r="AL173" s="162">
        <v>2030</v>
      </c>
      <c r="AM173" s="209">
        <v>5.2711904962925952E-4</v>
      </c>
      <c r="AN173" s="183">
        <v>3.6041326867891757E-4</v>
      </c>
      <c r="AO173" s="183">
        <v>4.2668547556801243E-4</v>
      </c>
      <c r="AP173" s="165">
        <v>4.6707571782942108E-4</v>
      </c>
      <c r="AR173" s="210">
        <v>93.258734203288569</v>
      </c>
      <c r="AS173" s="211">
        <v>93.342275864942579</v>
      </c>
      <c r="AT173" s="211">
        <v>93.283676976473487</v>
      </c>
      <c r="AU173" s="211">
        <v>93.16099178943459</v>
      </c>
      <c r="AV173" s="211"/>
      <c r="AW173" s="212"/>
      <c r="AX173" s="210">
        <v>92.843772670742695</v>
      </c>
      <c r="AY173" s="211">
        <v>94.516611429389513</v>
      </c>
      <c r="AZ173" s="213">
        <v>99.007135468714395</v>
      </c>
    </row>
    <row r="174" spans="12:52" x14ac:dyDescent="0.25">
      <c r="L174" s="189">
        <v>2025</v>
      </c>
      <c r="M174" s="196">
        <f t="shared" si="24"/>
        <v>0</v>
      </c>
      <c r="N174" s="197">
        <f t="shared" si="24"/>
        <v>0</v>
      </c>
      <c r="O174" s="152">
        <f ca="1"/>
        <v>93.302177663844489</v>
      </c>
      <c r="Q174" s="198">
        <v>0</v>
      </c>
      <c r="R174" s="200">
        <v>0</v>
      </c>
      <c r="S174" s="200">
        <v>0</v>
      </c>
      <c r="T174" s="200">
        <v>0</v>
      </c>
      <c r="U174" s="200">
        <f t="array" ref="U174">IF(U$77&gt;" ",(U$628:U$1078),"")</f>
        <v>0</v>
      </c>
      <c r="V174" s="200">
        <f t="array" ref="V174">IF(V$77&gt;" ",(V$628:V$1078),"")</f>
        <v>0</v>
      </c>
      <c r="W174" s="200">
        <f t="array" ref="W174">IF(W$77&gt;" ",(W$628:W$1078),"")</f>
        <v>0</v>
      </c>
      <c r="X174" s="200">
        <f t="array" ref="X174">IF(X$77&gt;" ",(X$628:X$1078),"")</f>
        <v>0</v>
      </c>
      <c r="Y174" s="204">
        <v>0</v>
      </c>
      <c r="Z174" s="198" t="str">
        <f t="shared" si="20"/>
        <v/>
      </c>
      <c r="AA174" s="198" t="str">
        <f t="shared" si="20"/>
        <v/>
      </c>
      <c r="AB174" s="198" t="str">
        <f t="shared" si="20"/>
        <v/>
      </c>
      <c r="AC174" s="198" t="str">
        <f t="shared" si="20"/>
        <v/>
      </c>
      <c r="AD174" s="198" t="str">
        <f t="shared" si="18"/>
        <v/>
      </c>
      <c r="AE174" s="198" t="str">
        <f t="shared" si="18"/>
        <v/>
      </c>
      <c r="AF174" s="198" t="str">
        <f t="shared" si="18"/>
        <v/>
      </c>
      <c r="AG174" s="198" t="str">
        <f t="shared" si="18"/>
        <v/>
      </c>
      <c r="AH174" s="198" t="str">
        <f t="shared" si="23"/>
        <v/>
      </c>
      <c r="AI174" s="200" t="str">
        <f t="shared" si="21"/>
        <v/>
      </c>
      <c r="AJ174" s="208" t="str">
        <f t="shared" si="22"/>
        <v/>
      </c>
      <c r="AK174" s="4"/>
      <c r="AL174" s="162">
        <v>2025</v>
      </c>
      <c r="AM174" s="209">
        <v>4.5471367572354839E-4</v>
      </c>
      <c r="AN174" s="183">
        <v>3.5076863201984374E-4</v>
      </c>
      <c r="AO174" s="183">
        <v>3.7214801601287596E-4</v>
      </c>
      <c r="AP174" s="165">
        <v>4.0730054718317072E-4</v>
      </c>
      <c r="AR174" s="210">
        <v>93.279005167615608</v>
      </c>
      <c r="AS174" s="211">
        <v>93.361555107552945</v>
      </c>
      <c r="AT174" s="211">
        <v>93.302177663844489</v>
      </c>
      <c r="AU174" s="211">
        <v>93.175144510199473</v>
      </c>
      <c r="AV174" s="211"/>
      <c r="AW174" s="212"/>
      <c r="AX174" s="210">
        <v>92.869340293942471</v>
      </c>
      <c r="AY174" s="211">
        <v>94.531713550318159</v>
      </c>
      <c r="AZ174" s="213">
        <v>99.061191057432879</v>
      </c>
    </row>
    <row r="175" spans="12:52" x14ac:dyDescent="0.25">
      <c r="L175" s="189">
        <v>2020</v>
      </c>
      <c r="M175" s="196">
        <f t="shared" ref="M175:N190" si="25">M724</f>
        <v>0</v>
      </c>
      <c r="N175" s="197">
        <f t="shared" si="25"/>
        <v>0</v>
      </c>
      <c r="O175" s="152">
        <f ca="1"/>
        <v>93.357430683318725</v>
      </c>
      <c r="Q175" s="198">
        <v>0</v>
      </c>
      <c r="R175" s="200">
        <v>0</v>
      </c>
      <c r="S175" s="200">
        <v>0</v>
      </c>
      <c r="T175" s="200">
        <v>0</v>
      </c>
      <c r="U175" s="200">
        <f t="array" ref="U175">IF(U$77&gt;" ",(U$628:U$1078),"")</f>
        <v>0</v>
      </c>
      <c r="V175" s="200">
        <f t="array" ref="V175">IF(V$77&gt;" ",(V$628:V$1078),"")</f>
        <v>0</v>
      </c>
      <c r="W175" s="200">
        <f t="array" ref="W175">IF(W$77&gt;" ",(W$628:W$1078),"")</f>
        <v>0</v>
      </c>
      <c r="X175" s="200">
        <f t="array" ref="X175">IF(X$77&gt;" ",(X$628:X$1078),"")</f>
        <v>0</v>
      </c>
      <c r="Y175" s="204">
        <v>0</v>
      </c>
      <c r="Z175" s="198" t="str">
        <f t="shared" si="20"/>
        <v/>
      </c>
      <c r="AA175" s="198" t="str">
        <f t="shared" si="20"/>
        <v/>
      </c>
      <c r="AB175" s="198" t="str">
        <f t="shared" si="20"/>
        <v/>
      </c>
      <c r="AC175" s="198" t="str">
        <f t="shared" si="20"/>
        <v/>
      </c>
      <c r="AD175" s="198" t="str">
        <f t="shared" si="18"/>
        <v/>
      </c>
      <c r="AE175" s="198" t="str">
        <f t="shared" si="18"/>
        <v/>
      </c>
      <c r="AF175" s="198" t="str">
        <f t="shared" si="18"/>
        <v/>
      </c>
      <c r="AG175" s="198" t="str">
        <f t="shared" si="18"/>
        <v/>
      </c>
      <c r="AH175" s="198" t="str">
        <f t="shared" si="23"/>
        <v/>
      </c>
      <c r="AI175" s="200" t="str">
        <f t="shared" si="21"/>
        <v/>
      </c>
      <c r="AJ175" s="208" t="str">
        <f t="shared" si="22"/>
        <v/>
      </c>
      <c r="AK175" s="4"/>
      <c r="AL175" s="162">
        <v>2020</v>
      </c>
      <c r="AM175" s="209">
        <v>3.8230830181783736E-4</v>
      </c>
      <c r="AN175" s="183">
        <v>3.4112399536076991E-4</v>
      </c>
      <c r="AO175" s="183">
        <v>2.2618010955648119E-4</v>
      </c>
      <c r="AP175" s="165">
        <v>2.4757923174042367E-4</v>
      </c>
      <c r="AR175" s="210">
        <v>93.335520585496496</v>
      </c>
      <c r="AS175" s="211">
        <v>93.416278745754724</v>
      </c>
      <c r="AT175" s="211">
        <v>93.357430683318725</v>
      </c>
      <c r="AU175" s="211">
        <v>93.233251297330852</v>
      </c>
      <c r="AV175" s="211"/>
      <c r="AW175" s="212"/>
      <c r="AX175" s="210">
        <v>92.90145818813518</v>
      </c>
      <c r="AY175" s="211">
        <v>94.548843567912641</v>
      </c>
      <c r="AZ175" s="213">
        <v>99.076513959842018</v>
      </c>
    </row>
    <row r="176" spans="12:52" x14ac:dyDescent="0.25">
      <c r="L176" s="189">
        <v>2015</v>
      </c>
      <c r="M176" s="196">
        <f t="shared" si="25"/>
        <v>0</v>
      </c>
      <c r="N176" s="197">
        <f t="shared" si="25"/>
        <v>0</v>
      </c>
      <c r="O176" s="152">
        <f ca="1"/>
        <v>93.384445738421462</v>
      </c>
      <c r="Q176" s="198">
        <v>0</v>
      </c>
      <c r="R176" s="200">
        <v>0</v>
      </c>
      <c r="S176" s="200">
        <v>0</v>
      </c>
      <c r="T176" s="200">
        <v>0</v>
      </c>
      <c r="U176" s="200">
        <f t="array" ref="U176">IF(U$77&gt;" ",(U$628:U$1078),"")</f>
        <v>0</v>
      </c>
      <c r="V176" s="200">
        <f t="array" ref="V176">IF(V$77&gt;" ",(V$628:V$1078),"")</f>
        <v>0</v>
      </c>
      <c r="W176" s="200">
        <f t="array" ref="W176">IF(W$77&gt;" ",(W$628:W$1078),"")</f>
        <v>0</v>
      </c>
      <c r="X176" s="200">
        <f t="array" ref="X176">IF(X$77&gt;" ",(X$628:X$1078),"")</f>
        <v>0</v>
      </c>
      <c r="Y176" s="204">
        <v>0</v>
      </c>
      <c r="Z176" s="198" t="str">
        <f t="shared" si="20"/>
        <v/>
      </c>
      <c r="AA176" s="198" t="str">
        <f t="shared" si="20"/>
        <v/>
      </c>
      <c r="AB176" s="198" t="str">
        <f t="shared" si="20"/>
        <v/>
      </c>
      <c r="AC176" s="198" t="str">
        <f t="shared" si="20"/>
        <v/>
      </c>
      <c r="AD176" s="198" t="str">
        <f t="shared" si="18"/>
        <v/>
      </c>
      <c r="AE176" s="198" t="str">
        <f t="shared" si="18"/>
        <v/>
      </c>
      <c r="AF176" s="198" t="str">
        <f t="shared" si="18"/>
        <v/>
      </c>
      <c r="AG176" s="198" t="str">
        <f t="shared" si="18"/>
        <v/>
      </c>
      <c r="AH176" s="198" t="str">
        <f t="shared" si="23"/>
        <v/>
      </c>
      <c r="AI176" s="200" t="str">
        <f t="shared" si="21"/>
        <v/>
      </c>
      <c r="AJ176" s="208" t="str">
        <f t="shared" si="22"/>
        <v/>
      </c>
      <c r="AK176" s="4"/>
      <c r="AL176" s="162">
        <v>2015</v>
      </c>
      <c r="AM176" s="209">
        <v>3.0996899120948557E-4</v>
      </c>
      <c r="AN176" s="183">
        <v>3.3147935870169603E-4</v>
      </c>
      <c r="AO176" s="183">
        <v>1.33995410494678E-4</v>
      </c>
      <c r="AP176" s="165">
        <v>1.4667050578568734E-4</v>
      </c>
      <c r="AR176" s="210">
        <v>93.35985000589659</v>
      </c>
      <c r="AS176" s="211">
        <v>93.444107008532512</v>
      </c>
      <c r="AT176" s="211">
        <v>93.384445738421462</v>
      </c>
      <c r="AU176" s="211">
        <v>93.261467075797057</v>
      </c>
      <c r="AV176" s="211"/>
      <c r="AW176" s="212"/>
      <c r="AX176" s="210">
        <v>92.952206423664776</v>
      </c>
      <c r="AY176" s="211">
        <v>94.574666492352932</v>
      </c>
      <c r="AZ176" s="213">
        <v>99.099556010928964</v>
      </c>
    </row>
    <row r="177" spans="12:52" x14ac:dyDescent="0.25">
      <c r="L177" s="189">
        <v>2010</v>
      </c>
      <c r="M177" s="196">
        <f t="shared" si="25"/>
        <v>0</v>
      </c>
      <c r="N177" s="197">
        <f t="shared" si="25"/>
        <v>0</v>
      </c>
      <c r="O177" s="152">
        <f ca="1"/>
        <v>93.426854852338295</v>
      </c>
      <c r="Q177" s="198">
        <v>0</v>
      </c>
      <c r="R177" s="200">
        <v>0</v>
      </c>
      <c r="S177" s="200">
        <v>0</v>
      </c>
      <c r="T177" s="200">
        <v>0</v>
      </c>
      <c r="U177" s="200">
        <f t="array" ref="U177">IF(U$77&gt;" ",(U$628:U$1078),"")</f>
        <v>0</v>
      </c>
      <c r="V177" s="200">
        <f t="array" ref="V177">IF(V$77&gt;" ",(V$628:V$1078),"")</f>
        <v>0</v>
      </c>
      <c r="W177" s="200">
        <f t="array" ref="W177">IF(W$77&gt;" ",(W$628:W$1078),"")</f>
        <v>0</v>
      </c>
      <c r="X177" s="200">
        <f t="array" ref="X177">IF(X$77&gt;" ",(X$628:X$1078),"")</f>
        <v>0</v>
      </c>
      <c r="Y177" s="204">
        <v>0</v>
      </c>
      <c r="Z177" s="198" t="str">
        <f t="shared" si="20"/>
        <v/>
      </c>
      <c r="AA177" s="198" t="str">
        <f t="shared" si="20"/>
        <v/>
      </c>
      <c r="AB177" s="198" t="str">
        <f t="shared" si="20"/>
        <v/>
      </c>
      <c r="AC177" s="198" t="str">
        <f t="shared" si="20"/>
        <v/>
      </c>
      <c r="AD177" s="198" t="str">
        <f t="shared" si="18"/>
        <v/>
      </c>
      <c r="AE177" s="198" t="str">
        <f t="shared" si="18"/>
        <v/>
      </c>
      <c r="AF177" s="198" t="str">
        <f t="shared" si="18"/>
        <v/>
      </c>
      <c r="AG177" s="198" t="str">
        <f t="shared" si="18"/>
        <v/>
      </c>
      <c r="AH177" s="198" t="str">
        <f t="shared" si="23"/>
        <v/>
      </c>
      <c r="AI177" s="200" t="str">
        <f t="shared" si="21"/>
        <v/>
      </c>
      <c r="AJ177" s="208" t="str">
        <f t="shared" si="22"/>
        <v/>
      </c>
      <c r="AK177" s="4"/>
      <c r="AL177" s="162">
        <v>2010</v>
      </c>
      <c r="AM177" s="209">
        <v>2.3756361730377455E-4</v>
      </c>
      <c r="AN177" s="183">
        <v>3.2183472204262221E-4</v>
      </c>
      <c r="AO177" s="183">
        <v>1.9986676584893653E-4</v>
      </c>
      <c r="AP177" s="165">
        <v>2.1865702577657931E-4</v>
      </c>
      <c r="AR177" s="210">
        <v>93.403324201248836</v>
      </c>
      <c r="AS177" s="211">
        <v>93.486811483080373</v>
      </c>
      <c r="AT177" s="211">
        <v>93.426854852338295</v>
      </c>
      <c r="AU177" s="211">
        <v>93.299663042000191</v>
      </c>
      <c r="AV177" s="211"/>
      <c r="AW177" s="212"/>
      <c r="AX177" s="210">
        <v>92.990512226930875</v>
      </c>
      <c r="AY177" s="211">
        <v>94.607439111933004</v>
      </c>
      <c r="AZ177" s="213">
        <v>99.027791211004597</v>
      </c>
    </row>
    <row r="178" spans="12:52" x14ac:dyDescent="0.25">
      <c r="L178" s="189">
        <v>2005</v>
      </c>
      <c r="M178" s="196">
        <f t="shared" si="25"/>
        <v>0</v>
      </c>
      <c r="N178" s="197">
        <f t="shared" si="25"/>
        <v>0</v>
      </c>
      <c r="O178" s="152">
        <f ca="1"/>
        <v>93.462005913538974</v>
      </c>
      <c r="Q178" s="198">
        <v>0</v>
      </c>
      <c r="R178" s="200">
        <v>0</v>
      </c>
      <c r="S178" s="200">
        <v>0</v>
      </c>
      <c r="T178" s="200">
        <v>0</v>
      </c>
      <c r="U178" s="200">
        <f t="array" ref="U178">IF(U$77&gt;" ",(U$628:U$1078),"")</f>
        <v>0</v>
      </c>
      <c r="V178" s="200">
        <f t="array" ref="V178">IF(V$77&gt;" ",(V$628:V$1078),"")</f>
        <v>0</v>
      </c>
      <c r="W178" s="200">
        <f t="array" ref="W178">IF(W$77&gt;" ",(W$628:W$1078),"")</f>
        <v>0</v>
      </c>
      <c r="X178" s="200">
        <f t="array" ref="X178">IF(X$77&gt;" ",(X$628:X$1078),"")</f>
        <v>0</v>
      </c>
      <c r="Y178" s="204">
        <v>0</v>
      </c>
      <c r="Z178" s="198" t="str">
        <f t="shared" si="20"/>
        <v/>
      </c>
      <c r="AA178" s="198" t="str">
        <f t="shared" si="20"/>
        <v/>
      </c>
      <c r="AB178" s="198" t="str">
        <f t="shared" si="20"/>
        <v/>
      </c>
      <c r="AC178" s="198" t="str">
        <f t="shared" si="20"/>
        <v/>
      </c>
      <c r="AD178" s="198" t="str">
        <f t="shared" si="18"/>
        <v/>
      </c>
      <c r="AE178" s="198" t="str">
        <f t="shared" si="18"/>
        <v/>
      </c>
      <c r="AF178" s="198" t="str">
        <f t="shared" si="18"/>
        <v/>
      </c>
      <c r="AG178" s="198" t="str">
        <f t="shared" si="18"/>
        <v/>
      </c>
      <c r="AH178" s="198" t="str">
        <f t="shared" si="23"/>
        <v/>
      </c>
      <c r="AI178" s="200" t="str">
        <f t="shared" si="21"/>
        <v/>
      </c>
      <c r="AJ178" s="208" t="str">
        <f t="shared" si="22"/>
        <v/>
      </c>
      <c r="AK178" s="4"/>
      <c r="AL178" s="162">
        <v>2005</v>
      </c>
      <c r="AM178" s="209">
        <v>1.651582433980635E-4</v>
      </c>
      <c r="AN178" s="183">
        <v>3.1219008538354833E-4</v>
      </c>
      <c r="AO178" s="183">
        <v>7.5430244402231486E-5</v>
      </c>
      <c r="AP178" s="165">
        <v>8.2530141514863071E-5</v>
      </c>
      <c r="AR178" s="210">
        <v>93.436983072537785</v>
      </c>
      <c r="AS178" s="211">
        <v>93.522120547498005</v>
      </c>
      <c r="AT178" s="211">
        <v>93.462005913538974</v>
      </c>
      <c r="AU178" s="211">
        <v>93.336360014700332</v>
      </c>
      <c r="AV178" s="211"/>
      <c r="AW178" s="212"/>
      <c r="AX178" s="210">
        <v>93.030965352087264</v>
      </c>
      <c r="AY178" s="211">
        <v>94.632568595351586</v>
      </c>
      <c r="AZ178" s="213">
        <v>98.905960321549031</v>
      </c>
    </row>
    <row r="179" spans="12:52" x14ac:dyDescent="0.25">
      <c r="L179" s="189">
        <v>2000</v>
      </c>
      <c r="M179" s="196">
        <f t="shared" si="25"/>
        <v>0</v>
      </c>
      <c r="N179" s="197">
        <f t="shared" si="25"/>
        <v>0</v>
      </c>
      <c r="O179" s="152">
        <f ca="1"/>
        <v>93.502952916847661</v>
      </c>
      <c r="Q179" s="198">
        <v>0</v>
      </c>
      <c r="R179" s="200">
        <v>0</v>
      </c>
      <c r="S179" s="200">
        <v>0</v>
      </c>
      <c r="T179" s="200">
        <v>0</v>
      </c>
      <c r="U179" s="200">
        <f t="array" ref="U179">IF(U$77&gt;" ",(U$628:U$1078),"")</f>
        <v>0</v>
      </c>
      <c r="V179" s="200">
        <f t="array" ref="V179">IF(V$77&gt;" ",(V$628:V$1078),"")</f>
        <v>0</v>
      </c>
      <c r="W179" s="200">
        <f t="array" ref="W179">IF(W$77&gt;" ",(W$628:W$1078),"")</f>
        <v>0</v>
      </c>
      <c r="X179" s="200">
        <f t="array" ref="X179">IF(X$77&gt;" ",(X$628:X$1078),"")</f>
        <v>0</v>
      </c>
      <c r="Y179" s="204">
        <v>0</v>
      </c>
      <c r="Z179" s="198" t="str">
        <f t="shared" si="20"/>
        <v/>
      </c>
      <c r="AA179" s="198" t="str">
        <f t="shared" si="20"/>
        <v/>
      </c>
      <c r="AB179" s="198" t="str">
        <f t="shared" si="20"/>
        <v/>
      </c>
      <c r="AC179" s="198" t="str">
        <f t="shared" si="20"/>
        <v/>
      </c>
      <c r="AD179" s="198" t="str">
        <f t="shared" si="18"/>
        <v/>
      </c>
      <c r="AE179" s="198" t="str">
        <f t="shared" si="18"/>
        <v/>
      </c>
      <c r="AF179" s="198" t="str">
        <f t="shared" si="18"/>
        <v/>
      </c>
      <c r="AG179" s="198" t="str">
        <f t="shared" si="18"/>
        <v/>
      </c>
      <c r="AH179" s="198" t="str">
        <f t="shared" si="23"/>
        <v/>
      </c>
      <c r="AI179" s="200" t="str">
        <f t="shared" si="21"/>
        <v/>
      </c>
      <c r="AJ179" s="208" t="str">
        <f t="shared" si="22"/>
        <v/>
      </c>
      <c r="AK179" s="4"/>
      <c r="AL179" s="162">
        <v>2000</v>
      </c>
      <c r="AM179" s="209">
        <v>2.6405499954482392E-4</v>
      </c>
      <c r="AN179" s="183">
        <v>3.0254544872447445E-4</v>
      </c>
      <c r="AO179" s="183">
        <v>1.918616362516862E-4</v>
      </c>
      <c r="AP179" s="165">
        <v>2.098147104857755E-4</v>
      </c>
      <c r="AR179" s="210">
        <v>93.474508740389311</v>
      </c>
      <c r="AS179" s="211">
        <v>93.565922209357709</v>
      </c>
      <c r="AT179" s="211">
        <v>93.502952916847661</v>
      </c>
      <c r="AU179" s="211">
        <v>93.378675790732885</v>
      </c>
      <c r="AV179" s="211"/>
      <c r="AW179" s="212"/>
      <c r="AX179" s="210">
        <v>93.078956190291521</v>
      </c>
      <c r="AY179" s="211">
        <v>94.672707426713046</v>
      </c>
      <c r="AZ179" s="213">
        <v>99.024227780761294</v>
      </c>
    </row>
    <row r="180" spans="12:52" x14ac:dyDescent="0.25">
      <c r="L180" s="189">
        <v>1995</v>
      </c>
      <c r="M180" s="196">
        <f t="shared" si="25"/>
        <v>0</v>
      </c>
      <c r="N180" s="197">
        <f t="shared" si="25"/>
        <v>0</v>
      </c>
      <c r="O180" s="152">
        <f ca="1"/>
        <v>93.536543358364653</v>
      </c>
      <c r="Q180" s="198">
        <v>0</v>
      </c>
      <c r="R180" s="200">
        <v>0</v>
      </c>
      <c r="S180" s="200">
        <v>0</v>
      </c>
      <c r="T180" s="200">
        <v>0</v>
      </c>
      <c r="U180" s="200">
        <f t="array" ref="U180">IF(U$77&gt;" ",(U$628:U$1078),"")</f>
        <v>0</v>
      </c>
      <c r="V180" s="200">
        <f t="array" ref="V180">IF(V$77&gt;" ",(V$628:V$1078),"")</f>
        <v>0</v>
      </c>
      <c r="W180" s="200">
        <f t="array" ref="W180">IF(W$77&gt;" ",(W$628:W$1078),"")</f>
        <v>0</v>
      </c>
      <c r="X180" s="200">
        <f t="array" ref="X180">IF(X$77&gt;" ",(X$628:X$1078),"")</f>
        <v>0</v>
      </c>
      <c r="Y180" s="204">
        <v>0</v>
      </c>
      <c r="Z180" s="198" t="str">
        <f t="shared" si="20"/>
        <v/>
      </c>
      <c r="AA180" s="198" t="str">
        <f t="shared" si="20"/>
        <v/>
      </c>
      <c r="AB180" s="198" t="str">
        <f t="shared" si="20"/>
        <v/>
      </c>
      <c r="AC180" s="198" t="str">
        <f t="shared" si="20"/>
        <v/>
      </c>
      <c r="AD180" s="198" t="str">
        <f t="shared" si="18"/>
        <v/>
      </c>
      <c r="AE180" s="198" t="str">
        <f t="shared" si="18"/>
        <v/>
      </c>
      <c r="AF180" s="198" t="str">
        <f t="shared" si="18"/>
        <v/>
      </c>
      <c r="AG180" s="198" t="str">
        <f t="shared" si="18"/>
        <v/>
      </c>
      <c r="AH180" s="198" t="str">
        <f t="shared" si="23"/>
        <v/>
      </c>
      <c r="AI180" s="200" t="str">
        <f t="shared" si="21"/>
        <v/>
      </c>
      <c r="AJ180" s="208" t="str">
        <f t="shared" si="22"/>
        <v/>
      </c>
      <c r="AK180" s="4"/>
      <c r="AL180" s="162">
        <v>1995</v>
      </c>
      <c r="AM180" s="209">
        <v>3.630178189889436E-4</v>
      </c>
      <c r="AN180" s="183">
        <v>2.8316613211801591E-4</v>
      </c>
      <c r="AO180" s="183">
        <v>4.0825155276429396E-4</v>
      </c>
      <c r="AP180" s="165">
        <v>4.4652013297934352E-4</v>
      </c>
      <c r="AR180" s="210">
        <v>93.511225091328171</v>
      </c>
      <c r="AS180" s="211">
        <v>93.597779009477804</v>
      </c>
      <c r="AT180" s="211">
        <v>93.536543358364653</v>
      </c>
      <c r="AU180" s="211">
        <v>93.409254275665504</v>
      </c>
      <c r="AV180" s="211"/>
      <c r="AW180" s="212"/>
      <c r="AX180" s="210">
        <v>93.114039021658286</v>
      </c>
      <c r="AY180" s="211">
        <v>94.693694674733976</v>
      </c>
      <c r="AZ180" s="213">
        <v>99.136460302457465</v>
      </c>
    </row>
    <row r="181" spans="12:52" x14ac:dyDescent="0.25">
      <c r="L181" s="189">
        <v>1990</v>
      </c>
      <c r="M181" s="196">
        <f t="shared" si="25"/>
        <v>0</v>
      </c>
      <c r="N181" s="197">
        <f t="shared" si="25"/>
        <v>0</v>
      </c>
      <c r="O181" s="152">
        <f ca="1"/>
        <v>93.5657530339505</v>
      </c>
      <c r="Q181" s="198">
        <v>0</v>
      </c>
      <c r="R181" s="200">
        <v>0</v>
      </c>
      <c r="S181" s="200">
        <v>0</v>
      </c>
      <c r="T181" s="200">
        <v>0</v>
      </c>
      <c r="U181" s="200">
        <f t="array" ref="U181">IF(U$77&gt;" ",(U$628:U$1078),"")</f>
        <v>0</v>
      </c>
      <c r="V181" s="200">
        <f t="array" ref="V181">IF(V$77&gt;" ",(V$628:V$1078),"")</f>
        <v>0</v>
      </c>
      <c r="W181" s="200">
        <f t="array" ref="W181">IF(W$77&gt;" ",(W$628:W$1078),"")</f>
        <v>0</v>
      </c>
      <c r="X181" s="200">
        <f t="array" ref="X181">IF(X$77&gt;" ",(X$628:X$1078),"")</f>
        <v>0</v>
      </c>
      <c r="Y181" s="204">
        <v>0</v>
      </c>
      <c r="Z181" s="198" t="str">
        <f t="shared" si="20"/>
        <v/>
      </c>
      <c r="AA181" s="198" t="str">
        <f t="shared" si="20"/>
        <v/>
      </c>
      <c r="AB181" s="198" t="str">
        <f t="shared" si="20"/>
        <v/>
      </c>
      <c r="AC181" s="198" t="str">
        <f t="shared" si="20"/>
        <v/>
      </c>
      <c r="AD181" s="198" t="str">
        <f t="shared" si="18"/>
        <v/>
      </c>
      <c r="AE181" s="198" t="str">
        <f t="shared" si="18"/>
        <v/>
      </c>
      <c r="AF181" s="198" t="str">
        <f t="shared" si="18"/>
        <v/>
      </c>
      <c r="AG181" s="198" t="str">
        <f t="shared" si="18"/>
        <v/>
      </c>
      <c r="AH181" s="198" t="str">
        <f t="shared" si="23"/>
        <v/>
      </c>
      <c r="AI181" s="200" t="str">
        <f t="shared" si="21"/>
        <v/>
      </c>
      <c r="AJ181" s="208" t="str">
        <f t="shared" si="22"/>
        <v/>
      </c>
      <c r="AK181" s="4"/>
      <c r="AL181" s="162">
        <v>1990</v>
      </c>
      <c r="AM181" s="209">
        <v>4.6198063843306327E-4</v>
      </c>
      <c r="AN181" s="183">
        <v>2.6378681551155733E-4</v>
      </c>
      <c r="AO181" s="183">
        <v>4.3049193480489589E-4</v>
      </c>
      <c r="AP181" s="165">
        <v>4.7079172881239176E-4</v>
      </c>
      <c r="AR181" s="210">
        <v>93.543597812222529</v>
      </c>
      <c r="AS181" s="211">
        <v>93.623881426789993</v>
      </c>
      <c r="AT181" s="211">
        <v>93.5657530339505</v>
      </c>
      <c r="AU181" s="211">
        <v>93.436575136948889</v>
      </c>
      <c r="AV181" s="211"/>
      <c r="AW181" s="212"/>
      <c r="AX181" s="210">
        <v>93.140788019543834</v>
      </c>
      <c r="AY181" s="211">
        <v>94.725136195425492</v>
      </c>
      <c r="AZ181" s="213">
        <v>99.167153404717254</v>
      </c>
    </row>
    <row r="182" spans="12:52" x14ac:dyDescent="0.25">
      <c r="L182" s="189">
        <v>1985</v>
      </c>
      <c r="M182" s="196">
        <f t="shared" si="25"/>
        <v>0</v>
      </c>
      <c r="N182" s="197">
        <f t="shared" si="25"/>
        <v>0</v>
      </c>
      <c r="O182" s="152">
        <f ca="1"/>
        <v>93.602576480794895</v>
      </c>
      <c r="Q182" s="198">
        <v>0</v>
      </c>
      <c r="R182" s="200">
        <v>0</v>
      </c>
      <c r="S182" s="200">
        <v>0</v>
      </c>
      <c r="T182" s="200">
        <v>0</v>
      </c>
      <c r="U182" s="200">
        <f t="array" ref="U182">IF(U$77&gt;" ",(U$628:U$1078),"")</f>
        <v>0</v>
      </c>
      <c r="V182" s="200">
        <f t="array" ref="V182">IF(V$77&gt;" ",(V$628:V$1078),"")</f>
        <v>0</v>
      </c>
      <c r="W182" s="200">
        <f t="array" ref="W182">IF(W$77&gt;" ",(W$628:W$1078),"")</f>
        <v>0</v>
      </c>
      <c r="X182" s="200">
        <f t="array" ref="X182">IF(X$77&gt;" ",(X$628:X$1078),"")</f>
        <v>0</v>
      </c>
      <c r="Y182" s="204">
        <v>0</v>
      </c>
      <c r="Z182" s="198" t="str">
        <f t="shared" si="20"/>
        <v/>
      </c>
      <c r="AA182" s="198" t="str">
        <f t="shared" si="20"/>
        <v/>
      </c>
      <c r="AB182" s="198" t="str">
        <f t="shared" si="20"/>
        <v/>
      </c>
      <c r="AC182" s="198" t="str">
        <f t="shared" si="20"/>
        <v/>
      </c>
      <c r="AD182" s="198" t="str">
        <f t="shared" si="18"/>
        <v/>
      </c>
      <c r="AE182" s="198" t="str">
        <f t="shared" si="18"/>
        <v/>
      </c>
      <c r="AF182" s="198" t="str">
        <f t="shared" si="18"/>
        <v/>
      </c>
      <c r="AG182" s="198" t="str">
        <f t="shared" si="18"/>
        <v/>
      </c>
      <c r="AH182" s="198" t="str">
        <f t="shared" si="23"/>
        <v/>
      </c>
      <c r="AI182" s="200" t="str">
        <f t="shared" si="21"/>
        <v/>
      </c>
      <c r="AJ182" s="208" t="str">
        <f t="shared" si="22"/>
        <v/>
      </c>
      <c r="AK182" s="4"/>
      <c r="AL182" s="162">
        <v>1985</v>
      </c>
      <c r="AM182" s="209">
        <v>5.6087739457982367E-4</v>
      </c>
      <c r="AN182" s="183">
        <v>2.4440749890509875E-4</v>
      </c>
      <c r="AO182" s="183">
        <v>4.1766964807563186E-4</v>
      </c>
      <c r="AP182" s="165">
        <v>4.5680632000750653E-4</v>
      </c>
      <c r="AR182" s="210">
        <v>93.582948265142207</v>
      </c>
      <c r="AS182" s="211">
        <v>93.665280492896954</v>
      </c>
      <c r="AT182" s="211">
        <v>93.602576480794895</v>
      </c>
      <c r="AU182" s="211">
        <v>93.477068820978388</v>
      </c>
      <c r="AV182" s="211"/>
      <c r="AW182" s="212"/>
      <c r="AX182" s="210">
        <v>93.226694094389245</v>
      </c>
      <c r="AY182" s="211">
        <v>94.773544016367921</v>
      </c>
      <c r="AZ182" s="213">
        <v>99.237432544573835</v>
      </c>
    </row>
    <row r="183" spans="12:52" x14ac:dyDescent="0.25">
      <c r="L183" s="189">
        <v>1980</v>
      </c>
      <c r="M183" s="196">
        <f t="shared" si="25"/>
        <v>0</v>
      </c>
      <c r="N183" s="197">
        <f t="shared" si="25"/>
        <v>0</v>
      </c>
      <c r="O183" s="152">
        <f ca="1"/>
        <v>93.646505676541736</v>
      </c>
      <c r="Q183" s="198">
        <v>0</v>
      </c>
      <c r="R183" s="200">
        <v>0</v>
      </c>
      <c r="S183" s="200">
        <v>0</v>
      </c>
      <c r="T183" s="200">
        <v>0</v>
      </c>
      <c r="U183" s="200">
        <f t="array" ref="U183">IF(U$77&gt;" ",(U$628:U$1078),"")</f>
        <v>0</v>
      </c>
      <c r="V183" s="200">
        <f t="array" ref="V183">IF(V$77&gt;" ",(V$628:V$1078),"")</f>
        <v>0</v>
      </c>
      <c r="W183" s="200">
        <f t="array" ref="W183">IF(W$77&gt;" ",(W$628:W$1078),"")</f>
        <v>0</v>
      </c>
      <c r="X183" s="200">
        <f t="array" ref="X183">IF(X$77&gt;" ",(X$628:X$1078),"")</f>
        <v>0</v>
      </c>
      <c r="Y183" s="204">
        <v>0</v>
      </c>
      <c r="Z183" s="198" t="str">
        <f t="shared" si="20"/>
        <v/>
      </c>
      <c r="AA183" s="198" t="str">
        <f t="shared" si="20"/>
        <v/>
      </c>
      <c r="AB183" s="198" t="str">
        <f t="shared" si="20"/>
        <v/>
      </c>
      <c r="AC183" s="198" t="str">
        <f t="shared" si="20"/>
        <v/>
      </c>
      <c r="AD183" s="198" t="str">
        <f t="shared" si="18"/>
        <v/>
      </c>
      <c r="AE183" s="198" t="str">
        <f t="shared" si="18"/>
        <v/>
      </c>
      <c r="AF183" s="198" t="str">
        <f t="shared" si="18"/>
        <v/>
      </c>
      <c r="AG183" s="198" t="str">
        <f t="shared" si="18"/>
        <v/>
      </c>
      <c r="AH183" s="198" t="str">
        <f t="shared" si="23"/>
        <v/>
      </c>
      <c r="AI183" s="200" t="str">
        <f t="shared" si="21"/>
        <v/>
      </c>
      <c r="AJ183" s="208" t="str">
        <f t="shared" si="22"/>
        <v/>
      </c>
      <c r="AK183" s="4"/>
      <c r="AL183" s="162">
        <v>1980</v>
      </c>
      <c r="AM183" s="209">
        <v>4.7189013303694706E-4</v>
      </c>
      <c r="AN183" s="183">
        <v>2.2502818229864021E-4</v>
      </c>
      <c r="AO183" s="183">
        <v>3.797005943137993E-4</v>
      </c>
      <c r="AP183" s="165">
        <v>4.1544331221362614E-4</v>
      </c>
      <c r="AR183" s="210">
        <v>93.623589512533783</v>
      </c>
      <c r="AS183" s="211">
        <v>93.707084057919303</v>
      </c>
      <c r="AT183" s="211">
        <v>93.646505676541736</v>
      </c>
      <c r="AU183" s="211">
        <v>93.522824814562554</v>
      </c>
      <c r="AV183" s="211"/>
      <c r="AW183" s="212"/>
      <c r="AX183" s="210">
        <v>93.28456588205745</v>
      </c>
      <c r="AY183" s="211">
        <v>94.799742182182172</v>
      </c>
      <c r="AZ183" s="213">
        <v>99.136482773650485</v>
      </c>
    </row>
    <row r="184" spans="12:52" x14ac:dyDescent="0.25">
      <c r="L184" s="189">
        <v>1975</v>
      </c>
      <c r="M184" s="196">
        <f t="shared" si="25"/>
        <v>0</v>
      </c>
      <c r="N184" s="197">
        <f t="shared" si="25"/>
        <v>0</v>
      </c>
      <c r="O184" s="152">
        <f ca="1"/>
        <v>93.690945627638712</v>
      </c>
      <c r="Q184" s="198">
        <v>0</v>
      </c>
      <c r="R184" s="200">
        <v>0</v>
      </c>
      <c r="S184" s="200">
        <v>0</v>
      </c>
      <c r="T184" s="200">
        <v>0</v>
      </c>
      <c r="U184" s="200">
        <f t="array" ref="U184">IF(U$77&gt;" ",(U$628:U$1078),"")</f>
        <v>0</v>
      </c>
      <c r="V184" s="200">
        <f t="array" ref="V184">IF(V$77&gt;" ",(V$628:V$1078),"")</f>
        <v>0</v>
      </c>
      <c r="W184" s="200">
        <f t="array" ref="W184">IF(W$77&gt;" ",(W$628:W$1078),"")</f>
        <v>0</v>
      </c>
      <c r="X184" s="200">
        <f t="array" ref="X184">IF(X$77&gt;" ",(X$628:X$1078),"")</f>
        <v>0</v>
      </c>
      <c r="Y184" s="204">
        <v>0</v>
      </c>
      <c r="Z184" s="198" t="str">
        <f t="shared" si="20"/>
        <v/>
      </c>
      <c r="AA184" s="198" t="str">
        <f t="shared" si="20"/>
        <v/>
      </c>
      <c r="AB184" s="198" t="str">
        <f t="shared" si="20"/>
        <v/>
      </c>
      <c r="AC184" s="198" t="str">
        <f t="shared" si="20"/>
        <v/>
      </c>
      <c r="AD184" s="198" t="str">
        <f t="shared" si="18"/>
        <v/>
      </c>
      <c r="AE184" s="198" t="str">
        <f t="shared" si="18"/>
        <v/>
      </c>
      <c r="AF184" s="198" t="str">
        <f t="shared" si="18"/>
        <v/>
      </c>
      <c r="AG184" s="198" t="str">
        <f t="shared" si="18"/>
        <v/>
      </c>
      <c r="AH184" s="198" t="str">
        <f t="shared" si="23"/>
        <v/>
      </c>
      <c r="AI184" s="200" t="str">
        <f t="shared" si="21"/>
        <v/>
      </c>
      <c r="AJ184" s="208" t="str">
        <f t="shared" si="22"/>
        <v/>
      </c>
      <c r="AK184" s="4"/>
      <c r="AL184" s="162">
        <v>1975</v>
      </c>
      <c r="AM184" s="209">
        <v>3.8290287149407039E-4</v>
      </c>
      <c r="AN184" s="183">
        <v>2.0564886569218163E-4</v>
      </c>
      <c r="AO184" s="183">
        <v>3.4120859238732226E-4</v>
      </c>
      <c r="AP184" s="165">
        <v>3.734479109843909E-4</v>
      </c>
      <c r="AR184" s="210">
        <v>93.660924855110835</v>
      </c>
      <c r="AS184" s="211">
        <v>93.751485304981955</v>
      </c>
      <c r="AT184" s="211">
        <v>93.690945627638712</v>
      </c>
      <c r="AU184" s="211">
        <v>93.566047258747858</v>
      </c>
      <c r="AV184" s="211"/>
      <c r="AW184" s="212"/>
      <c r="AX184" s="210">
        <v>93.345851950290069</v>
      </c>
      <c r="AY184" s="211">
        <v>94.84704996136486</v>
      </c>
      <c r="AZ184" s="213">
        <v>99.17679639580642</v>
      </c>
    </row>
    <row r="185" spans="12:52" x14ac:dyDescent="0.25">
      <c r="L185" s="189">
        <v>1970</v>
      </c>
      <c r="M185" s="196">
        <f t="shared" si="25"/>
        <v>0</v>
      </c>
      <c r="N185" s="197">
        <f t="shared" si="25"/>
        <v>0</v>
      </c>
      <c r="O185" s="152">
        <f ca="1"/>
        <v>93.728124716364263</v>
      </c>
      <c r="Q185" s="198">
        <v>0</v>
      </c>
      <c r="R185" s="200">
        <v>0</v>
      </c>
      <c r="S185" s="200">
        <v>0</v>
      </c>
      <c r="T185" s="200">
        <v>0</v>
      </c>
      <c r="U185" s="200">
        <f t="array" ref="U185">IF(U$77&gt;" ",(U$628:U$1078),"")</f>
        <v>0</v>
      </c>
      <c r="V185" s="200">
        <f t="array" ref="V185">IF(V$77&gt;" ",(V$628:V$1078),"")</f>
        <v>0</v>
      </c>
      <c r="W185" s="200">
        <f t="array" ref="W185">IF(W$77&gt;" ",(W$628:W$1078),"")</f>
        <v>0</v>
      </c>
      <c r="X185" s="200">
        <f t="array" ref="X185">IF(X$77&gt;" ",(X$628:X$1078),"")</f>
        <v>0</v>
      </c>
      <c r="Y185" s="204">
        <v>0</v>
      </c>
      <c r="Z185" s="198" t="str">
        <f t="shared" si="20"/>
        <v/>
      </c>
      <c r="AA185" s="198" t="str">
        <f t="shared" si="20"/>
        <v/>
      </c>
      <c r="AB185" s="198" t="str">
        <f t="shared" si="20"/>
        <v/>
      </c>
      <c r="AC185" s="198" t="str">
        <f t="shared" si="20"/>
        <v/>
      </c>
      <c r="AD185" s="198" t="str">
        <f t="shared" si="18"/>
        <v/>
      </c>
      <c r="AE185" s="198" t="str">
        <f t="shared" si="18"/>
        <v/>
      </c>
      <c r="AF185" s="198" t="str">
        <f t="shared" si="18"/>
        <v/>
      </c>
      <c r="AG185" s="198" t="str">
        <f t="shared" si="18"/>
        <v/>
      </c>
      <c r="AH185" s="198" t="str">
        <f t="shared" si="23"/>
        <v/>
      </c>
      <c r="AI185" s="200" t="str">
        <f t="shared" si="21"/>
        <v/>
      </c>
      <c r="AJ185" s="208" t="str">
        <f t="shared" si="22"/>
        <v/>
      </c>
      <c r="AK185" s="4"/>
      <c r="AL185" s="162">
        <v>1970</v>
      </c>
      <c r="AM185" s="209">
        <v>2.9391560995119378E-4</v>
      </c>
      <c r="AN185" s="183">
        <v>1.8626954908572304E-4</v>
      </c>
      <c r="AO185" s="183">
        <v>2.456197019075929E-4</v>
      </c>
      <c r="AP185" s="165">
        <v>2.6893510208833961E-4</v>
      </c>
      <c r="AR185" s="210">
        <v>93.705675836534013</v>
      </c>
      <c r="AS185" s="211">
        <v>93.793711310542903</v>
      </c>
      <c r="AT185" s="211">
        <v>93.728124716364263</v>
      </c>
      <c r="AU185" s="211">
        <v>93.596054901149898</v>
      </c>
      <c r="AV185" s="211"/>
      <c r="AW185" s="212"/>
      <c r="AX185" s="210">
        <v>93.382654416135992</v>
      </c>
      <c r="AY185" s="211">
        <v>94.884751050311138</v>
      </c>
      <c r="AZ185" s="213">
        <v>99.145153931642255</v>
      </c>
    </row>
    <row r="186" spans="12:52" x14ac:dyDescent="0.25">
      <c r="L186" s="189">
        <v>1965</v>
      </c>
      <c r="M186" s="196">
        <f t="shared" si="25"/>
        <v>0</v>
      </c>
      <c r="N186" s="197">
        <f t="shared" si="25"/>
        <v>0</v>
      </c>
      <c r="O186" s="152">
        <f ca="1"/>
        <v>93.77312717235651</v>
      </c>
      <c r="Q186" s="198">
        <v>0</v>
      </c>
      <c r="R186" s="200">
        <v>0</v>
      </c>
      <c r="S186" s="200">
        <v>0</v>
      </c>
      <c r="T186" s="200">
        <v>0</v>
      </c>
      <c r="U186" s="200">
        <f t="array" ref="U186">IF(U$77&gt;" ",(U$628:U$1078),"")</f>
        <v>0</v>
      </c>
      <c r="V186" s="200">
        <f t="array" ref="V186">IF(V$77&gt;" ",(V$628:V$1078),"")</f>
        <v>0</v>
      </c>
      <c r="W186" s="200">
        <f t="array" ref="W186">IF(W$77&gt;" ",(W$628:W$1078),"")</f>
        <v>0</v>
      </c>
      <c r="X186" s="200">
        <f t="array" ref="X186">IF(X$77&gt;" ",(X$628:X$1078),"")</f>
        <v>0</v>
      </c>
      <c r="Y186" s="204">
        <v>0</v>
      </c>
      <c r="Z186" s="198" t="str">
        <f t="shared" si="20"/>
        <v/>
      </c>
      <c r="AA186" s="198" t="str">
        <f t="shared" si="20"/>
        <v/>
      </c>
      <c r="AB186" s="198" t="str">
        <f t="shared" si="20"/>
        <v/>
      </c>
      <c r="AC186" s="198" t="str">
        <f t="shared" si="20"/>
        <v/>
      </c>
      <c r="AD186" s="198" t="str">
        <f t="shared" si="18"/>
        <v/>
      </c>
      <c r="AE186" s="198" t="str">
        <f t="shared" si="18"/>
        <v/>
      </c>
      <c r="AF186" s="198" t="str">
        <f t="shared" si="18"/>
        <v/>
      </c>
      <c r="AG186" s="198" t="str">
        <f t="shared" si="18"/>
        <v/>
      </c>
      <c r="AH186" s="198" t="str">
        <f t="shared" si="23"/>
        <v/>
      </c>
      <c r="AI186" s="200" t="str">
        <f t="shared" si="21"/>
        <v/>
      </c>
      <c r="AJ186" s="208" t="str">
        <f t="shared" si="22"/>
        <v/>
      </c>
      <c r="AK186" s="4"/>
      <c r="AL186" s="162">
        <v>1965</v>
      </c>
      <c r="AM186" s="209">
        <v>2.0492834840831717E-4</v>
      </c>
      <c r="AN186" s="183">
        <v>1.6689023247926451E-4</v>
      </c>
      <c r="AO186" s="183">
        <v>1.4362469641096846E-4</v>
      </c>
      <c r="AP186" s="165">
        <v>1.5733724815547977E-4</v>
      </c>
      <c r="AR186" s="210">
        <v>93.73972517220588</v>
      </c>
      <c r="AS186" s="211">
        <v>93.838304236268698</v>
      </c>
      <c r="AT186" s="211">
        <v>93.77312717235651</v>
      </c>
      <c r="AU186" s="211">
        <v>93.64705620359716</v>
      </c>
      <c r="AV186" s="211"/>
      <c r="AW186" s="212"/>
      <c r="AX186" s="210">
        <v>93.449567901944079</v>
      </c>
      <c r="AY186" s="211">
        <v>94.924736642577457</v>
      </c>
      <c r="AZ186" s="213">
        <v>99.088240880996324</v>
      </c>
    </row>
    <row r="187" spans="12:52" x14ac:dyDescent="0.25">
      <c r="L187" s="189">
        <v>1960</v>
      </c>
      <c r="M187" s="196">
        <f t="shared" si="25"/>
        <v>0</v>
      </c>
      <c r="N187" s="197">
        <f t="shared" si="25"/>
        <v>0</v>
      </c>
      <c r="O187" s="152">
        <f ca="1"/>
        <v>93.826104936987676</v>
      </c>
      <c r="Q187" s="198">
        <v>0</v>
      </c>
      <c r="R187" s="200">
        <v>0</v>
      </c>
      <c r="S187" s="200">
        <v>0</v>
      </c>
      <c r="T187" s="200">
        <v>0</v>
      </c>
      <c r="U187" s="200">
        <f t="array" ref="U187">IF(U$77&gt;" ",(U$628:U$1078),"")</f>
        <v>0</v>
      </c>
      <c r="V187" s="200">
        <f t="array" ref="V187">IF(V$77&gt;" ",(V$628:V$1078),"")</f>
        <v>0</v>
      </c>
      <c r="W187" s="200">
        <f t="array" ref="W187">IF(W$77&gt;" ",(W$628:W$1078),"")</f>
        <v>0</v>
      </c>
      <c r="X187" s="200">
        <f t="array" ref="X187">IF(X$77&gt;" ",(X$628:X$1078),"")</f>
        <v>0</v>
      </c>
      <c r="Y187" s="204">
        <v>0</v>
      </c>
      <c r="Z187" s="198" t="str">
        <f t="shared" si="20"/>
        <v/>
      </c>
      <c r="AA187" s="198" t="str">
        <f t="shared" si="20"/>
        <v/>
      </c>
      <c r="AB187" s="198" t="str">
        <f t="shared" si="20"/>
        <v/>
      </c>
      <c r="AC187" s="198" t="str">
        <f t="shared" si="20"/>
        <v/>
      </c>
      <c r="AD187" s="198" t="str">
        <f t="shared" si="18"/>
        <v/>
      </c>
      <c r="AE187" s="198" t="str">
        <f t="shared" si="18"/>
        <v/>
      </c>
      <c r="AF187" s="198" t="str">
        <f t="shared" si="18"/>
        <v/>
      </c>
      <c r="AG187" s="198" t="str">
        <f t="shared" si="18"/>
        <v/>
      </c>
      <c r="AH187" s="198" t="str">
        <f t="shared" si="23"/>
        <v/>
      </c>
      <c r="AI187" s="200" t="str">
        <f t="shared" si="21"/>
        <v/>
      </c>
      <c r="AJ187" s="208" t="str">
        <f t="shared" si="22"/>
        <v/>
      </c>
      <c r="AK187" s="4"/>
      <c r="AL187" s="162">
        <v>1960</v>
      </c>
      <c r="AM187" s="209">
        <v>1.2776641709274191E-4</v>
      </c>
      <c r="AN187" s="183">
        <v>1.4751091587280593E-4</v>
      </c>
      <c r="AO187" s="183">
        <v>1.1015098552598379E-4</v>
      </c>
      <c r="AP187" s="165">
        <v>1.2070879652363746E-4</v>
      </c>
      <c r="AR187" s="210">
        <v>93.796123390283299</v>
      </c>
      <c r="AS187" s="211">
        <v>93.89460098444188</v>
      </c>
      <c r="AT187" s="211">
        <v>93.826104936987676</v>
      </c>
      <c r="AU187" s="211">
        <v>93.69807742415037</v>
      </c>
      <c r="AV187" s="211"/>
      <c r="AW187" s="212"/>
      <c r="AX187" s="210">
        <v>93.497883413120974</v>
      </c>
      <c r="AY187" s="211">
        <v>94.962450399647324</v>
      </c>
      <c r="AZ187" s="213">
        <v>99.00182984841733</v>
      </c>
    </row>
    <row r="188" spans="12:52" x14ac:dyDescent="0.25">
      <c r="L188" s="189">
        <v>1955</v>
      </c>
      <c r="M188" s="196">
        <f t="shared" si="25"/>
        <v>0</v>
      </c>
      <c r="N188" s="197">
        <f t="shared" si="25"/>
        <v>0</v>
      </c>
      <c r="O188" s="152">
        <f ca="1"/>
        <v>93.865903567982514</v>
      </c>
      <c r="Q188" s="198">
        <v>0</v>
      </c>
      <c r="R188" s="200">
        <v>0</v>
      </c>
      <c r="S188" s="200">
        <v>0</v>
      </c>
      <c r="T188" s="200">
        <v>0</v>
      </c>
      <c r="U188" s="200">
        <f t="array" ref="U188">IF(U$77&gt;" ",(U$628:U$1078),"")</f>
        <v>0</v>
      </c>
      <c r="V188" s="200">
        <f t="array" ref="V188">IF(V$77&gt;" ",(V$628:V$1078),"")</f>
        <v>0</v>
      </c>
      <c r="W188" s="200">
        <f t="array" ref="W188">IF(W$77&gt;" ",(W$628:W$1078),"")</f>
        <v>0</v>
      </c>
      <c r="X188" s="200">
        <f t="array" ref="X188">IF(X$77&gt;" ",(X$628:X$1078),"")</f>
        <v>0</v>
      </c>
      <c r="Y188" s="204">
        <v>0</v>
      </c>
      <c r="Z188" s="198" t="str">
        <f t="shared" si="20"/>
        <v/>
      </c>
      <c r="AA188" s="198" t="str">
        <f t="shared" si="20"/>
        <v/>
      </c>
      <c r="AB188" s="198" t="str">
        <f t="shared" si="20"/>
        <v/>
      </c>
      <c r="AC188" s="198" t="str">
        <f t="shared" si="20"/>
        <v/>
      </c>
      <c r="AD188" s="198" t="str">
        <f t="shared" si="18"/>
        <v/>
      </c>
      <c r="AE188" s="198" t="str">
        <f t="shared" si="18"/>
        <v/>
      </c>
      <c r="AF188" s="198" t="str">
        <f t="shared" si="18"/>
        <v/>
      </c>
      <c r="AG188" s="198" t="str">
        <f t="shared" si="18"/>
        <v/>
      </c>
      <c r="AH188" s="198" t="str">
        <f t="shared" si="23"/>
        <v/>
      </c>
      <c r="AI188" s="200" t="str">
        <f t="shared" si="21"/>
        <v/>
      </c>
      <c r="AJ188" s="208" t="str">
        <f t="shared" si="22"/>
        <v/>
      </c>
      <c r="AK188" s="4"/>
      <c r="AL188" s="162">
        <v>1955</v>
      </c>
      <c r="AM188" s="209">
        <v>1.1270398529483852E-4</v>
      </c>
      <c r="AN188" s="183">
        <v>1.2813159926634737E-4</v>
      </c>
      <c r="AO188" s="183">
        <v>5.0464497888193798E-5</v>
      </c>
      <c r="AP188" s="165">
        <v>5.5326030990434413E-5</v>
      </c>
      <c r="AR188" s="210">
        <v>93.838784652105176</v>
      </c>
      <c r="AS188" s="211">
        <v>93.932356529532584</v>
      </c>
      <c r="AT188" s="211">
        <v>93.865903567982514</v>
      </c>
      <c r="AU188" s="211">
        <v>93.740798067441915</v>
      </c>
      <c r="AV188" s="211"/>
      <c r="AW188" s="212"/>
      <c r="AX188" s="210">
        <v>93.558916908219487</v>
      </c>
      <c r="AY188" s="211">
        <v>94.993684835226347</v>
      </c>
      <c r="AZ188" s="213">
        <v>98.91396721228449</v>
      </c>
    </row>
    <row r="189" spans="12:52" x14ac:dyDescent="0.25">
      <c r="L189" s="189">
        <v>1950</v>
      </c>
      <c r="M189" s="196">
        <f t="shared" si="25"/>
        <v>0</v>
      </c>
      <c r="N189" s="197">
        <f t="shared" si="25"/>
        <v>0</v>
      </c>
      <c r="O189" s="152">
        <f ca="1"/>
        <v>93.890892522971015</v>
      </c>
      <c r="Q189" s="198">
        <v>0</v>
      </c>
      <c r="R189" s="200">
        <v>0</v>
      </c>
      <c r="S189" s="200">
        <v>0</v>
      </c>
      <c r="T189" s="200">
        <v>0</v>
      </c>
      <c r="U189" s="200">
        <f t="array" ref="U189">IF(U$77&gt;" ",(U$628:U$1078),"")</f>
        <v>0</v>
      </c>
      <c r="V189" s="200">
        <f t="array" ref="V189">IF(V$77&gt;" ",(V$628:V$1078),"")</f>
        <v>0</v>
      </c>
      <c r="W189" s="200">
        <f t="array" ref="W189">IF(W$77&gt;" ",(W$628:W$1078),"")</f>
        <v>0</v>
      </c>
      <c r="X189" s="200">
        <f t="array" ref="X189">IF(X$77&gt;" ",(X$628:X$1078),"")</f>
        <v>0</v>
      </c>
      <c r="Y189" s="204">
        <v>0</v>
      </c>
      <c r="Z189" s="198" t="str">
        <f t="shared" si="20"/>
        <v/>
      </c>
      <c r="AA189" s="198" t="str">
        <f t="shared" si="20"/>
        <v/>
      </c>
      <c r="AB189" s="198" t="str">
        <f t="shared" si="20"/>
        <v/>
      </c>
      <c r="AC189" s="198" t="str">
        <f t="shared" si="20"/>
        <v/>
      </c>
      <c r="AD189" s="198" t="str">
        <f t="shared" si="18"/>
        <v/>
      </c>
      <c r="AE189" s="198" t="str">
        <f t="shared" si="18"/>
        <v/>
      </c>
      <c r="AF189" s="198" t="str">
        <f t="shared" si="18"/>
        <v/>
      </c>
      <c r="AG189" s="198" t="str">
        <f t="shared" si="18"/>
        <v/>
      </c>
      <c r="AH189" s="198" t="str">
        <f t="shared" si="23"/>
        <v/>
      </c>
      <c r="AI189" s="200" t="str">
        <f t="shared" si="21"/>
        <v/>
      </c>
      <c r="AJ189" s="208" t="str">
        <f t="shared" si="22"/>
        <v/>
      </c>
      <c r="AK189" s="4"/>
      <c r="AL189" s="162">
        <v>1950</v>
      </c>
      <c r="AM189" s="209">
        <v>9.764155349693513E-5</v>
      </c>
      <c r="AN189" s="183">
        <v>1.087522826598888E-4</v>
      </c>
      <c r="AO189" s="183">
        <v>8.4109172596235309E-5</v>
      </c>
      <c r="AP189" s="165">
        <v>9.2239899128498891E-5</v>
      </c>
      <c r="AR189" s="210">
        <v>93.873302699654346</v>
      </c>
      <c r="AS189" s="211">
        <v>93.96340905871989</v>
      </c>
      <c r="AT189" s="211">
        <v>93.890892522971015</v>
      </c>
      <c r="AU189" s="211">
        <v>93.778749102240837</v>
      </c>
      <c r="AV189" s="211"/>
      <c r="AW189" s="212"/>
      <c r="AX189" s="210">
        <v>93.621225270298638</v>
      </c>
      <c r="AY189" s="211">
        <v>95.031557740562832</v>
      </c>
      <c r="AZ189" s="213">
        <v>98.97896014913573</v>
      </c>
    </row>
    <row r="190" spans="12:52" x14ac:dyDescent="0.25">
      <c r="L190" s="189">
        <v>1945</v>
      </c>
      <c r="M190" s="196">
        <f t="shared" si="25"/>
        <v>0</v>
      </c>
      <c r="N190" s="197">
        <f t="shared" si="25"/>
        <v>0</v>
      </c>
      <c r="O190" s="152">
        <f ca="1"/>
        <v>93.943264519551846</v>
      </c>
      <c r="Q190" s="198">
        <v>0</v>
      </c>
      <c r="R190" s="200">
        <v>0</v>
      </c>
      <c r="S190" s="200">
        <v>0</v>
      </c>
      <c r="T190" s="200">
        <v>0</v>
      </c>
      <c r="U190" s="200">
        <f t="array" ref="U190">IF(U$77&gt;" ",(U$628:U$1078),"")</f>
        <v>0</v>
      </c>
      <c r="V190" s="200">
        <f t="array" ref="V190">IF(V$77&gt;" ",(V$628:V$1078),"")</f>
        <v>0</v>
      </c>
      <c r="W190" s="200">
        <f t="array" ref="W190">IF(W$77&gt;" ",(W$628:W$1078),"")</f>
        <v>0</v>
      </c>
      <c r="X190" s="200">
        <f t="array" ref="X190">IF(X$77&gt;" ",(X$628:X$1078),"")</f>
        <v>0</v>
      </c>
      <c r="Y190" s="204">
        <v>0</v>
      </c>
      <c r="Z190" s="198" t="str">
        <f t="shared" si="20"/>
        <v/>
      </c>
      <c r="AA190" s="198" t="str">
        <f t="shared" si="20"/>
        <v/>
      </c>
      <c r="AB190" s="198" t="str">
        <f t="shared" si="20"/>
        <v/>
      </c>
      <c r="AC190" s="198" t="str">
        <f t="shared" si="20"/>
        <v/>
      </c>
      <c r="AD190" s="198" t="str">
        <f t="shared" si="18"/>
        <v/>
      </c>
      <c r="AE190" s="198" t="str">
        <f t="shared" si="18"/>
        <v/>
      </c>
      <c r="AF190" s="198" t="str">
        <f t="shared" si="18"/>
        <v/>
      </c>
      <c r="AG190" s="198" t="str">
        <f t="shared" si="18"/>
        <v/>
      </c>
      <c r="AH190" s="198" t="str">
        <f t="shared" si="23"/>
        <v/>
      </c>
      <c r="AI190" s="200" t="str">
        <f t="shared" si="21"/>
        <v/>
      </c>
      <c r="AJ190" s="208" t="str">
        <f t="shared" si="22"/>
        <v/>
      </c>
      <c r="AK190" s="4"/>
      <c r="AL190" s="162">
        <v>1945</v>
      </c>
      <c r="AM190" s="209">
        <v>8.2579121699031749E-5</v>
      </c>
      <c r="AN190" s="183">
        <v>9.8697448798509946E-5</v>
      </c>
      <c r="AO190" s="183">
        <v>5.4622941466664922E-5</v>
      </c>
      <c r="AP190" s="165">
        <v>5.9920677100402719E-5</v>
      </c>
      <c r="AR190" s="210">
        <v>93.917244626355441</v>
      </c>
      <c r="AS190" s="211">
        <v>94.011500361913818</v>
      </c>
      <c r="AT190" s="211">
        <v>93.943264519551846</v>
      </c>
      <c r="AU190" s="211">
        <v>93.82030061101527</v>
      </c>
      <c r="AV190" s="211"/>
      <c r="AW190" s="212"/>
      <c r="AX190" s="210">
        <v>93.670097019558497</v>
      </c>
      <c r="AY190" s="211">
        <v>95.077257537406282</v>
      </c>
      <c r="AZ190" s="213">
        <v>99.145462427802045</v>
      </c>
    </row>
    <row r="191" spans="12:52" x14ac:dyDescent="0.25">
      <c r="L191" s="189">
        <v>1940</v>
      </c>
      <c r="M191" s="196">
        <f t="shared" ref="M191:N206" si="26">M740</f>
        <v>0</v>
      </c>
      <c r="N191" s="197">
        <f t="shared" si="26"/>
        <v>0</v>
      </c>
      <c r="O191" s="152">
        <f ca="1"/>
        <v>93.987121376625581</v>
      </c>
      <c r="Q191" s="198">
        <v>0</v>
      </c>
      <c r="R191" s="200">
        <v>0</v>
      </c>
      <c r="S191" s="200">
        <v>0</v>
      </c>
      <c r="T191" s="200">
        <v>0</v>
      </c>
      <c r="U191" s="200">
        <f t="array" ref="U191">IF(U$77&gt;" ",(U$628:U$1078),"")</f>
        <v>0</v>
      </c>
      <c r="V191" s="200">
        <f t="array" ref="V191">IF(V$77&gt;" ",(V$628:V$1078),"")</f>
        <v>0</v>
      </c>
      <c r="W191" s="200">
        <f t="array" ref="W191">IF(W$77&gt;" ",(W$628:W$1078),"")</f>
        <v>0</v>
      </c>
      <c r="X191" s="200">
        <f t="array" ref="X191">IF(X$77&gt;" ",(X$628:X$1078),"")</f>
        <v>0</v>
      </c>
      <c r="Y191" s="204">
        <v>0</v>
      </c>
      <c r="Z191" s="198" t="str">
        <f t="shared" si="20"/>
        <v/>
      </c>
      <c r="AA191" s="198" t="str">
        <f t="shared" si="20"/>
        <v/>
      </c>
      <c r="AB191" s="198" t="str">
        <f t="shared" si="20"/>
        <v/>
      </c>
      <c r="AC191" s="198" t="str">
        <f t="shared" si="20"/>
        <v/>
      </c>
      <c r="AD191" s="198" t="str">
        <f t="shared" si="18"/>
        <v/>
      </c>
      <c r="AE191" s="198" t="str">
        <f t="shared" si="18"/>
        <v/>
      </c>
      <c r="AF191" s="198" t="str">
        <f t="shared" si="18"/>
        <v/>
      </c>
      <c r="AG191" s="198" t="str">
        <f t="shared" si="18"/>
        <v/>
      </c>
      <c r="AH191" s="198" t="str">
        <f t="shared" si="23"/>
        <v/>
      </c>
      <c r="AI191" s="200" t="str">
        <f t="shared" si="21"/>
        <v/>
      </c>
      <c r="AJ191" s="208" t="str">
        <f t="shared" si="22"/>
        <v/>
      </c>
      <c r="AK191" s="4"/>
      <c r="AL191" s="162">
        <v>1940</v>
      </c>
      <c r="AM191" s="209">
        <v>6.7516689901128354E-5</v>
      </c>
      <c r="AN191" s="183">
        <v>8.8642614937131078E-5</v>
      </c>
      <c r="AO191" s="183">
        <v>1.6503540107497095E-5</v>
      </c>
      <c r="AP191" s="165">
        <v>1.8108278219274594E-5</v>
      </c>
      <c r="AR191" s="210">
        <v>93.958614887845798</v>
      </c>
      <c r="AS191" s="211">
        <v>94.05916746177212</v>
      </c>
      <c r="AT191" s="211">
        <v>93.987121376625581</v>
      </c>
      <c r="AU191" s="211">
        <v>93.875683903607566</v>
      </c>
      <c r="AV191" s="211"/>
      <c r="AW191" s="212"/>
      <c r="AX191" s="210">
        <v>93.709363934546559</v>
      </c>
      <c r="AY191" s="211">
        <v>95.119440227832612</v>
      </c>
      <c r="AZ191" s="213">
        <v>99.197753726053776</v>
      </c>
    </row>
    <row r="192" spans="12:52" x14ac:dyDescent="0.25">
      <c r="L192" s="189">
        <v>1935</v>
      </c>
      <c r="M192" s="196">
        <f t="shared" si="26"/>
        <v>0</v>
      </c>
      <c r="N192" s="197">
        <f t="shared" si="26"/>
        <v>0</v>
      </c>
      <c r="O192" s="152">
        <f ca="1"/>
        <v>94.036707449592754</v>
      </c>
      <c r="Q192" s="198">
        <v>0</v>
      </c>
      <c r="R192" s="200">
        <v>0</v>
      </c>
      <c r="S192" s="200">
        <v>0</v>
      </c>
      <c r="T192" s="200">
        <v>0</v>
      </c>
      <c r="U192" s="200">
        <f t="array" ref="U192">IF(U$77&gt;" ",(U$628:U$1078),"")</f>
        <v>0</v>
      </c>
      <c r="V192" s="200">
        <f t="array" ref="V192">IF(V$77&gt;" ",(V$628:V$1078),"")</f>
        <v>0</v>
      </c>
      <c r="W192" s="200">
        <f t="array" ref="W192">IF(W$77&gt;" ",(W$628:W$1078),"")</f>
        <v>0</v>
      </c>
      <c r="X192" s="200">
        <f t="array" ref="X192">IF(X$77&gt;" ",(X$628:X$1078),"")</f>
        <v>0</v>
      </c>
      <c r="Y192" s="204">
        <v>0</v>
      </c>
      <c r="Z192" s="198" t="str">
        <f t="shared" si="20"/>
        <v/>
      </c>
      <c r="AA192" s="198" t="str">
        <f t="shared" si="20"/>
        <v/>
      </c>
      <c r="AB192" s="198" t="str">
        <f t="shared" si="20"/>
        <v/>
      </c>
      <c r="AC192" s="198" t="str">
        <f t="shared" si="20"/>
        <v/>
      </c>
      <c r="AD192" s="198" t="str">
        <f t="shared" si="18"/>
        <v/>
      </c>
      <c r="AE192" s="198" t="str">
        <f t="shared" si="18"/>
        <v/>
      </c>
      <c r="AF192" s="198" t="str">
        <f t="shared" si="18"/>
        <v/>
      </c>
      <c r="AG192" s="198" t="str">
        <f t="shared" si="18"/>
        <v/>
      </c>
      <c r="AH192" s="198" t="str">
        <f t="shared" si="23"/>
        <v/>
      </c>
      <c r="AI192" s="200" t="str">
        <f t="shared" si="21"/>
        <v/>
      </c>
      <c r="AJ192" s="208" t="str">
        <f t="shared" si="22"/>
        <v/>
      </c>
      <c r="AK192" s="4"/>
      <c r="AL192" s="162">
        <v>1935</v>
      </c>
      <c r="AM192" s="209">
        <v>5.2454258103224966E-5</v>
      </c>
      <c r="AN192" s="183">
        <v>7.8587781075752197E-5</v>
      </c>
      <c r="AO192" s="183">
        <v>1.8069367592788402E-5</v>
      </c>
      <c r="AP192" s="165">
        <v>1.9826933298898545E-5</v>
      </c>
      <c r="AR192" s="210">
        <v>94.01717992088858</v>
      </c>
      <c r="AS192" s="211">
        <v>94.109902472150495</v>
      </c>
      <c r="AT192" s="211">
        <v>94.036707449592754</v>
      </c>
      <c r="AU192" s="211">
        <v>93.922929705816486</v>
      </c>
      <c r="AV192" s="211"/>
      <c r="AW192" s="212"/>
      <c r="AX192" s="210">
        <v>93.766141484611239</v>
      </c>
      <c r="AY192" s="211">
        <v>95.157984410881298</v>
      </c>
      <c r="AZ192" s="213">
        <v>99.181497586098118</v>
      </c>
    </row>
    <row r="193" spans="12:52" x14ac:dyDescent="0.25">
      <c r="L193" s="189">
        <v>1930</v>
      </c>
      <c r="M193" s="196">
        <f t="shared" si="26"/>
        <v>0</v>
      </c>
      <c r="N193" s="197">
        <f t="shared" si="26"/>
        <v>0</v>
      </c>
      <c r="O193" s="152">
        <f ca="1"/>
        <v>94.101690907237938</v>
      </c>
      <c r="Q193" s="198">
        <v>0</v>
      </c>
      <c r="R193" s="200">
        <v>0</v>
      </c>
      <c r="S193" s="200">
        <v>0</v>
      </c>
      <c r="T193" s="200">
        <v>0</v>
      </c>
      <c r="U193" s="200">
        <f t="array" ref="U193">IF(U$77&gt;" ",(U$628:U$1078),"")</f>
        <v>0</v>
      </c>
      <c r="V193" s="200">
        <f t="array" ref="V193">IF(V$77&gt;" ",(V$628:V$1078),"")</f>
        <v>0</v>
      </c>
      <c r="W193" s="200">
        <f t="array" ref="W193">IF(W$77&gt;" ",(W$628:W$1078),"")</f>
        <v>0</v>
      </c>
      <c r="X193" s="200">
        <f t="array" ref="X193">IF(X$77&gt;" ",(X$628:X$1078),"")</f>
        <v>0</v>
      </c>
      <c r="Y193" s="204">
        <v>0</v>
      </c>
      <c r="Z193" s="198" t="str">
        <f t="shared" si="20"/>
        <v/>
      </c>
      <c r="AA193" s="198" t="str">
        <f t="shared" si="20"/>
        <v/>
      </c>
      <c r="AB193" s="198" t="str">
        <f t="shared" si="20"/>
        <v/>
      </c>
      <c r="AC193" s="198" t="str">
        <f t="shared" si="20"/>
        <v/>
      </c>
      <c r="AD193" s="198" t="str">
        <f t="shared" si="18"/>
        <v/>
      </c>
      <c r="AE193" s="198" t="str">
        <f t="shared" si="18"/>
        <v/>
      </c>
      <c r="AF193" s="198" t="str">
        <f t="shared" si="18"/>
        <v/>
      </c>
      <c r="AG193" s="198" t="str">
        <f t="shared" si="18"/>
        <v/>
      </c>
      <c r="AH193" s="198" t="str">
        <f t="shared" si="23"/>
        <v/>
      </c>
      <c r="AI193" s="200" t="str">
        <f t="shared" si="21"/>
        <v/>
      </c>
      <c r="AJ193" s="208" t="str">
        <f t="shared" si="22"/>
        <v/>
      </c>
      <c r="AK193" s="4"/>
      <c r="AL193" s="162">
        <v>1930</v>
      </c>
      <c r="AM193" s="209">
        <v>3.7391826305321579E-5</v>
      </c>
      <c r="AN193" s="183">
        <v>6.8532947214373344E-5</v>
      </c>
      <c r="AO193" s="183">
        <v>2.7777598568549239E-6</v>
      </c>
      <c r="AP193" s="165">
        <v>3.0485840705775079E-6</v>
      </c>
      <c r="AR193" s="210">
        <v>94.073198639710796</v>
      </c>
      <c r="AS193" s="211">
        <v>94.170895902024199</v>
      </c>
      <c r="AT193" s="211">
        <v>94.101690907237938</v>
      </c>
      <c r="AU193" s="211">
        <v>93.986094656349778</v>
      </c>
      <c r="AV193" s="211"/>
      <c r="AW193" s="212"/>
      <c r="AX193" s="210">
        <v>93.822352043106434</v>
      </c>
      <c r="AY193" s="211">
        <v>95.180397786721997</v>
      </c>
      <c r="AZ193" s="213">
        <v>99.093541068906859</v>
      </c>
    </row>
    <row r="194" spans="12:52" x14ac:dyDescent="0.25">
      <c r="L194" s="189">
        <v>1925</v>
      </c>
      <c r="M194" s="196">
        <f t="shared" si="26"/>
        <v>0</v>
      </c>
      <c r="N194" s="197">
        <f t="shared" si="26"/>
        <v>0</v>
      </c>
      <c r="O194" s="152">
        <f ca="1"/>
        <v>94.17637611177291</v>
      </c>
      <c r="Q194" s="198">
        <v>0</v>
      </c>
      <c r="R194" s="200">
        <v>0</v>
      </c>
      <c r="S194" s="200">
        <v>0</v>
      </c>
      <c r="T194" s="200">
        <v>0</v>
      </c>
      <c r="U194" s="200">
        <f t="array" ref="U194">IF(U$77&gt;" ",(U$628:U$1078),"")</f>
        <v>0</v>
      </c>
      <c r="V194" s="200">
        <f t="array" ref="V194">IF(V$77&gt;" ",(V$628:V$1078),"")</f>
        <v>0</v>
      </c>
      <c r="W194" s="200">
        <f t="array" ref="W194">IF(W$77&gt;" ",(W$628:W$1078),"")</f>
        <v>0</v>
      </c>
      <c r="X194" s="200">
        <f t="array" ref="X194">IF(X$77&gt;" ",(X$628:X$1078),"")</f>
        <v>0</v>
      </c>
      <c r="Y194" s="204">
        <v>0</v>
      </c>
      <c r="Z194" s="198" t="str">
        <f t="shared" si="20"/>
        <v/>
      </c>
      <c r="AA194" s="198" t="str">
        <f t="shared" si="20"/>
        <v/>
      </c>
      <c r="AB194" s="198" t="str">
        <f t="shared" si="20"/>
        <v/>
      </c>
      <c r="AC194" s="198" t="str">
        <f t="shared" si="20"/>
        <v/>
      </c>
      <c r="AD194" s="198" t="str">
        <f t="shared" si="18"/>
        <v/>
      </c>
      <c r="AE194" s="198" t="str">
        <f t="shared" si="18"/>
        <v/>
      </c>
      <c r="AF194" s="198" t="str">
        <f t="shared" si="18"/>
        <v/>
      </c>
      <c r="AG194" s="198" t="str">
        <f t="shared" si="18"/>
        <v/>
      </c>
      <c r="AH194" s="198" t="str">
        <f t="shared" si="23"/>
        <v/>
      </c>
      <c r="AI194" s="200" t="str">
        <f t="shared" si="21"/>
        <v/>
      </c>
      <c r="AJ194" s="208" t="str">
        <f t="shared" si="22"/>
        <v/>
      </c>
      <c r="AK194" s="4"/>
      <c r="AL194" s="162">
        <v>1925</v>
      </c>
      <c r="AM194" s="209">
        <v>2.2329394507418184E-5</v>
      </c>
      <c r="AN194" s="183">
        <v>5.8478113352994476E-5</v>
      </c>
      <c r="AO194" s="183">
        <v>4.7072877339610022E-6</v>
      </c>
      <c r="AP194" s="165">
        <v>5.1669341869541248E-6</v>
      </c>
      <c r="AR194" s="210">
        <v>94.143434756572475</v>
      </c>
      <c r="AS194" s="211">
        <v>94.246513608718317</v>
      </c>
      <c r="AT194" s="211">
        <v>94.17637611177291</v>
      </c>
      <c r="AU194" s="211">
        <v>94.05262165626209</v>
      </c>
      <c r="AV194" s="211"/>
      <c r="AW194" s="212"/>
      <c r="AX194" s="210">
        <v>93.922931180258857</v>
      </c>
      <c r="AY194" s="211">
        <v>95.241676369553701</v>
      </c>
      <c r="AZ194" s="213">
        <v>99.151158328672096</v>
      </c>
    </row>
    <row r="195" spans="12:52" x14ac:dyDescent="0.25">
      <c r="L195" s="189">
        <v>1920</v>
      </c>
      <c r="M195" s="196">
        <f t="shared" si="26"/>
        <v>0</v>
      </c>
      <c r="N195" s="197">
        <f t="shared" si="26"/>
        <v>0</v>
      </c>
      <c r="O195" s="152">
        <f ca="1"/>
        <v>94.224623457478984</v>
      </c>
      <c r="Q195" s="198">
        <v>0</v>
      </c>
      <c r="R195" s="200">
        <v>0</v>
      </c>
      <c r="S195" s="200">
        <v>0</v>
      </c>
      <c r="T195" s="200">
        <v>0</v>
      </c>
      <c r="U195" s="200">
        <f t="array" ref="U195">IF(U$77&gt;" ",(U$628:U$1078),"")</f>
        <v>0</v>
      </c>
      <c r="V195" s="200">
        <f t="array" ref="V195">IF(V$77&gt;" ",(V$628:V$1078),"")</f>
        <v>0</v>
      </c>
      <c r="W195" s="200">
        <f t="array" ref="W195">IF(W$77&gt;" ",(W$628:W$1078),"")</f>
        <v>0</v>
      </c>
      <c r="X195" s="200">
        <f t="array" ref="X195">IF(X$77&gt;" ",(X$628:X$1078),"")</f>
        <v>0</v>
      </c>
      <c r="Y195" s="204">
        <v>0</v>
      </c>
      <c r="Z195" s="198" t="str">
        <f t="shared" si="20"/>
        <v/>
      </c>
      <c r="AA195" s="198" t="str">
        <f t="shared" si="20"/>
        <v/>
      </c>
      <c r="AB195" s="198" t="str">
        <f t="shared" si="20"/>
        <v/>
      </c>
      <c r="AC195" s="198" t="str">
        <f t="shared" si="20"/>
        <v/>
      </c>
      <c r="AD195" s="198" t="str">
        <f t="shared" si="18"/>
        <v/>
      </c>
      <c r="AE195" s="198" t="str">
        <f t="shared" si="18"/>
        <v/>
      </c>
      <c r="AF195" s="198" t="str">
        <f t="shared" si="18"/>
        <v/>
      </c>
      <c r="AG195" s="198" t="str">
        <f t="shared" si="18"/>
        <v/>
      </c>
      <c r="AH195" s="198" t="str">
        <f t="shared" si="23"/>
        <v/>
      </c>
      <c r="AI195" s="200" t="str">
        <f t="shared" si="21"/>
        <v/>
      </c>
      <c r="AJ195" s="208" t="str">
        <f t="shared" si="22"/>
        <v/>
      </c>
      <c r="AK195" s="4"/>
      <c r="AL195" s="162">
        <v>1920</v>
      </c>
      <c r="AM195" s="209">
        <v>7.2669627095147946E-6</v>
      </c>
      <c r="AN195" s="183">
        <v>4.8423279491615629E-5</v>
      </c>
      <c r="AO195" s="183">
        <v>2.2662260415733421E-6</v>
      </c>
      <c r="AP195" s="165">
        <v>2.4876566898197456E-6</v>
      </c>
      <c r="AR195" s="210">
        <v>94.192333602493335</v>
      </c>
      <c r="AS195" s="211">
        <v>94.299112927270812</v>
      </c>
      <c r="AT195" s="211">
        <v>94.224623457478984</v>
      </c>
      <c r="AU195" s="211">
        <v>94.100884476632828</v>
      </c>
      <c r="AV195" s="211"/>
      <c r="AW195" s="212"/>
      <c r="AX195" s="210">
        <v>93.929683756583358</v>
      </c>
      <c r="AY195" s="211">
        <v>95.275853645463087</v>
      </c>
      <c r="AZ195" s="213">
        <v>99.243023255813966</v>
      </c>
    </row>
    <row r="196" spans="12:52" x14ac:dyDescent="0.25">
      <c r="L196" s="189">
        <v>1915</v>
      </c>
      <c r="M196" s="196">
        <f t="shared" si="26"/>
        <v>0</v>
      </c>
      <c r="N196" s="197">
        <f t="shared" si="26"/>
        <v>0</v>
      </c>
      <c r="O196" s="152">
        <f ca="1"/>
        <v>94.272560983493335</v>
      </c>
      <c r="Q196" s="198">
        <v>0</v>
      </c>
      <c r="R196" s="200">
        <v>0</v>
      </c>
      <c r="S196" s="200">
        <v>0</v>
      </c>
      <c r="T196" s="200">
        <v>0</v>
      </c>
      <c r="U196" s="200">
        <f t="array" ref="U196">IF(U$77&gt;" ",(U$628:U$1078),"")</f>
        <v>0</v>
      </c>
      <c r="V196" s="200">
        <f t="array" ref="V196">IF(V$77&gt;" ",(V$628:V$1078),"")</f>
        <v>0</v>
      </c>
      <c r="W196" s="200">
        <f t="array" ref="W196">IF(W$77&gt;" ",(W$628:W$1078),"")</f>
        <v>0</v>
      </c>
      <c r="X196" s="200">
        <f t="array" ref="X196">IF(X$77&gt;" ",(X$628:X$1078),"")</f>
        <v>0</v>
      </c>
      <c r="Y196" s="204">
        <v>0</v>
      </c>
      <c r="Z196" s="198" t="str">
        <f t="shared" si="20"/>
        <v/>
      </c>
      <c r="AA196" s="198" t="str">
        <f t="shared" si="20"/>
        <v/>
      </c>
      <c r="AB196" s="198" t="str">
        <f t="shared" si="20"/>
        <v/>
      </c>
      <c r="AC196" s="198" t="str">
        <f t="shared" si="20"/>
        <v/>
      </c>
      <c r="AD196" s="198" t="str">
        <f t="shared" si="18"/>
        <v/>
      </c>
      <c r="AE196" s="198" t="str">
        <f t="shared" si="18"/>
        <v/>
      </c>
      <c r="AF196" s="198" t="str">
        <f t="shared" si="18"/>
        <v/>
      </c>
      <c r="AG196" s="198" t="str">
        <f t="shared" si="18"/>
        <v/>
      </c>
      <c r="AH196" s="198" t="str">
        <f t="shared" si="23"/>
        <v/>
      </c>
      <c r="AI196" s="200" t="str">
        <f t="shared" si="21"/>
        <v/>
      </c>
      <c r="AJ196" s="208" t="str">
        <f t="shared" si="22"/>
        <v/>
      </c>
      <c r="AK196" s="4"/>
      <c r="AL196" s="162">
        <v>1915</v>
      </c>
      <c r="AM196" s="209">
        <v>7.6633424936701461E-6</v>
      </c>
      <c r="AN196" s="183">
        <v>3.8368445630236755E-5</v>
      </c>
      <c r="AO196" s="183">
        <v>1.0030045230926681E-7</v>
      </c>
      <c r="AP196" s="165">
        <v>1.1009801817467288E-7</v>
      </c>
      <c r="AR196" s="210">
        <v>94.24972489446813</v>
      </c>
      <c r="AS196" s="211">
        <v>94.336914212536684</v>
      </c>
      <c r="AT196" s="211">
        <v>94.272560983493335</v>
      </c>
      <c r="AU196" s="211">
        <v>94.152330802992381</v>
      </c>
      <c r="AV196" s="211"/>
      <c r="AW196" s="212"/>
      <c r="AX196" s="210">
        <v>93.909516869875063</v>
      </c>
      <c r="AY196" s="211">
        <v>95.249715675691832</v>
      </c>
      <c r="AZ196" s="213">
        <v>99.071819904769711</v>
      </c>
    </row>
    <row r="197" spans="12:52" x14ac:dyDescent="0.25">
      <c r="L197" s="189">
        <v>1910</v>
      </c>
      <c r="M197" s="196">
        <f t="shared" si="26"/>
        <v>0</v>
      </c>
      <c r="N197" s="197">
        <f t="shared" si="26"/>
        <v>0</v>
      </c>
      <c r="O197" s="152">
        <f ca="1"/>
        <v>94.338731119438947</v>
      </c>
      <c r="Q197" s="198">
        <v>0</v>
      </c>
      <c r="R197" s="200">
        <v>0</v>
      </c>
      <c r="S197" s="200">
        <v>0</v>
      </c>
      <c r="T197" s="200">
        <v>0</v>
      </c>
      <c r="U197" s="200">
        <f t="array" ref="U197">IF(U$77&gt;" ",(U$628:U$1078),"")</f>
        <v>0</v>
      </c>
      <c r="V197" s="200">
        <f t="array" ref="V197">IF(V$77&gt;" ",(V$628:V$1078),"")</f>
        <v>0</v>
      </c>
      <c r="W197" s="200">
        <f t="array" ref="W197">IF(W$77&gt;" ",(W$628:W$1078),"")</f>
        <v>0</v>
      </c>
      <c r="X197" s="200">
        <f t="array" ref="X197">IF(X$77&gt;" ",(X$628:X$1078),"")</f>
        <v>0</v>
      </c>
      <c r="Y197" s="204">
        <v>0</v>
      </c>
      <c r="Z197" s="198" t="str">
        <f t="shared" si="20"/>
        <v/>
      </c>
      <c r="AA197" s="198" t="str">
        <f t="shared" si="20"/>
        <v/>
      </c>
      <c r="AB197" s="198" t="str">
        <f t="shared" si="20"/>
        <v/>
      </c>
      <c r="AC197" s="198" t="str">
        <f t="shared" si="20"/>
        <v/>
      </c>
      <c r="AD197" s="198" t="str">
        <f t="shared" si="18"/>
        <v/>
      </c>
      <c r="AE197" s="198" t="str">
        <f t="shared" si="18"/>
        <v/>
      </c>
      <c r="AF197" s="198" t="str">
        <f t="shared" si="18"/>
        <v/>
      </c>
      <c r="AG197" s="198" t="str">
        <f t="shared" si="18"/>
        <v/>
      </c>
      <c r="AH197" s="198" t="str">
        <f t="shared" si="23"/>
        <v/>
      </c>
      <c r="AI197" s="200" t="str">
        <f t="shared" si="21"/>
        <v/>
      </c>
      <c r="AJ197" s="208" t="str">
        <f t="shared" si="22"/>
        <v/>
      </c>
      <c r="AK197" s="4"/>
      <c r="AL197" s="162">
        <v>1910</v>
      </c>
      <c r="AM197" s="209">
        <v>8.0597222778254975E-6</v>
      </c>
      <c r="AN197" s="183">
        <v>2.8313611768857898E-5</v>
      </c>
      <c r="AO197" s="183">
        <v>1.1587827359838841E-7</v>
      </c>
      <c r="AP197" s="165">
        <v>1.2718383373342226E-7</v>
      </c>
      <c r="AR197" s="210">
        <v>94.312553616531531</v>
      </c>
      <c r="AS197" s="211">
        <v>94.397439242223655</v>
      </c>
      <c r="AT197" s="211">
        <v>94.338731119438947</v>
      </c>
      <c r="AU197" s="211">
        <v>94.214629132974437</v>
      </c>
      <c r="AV197" s="211"/>
      <c r="AW197" s="212"/>
      <c r="AX197" s="210">
        <v>93.975348294491098</v>
      </c>
      <c r="AY197" s="211">
        <v>95.285808866544656</v>
      </c>
      <c r="AZ197" s="213">
        <v>99.035389299314744</v>
      </c>
    </row>
    <row r="198" spans="12:52" x14ac:dyDescent="0.25">
      <c r="L198" s="189">
        <v>1905</v>
      </c>
      <c r="M198" s="196">
        <f t="shared" si="26"/>
        <v>0</v>
      </c>
      <c r="N198" s="197">
        <f t="shared" si="26"/>
        <v>0</v>
      </c>
      <c r="O198" s="152">
        <f ca="1"/>
        <v>94.374378363542959</v>
      </c>
      <c r="Q198" s="198">
        <v>0</v>
      </c>
      <c r="R198" s="200">
        <v>0</v>
      </c>
      <c r="S198" s="200">
        <v>0</v>
      </c>
      <c r="T198" s="200">
        <v>0</v>
      </c>
      <c r="U198" s="200">
        <f t="array" ref="U198">IF(U$77&gt;" ",(U$628:U$1078),"")</f>
        <v>0</v>
      </c>
      <c r="V198" s="200">
        <f t="array" ref="V198">IF(V$77&gt;" ",(V$628:V$1078),"")</f>
        <v>0</v>
      </c>
      <c r="W198" s="200">
        <f t="array" ref="W198">IF(W$77&gt;" ",(W$628:W$1078),"")</f>
        <v>0</v>
      </c>
      <c r="X198" s="200">
        <f t="array" ref="X198">IF(X$77&gt;" ",(X$628:X$1078),"")</f>
        <v>0</v>
      </c>
      <c r="Y198" s="204">
        <v>0</v>
      </c>
      <c r="Z198" s="198" t="str">
        <f t="shared" si="20"/>
        <v/>
      </c>
      <c r="AA198" s="198" t="str">
        <f t="shared" si="20"/>
        <v/>
      </c>
      <c r="AB198" s="198" t="str">
        <f t="shared" si="20"/>
        <v/>
      </c>
      <c r="AC198" s="198" t="str">
        <f t="shared" si="20"/>
        <v/>
      </c>
      <c r="AD198" s="198" t="str">
        <f t="shared" si="18"/>
        <v/>
      </c>
      <c r="AE198" s="198" t="str">
        <f t="shared" si="18"/>
        <v/>
      </c>
      <c r="AF198" s="198" t="str">
        <f t="shared" si="18"/>
        <v/>
      </c>
      <c r="AG198" s="198" t="str">
        <f t="shared" si="18"/>
        <v/>
      </c>
      <c r="AH198" s="198" t="str">
        <f t="shared" si="23"/>
        <v/>
      </c>
      <c r="AI198" s="200" t="str">
        <f t="shared" si="21"/>
        <v/>
      </c>
      <c r="AJ198" s="208" t="str">
        <f t="shared" si="22"/>
        <v/>
      </c>
      <c r="AK198" s="4"/>
      <c r="AL198" s="162">
        <v>1905</v>
      </c>
      <c r="AM198" s="209">
        <v>8.3900387646216253E-6</v>
      </c>
      <c r="AN198" s="183">
        <v>1.8258777907479034E-5</v>
      </c>
      <c r="AO198" s="183">
        <v>2.849413812106694E-9</v>
      </c>
      <c r="AP198" s="165">
        <v>3.1226804341536104E-9</v>
      </c>
      <c r="AR198" s="210">
        <v>94.342599243936462</v>
      </c>
      <c r="AS198" s="211">
        <v>94.436540448965715</v>
      </c>
      <c r="AT198" s="211">
        <v>94.374378363542959</v>
      </c>
      <c r="AU198" s="211">
        <v>94.248757764177938</v>
      </c>
      <c r="AV198" s="211"/>
      <c r="AW198" s="212"/>
      <c r="AX198" s="210">
        <v>94.022498978718275</v>
      </c>
      <c r="AY198" s="211">
        <v>95.331131460347152</v>
      </c>
      <c r="AZ198" s="213">
        <v>98.905039766815236</v>
      </c>
    </row>
    <row r="199" spans="12:52" x14ac:dyDescent="0.25">
      <c r="L199" s="189">
        <v>1900</v>
      </c>
      <c r="M199" s="196">
        <f t="shared" si="26"/>
        <v>0</v>
      </c>
      <c r="N199" s="197">
        <f t="shared" si="26"/>
        <v>0</v>
      </c>
      <c r="O199" s="152">
        <f ca="1"/>
        <v>94.438166995335465</v>
      </c>
      <c r="Q199" s="198">
        <v>0</v>
      </c>
      <c r="R199" s="200">
        <v>0</v>
      </c>
      <c r="S199" s="200">
        <v>0</v>
      </c>
      <c r="T199" s="200">
        <v>0</v>
      </c>
      <c r="U199" s="200">
        <f t="array" ref="U199">IF(U$77&gt;" ",(U$628:U$1078),"")</f>
        <v>0</v>
      </c>
      <c r="V199" s="200">
        <f t="array" ref="V199">IF(V$77&gt;" ",(V$628:V$1078),"")</f>
        <v>0</v>
      </c>
      <c r="W199" s="200">
        <f t="array" ref="W199">IF(W$77&gt;" ",(W$628:W$1078),"")</f>
        <v>0</v>
      </c>
      <c r="X199" s="200">
        <f t="array" ref="X199">IF(X$77&gt;" ",(X$628:X$1078),"")</f>
        <v>0</v>
      </c>
      <c r="Y199" s="204">
        <v>0</v>
      </c>
      <c r="Z199" s="198" t="str">
        <f t="shared" si="20"/>
        <v/>
      </c>
      <c r="AA199" s="198" t="str">
        <f t="shared" si="20"/>
        <v/>
      </c>
      <c r="AB199" s="198" t="str">
        <f t="shared" si="20"/>
        <v/>
      </c>
      <c r="AC199" s="198" t="str">
        <f t="shared" si="20"/>
        <v/>
      </c>
      <c r="AD199" s="198" t="str">
        <f t="shared" si="18"/>
        <v/>
      </c>
      <c r="AE199" s="198" t="str">
        <f t="shared" si="18"/>
        <v/>
      </c>
      <c r="AF199" s="198" t="str">
        <f t="shared" si="18"/>
        <v/>
      </c>
      <c r="AG199" s="198" t="str">
        <f t="shared" si="18"/>
        <v/>
      </c>
      <c r="AH199" s="198" t="str">
        <f t="shared" si="23"/>
        <v/>
      </c>
      <c r="AI199" s="200" t="str">
        <f t="shared" si="21"/>
        <v/>
      </c>
      <c r="AJ199" s="208" t="str">
        <f t="shared" si="22"/>
        <v/>
      </c>
      <c r="AK199" s="4"/>
      <c r="AL199" s="162">
        <v>1900</v>
      </c>
      <c r="AM199" s="209">
        <v>8.7864185487769785E-6</v>
      </c>
      <c r="AN199" s="183">
        <v>8.2039440461001695E-6</v>
      </c>
      <c r="AO199" s="183">
        <v>4.3354917022897145E-9</v>
      </c>
      <c r="AP199" s="165">
        <v>4.7522407926195918E-9</v>
      </c>
      <c r="AR199" s="210">
        <v>94.406896993374971</v>
      </c>
      <c r="AS199" s="211">
        <v>94.501838041880546</v>
      </c>
      <c r="AT199" s="211">
        <v>94.438166995335465</v>
      </c>
      <c r="AU199" s="211">
        <v>94.314816817389172</v>
      </c>
      <c r="AV199" s="211"/>
      <c r="AW199" s="212"/>
      <c r="AX199" s="210">
        <v>94.028517988364072</v>
      </c>
      <c r="AY199" s="211">
        <v>95.313934674071632</v>
      </c>
      <c r="AZ199" s="213">
        <v>99.141379134756392</v>
      </c>
    </row>
    <row r="200" spans="12:52" x14ac:dyDescent="0.25">
      <c r="L200" s="189">
        <v>1895</v>
      </c>
      <c r="M200" s="196">
        <f t="shared" si="26"/>
        <v>0</v>
      </c>
      <c r="N200" s="197">
        <f t="shared" si="26"/>
        <v>0</v>
      </c>
      <c r="O200" s="152">
        <f ca="1"/>
        <v>94.487891363118536</v>
      </c>
      <c r="Q200" s="198">
        <v>0</v>
      </c>
      <c r="R200" s="200">
        <v>0</v>
      </c>
      <c r="S200" s="200">
        <v>0</v>
      </c>
      <c r="T200" s="200">
        <v>0</v>
      </c>
      <c r="U200" s="200">
        <f t="array" ref="U200">IF(U$77&gt;" ",(U$628:U$1078),"")</f>
        <v>0</v>
      </c>
      <c r="V200" s="200">
        <f t="array" ref="V200">IF(V$77&gt;" ",(V$628:V$1078),"")</f>
        <v>0</v>
      </c>
      <c r="W200" s="200">
        <f t="array" ref="W200">IF(W$77&gt;" ",(W$628:W$1078),"")</f>
        <v>0</v>
      </c>
      <c r="X200" s="200">
        <f t="array" ref="X200">IF(X$77&gt;" ",(X$628:X$1078),"")</f>
        <v>0</v>
      </c>
      <c r="Y200" s="204">
        <v>0</v>
      </c>
      <c r="Z200" s="198" t="str">
        <f t="shared" si="20"/>
        <v/>
      </c>
      <c r="AA200" s="198" t="str">
        <f t="shared" si="20"/>
        <v/>
      </c>
      <c r="AB200" s="198" t="str">
        <f t="shared" si="20"/>
        <v/>
      </c>
      <c r="AC200" s="198" t="str">
        <f t="shared" si="20"/>
        <v/>
      </c>
      <c r="AD200" s="198" t="str">
        <f t="shared" si="18"/>
        <v/>
      </c>
      <c r="AE200" s="198" t="str">
        <f t="shared" si="18"/>
        <v/>
      </c>
      <c r="AF200" s="198" t="str">
        <f t="shared" si="18"/>
        <v/>
      </c>
      <c r="AG200" s="198" t="str">
        <f t="shared" si="18"/>
        <v/>
      </c>
      <c r="AH200" s="198" t="str">
        <f t="shared" si="23"/>
        <v/>
      </c>
      <c r="AI200" s="200" t="str">
        <f t="shared" si="21"/>
        <v/>
      </c>
      <c r="AJ200" s="208" t="str">
        <f t="shared" si="22"/>
        <v/>
      </c>
      <c r="AK200" s="4"/>
      <c r="AL200" s="162">
        <v>1895</v>
      </c>
      <c r="AM200" s="209">
        <v>9.1827983329323299E-6</v>
      </c>
      <c r="AN200" s="183">
        <v>1.1365463946792429E-5</v>
      </c>
      <c r="AO200" s="183">
        <v>6.5102018150502691E-7</v>
      </c>
      <c r="AP200" s="165">
        <v>7.1314951740957489E-7</v>
      </c>
      <c r="AR200" s="210">
        <v>94.462065142299593</v>
      </c>
      <c r="AS200" s="211">
        <v>94.549994105448647</v>
      </c>
      <c r="AT200" s="211">
        <v>94.487891363118536</v>
      </c>
      <c r="AU200" s="211">
        <v>94.367945873644985</v>
      </c>
      <c r="AV200" s="211"/>
      <c r="AW200" s="212"/>
      <c r="AX200" s="210">
        <v>94.091531062044297</v>
      </c>
      <c r="AY200" s="211">
        <v>95.340953450181942</v>
      </c>
      <c r="AZ200" s="213">
        <v>99.127497920621039</v>
      </c>
    </row>
    <row r="201" spans="12:52" x14ac:dyDescent="0.25">
      <c r="L201" s="189">
        <v>1890</v>
      </c>
      <c r="M201" s="196">
        <f t="shared" si="26"/>
        <v>0</v>
      </c>
      <c r="N201" s="197">
        <f t="shared" si="26"/>
        <v>0</v>
      </c>
      <c r="O201" s="152">
        <f ca="1"/>
        <v>94.523913863045436</v>
      </c>
      <c r="Q201" s="198">
        <v>0</v>
      </c>
      <c r="R201" s="200">
        <v>0</v>
      </c>
      <c r="S201" s="200">
        <v>0</v>
      </c>
      <c r="T201" s="200">
        <v>0</v>
      </c>
      <c r="U201" s="200">
        <f t="array" ref="U201">IF(U$77&gt;" ",(U$628:U$1078),"")</f>
        <v>0</v>
      </c>
      <c r="V201" s="200">
        <f t="array" ref="V201">IF(V$77&gt;" ",(V$628:V$1078),"")</f>
        <v>0</v>
      </c>
      <c r="W201" s="200">
        <f t="array" ref="W201">IF(W$77&gt;" ",(W$628:W$1078),"")</f>
        <v>0</v>
      </c>
      <c r="X201" s="200">
        <f t="array" ref="X201">IF(X$77&gt;" ",(X$628:X$1078),"")</f>
        <v>0</v>
      </c>
      <c r="Y201" s="204">
        <v>0</v>
      </c>
      <c r="Z201" s="198" t="str">
        <f t="shared" si="20"/>
        <v/>
      </c>
      <c r="AA201" s="198" t="str">
        <f t="shared" si="20"/>
        <v/>
      </c>
      <c r="AB201" s="198" t="str">
        <f t="shared" si="20"/>
        <v/>
      </c>
      <c r="AC201" s="198" t="str">
        <f t="shared" si="20"/>
        <v/>
      </c>
      <c r="AD201" s="198" t="str">
        <f t="shared" si="18"/>
        <v/>
      </c>
      <c r="AE201" s="198" t="str">
        <f t="shared" si="18"/>
        <v/>
      </c>
      <c r="AF201" s="198" t="str">
        <f t="shared" si="18"/>
        <v/>
      </c>
      <c r="AG201" s="198" t="str">
        <f t="shared" si="18"/>
        <v/>
      </c>
      <c r="AH201" s="198" t="str">
        <f t="shared" si="23"/>
        <v/>
      </c>
      <c r="AI201" s="200" t="str">
        <f t="shared" si="21"/>
        <v/>
      </c>
      <c r="AJ201" s="208" t="str">
        <f t="shared" si="22"/>
        <v/>
      </c>
      <c r="AK201" s="4"/>
      <c r="AL201" s="162">
        <v>1890</v>
      </c>
      <c r="AM201" s="209">
        <v>9.579178117087683E-6</v>
      </c>
      <c r="AN201" s="183">
        <v>1.4526983847484687E-5</v>
      </c>
      <c r="AO201" s="183">
        <v>1.122980900096684E-6</v>
      </c>
      <c r="AP201" s="165">
        <v>1.228746041296761E-6</v>
      </c>
      <c r="AR201" s="210">
        <v>94.487831387677872</v>
      </c>
      <c r="AS201" s="211">
        <v>94.587997669527752</v>
      </c>
      <c r="AT201" s="211">
        <v>94.523913863045436</v>
      </c>
      <c r="AU201" s="211">
        <v>94.396444620571813</v>
      </c>
      <c r="AV201" s="211"/>
      <c r="AW201" s="212"/>
      <c r="AX201" s="210">
        <v>94.116869413183281</v>
      </c>
      <c r="AY201" s="211">
        <v>95.362869537522656</v>
      </c>
      <c r="AZ201" s="213">
        <v>98.995335200886217</v>
      </c>
    </row>
    <row r="202" spans="12:52" x14ac:dyDescent="0.25">
      <c r="L202" s="189">
        <v>1885</v>
      </c>
      <c r="M202" s="196">
        <f t="shared" si="26"/>
        <v>0</v>
      </c>
      <c r="N202" s="197">
        <f t="shared" si="26"/>
        <v>0</v>
      </c>
      <c r="O202" s="152">
        <f ca="1"/>
        <v>94.52906838208402</v>
      </c>
      <c r="Q202" s="198">
        <v>0</v>
      </c>
      <c r="R202" s="200">
        <v>0</v>
      </c>
      <c r="S202" s="200">
        <v>0</v>
      </c>
      <c r="T202" s="200">
        <v>0</v>
      </c>
      <c r="U202" s="200">
        <f t="array" ref="U202">IF(U$77&gt;" ",(U$628:U$1078),"")</f>
        <v>0</v>
      </c>
      <c r="V202" s="200">
        <f t="array" ref="V202">IF(V$77&gt;" ",(V$628:V$1078),"")</f>
        <v>0</v>
      </c>
      <c r="W202" s="200">
        <f t="array" ref="W202">IF(W$77&gt;" ",(W$628:W$1078),"")</f>
        <v>0</v>
      </c>
      <c r="X202" s="200">
        <f t="array" ref="X202">IF(X$77&gt;" ",(X$628:X$1078),"")</f>
        <v>0</v>
      </c>
      <c r="Y202" s="204">
        <v>0</v>
      </c>
      <c r="Z202" s="198" t="str">
        <f t="shared" si="20"/>
        <v/>
      </c>
      <c r="AA202" s="198" t="str">
        <f t="shared" si="20"/>
        <v/>
      </c>
      <c r="AB202" s="198" t="str">
        <f t="shared" si="20"/>
        <v/>
      </c>
      <c r="AC202" s="198" t="str">
        <f t="shared" si="20"/>
        <v/>
      </c>
      <c r="AD202" s="198" t="str">
        <f t="shared" si="18"/>
        <v/>
      </c>
      <c r="AE202" s="198" t="str">
        <f t="shared" si="18"/>
        <v/>
      </c>
      <c r="AF202" s="198" t="str">
        <f t="shared" si="18"/>
        <v/>
      </c>
      <c r="AG202" s="198" t="str">
        <f t="shared" si="18"/>
        <v/>
      </c>
      <c r="AH202" s="198" t="str">
        <f t="shared" si="23"/>
        <v/>
      </c>
      <c r="AI202" s="200" t="str">
        <f t="shared" si="21"/>
        <v/>
      </c>
      <c r="AJ202" s="208" t="str">
        <f t="shared" si="22"/>
        <v/>
      </c>
      <c r="AK202" s="4"/>
      <c r="AL202" s="162">
        <v>1885</v>
      </c>
      <c r="AM202" s="209">
        <v>9.9755579012430344E-6</v>
      </c>
      <c r="AN202" s="183">
        <v>1.7688503748176945E-5</v>
      </c>
      <c r="AO202" s="183">
        <v>2.2069418217545097E-7</v>
      </c>
      <c r="AP202" s="165">
        <v>2.4136722542852984E-7</v>
      </c>
      <c r="AR202" s="210">
        <v>94.507192063574124</v>
      </c>
      <c r="AS202" s="211">
        <v>94.597024605540298</v>
      </c>
      <c r="AT202" s="211">
        <v>94.52906838208402</v>
      </c>
      <c r="AU202" s="211">
        <v>94.402963707147777</v>
      </c>
      <c r="AV202" s="211"/>
      <c r="AW202" s="212"/>
      <c r="AX202" s="210">
        <v>94.154522178198718</v>
      </c>
      <c r="AY202" s="211">
        <v>95.410766859232652</v>
      </c>
      <c r="AZ202" s="213">
        <v>98.869557010010993</v>
      </c>
    </row>
    <row r="203" spans="12:52" x14ac:dyDescent="0.25">
      <c r="L203" s="189">
        <v>1880</v>
      </c>
      <c r="M203" s="196">
        <f t="shared" si="26"/>
        <v>0</v>
      </c>
      <c r="N203" s="197">
        <f t="shared" si="26"/>
        <v>0</v>
      </c>
      <c r="O203" s="152">
        <f ca="1"/>
        <v>94.549351576720213</v>
      </c>
      <c r="Q203" s="198">
        <v>0</v>
      </c>
      <c r="R203" s="200">
        <v>0</v>
      </c>
      <c r="S203" s="200">
        <v>0</v>
      </c>
      <c r="T203" s="200">
        <v>0</v>
      </c>
      <c r="U203" s="200">
        <f t="array" ref="U203">IF(U$77&gt;" ",(U$628:U$1078),"")</f>
        <v>0</v>
      </c>
      <c r="V203" s="200">
        <f t="array" ref="V203">IF(V$77&gt;" ",(V$628:V$1078),"")</f>
        <v>0</v>
      </c>
      <c r="W203" s="200">
        <f t="array" ref="W203">IF(W$77&gt;" ",(W$628:W$1078),"")</f>
        <v>0</v>
      </c>
      <c r="X203" s="200">
        <f t="array" ref="X203">IF(X$77&gt;" ",(X$628:X$1078),"")</f>
        <v>0</v>
      </c>
      <c r="Y203" s="204">
        <v>0</v>
      </c>
      <c r="Z203" s="198" t="str">
        <f t="shared" si="20"/>
        <v/>
      </c>
      <c r="AA203" s="198" t="str">
        <f t="shared" si="20"/>
        <v/>
      </c>
      <c r="AB203" s="198" t="str">
        <f t="shared" si="20"/>
        <v/>
      </c>
      <c r="AC203" s="198" t="str">
        <f t="shared" si="20"/>
        <v/>
      </c>
      <c r="AD203" s="198" t="str">
        <f t="shared" ref="AD203:AG266" si="27">IF(AND(U203&gt;0,U203&lt;999),(U203-$M203)/($N203-$M203)*$O203,"")</f>
        <v/>
      </c>
      <c r="AE203" s="198" t="str">
        <f t="shared" si="27"/>
        <v/>
      </c>
      <c r="AF203" s="198" t="str">
        <f t="shared" si="27"/>
        <v/>
      </c>
      <c r="AG203" s="198" t="str">
        <f t="shared" si="27"/>
        <v/>
      </c>
      <c r="AH203" s="198" t="str">
        <f t="shared" si="23"/>
        <v/>
      </c>
      <c r="AI203" s="200" t="str">
        <f t="shared" si="21"/>
        <v/>
      </c>
      <c r="AJ203" s="208" t="str">
        <f t="shared" si="22"/>
        <v/>
      </c>
      <c r="AK203" s="4"/>
      <c r="AL203" s="162">
        <v>1880</v>
      </c>
      <c r="AM203" s="209">
        <v>1.0371937685398388E-5</v>
      </c>
      <c r="AN203" s="183">
        <v>2.0850023648869208E-5</v>
      </c>
      <c r="AO203" s="183">
        <v>3.8972209135357314E-7</v>
      </c>
      <c r="AP203" s="165">
        <v>4.2601491574801123E-7</v>
      </c>
      <c r="AR203" s="210">
        <v>94.524019561943803</v>
      </c>
      <c r="AS203" s="211">
        <v>94.614609772266249</v>
      </c>
      <c r="AT203" s="211">
        <v>94.549351576720213</v>
      </c>
      <c r="AU203" s="211">
        <v>94.424719393784869</v>
      </c>
      <c r="AV203" s="211"/>
      <c r="AW203" s="212"/>
      <c r="AX203" s="210">
        <v>94.224241780584535</v>
      </c>
      <c r="AY203" s="211">
        <v>95.485038129615987</v>
      </c>
      <c r="AZ203" s="213">
        <v>98.904344263803353</v>
      </c>
    </row>
    <row r="204" spans="12:52" x14ac:dyDescent="0.25">
      <c r="L204" s="189">
        <v>1875</v>
      </c>
      <c r="M204" s="196">
        <f t="shared" si="26"/>
        <v>0</v>
      </c>
      <c r="N204" s="197">
        <f t="shared" si="26"/>
        <v>0</v>
      </c>
      <c r="O204" s="152">
        <f ca="1"/>
        <v>94.585795514671631</v>
      </c>
      <c r="Q204" s="198">
        <v>0</v>
      </c>
      <c r="R204" s="200">
        <v>0</v>
      </c>
      <c r="S204" s="200">
        <v>0</v>
      </c>
      <c r="T204" s="200">
        <v>0</v>
      </c>
      <c r="U204" s="200">
        <f t="array" ref="U204">IF(U$77&gt;" ",(U$628:U$1078),"")</f>
        <v>0</v>
      </c>
      <c r="V204" s="200">
        <f t="array" ref="V204">IF(V$77&gt;" ",(V$628:V$1078),"")</f>
        <v>0</v>
      </c>
      <c r="W204" s="200">
        <f t="array" ref="W204">IF(W$77&gt;" ",(W$628:W$1078),"")</f>
        <v>0</v>
      </c>
      <c r="X204" s="200">
        <f t="array" ref="X204">IF(X$77&gt;" ",(X$628:X$1078),"")</f>
        <v>0</v>
      </c>
      <c r="Y204" s="204">
        <v>0</v>
      </c>
      <c r="Z204" s="198" t="str">
        <f t="shared" si="20"/>
        <v/>
      </c>
      <c r="AA204" s="198" t="str">
        <f t="shared" si="20"/>
        <v/>
      </c>
      <c r="AB204" s="198" t="str">
        <f t="shared" si="20"/>
        <v/>
      </c>
      <c r="AC204" s="198" t="str">
        <f t="shared" si="20"/>
        <v/>
      </c>
      <c r="AD204" s="198" t="str">
        <f t="shared" si="27"/>
        <v/>
      </c>
      <c r="AE204" s="198" t="str">
        <f t="shared" si="27"/>
        <v/>
      </c>
      <c r="AF204" s="198" t="str">
        <f t="shared" si="27"/>
        <v/>
      </c>
      <c r="AG204" s="198" t="str">
        <f t="shared" si="27"/>
        <v/>
      </c>
      <c r="AH204" s="198" t="str">
        <f t="shared" si="23"/>
        <v/>
      </c>
      <c r="AI204" s="200" t="str">
        <f t="shared" si="21"/>
        <v/>
      </c>
      <c r="AJ204" s="208" t="str">
        <f t="shared" si="22"/>
        <v/>
      </c>
      <c r="AK204" s="4"/>
      <c r="AL204" s="162">
        <v>1875</v>
      </c>
      <c r="AM204" s="209">
        <v>1.0768317469553739E-5</v>
      </c>
      <c r="AN204" s="183">
        <v>2.4011543549561468E-5</v>
      </c>
      <c r="AO204" s="183">
        <v>2.2692933336928914E-12</v>
      </c>
      <c r="AP204" s="165">
        <v>2.4789822665914252E-12</v>
      </c>
      <c r="AR204" s="210">
        <v>94.560155307170845</v>
      </c>
      <c r="AS204" s="211">
        <v>94.65700355208314</v>
      </c>
      <c r="AT204" s="211">
        <v>94.585795514671631</v>
      </c>
      <c r="AU204" s="211">
        <v>94.459886153744847</v>
      </c>
      <c r="AV204" s="211"/>
      <c r="AW204" s="212"/>
      <c r="AX204" s="210">
        <v>94.273129529146146</v>
      </c>
      <c r="AY204" s="211">
        <v>95.514569853092993</v>
      </c>
      <c r="AZ204" s="213">
        <v>99.212935199906923</v>
      </c>
    </row>
    <row r="205" spans="12:52" x14ac:dyDescent="0.25">
      <c r="L205" s="189">
        <v>1870</v>
      </c>
      <c r="M205" s="196">
        <f t="shared" si="26"/>
        <v>0</v>
      </c>
      <c r="N205" s="197">
        <f t="shared" si="26"/>
        <v>0</v>
      </c>
      <c r="O205" s="152">
        <f ca="1"/>
        <v>94.616496046797806</v>
      </c>
      <c r="Q205" s="198">
        <v>0</v>
      </c>
      <c r="R205" s="200">
        <v>0</v>
      </c>
      <c r="S205" s="200">
        <v>0</v>
      </c>
      <c r="T205" s="200">
        <v>0</v>
      </c>
      <c r="U205" s="200">
        <f t="array" ref="U205">IF(U$77&gt;" ",(U$628:U$1078),"")</f>
        <v>0</v>
      </c>
      <c r="V205" s="200">
        <f t="array" ref="V205">IF(V$77&gt;" ",(V$628:V$1078),"")</f>
        <v>0</v>
      </c>
      <c r="W205" s="200">
        <f t="array" ref="W205">IF(W$77&gt;" ",(W$628:W$1078),"")</f>
        <v>0</v>
      </c>
      <c r="X205" s="200">
        <f t="array" ref="X205">IF(X$77&gt;" ",(X$628:X$1078),"")</f>
        <v>0</v>
      </c>
      <c r="Y205" s="204">
        <v>0</v>
      </c>
      <c r="Z205" s="198" t="str">
        <f t="shared" si="20"/>
        <v/>
      </c>
      <c r="AA205" s="198" t="str">
        <f t="shared" si="20"/>
        <v/>
      </c>
      <c r="AB205" s="198" t="str">
        <f t="shared" si="20"/>
        <v/>
      </c>
      <c r="AC205" s="198" t="str">
        <f t="shared" si="20"/>
        <v/>
      </c>
      <c r="AD205" s="198" t="str">
        <f t="shared" si="27"/>
        <v/>
      </c>
      <c r="AE205" s="198" t="str">
        <f t="shared" si="27"/>
        <v/>
      </c>
      <c r="AF205" s="198" t="str">
        <f t="shared" si="27"/>
        <v/>
      </c>
      <c r="AG205" s="198" t="str">
        <f t="shared" si="27"/>
        <v/>
      </c>
      <c r="AH205" s="198" t="str">
        <f t="shared" si="23"/>
        <v/>
      </c>
      <c r="AI205" s="200" t="str">
        <f t="shared" si="21"/>
        <v/>
      </c>
      <c r="AJ205" s="208" t="str">
        <f t="shared" si="22"/>
        <v/>
      </c>
      <c r="AK205" s="4"/>
      <c r="AL205" s="162">
        <v>1870</v>
      </c>
      <c r="AM205" s="209">
        <v>1.1098633956349867E-5</v>
      </c>
      <c r="AN205" s="183">
        <v>2.7173063450253724E-5</v>
      </c>
      <c r="AO205" s="183">
        <v>1.3406580736299552E-12</v>
      </c>
      <c r="AP205" s="165">
        <v>1.4633472166072012E-12</v>
      </c>
      <c r="AR205" s="210">
        <v>94.596342184695388</v>
      </c>
      <c r="AS205" s="211">
        <v>94.688963481651243</v>
      </c>
      <c r="AT205" s="211">
        <v>94.616496046797806</v>
      </c>
      <c r="AU205" s="211">
        <v>94.497069448101755</v>
      </c>
      <c r="AV205" s="211"/>
      <c r="AW205" s="212"/>
      <c r="AX205" s="210">
        <v>94.266810511902847</v>
      </c>
      <c r="AY205" s="211">
        <v>95.503357004436111</v>
      </c>
      <c r="AZ205" s="213">
        <v>98.98068661633468</v>
      </c>
    </row>
    <row r="206" spans="12:52" x14ac:dyDescent="0.25">
      <c r="L206" s="189">
        <v>1865</v>
      </c>
      <c r="M206" s="196">
        <f t="shared" si="26"/>
        <v>0</v>
      </c>
      <c r="N206" s="197">
        <f t="shared" si="26"/>
        <v>0</v>
      </c>
      <c r="O206" s="152">
        <f ca="1"/>
        <v>94.659625161269531</v>
      </c>
      <c r="Q206" s="198">
        <v>0</v>
      </c>
      <c r="R206" s="200">
        <v>0</v>
      </c>
      <c r="S206" s="200">
        <v>0</v>
      </c>
      <c r="T206" s="200">
        <v>0</v>
      </c>
      <c r="U206" s="200">
        <f t="array" ref="U206">IF(U$77&gt;" ",(U$628:U$1078),"")</f>
        <v>0</v>
      </c>
      <c r="V206" s="200">
        <f t="array" ref="V206">IF(V$77&gt;" ",(V$628:V$1078),"")</f>
        <v>0</v>
      </c>
      <c r="W206" s="200">
        <f t="array" ref="W206">IF(W$77&gt;" ",(W$628:W$1078),"")</f>
        <v>0</v>
      </c>
      <c r="X206" s="200">
        <f t="array" ref="X206">IF(X$77&gt;" ",(X$628:X$1078),"")</f>
        <v>0</v>
      </c>
      <c r="Y206" s="204">
        <v>0</v>
      </c>
      <c r="Z206" s="198" t="str">
        <f t="shared" si="20"/>
        <v/>
      </c>
      <c r="AA206" s="198" t="str">
        <f t="shared" si="20"/>
        <v/>
      </c>
      <c r="AB206" s="198" t="str">
        <f t="shared" si="20"/>
        <v/>
      </c>
      <c r="AC206" s="198" t="str">
        <f t="shared" si="20"/>
        <v/>
      </c>
      <c r="AD206" s="198" t="str">
        <f t="shared" si="27"/>
        <v/>
      </c>
      <c r="AE206" s="198" t="str">
        <f t="shared" si="27"/>
        <v/>
      </c>
      <c r="AF206" s="198" t="str">
        <f t="shared" si="27"/>
        <v/>
      </c>
      <c r="AG206" s="198" t="str">
        <f t="shared" si="27"/>
        <v/>
      </c>
      <c r="AH206" s="198" t="str">
        <f t="shared" si="23"/>
        <v/>
      </c>
      <c r="AI206" s="200" t="str">
        <f t="shared" si="21"/>
        <v/>
      </c>
      <c r="AJ206" s="208" t="str">
        <f t="shared" si="22"/>
        <v/>
      </c>
      <c r="AK206" s="224" t="e">
        <f>$AI$205+((($AI$208-$AI$205)/($L$208-$L$205))*(L206-$L$205))</f>
        <v>#VALUE!</v>
      </c>
      <c r="AL206" s="162">
        <v>1865</v>
      </c>
      <c r="AM206" s="209">
        <v>1.149501374050522E-5</v>
      </c>
      <c r="AN206" s="183">
        <v>3.0334583350945983E-5</v>
      </c>
      <c r="AO206" s="183">
        <v>8.5391401269161725E-8</v>
      </c>
      <c r="AP206" s="165">
        <v>9.3146516265910414E-8</v>
      </c>
      <c r="AR206" s="210">
        <v>94.671582288786098</v>
      </c>
      <c r="AS206" s="211">
        <v>94.733517407375189</v>
      </c>
      <c r="AT206" s="211">
        <v>94.659625161269531</v>
      </c>
      <c r="AU206" s="211">
        <v>94.542246084733506</v>
      </c>
      <c r="AV206" s="211"/>
      <c r="AW206" s="212"/>
      <c r="AX206" s="210">
        <v>94.300226696032581</v>
      </c>
      <c r="AY206" s="211">
        <v>95.527196433903171</v>
      </c>
      <c r="AZ206" s="213">
        <v>99.126171445524506</v>
      </c>
    </row>
    <row r="207" spans="12:52" x14ac:dyDescent="0.25">
      <c r="L207" s="189">
        <v>1860</v>
      </c>
      <c r="M207" s="196">
        <f t="shared" ref="M207:N222" si="28">M756</f>
        <v>0</v>
      </c>
      <c r="N207" s="197">
        <f t="shared" si="28"/>
        <v>0</v>
      </c>
      <c r="O207" s="152">
        <f ca="1"/>
        <v>94.70275427574127</v>
      </c>
      <c r="Q207" s="198">
        <v>0</v>
      </c>
      <c r="R207" s="200">
        <v>0</v>
      </c>
      <c r="S207" s="200">
        <v>0</v>
      </c>
      <c r="T207" s="200">
        <v>0</v>
      </c>
      <c r="U207" s="200">
        <f t="array" ref="U207">IF(U$77&gt;" ",(U$628:U$1078),"")</f>
        <v>0</v>
      </c>
      <c r="V207" s="200">
        <f t="array" ref="V207">IF(V$77&gt;" ",(V$628:V$1078),"")</f>
        <v>0</v>
      </c>
      <c r="W207" s="200">
        <f t="array" ref="W207">IF(W$77&gt;" ",(W$628:W$1078),"")</f>
        <v>0</v>
      </c>
      <c r="X207" s="200">
        <f t="array" ref="X207">IF(X$77&gt;" ",(X$628:X$1078),"")</f>
        <v>0</v>
      </c>
      <c r="Y207" s="204">
        <v>0</v>
      </c>
      <c r="Z207" s="198" t="str">
        <f t="shared" si="20"/>
        <v/>
      </c>
      <c r="AA207" s="198" t="str">
        <f t="shared" si="20"/>
        <v/>
      </c>
      <c r="AB207" s="198" t="str">
        <f t="shared" si="20"/>
        <v/>
      </c>
      <c r="AC207" s="198" t="str">
        <f t="shared" ref="AC207:AC238" si="29">IF(AND(T207&gt;0,T207&lt;999),(T207-$M207)/($N207-$M207)*$O207,"")</f>
        <v/>
      </c>
      <c r="AD207" s="198" t="str">
        <f t="shared" si="27"/>
        <v/>
      </c>
      <c r="AE207" s="198" t="str">
        <f t="shared" si="27"/>
        <v/>
      </c>
      <c r="AF207" s="198" t="str">
        <f t="shared" si="27"/>
        <v/>
      </c>
      <c r="AG207" s="198" t="str">
        <f t="shared" si="27"/>
        <v/>
      </c>
      <c r="AH207" s="198" t="str">
        <f t="shared" si="23"/>
        <v/>
      </c>
      <c r="AI207" s="200" t="str">
        <f t="shared" si="21"/>
        <v/>
      </c>
      <c r="AJ207" s="208" t="str">
        <f t="shared" si="22"/>
        <v/>
      </c>
      <c r="AK207" s="224" t="e">
        <f>$AI$205+((($AI$208-$AI$205)/($L$208-$L$205))*(L207-$L$205))</f>
        <v>#VALUE!</v>
      </c>
      <c r="AL207" s="162">
        <v>1860</v>
      </c>
      <c r="AM207" s="209">
        <v>1.1891393524660571E-5</v>
      </c>
      <c r="AN207" s="183">
        <v>3.3496103251638243E-5</v>
      </c>
      <c r="AO207" s="183">
        <v>5.6071105614911228E-8</v>
      </c>
      <c r="AP207" s="165">
        <v>6.1112710744036394E-8</v>
      </c>
      <c r="AR207" s="210">
        <v>94.706659101619309</v>
      </c>
      <c r="AS207" s="211">
        <v>94.77807133309912</v>
      </c>
      <c r="AT207" s="211">
        <v>94.70275427574127</v>
      </c>
      <c r="AU207" s="211">
        <v>94.587422721365243</v>
      </c>
      <c r="AV207" s="211"/>
      <c r="AW207" s="212"/>
      <c r="AX207" s="210">
        <v>94.333642880162316</v>
      </c>
      <c r="AY207" s="211">
        <v>95.551035863370245</v>
      </c>
      <c r="AZ207" s="213">
        <v>99.110136373006455</v>
      </c>
    </row>
    <row r="208" spans="12:52" x14ac:dyDescent="0.25">
      <c r="L208" s="189">
        <v>1855</v>
      </c>
      <c r="M208" s="196">
        <f t="shared" si="28"/>
        <v>0</v>
      </c>
      <c r="N208" s="197">
        <f t="shared" si="28"/>
        <v>0</v>
      </c>
      <c r="O208" s="152">
        <f ca="1"/>
        <v>94.745883390212995</v>
      </c>
      <c r="Q208" s="198">
        <v>0</v>
      </c>
      <c r="R208" s="200">
        <v>0</v>
      </c>
      <c r="S208" s="200">
        <v>0</v>
      </c>
      <c r="T208" s="200">
        <v>0</v>
      </c>
      <c r="U208" s="200">
        <f t="array" ref="U208">IF(U$77&gt;" ",(U$628:U$1078),"")</f>
        <v>0</v>
      </c>
      <c r="V208" s="200">
        <f t="array" ref="V208">IF(V$77&gt;" ",(V$628:V$1078),"")</f>
        <v>0</v>
      </c>
      <c r="W208" s="200">
        <f t="array" ref="W208">IF(W$77&gt;" ",(W$628:W$1078),"")</f>
        <v>0</v>
      </c>
      <c r="X208" s="200">
        <f t="array" ref="X208">IF(X$77&gt;" ",(X$628:X$1078),"")</f>
        <v>0</v>
      </c>
      <c r="Y208" s="204">
        <v>0</v>
      </c>
      <c r="Z208" s="198" t="str">
        <f t="shared" ref="Z208:Z239" si="30">IF(AND(Q208&gt;0,Q208&lt;999),(Q208-$M208)/($N208-$M208)*$O208,"")</f>
        <v/>
      </c>
      <c r="AA208" s="198" t="str">
        <f t="shared" ref="AA208:AA239" si="31">IF(AND(R208&gt;0,R208&lt;999),(R208-$M208)/($N208-$M208)*$O208,"")</f>
        <v/>
      </c>
      <c r="AB208" s="198" t="str">
        <f t="shared" ref="AB208:AB239" si="32">IF(AND(S208&gt;0,S208&lt;999),(S208-$M208)/($N208-$M208)*$O208,"")</f>
        <v/>
      </c>
      <c r="AC208" s="198" t="str">
        <f t="shared" si="29"/>
        <v/>
      </c>
      <c r="AD208" s="198" t="str">
        <f t="shared" si="27"/>
        <v/>
      </c>
      <c r="AE208" s="198" t="str">
        <f t="shared" si="27"/>
        <v/>
      </c>
      <c r="AF208" s="198" t="str">
        <f t="shared" si="27"/>
        <v/>
      </c>
      <c r="AG208" s="198" t="str">
        <f t="shared" si="27"/>
        <v/>
      </c>
      <c r="AH208" s="198" t="str">
        <f t="shared" si="23"/>
        <v/>
      </c>
      <c r="AI208" s="200" t="str">
        <f t="shared" ref="AI208:AI271" si="33">IFERROR(AVERAGE(Z208:AA208),"")</f>
        <v/>
      </c>
      <c r="AJ208" s="208" t="str">
        <f t="shared" ref="AJ208:AJ271" si="34">IFERROR(AI208/100,"")</f>
        <v/>
      </c>
      <c r="AK208" s="224"/>
      <c r="AL208" s="162">
        <v>1855</v>
      </c>
      <c r="AM208" s="209">
        <v>2.6623508835767838E-5</v>
      </c>
      <c r="AN208" s="183">
        <v>3.6657623152330503E-5</v>
      </c>
      <c r="AO208" s="183">
        <v>1.4278496233889509E-9</v>
      </c>
      <c r="AP208" s="165">
        <v>1.5555199589107066E-9</v>
      </c>
      <c r="AR208" s="210">
        <v>94.716490057521781</v>
      </c>
      <c r="AS208" s="211">
        <v>94.822625258823066</v>
      </c>
      <c r="AT208" s="211">
        <v>94.745883390212995</v>
      </c>
      <c r="AU208" s="211">
        <v>94.632599357996995</v>
      </c>
      <c r="AV208" s="211"/>
      <c r="AW208" s="212"/>
      <c r="AX208" s="210">
        <v>94.36705906429205</v>
      </c>
      <c r="AY208" s="211">
        <v>95.574875292837305</v>
      </c>
      <c r="AZ208" s="213">
        <v>99.052392201959293</v>
      </c>
    </row>
    <row r="209" spans="12:52" x14ac:dyDescent="0.25">
      <c r="L209" s="189">
        <v>1850</v>
      </c>
      <c r="M209" s="196">
        <f t="shared" si="28"/>
        <v>0</v>
      </c>
      <c r="N209" s="197">
        <f t="shared" si="28"/>
        <v>0</v>
      </c>
      <c r="O209" s="152">
        <f ca="1"/>
        <v>94.768050568627089</v>
      </c>
      <c r="Q209" s="198">
        <v>0</v>
      </c>
      <c r="R209" s="200">
        <v>0</v>
      </c>
      <c r="S209" s="200">
        <v>0</v>
      </c>
      <c r="T209" s="200">
        <v>0</v>
      </c>
      <c r="U209" s="200">
        <f t="array" ref="U209">IF(U$77&gt;" ",(U$628:U$1078),"")</f>
        <v>0</v>
      </c>
      <c r="V209" s="200">
        <f t="array" ref="V209">IF(V$77&gt;" ",(V$628:V$1078),"")</f>
        <v>0</v>
      </c>
      <c r="W209" s="200">
        <f t="array" ref="W209">IF(W$77&gt;" ",(W$628:W$1078),"")</f>
        <v>0</v>
      </c>
      <c r="X209" s="200">
        <f t="array" ref="X209">IF(X$77&gt;" ",(X$628:X$1078),"")</f>
        <v>0</v>
      </c>
      <c r="Y209" s="204">
        <v>0</v>
      </c>
      <c r="Z209" s="198" t="str">
        <f t="shared" si="30"/>
        <v/>
      </c>
      <c r="AA209" s="198" t="str">
        <f t="shared" si="31"/>
        <v/>
      </c>
      <c r="AB209" s="198" t="str">
        <f t="shared" si="32"/>
        <v/>
      </c>
      <c r="AC209" s="198" t="str">
        <f t="shared" si="29"/>
        <v/>
      </c>
      <c r="AD209" s="198" t="str">
        <f t="shared" si="27"/>
        <v/>
      </c>
      <c r="AE209" s="198" t="str">
        <f t="shared" si="27"/>
        <v/>
      </c>
      <c r="AF209" s="198" t="str">
        <f t="shared" si="27"/>
        <v/>
      </c>
      <c r="AG209" s="198" t="str">
        <f t="shared" si="27"/>
        <v/>
      </c>
      <c r="AH209" s="198" t="str">
        <f t="shared" si="23"/>
        <v/>
      </c>
      <c r="AI209" s="200" t="str">
        <f t="shared" si="33"/>
        <v/>
      </c>
      <c r="AJ209" s="208" t="str">
        <f t="shared" si="34"/>
        <v/>
      </c>
      <c r="AK209" s="4"/>
      <c r="AL209" s="162">
        <v>1850</v>
      </c>
      <c r="AM209" s="209">
        <v>4.1421687444234318E-5</v>
      </c>
      <c r="AN209" s="183">
        <v>3.9819143053022762E-5</v>
      </c>
      <c r="AO209" s="183">
        <v>1.5081523367483026E-8</v>
      </c>
      <c r="AP209" s="165">
        <v>1.6424320832563919E-8</v>
      </c>
      <c r="AR209" s="210">
        <v>94.742690846836268</v>
      </c>
      <c r="AS209" s="211">
        <v>94.838745363186874</v>
      </c>
      <c r="AT209" s="211">
        <v>94.768050568627089</v>
      </c>
      <c r="AU209" s="211">
        <v>94.650558279596183</v>
      </c>
      <c r="AV209" s="211"/>
      <c r="AW209" s="212"/>
      <c r="AX209" s="210">
        <v>94.343643388019629</v>
      </c>
      <c r="AY209" s="211">
        <v>95.541585257813381</v>
      </c>
      <c r="AZ209" s="213">
        <v>99.199465720710506</v>
      </c>
    </row>
    <row r="210" spans="12:52" x14ac:dyDescent="0.25">
      <c r="L210" s="189">
        <v>1845</v>
      </c>
      <c r="M210" s="196">
        <f t="shared" si="28"/>
        <v>0</v>
      </c>
      <c r="N210" s="197">
        <f t="shared" si="28"/>
        <v>0</v>
      </c>
      <c r="O210" s="152">
        <f ca="1"/>
        <v>94.78585631060453</v>
      </c>
      <c r="Q210" s="198">
        <v>0</v>
      </c>
      <c r="R210" s="200">
        <v>0</v>
      </c>
      <c r="S210" s="200">
        <v>0</v>
      </c>
      <c r="T210" s="200">
        <v>0</v>
      </c>
      <c r="U210" s="200">
        <f t="array" ref="U210">IF(U$77&gt;" ",(U$628:U$1078),"")</f>
        <v>0</v>
      </c>
      <c r="V210" s="200">
        <f t="array" ref="V210">IF(V$77&gt;" ",(V$628:V$1078),"")</f>
        <v>0</v>
      </c>
      <c r="W210" s="200">
        <f t="array" ref="W210">IF(W$77&gt;" ",(W$628:W$1078),"")</f>
        <v>0</v>
      </c>
      <c r="X210" s="200">
        <f t="array" ref="X210">IF(X$77&gt;" ",(X$628:X$1078),"")</f>
        <v>0</v>
      </c>
      <c r="Y210" s="204">
        <v>0</v>
      </c>
      <c r="Z210" s="198" t="str">
        <f t="shared" si="30"/>
        <v/>
      </c>
      <c r="AA210" s="198" t="str">
        <f t="shared" si="31"/>
        <v/>
      </c>
      <c r="AB210" s="198" t="str">
        <f t="shared" si="32"/>
        <v/>
      </c>
      <c r="AC210" s="198" t="str">
        <f t="shared" si="29"/>
        <v/>
      </c>
      <c r="AD210" s="198" t="str">
        <f t="shared" si="27"/>
        <v/>
      </c>
      <c r="AE210" s="198" t="str">
        <f t="shared" si="27"/>
        <v/>
      </c>
      <c r="AF210" s="198" t="str">
        <f t="shared" si="27"/>
        <v/>
      </c>
      <c r="AG210" s="198" t="str">
        <f t="shared" si="27"/>
        <v/>
      </c>
      <c r="AH210" s="198" t="str">
        <f t="shared" si="23"/>
        <v/>
      </c>
      <c r="AI210" s="200" t="str">
        <f t="shared" si="33"/>
        <v/>
      </c>
      <c r="AJ210" s="208" t="str">
        <f t="shared" si="34"/>
        <v/>
      </c>
      <c r="AK210" s="4"/>
      <c r="AL210" s="162">
        <v>1845</v>
      </c>
      <c r="AM210" s="209">
        <v>5.6153802755341586E-5</v>
      </c>
      <c r="AN210" s="183">
        <v>5.7417603512888857E-5</v>
      </c>
      <c r="AO210" s="183">
        <v>3.1506621250283453E-8</v>
      </c>
      <c r="AP210" s="165">
        <v>3.430482548706908E-8</v>
      </c>
      <c r="AR210" s="210">
        <v>94.769076623373692</v>
      </c>
      <c r="AS210" s="211">
        <v>94.857236567395987</v>
      </c>
      <c r="AT210" s="211">
        <v>94.78585631060453</v>
      </c>
      <c r="AU210" s="211">
        <v>94.660774396068362</v>
      </c>
      <c r="AV210" s="211"/>
      <c r="AW210" s="212"/>
      <c r="AX210" s="210">
        <v>94.413965185872712</v>
      </c>
      <c r="AY210" s="211">
        <v>95.615980399641145</v>
      </c>
      <c r="AZ210" s="213">
        <v>99.193932118196301</v>
      </c>
    </row>
    <row r="211" spans="12:52" x14ac:dyDescent="0.25">
      <c r="L211" s="189">
        <v>1840</v>
      </c>
      <c r="M211" s="196">
        <f t="shared" si="28"/>
        <v>0</v>
      </c>
      <c r="N211" s="197">
        <f t="shared" si="28"/>
        <v>0</v>
      </c>
      <c r="O211" s="152">
        <f ca="1"/>
        <v>94.824508255482328</v>
      </c>
      <c r="Q211" s="198">
        <v>0</v>
      </c>
      <c r="R211" s="200">
        <v>0</v>
      </c>
      <c r="S211" s="200">
        <v>0</v>
      </c>
      <c r="T211" s="200">
        <v>0</v>
      </c>
      <c r="U211" s="200">
        <f t="array" ref="U211">IF(U$77&gt;" ",(U$628:U$1078),"")</f>
        <v>0</v>
      </c>
      <c r="V211" s="200">
        <f t="array" ref="V211">IF(V$77&gt;" ",(V$628:V$1078),"")</f>
        <v>0</v>
      </c>
      <c r="W211" s="200">
        <f t="array" ref="W211">IF(W$77&gt;" ",(W$628:W$1078),"")</f>
        <v>0</v>
      </c>
      <c r="X211" s="200">
        <f t="array" ref="X211">IF(X$77&gt;" ",(X$628:X$1078),"")</f>
        <v>0</v>
      </c>
      <c r="Y211" s="204">
        <v>0</v>
      </c>
      <c r="Z211" s="198" t="str">
        <f t="shared" si="30"/>
        <v/>
      </c>
      <c r="AA211" s="198" t="str">
        <f t="shared" si="31"/>
        <v/>
      </c>
      <c r="AB211" s="198" t="str">
        <f t="shared" si="32"/>
        <v/>
      </c>
      <c r="AC211" s="198" t="str">
        <f t="shared" si="29"/>
        <v/>
      </c>
      <c r="AD211" s="198" t="str">
        <f t="shared" si="27"/>
        <v/>
      </c>
      <c r="AE211" s="198" t="str">
        <f t="shared" si="27"/>
        <v/>
      </c>
      <c r="AF211" s="198" t="str">
        <f t="shared" si="27"/>
        <v/>
      </c>
      <c r="AG211" s="198" t="str">
        <f t="shared" si="27"/>
        <v/>
      </c>
      <c r="AH211" s="198" t="str">
        <f t="shared" si="23"/>
        <v/>
      </c>
      <c r="AI211" s="200" t="str">
        <f t="shared" si="33"/>
        <v/>
      </c>
      <c r="AJ211" s="208" t="str">
        <f t="shared" si="34"/>
        <v/>
      </c>
      <c r="AK211" s="4"/>
      <c r="AL211" s="162">
        <v>1840</v>
      </c>
      <c r="AM211" s="209">
        <v>7.0885918066448855E-5</v>
      </c>
      <c r="AN211" s="183">
        <v>7.5016063972754951E-5</v>
      </c>
      <c r="AO211" s="183">
        <v>3.1529248815099799E-10</v>
      </c>
      <c r="AP211" s="165">
        <v>3.4326651455191945E-10</v>
      </c>
      <c r="AR211" s="210">
        <v>94.804769058922972</v>
      </c>
      <c r="AS211" s="211">
        <v>94.908150608579831</v>
      </c>
      <c r="AT211" s="211">
        <v>94.824508255482328</v>
      </c>
      <c r="AU211" s="211">
        <v>94.703813370122703</v>
      </c>
      <c r="AV211" s="211"/>
      <c r="AW211" s="212"/>
      <c r="AX211" s="210">
        <v>94.467492514188962</v>
      </c>
      <c r="AY211" s="211">
        <v>95.664667211039159</v>
      </c>
      <c r="AZ211" s="213">
        <v>99.182032542693392</v>
      </c>
    </row>
    <row r="212" spans="12:52" x14ac:dyDescent="0.25">
      <c r="L212" s="189">
        <v>1835</v>
      </c>
      <c r="M212" s="196">
        <f t="shared" si="28"/>
        <v>0</v>
      </c>
      <c r="N212" s="197">
        <f t="shared" si="28"/>
        <v>0</v>
      </c>
      <c r="O212" s="152">
        <f ca="1"/>
        <v>94.891756723050307</v>
      </c>
      <c r="Q212" s="198">
        <v>0</v>
      </c>
      <c r="R212" s="200">
        <v>0</v>
      </c>
      <c r="S212" s="200">
        <v>0</v>
      </c>
      <c r="T212" s="200">
        <v>0</v>
      </c>
      <c r="U212" s="200">
        <f t="array" ref="U212">IF(U$77&gt;" ",(U$628:U$1078),"")</f>
        <v>0</v>
      </c>
      <c r="V212" s="200">
        <f t="array" ref="V212">IF(V$77&gt;" ",(V$628:V$1078),"")</f>
        <v>0</v>
      </c>
      <c r="W212" s="200">
        <f t="array" ref="W212">IF(W$77&gt;" ",(W$628:W$1078),"")</f>
        <v>0</v>
      </c>
      <c r="X212" s="200">
        <f t="array" ref="X212">IF(X$77&gt;" ",(X$628:X$1078),"")</f>
        <v>0</v>
      </c>
      <c r="Y212" s="204">
        <v>0</v>
      </c>
      <c r="Z212" s="198" t="str">
        <f t="shared" si="30"/>
        <v/>
      </c>
      <c r="AA212" s="198" t="str">
        <f t="shared" si="31"/>
        <v/>
      </c>
      <c r="AB212" s="198" t="str">
        <f t="shared" si="32"/>
        <v/>
      </c>
      <c r="AC212" s="198" t="str">
        <f t="shared" si="29"/>
        <v/>
      </c>
      <c r="AD212" s="198" t="str">
        <f t="shared" si="27"/>
        <v/>
      </c>
      <c r="AE212" s="198" t="str">
        <f t="shared" si="27"/>
        <v/>
      </c>
      <c r="AF212" s="198" t="str">
        <f t="shared" si="27"/>
        <v/>
      </c>
      <c r="AG212" s="198" t="str">
        <f t="shared" si="27"/>
        <v/>
      </c>
      <c r="AH212" s="198" t="str">
        <f t="shared" si="23"/>
        <v/>
      </c>
      <c r="AI212" s="200" t="str">
        <f t="shared" si="33"/>
        <v/>
      </c>
      <c r="AJ212" s="208" t="str">
        <f t="shared" si="34"/>
        <v/>
      </c>
      <c r="AK212" s="4"/>
      <c r="AL212" s="162">
        <v>1835</v>
      </c>
      <c r="AM212" s="209">
        <v>8.5684096674915348E-5</v>
      </c>
      <c r="AN212" s="183">
        <v>9.2614524432621032E-5</v>
      </c>
      <c r="AO212" s="183">
        <v>3.2276964123586686E-8</v>
      </c>
      <c r="AP212" s="165">
        <v>3.5136450836571252E-8</v>
      </c>
      <c r="AR212" s="210">
        <v>94.861841603742874</v>
      </c>
      <c r="AS212" s="211">
        <v>94.964597875624278</v>
      </c>
      <c r="AT212" s="211">
        <v>94.891756723050307</v>
      </c>
      <c r="AU212" s="211">
        <v>94.761714135449097</v>
      </c>
      <c r="AV212" s="211"/>
      <c r="AW212" s="212"/>
      <c r="AX212" s="210">
        <v>94.479812044047534</v>
      </c>
      <c r="AY212" s="211">
        <v>95.641966191006759</v>
      </c>
      <c r="AZ212" s="213">
        <v>99.232561959936106</v>
      </c>
    </row>
    <row r="213" spans="12:52" x14ac:dyDescent="0.25">
      <c r="L213" s="189">
        <v>1830</v>
      </c>
      <c r="M213" s="196">
        <f t="shared" si="28"/>
        <v>0</v>
      </c>
      <c r="N213" s="197">
        <f t="shared" si="28"/>
        <v>0</v>
      </c>
      <c r="O213" s="152">
        <f ca="1"/>
        <v>94.92769297415866</v>
      </c>
      <c r="Q213" s="198">
        <v>0</v>
      </c>
      <c r="R213" s="200">
        <v>0</v>
      </c>
      <c r="S213" s="200">
        <v>0</v>
      </c>
      <c r="T213" s="200">
        <v>0</v>
      </c>
      <c r="U213" s="200">
        <f t="array" ref="U213">IF(U$77&gt;" ",(U$628:U$1078),"")</f>
        <v>0</v>
      </c>
      <c r="V213" s="200">
        <f t="array" ref="V213">IF(V$77&gt;" ",(V$628:V$1078),"")</f>
        <v>0</v>
      </c>
      <c r="W213" s="200">
        <f t="array" ref="W213">IF(W$77&gt;" ",(W$628:W$1078),"")</f>
        <v>0</v>
      </c>
      <c r="X213" s="200">
        <f t="array" ref="X213">IF(X$77&gt;" ",(X$628:X$1078),"")</f>
        <v>0</v>
      </c>
      <c r="Y213" s="204">
        <v>0</v>
      </c>
      <c r="Z213" s="198" t="str">
        <f t="shared" si="30"/>
        <v/>
      </c>
      <c r="AA213" s="198" t="str">
        <f t="shared" si="31"/>
        <v/>
      </c>
      <c r="AB213" s="198" t="str">
        <f t="shared" si="32"/>
        <v/>
      </c>
      <c r="AC213" s="198" t="str">
        <f t="shared" si="29"/>
        <v/>
      </c>
      <c r="AD213" s="198" t="str">
        <f t="shared" si="27"/>
        <v/>
      </c>
      <c r="AE213" s="198" t="str">
        <f t="shared" si="27"/>
        <v/>
      </c>
      <c r="AF213" s="198" t="str">
        <f t="shared" si="27"/>
        <v/>
      </c>
      <c r="AG213" s="198" t="str">
        <f t="shared" si="27"/>
        <v/>
      </c>
      <c r="AH213" s="198" t="str">
        <f t="shared" si="23"/>
        <v/>
      </c>
      <c r="AI213" s="200" t="str">
        <f t="shared" si="33"/>
        <v/>
      </c>
      <c r="AJ213" s="208" t="str">
        <f t="shared" si="34"/>
        <v/>
      </c>
      <c r="AK213" s="4"/>
      <c r="AL213" s="162">
        <v>1830</v>
      </c>
      <c r="AM213" s="209">
        <v>1.004162119860226E-4</v>
      </c>
      <c r="AN213" s="183">
        <v>1.1021298489248713E-4</v>
      </c>
      <c r="AO213" s="183">
        <v>2.6168024457946326E-8</v>
      </c>
      <c r="AP213" s="165">
        <v>2.8483448040553815E-8</v>
      </c>
      <c r="AR213" s="210">
        <v>94.898902546110889</v>
      </c>
      <c r="AS213" s="211">
        <v>94.997607835803535</v>
      </c>
      <c r="AT213" s="211">
        <v>94.92769297415866</v>
      </c>
      <c r="AU213" s="211">
        <v>94.80352178621591</v>
      </c>
      <c r="AV213" s="211"/>
      <c r="AW213" s="212"/>
      <c r="AX213" s="210">
        <v>94.498224681407009</v>
      </c>
      <c r="AY213" s="211">
        <v>95.654284507194873</v>
      </c>
      <c r="AZ213" s="213">
        <v>99.073560086841781</v>
      </c>
    </row>
    <row r="214" spans="12:52" x14ac:dyDescent="0.25">
      <c r="L214" s="189">
        <v>1825</v>
      </c>
      <c r="M214" s="196">
        <f t="shared" si="28"/>
        <v>0</v>
      </c>
      <c r="N214" s="197">
        <f t="shared" si="28"/>
        <v>0</v>
      </c>
      <c r="O214" s="152">
        <f ca="1"/>
        <v>94.960106188766872</v>
      </c>
      <c r="Q214" s="198">
        <v>0</v>
      </c>
      <c r="R214" s="200">
        <v>0</v>
      </c>
      <c r="S214" s="200">
        <v>0</v>
      </c>
      <c r="T214" s="200">
        <v>0</v>
      </c>
      <c r="U214" s="200">
        <f t="array" ref="U214">IF(U$77&gt;" ",(U$628:U$1078),"")</f>
        <v>0</v>
      </c>
      <c r="V214" s="200">
        <f t="array" ref="V214">IF(V$77&gt;" ",(V$628:V$1078),"")</f>
        <v>0</v>
      </c>
      <c r="W214" s="200">
        <f t="array" ref="W214">IF(W$77&gt;" ",(W$628:W$1078),"")</f>
        <v>0</v>
      </c>
      <c r="X214" s="200">
        <f t="array" ref="X214">IF(X$77&gt;" ",(X$628:X$1078),"")</f>
        <v>0</v>
      </c>
      <c r="Y214" s="204">
        <v>0</v>
      </c>
      <c r="Z214" s="198" t="str">
        <f t="shared" si="30"/>
        <v/>
      </c>
      <c r="AA214" s="198" t="str">
        <f t="shared" si="31"/>
        <v/>
      </c>
      <c r="AB214" s="198" t="str">
        <f t="shared" si="32"/>
        <v/>
      </c>
      <c r="AC214" s="198" t="str">
        <f t="shared" si="29"/>
        <v/>
      </c>
      <c r="AD214" s="198" t="str">
        <f t="shared" si="27"/>
        <v/>
      </c>
      <c r="AE214" s="198" t="str">
        <f t="shared" si="27"/>
        <v/>
      </c>
      <c r="AF214" s="198" t="str">
        <f t="shared" si="27"/>
        <v/>
      </c>
      <c r="AG214" s="198" t="str">
        <f t="shared" si="27"/>
        <v/>
      </c>
      <c r="AH214" s="198" t="str">
        <f t="shared" si="23"/>
        <v/>
      </c>
      <c r="AI214" s="200" t="str">
        <f t="shared" si="33"/>
        <v/>
      </c>
      <c r="AJ214" s="208" t="str">
        <f t="shared" si="34"/>
        <v/>
      </c>
      <c r="AK214" s="4"/>
      <c r="AL214" s="162">
        <v>1825</v>
      </c>
      <c r="AM214" s="209">
        <v>1.1514832729712987E-4</v>
      </c>
      <c r="AN214" s="183">
        <v>1.2781144535235322E-4</v>
      </c>
      <c r="AO214" s="183">
        <v>6.4081263559898534E-6</v>
      </c>
      <c r="AP214" s="165">
        <v>6.9747959157777078E-6</v>
      </c>
      <c r="AR214" s="210">
        <v>94.939610115066245</v>
      </c>
      <c r="AS214" s="211">
        <v>95.036899919450434</v>
      </c>
      <c r="AT214" s="211">
        <v>94.960106188766872</v>
      </c>
      <c r="AU214" s="211">
        <v>94.832271910913263</v>
      </c>
      <c r="AV214" s="211"/>
      <c r="AW214" s="212"/>
      <c r="AX214" s="210">
        <v>94.563860996089446</v>
      </c>
      <c r="AY214" s="211">
        <v>95.712669050170646</v>
      </c>
      <c r="AZ214" s="213">
        <v>98.987969672564645</v>
      </c>
    </row>
    <row r="215" spans="12:52" x14ac:dyDescent="0.25">
      <c r="L215" s="189">
        <v>1820</v>
      </c>
      <c r="M215" s="196">
        <f t="shared" si="28"/>
        <v>0</v>
      </c>
      <c r="N215" s="197">
        <f t="shared" si="28"/>
        <v>0</v>
      </c>
      <c r="O215" s="152">
        <f ca="1"/>
        <v>94.980490785250666</v>
      </c>
      <c r="Q215" s="198">
        <v>0</v>
      </c>
      <c r="R215" s="200">
        <v>0</v>
      </c>
      <c r="S215" s="200">
        <v>0</v>
      </c>
      <c r="T215" s="200">
        <v>0</v>
      </c>
      <c r="U215" s="200">
        <f t="array" ref="U215">IF(U$77&gt;" ",(U$628:U$1078),"")</f>
        <v>0</v>
      </c>
      <c r="V215" s="200">
        <f t="array" ref="V215">IF(V$77&gt;" ",(V$628:V$1078),"")</f>
        <v>0</v>
      </c>
      <c r="W215" s="200">
        <f t="array" ref="W215">IF(W$77&gt;" ",(W$628:W$1078),"")</f>
        <v>0</v>
      </c>
      <c r="X215" s="200">
        <f t="array" ref="X215">IF(X$77&gt;" ",(X$628:X$1078),"")</f>
        <v>0</v>
      </c>
      <c r="Y215" s="204">
        <v>0</v>
      </c>
      <c r="Z215" s="198" t="str">
        <f t="shared" si="30"/>
        <v/>
      </c>
      <c r="AA215" s="198" t="str">
        <f t="shared" si="31"/>
        <v/>
      </c>
      <c r="AB215" s="198" t="str">
        <f t="shared" si="32"/>
        <v/>
      </c>
      <c r="AC215" s="198" t="str">
        <f t="shared" si="29"/>
        <v/>
      </c>
      <c r="AD215" s="198" t="str">
        <f t="shared" si="27"/>
        <v/>
      </c>
      <c r="AE215" s="198" t="str">
        <f t="shared" si="27"/>
        <v/>
      </c>
      <c r="AF215" s="198" t="str">
        <f t="shared" si="27"/>
        <v/>
      </c>
      <c r="AG215" s="198" t="str">
        <f t="shared" si="27"/>
        <v/>
      </c>
      <c r="AH215" s="198" t="str">
        <f t="shared" si="23"/>
        <v/>
      </c>
      <c r="AI215" s="200" t="str">
        <f t="shared" si="33"/>
        <v/>
      </c>
      <c r="AJ215" s="208" t="str">
        <f t="shared" si="34"/>
        <v/>
      </c>
      <c r="AK215" s="4"/>
      <c r="AL215" s="162">
        <v>1820</v>
      </c>
      <c r="AM215" s="209">
        <v>1.2994650590559637E-4</v>
      </c>
      <c r="AN215" s="183">
        <v>1.4540990581221928E-4</v>
      </c>
      <c r="AO215" s="183">
        <v>4.9657448076410703E-6</v>
      </c>
      <c r="AP215" s="165">
        <v>5.4048932035142368E-6</v>
      </c>
      <c r="AR215" s="210">
        <v>94.956064364823803</v>
      </c>
      <c r="AS215" s="211">
        <v>95.058821496742027</v>
      </c>
      <c r="AT215" s="211">
        <v>94.980490785250666</v>
      </c>
      <c r="AU215" s="211">
        <v>94.857627552164743</v>
      </c>
      <c r="AV215" s="211"/>
      <c r="AW215" s="212"/>
      <c r="AX215" s="210">
        <v>94.608711489159475</v>
      </c>
      <c r="AY215" s="211">
        <v>95.753842288762698</v>
      </c>
      <c r="AZ215" s="213">
        <v>99.09716239054957</v>
      </c>
    </row>
    <row r="216" spans="12:52" x14ac:dyDescent="0.25">
      <c r="L216" s="189">
        <v>1815</v>
      </c>
      <c r="M216" s="196">
        <f t="shared" si="28"/>
        <v>0</v>
      </c>
      <c r="N216" s="197">
        <f t="shared" si="28"/>
        <v>0</v>
      </c>
      <c r="O216" s="152">
        <f ca="1"/>
        <v>95.041730605987013</v>
      </c>
      <c r="Q216" s="198">
        <v>0</v>
      </c>
      <c r="R216" s="200">
        <v>0</v>
      </c>
      <c r="S216" s="200">
        <v>0</v>
      </c>
      <c r="T216" s="200">
        <v>0</v>
      </c>
      <c r="U216" s="200">
        <f t="array" ref="U216">IF(U$77&gt;" ",(U$628:U$1078),"")</f>
        <v>0</v>
      </c>
      <c r="V216" s="200">
        <f t="array" ref="V216">IF(V$77&gt;" ",(V$628:V$1078),"")</f>
        <v>0</v>
      </c>
      <c r="W216" s="200">
        <f t="array" ref="W216">IF(W$77&gt;" ",(W$628:W$1078),"")</f>
        <v>0</v>
      </c>
      <c r="X216" s="200">
        <f t="array" ref="X216">IF(X$77&gt;" ",(X$628:X$1078),"")</f>
        <v>0</v>
      </c>
      <c r="Y216" s="204">
        <v>0</v>
      </c>
      <c r="Z216" s="198" t="str">
        <f t="shared" si="30"/>
        <v/>
      </c>
      <c r="AA216" s="198" t="str">
        <f t="shared" si="31"/>
        <v/>
      </c>
      <c r="AB216" s="198" t="str">
        <f t="shared" si="32"/>
        <v/>
      </c>
      <c r="AC216" s="198" t="str">
        <f t="shared" si="29"/>
        <v/>
      </c>
      <c r="AD216" s="198" t="str">
        <f t="shared" si="27"/>
        <v/>
      </c>
      <c r="AE216" s="198" t="str">
        <f t="shared" si="27"/>
        <v/>
      </c>
      <c r="AF216" s="198" t="str">
        <f t="shared" si="27"/>
        <v/>
      </c>
      <c r="AG216" s="198" t="str">
        <f t="shared" si="27"/>
        <v/>
      </c>
      <c r="AH216" s="198" t="str">
        <f t="shared" si="23"/>
        <v/>
      </c>
      <c r="AI216" s="200" t="str">
        <f t="shared" si="33"/>
        <v/>
      </c>
      <c r="AJ216" s="208" t="str">
        <f t="shared" si="34"/>
        <v/>
      </c>
      <c r="AK216" s="4"/>
      <c r="AL216" s="162">
        <v>1815</v>
      </c>
      <c r="AM216" s="209">
        <v>1.4467862121670362E-4</v>
      </c>
      <c r="AN216" s="183">
        <v>1.6300836627208538E-4</v>
      </c>
      <c r="AO216" s="183">
        <v>1.6501025933628614E-5</v>
      </c>
      <c r="AP216" s="165">
        <v>1.7960533204289011E-5</v>
      </c>
      <c r="AR216" s="210">
        <v>94.998552681451116</v>
      </c>
      <c r="AS216" s="211">
        <v>95.115512298298711</v>
      </c>
      <c r="AT216" s="211">
        <v>95.041730605987013</v>
      </c>
      <c r="AU216" s="211">
        <v>94.913161516363587</v>
      </c>
      <c r="AV216" s="211"/>
      <c r="AW216" s="212"/>
      <c r="AX216" s="210">
        <v>94.645898491130708</v>
      </c>
      <c r="AY216" s="211">
        <v>95.773104806540402</v>
      </c>
      <c r="AZ216" s="213">
        <v>99.043249028933417</v>
      </c>
    </row>
    <row r="217" spans="12:52" x14ac:dyDescent="0.25">
      <c r="L217" s="189">
        <v>1810</v>
      </c>
      <c r="M217" s="196">
        <f t="shared" si="28"/>
        <v>0</v>
      </c>
      <c r="N217" s="197">
        <f t="shared" si="28"/>
        <v>0</v>
      </c>
      <c r="O217" s="152">
        <f ca="1"/>
        <v>95.059278481873363</v>
      </c>
      <c r="Q217" s="198">
        <v>0</v>
      </c>
      <c r="R217" s="200">
        <v>0</v>
      </c>
      <c r="S217" s="200">
        <v>0</v>
      </c>
      <c r="T217" s="200">
        <v>0</v>
      </c>
      <c r="U217" s="200">
        <f t="array" ref="U217">IF(U$77&gt;" ",(U$628:U$1078),"")</f>
        <v>0</v>
      </c>
      <c r="V217" s="200">
        <f t="array" ref="V217">IF(V$77&gt;" ",(V$628:V$1078),"")</f>
        <v>0</v>
      </c>
      <c r="W217" s="200">
        <f t="array" ref="W217">IF(W$77&gt;" ",(W$628:W$1078),"")</f>
        <v>0</v>
      </c>
      <c r="X217" s="200">
        <f t="array" ref="X217">IF(X$77&gt;" ",(X$628:X$1078),"")</f>
        <v>0</v>
      </c>
      <c r="Y217" s="204">
        <v>0</v>
      </c>
      <c r="Z217" s="198" t="str">
        <f t="shared" si="30"/>
        <v/>
      </c>
      <c r="AA217" s="198" t="str">
        <f t="shared" si="31"/>
        <v/>
      </c>
      <c r="AB217" s="198" t="str">
        <f t="shared" si="32"/>
        <v/>
      </c>
      <c r="AC217" s="198" t="str">
        <f t="shared" si="29"/>
        <v/>
      </c>
      <c r="AD217" s="198" t="str">
        <f t="shared" si="27"/>
        <v/>
      </c>
      <c r="AE217" s="198" t="str">
        <f t="shared" si="27"/>
        <v/>
      </c>
      <c r="AF217" s="198" t="str">
        <f t="shared" si="27"/>
        <v/>
      </c>
      <c r="AG217" s="198" t="str">
        <f t="shared" si="27"/>
        <v/>
      </c>
      <c r="AH217" s="198" t="str">
        <f t="shared" si="23"/>
        <v/>
      </c>
      <c r="AI217" s="200" t="str">
        <f t="shared" si="33"/>
        <v/>
      </c>
      <c r="AJ217" s="208" t="str">
        <f t="shared" si="34"/>
        <v/>
      </c>
      <c r="AK217" s="4"/>
      <c r="AL217" s="162">
        <v>1810</v>
      </c>
      <c r="AM217" s="209">
        <v>1.5941073652781087E-4</v>
      </c>
      <c r="AN217" s="183">
        <v>1.8060682673195149E-4</v>
      </c>
      <c r="AO217" s="183">
        <v>4.8730220753714119E-5</v>
      </c>
      <c r="AP217" s="165">
        <v>5.3032625416908213E-5</v>
      </c>
      <c r="AR217" s="210">
        <v>95.034099727163436</v>
      </c>
      <c r="AS217" s="211">
        <v>95.133883431429979</v>
      </c>
      <c r="AT217" s="211">
        <v>95.059278481873363</v>
      </c>
      <c r="AU217" s="211">
        <v>94.92909400904027</v>
      </c>
      <c r="AV217" s="211"/>
      <c r="AW217" s="212"/>
      <c r="AX217" s="210">
        <v>94.683670665209959</v>
      </c>
      <c r="AY217" s="211">
        <v>95.801146692992162</v>
      </c>
      <c r="AZ217" s="213">
        <v>99.105317415047551</v>
      </c>
    </row>
    <row r="218" spans="12:52" x14ac:dyDescent="0.25">
      <c r="L218" s="189">
        <v>1805</v>
      </c>
      <c r="M218" s="196">
        <f t="shared" si="28"/>
        <v>0</v>
      </c>
      <c r="N218" s="197">
        <f t="shared" si="28"/>
        <v>0</v>
      </c>
      <c r="O218" s="152">
        <f ca="1"/>
        <v>95.098315056134609</v>
      </c>
      <c r="Q218" s="198">
        <v>0</v>
      </c>
      <c r="R218" s="200">
        <v>0</v>
      </c>
      <c r="S218" s="200">
        <v>0</v>
      </c>
      <c r="T218" s="200">
        <v>0</v>
      </c>
      <c r="U218" s="200">
        <f t="array" ref="U218">IF(U$77&gt;" ",(U$628:U$1078),"")</f>
        <v>0</v>
      </c>
      <c r="V218" s="200">
        <f t="array" ref="V218">IF(V$77&gt;" ",(V$628:V$1078),"")</f>
        <v>0</v>
      </c>
      <c r="W218" s="200">
        <f t="array" ref="W218">IF(W$77&gt;" ",(W$628:W$1078),"")</f>
        <v>0</v>
      </c>
      <c r="X218" s="200">
        <f t="array" ref="X218">IF(X$77&gt;" ",(X$628:X$1078),"")</f>
        <v>0</v>
      </c>
      <c r="Y218" s="204">
        <v>0</v>
      </c>
      <c r="Z218" s="198" t="str">
        <f t="shared" si="30"/>
        <v/>
      </c>
      <c r="AA218" s="198" t="str">
        <f t="shared" si="31"/>
        <v/>
      </c>
      <c r="AB218" s="198" t="str">
        <f t="shared" si="32"/>
        <v/>
      </c>
      <c r="AC218" s="198" t="str">
        <f t="shared" si="29"/>
        <v/>
      </c>
      <c r="AD218" s="198" t="str">
        <f t="shared" si="27"/>
        <v/>
      </c>
      <c r="AE218" s="198" t="str">
        <f t="shared" si="27"/>
        <v/>
      </c>
      <c r="AF218" s="198" t="str">
        <f t="shared" si="27"/>
        <v/>
      </c>
      <c r="AG218" s="198" t="str">
        <f t="shared" si="27"/>
        <v/>
      </c>
      <c r="AH218" s="198" t="str">
        <f t="shared" si="23"/>
        <v/>
      </c>
      <c r="AI218" s="200" t="str">
        <f t="shared" si="33"/>
        <v/>
      </c>
      <c r="AJ218" s="208" t="str">
        <f t="shared" si="34"/>
        <v/>
      </c>
      <c r="AK218" s="4"/>
      <c r="AL218" s="162">
        <v>1805</v>
      </c>
      <c r="AM218" s="209">
        <v>1.7420891513627738E-4</v>
      </c>
      <c r="AN218" s="183">
        <v>1.9820528719181757E-4</v>
      </c>
      <c r="AO218" s="183">
        <v>7.4494971723155752E-5</v>
      </c>
      <c r="AP218" s="165">
        <v>8.106388416917282E-5</v>
      </c>
      <c r="AR218" s="210">
        <v>95.071243046764948</v>
      </c>
      <c r="AS218" s="211">
        <v>95.164897565665385</v>
      </c>
      <c r="AT218" s="211">
        <v>95.098315056134609</v>
      </c>
      <c r="AU218" s="211">
        <v>94.967943708801656</v>
      </c>
      <c r="AV218" s="211"/>
      <c r="AW218" s="212"/>
      <c r="AX218" s="210">
        <v>94.754453042457612</v>
      </c>
      <c r="AY218" s="211">
        <v>95.843486312300627</v>
      </c>
      <c r="AZ218" s="213">
        <v>99.100196030242472</v>
      </c>
    </row>
    <row r="219" spans="12:52" x14ac:dyDescent="0.25">
      <c r="L219" s="189">
        <v>1800</v>
      </c>
      <c r="M219" s="196">
        <f t="shared" si="28"/>
        <v>0</v>
      </c>
      <c r="N219" s="197">
        <f t="shared" si="28"/>
        <v>0</v>
      </c>
      <c r="O219" s="152">
        <f ca="1"/>
        <v>95.138737615415209</v>
      </c>
      <c r="Q219" s="198">
        <v>0</v>
      </c>
      <c r="R219" s="200">
        <v>0</v>
      </c>
      <c r="S219" s="200">
        <v>0</v>
      </c>
      <c r="T219" s="200">
        <v>0</v>
      </c>
      <c r="U219" s="200">
        <f t="array" ref="U219">IF(U$77&gt;" ",(U$628:U$1078),"")</f>
        <v>0</v>
      </c>
      <c r="V219" s="200">
        <f t="array" ref="V219">IF(V$77&gt;" ",(V$628:V$1078),"")</f>
        <v>0</v>
      </c>
      <c r="W219" s="200">
        <f t="array" ref="W219">IF(W$77&gt;" ",(W$628:W$1078),"")</f>
        <v>0</v>
      </c>
      <c r="X219" s="200">
        <f t="array" ref="X219">IF(X$77&gt;" ",(X$628:X$1078),"")</f>
        <v>0</v>
      </c>
      <c r="Y219" s="204">
        <v>0</v>
      </c>
      <c r="Z219" s="198" t="str">
        <f t="shared" si="30"/>
        <v/>
      </c>
      <c r="AA219" s="198" t="str">
        <f t="shared" si="31"/>
        <v/>
      </c>
      <c r="AB219" s="198" t="str">
        <f t="shared" si="32"/>
        <v/>
      </c>
      <c r="AC219" s="198" t="str">
        <f t="shared" si="29"/>
        <v/>
      </c>
      <c r="AD219" s="198" t="str">
        <f t="shared" si="27"/>
        <v/>
      </c>
      <c r="AE219" s="198" t="str">
        <f t="shared" si="27"/>
        <v/>
      </c>
      <c r="AF219" s="198" t="str">
        <f t="shared" si="27"/>
        <v/>
      </c>
      <c r="AG219" s="198" t="str">
        <f t="shared" si="27"/>
        <v/>
      </c>
      <c r="AH219" s="198" t="str">
        <f t="shared" si="23"/>
        <v/>
      </c>
      <c r="AI219" s="200" t="str">
        <f t="shared" si="33"/>
        <v/>
      </c>
      <c r="AJ219" s="208" t="str">
        <f t="shared" si="34"/>
        <v/>
      </c>
      <c r="AK219" s="4"/>
      <c r="AL219" s="162">
        <v>1800</v>
      </c>
      <c r="AM219" s="209">
        <v>1.8894103044738464E-4</v>
      </c>
      <c r="AN219" s="183">
        <v>2.1580374765168365E-4</v>
      </c>
      <c r="AO219" s="183">
        <v>1.6004225177216344E-4</v>
      </c>
      <c r="AP219" s="165">
        <v>1.7411526159967586E-4</v>
      </c>
      <c r="AR219" s="210">
        <v>95.110229897358408</v>
      </c>
      <c r="AS219" s="211">
        <v>95.204767744169885</v>
      </c>
      <c r="AT219" s="211">
        <v>95.138737615415209</v>
      </c>
      <c r="AU219" s="211">
        <v>95.004149252220557</v>
      </c>
      <c r="AV219" s="211"/>
      <c r="AW219" s="212"/>
      <c r="AX219" s="210">
        <v>94.824838745244406</v>
      </c>
      <c r="AY219" s="211">
        <v>95.884883610895329</v>
      </c>
      <c r="AZ219" s="213">
        <v>99.138441693265975</v>
      </c>
    </row>
    <row r="220" spans="12:52" x14ac:dyDescent="0.25">
      <c r="L220" s="189">
        <v>1795</v>
      </c>
      <c r="M220" s="196">
        <f t="shared" si="28"/>
        <v>0</v>
      </c>
      <c r="N220" s="197">
        <f t="shared" si="28"/>
        <v>0</v>
      </c>
      <c r="O220" s="152">
        <f ca="1"/>
        <v>95.169014413577955</v>
      </c>
      <c r="Q220" s="198">
        <v>0</v>
      </c>
      <c r="R220" s="200">
        <v>0</v>
      </c>
      <c r="S220" s="200">
        <v>0</v>
      </c>
      <c r="T220" s="200">
        <v>0</v>
      </c>
      <c r="U220" s="200">
        <f t="array" ref="U220">IF(U$77&gt;" ",(U$628:U$1078),"")</f>
        <v>0</v>
      </c>
      <c r="V220" s="200">
        <f t="array" ref="V220">IF(V$77&gt;" ",(V$628:V$1078),"")</f>
        <v>0</v>
      </c>
      <c r="W220" s="200">
        <f t="array" ref="W220">IF(W$77&gt;" ",(W$628:W$1078),"")</f>
        <v>0</v>
      </c>
      <c r="X220" s="200">
        <f t="array" ref="X220">IF(X$77&gt;" ",(X$628:X$1078),"")</f>
        <v>0</v>
      </c>
      <c r="Y220" s="204">
        <v>0</v>
      </c>
      <c r="Z220" s="198" t="str">
        <f t="shared" si="30"/>
        <v/>
      </c>
      <c r="AA220" s="198" t="str">
        <f t="shared" si="31"/>
        <v/>
      </c>
      <c r="AB220" s="198" t="str">
        <f t="shared" si="32"/>
        <v/>
      </c>
      <c r="AC220" s="198" t="str">
        <f t="shared" si="29"/>
        <v/>
      </c>
      <c r="AD220" s="198" t="str">
        <f t="shared" si="27"/>
        <v/>
      </c>
      <c r="AE220" s="198" t="str">
        <f t="shared" si="27"/>
        <v/>
      </c>
      <c r="AF220" s="198" t="str">
        <f t="shared" si="27"/>
        <v/>
      </c>
      <c r="AG220" s="198" t="str">
        <f t="shared" si="27"/>
        <v/>
      </c>
      <c r="AH220" s="198" t="str">
        <f t="shared" si="23"/>
        <v/>
      </c>
      <c r="AI220" s="200" t="str">
        <f t="shared" si="33"/>
        <v/>
      </c>
      <c r="AJ220" s="208" t="str">
        <f t="shared" si="34"/>
        <v/>
      </c>
      <c r="AK220" s="4"/>
      <c r="AL220" s="162">
        <v>1795</v>
      </c>
      <c r="AM220" s="209">
        <v>2.6028939159534808E-4</v>
      </c>
      <c r="AN220" s="183">
        <v>2.6608792176839032E-4</v>
      </c>
      <c r="AO220" s="183">
        <v>2.3598538764356547E-4</v>
      </c>
      <c r="AP220" s="165">
        <v>2.5667338512495288E-4</v>
      </c>
      <c r="AR220" s="210">
        <v>95.141436549191553</v>
      </c>
      <c r="AS220" s="211">
        <v>95.24675804333792</v>
      </c>
      <c r="AT220" s="211">
        <v>95.169014413577955</v>
      </c>
      <c r="AU220" s="211">
        <v>95.043433668030715</v>
      </c>
      <c r="AV220" s="211"/>
      <c r="AW220" s="212"/>
      <c r="AX220" s="210">
        <v>94.834270320946942</v>
      </c>
      <c r="AY220" s="211">
        <v>95.900755966827703</v>
      </c>
      <c r="AZ220" s="213">
        <v>99.06731354443049</v>
      </c>
    </row>
    <row r="221" spans="12:52" x14ac:dyDescent="0.25">
      <c r="L221" s="189">
        <v>1790</v>
      </c>
      <c r="M221" s="196">
        <f t="shared" si="28"/>
        <v>0</v>
      </c>
      <c r="N221" s="197">
        <f t="shared" si="28"/>
        <v>0</v>
      </c>
      <c r="O221" s="152">
        <f ca="1"/>
        <v>95.214668934166511</v>
      </c>
      <c r="Q221" s="198">
        <v>0</v>
      </c>
      <c r="R221" s="200">
        <v>0</v>
      </c>
      <c r="S221" s="200">
        <v>0</v>
      </c>
      <c r="T221" s="200">
        <v>0</v>
      </c>
      <c r="U221" s="200">
        <f t="array" ref="U221">IF(U$77&gt;" ",(U$628:U$1078),"")</f>
        <v>0</v>
      </c>
      <c r="V221" s="200">
        <f t="array" ref="V221">IF(V$77&gt;" ",(V$628:V$1078),"")</f>
        <v>0</v>
      </c>
      <c r="W221" s="200">
        <f t="array" ref="W221">IF(W$77&gt;" ",(W$628:W$1078),"")</f>
        <v>0</v>
      </c>
      <c r="X221" s="200">
        <f t="array" ref="X221">IF(X$77&gt;" ",(X$628:X$1078),"")</f>
        <v>0</v>
      </c>
      <c r="Y221" s="204">
        <v>0</v>
      </c>
      <c r="Z221" s="198" t="str">
        <f t="shared" si="30"/>
        <v/>
      </c>
      <c r="AA221" s="198" t="str">
        <f t="shared" si="31"/>
        <v/>
      </c>
      <c r="AB221" s="198" t="str">
        <f t="shared" si="32"/>
        <v/>
      </c>
      <c r="AC221" s="198" t="str">
        <f t="shared" si="29"/>
        <v/>
      </c>
      <c r="AD221" s="198" t="str">
        <f t="shared" si="27"/>
        <v/>
      </c>
      <c r="AE221" s="198" t="str">
        <f t="shared" si="27"/>
        <v/>
      </c>
      <c r="AF221" s="198" t="str">
        <f t="shared" si="27"/>
        <v/>
      </c>
      <c r="AG221" s="198" t="str">
        <f t="shared" si="27"/>
        <v/>
      </c>
      <c r="AH221" s="198" t="str">
        <f t="shared" si="23"/>
        <v/>
      </c>
      <c r="AI221" s="200" t="str">
        <f t="shared" si="33"/>
        <v/>
      </c>
      <c r="AJ221" s="208" t="str">
        <f t="shared" si="34"/>
        <v/>
      </c>
      <c r="AK221" s="4"/>
      <c r="AL221" s="162">
        <v>1790</v>
      </c>
      <c r="AM221" s="209">
        <v>3.316377527433115E-4</v>
      </c>
      <c r="AN221" s="183">
        <v>3.1637209588509699E-4</v>
      </c>
      <c r="AO221" s="183">
        <v>4.4704022720725198E-4</v>
      </c>
      <c r="AP221" s="165">
        <v>4.8594118925049672E-4</v>
      </c>
      <c r="AR221" s="210">
        <v>95.18372623792726</v>
      </c>
      <c r="AS221" s="211">
        <v>95.286569113277309</v>
      </c>
      <c r="AT221" s="211">
        <v>95.214668934166511</v>
      </c>
      <c r="AU221" s="211">
        <v>95.089134748241008</v>
      </c>
      <c r="AV221" s="211"/>
      <c r="AW221" s="212"/>
      <c r="AX221" s="210">
        <v>94.864320702638338</v>
      </c>
      <c r="AY221" s="211">
        <v>95.927564629401004</v>
      </c>
      <c r="AZ221" s="213">
        <v>99.136102172281156</v>
      </c>
    </row>
    <row r="222" spans="12:52" x14ac:dyDescent="0.25">
      <c r="L222" s="189">
        <v>1785</v>
      </c>
      <c r="M222" s="196">
        <f t="shared" si="28"/>
        <v>0</v>
      </c>
      <c r="N222" s="197">
        <f t="shared" si="28"/>
        <v>0</v>
      </c>
      <c r="O222" s="152">
        <f ca="1"/>
        <v>95.248876600476464</v>
      </c>
      <c r="Q222" s="198">
        <v>0</v>
      </c>
      <c r="R222" s="200">
        <v>0</v>
      </c>
      <c r="S222" s="200">
        <v>0</v>
      </c>
      <c r="T222" s="200">
        <v>0</v>
      </c>
      <c r="U222" s="200">
        <f t="array" ref="U222">IF(U$77&gt;" ",(U$628:U$1078),"")</f>
        <v>0</v>
      </c>
      <c r="V222" s="200">
        <f t="array" ref="V222">IF(V$77&gt;" ",(V$628:V$1078),"")</f>
        <v>0</v>
      </c>
      <c r="W222" s="200">
        <f t="array" ref="W222">IF(W$77&gt;" ",(W$628:W$1078),"")</f>
        <v>0</v>
      </c>
      <c r="X222" s="200">
        <f t="array" ref="X222">IF(X$77&gt;" ",(X$628:X$1078),"")</f>
        <v>0</v>
      </c>
      <c r="Y222" s="204">
        <v>0</v>
      </c>
      <c r="Z222" s="198" t="str">
        <f t="shared" si="30"/>
        <v/>
      </c>
      <c r="AA222" s="198" t="str">
        <f t="shared" si="31"/>
        <v/>
      </c>
      <c r="AB222" s="198" t="str">
        <f t="shared" si="32"/>
        <v/>
      </c>
      <c r="AC222" s="198" t="str">
        <f t="shared" si="29"/>
        <v/>
      </c>
      <c r="AD222" s="198" t="str">
        <f t="shared" si="27"/>
        <v/>
      </c>
      <c r="AE222" s="198" t="str">
        <f t="shared" si="27"/>
        <v/>
      </c>
      <c r="AF222" s="198" t="str">
        <f t="shared" si="27"/>
        <v/>
      </c>
      <c r="AG222" s="198" t="str">
        <f t="shared" si="27"/>
        <v/>
      </c>
      <c r="AH222" s="198" t="str">
        <f t="shared" ref="AH222:AH285" si="35">IF(AND(Y222&gt;0,Y222&lt;999),(Y222-$M222)/($N222-$M222)*$O222,"")</f>
        <v/>
      </c>
      <c r="AI222" s="200" t="str">
        <f t="shared" si="33"/>
        <v/>
      </c>
      <c r="AJ222" s="208" t="str">
        <f t="shared" si="34"/>
        <v/>
      </c>
      <c r="AK222" s="4"/>
      <c r="AL222" s="162">
        <v>1785</v>
      </c>
      <c r="AM222" s="209">
        <v>4.0298611389127492E-4</v>
      </c>
      <c r="AN222" s="183">
        <v>3.6665627000180356E-4</v>
      </c>
      <c r="AO222" s="183">
        <v>3.8708723713940278E-4</v>
      </c>
      <c r="AP222" s="165">
        <v>4.2085503302768143E-4</v>
      </c>
      <c r="AR222" s="210">
        <v>95.214873902498127</v>
      </c>
      <c r="AS222" s="211">
        <v>95.324467725531989</v>
      </c>
      <c r="AT222" s="211">
        <v>95.248876600476464</v>
      </c>
      <c r="AU222" s="211">
        <v>95.126706437094413</v>
      </c>
      <c r="AV222" s="211"/>
      <c r="AW222" s="212"/>
      <c r="AX222" s="210">
        <v>94.917020126541573</v>
      </c>
      <c r="AY222" s="211">
        <v>95.949515442509536</v>
      </c>
      <c r="AZ222" s="213">
        <v>99.211667631956004</v>
      </c>
    </row>
    <row r="223" spans="12:52" x14ac:dyDescent="0.25">
      <c r="L223" s="189">
        <v>1780</v>
      </c>
      <c r="M223" s="196">
        <f t="shared" ref="M223:N238" si="36">M772</f>
        <v>0</v>
      </c>
      <c r="N223" s="197">
        <f t="shared" si="36"/>
        <v>0</v>
      </c>
      <c r="O223" s="152">
        <f ca="1"/>
        <v>95.28881434259614</v>
      </c>
      <c r="Q223" s="198">
        <v>0</v>
      </c>
      <c r="R223" s="200">
        <v>0</v>
      </c>
      <c r="S223" s="200">
        <v>0</v>
      </c>
      <c r="T223" s="200">
        <v>0</v>
      </c>
      <c r="U223" s="200">
        <f t="array" ref="U223">IF(U$77&gt;" ",(U$628:U$1078),"")</f>
        <v>0</v>
      </c>
      <c r="V223" s="200">
        <f t="array" ref="V223">IF(V$77&gt;" ",(V$628:V$1078),"")</f>
        <v>0</v>
      </c>
      <c r="W223" s="200">
        <f t="array" ref="W223">IF(W$77&gt;" ",(W$628:W$1078),"")</f>
        <v>0</v>
      </c>
      <c r="X223" s="200">
        <f t="array" ref="X223">IF(X$77&gt;" ",(X$628:X$1078),"")</f>
        <v>0</v>
      </c>
      <c r="Y223" s="204">
        <v>0</v>
      </c>
      <c r="Z223" s="198" t="str">
        <f t="shared" si="30"/>
        <v/>
      </c>
      <c r="AA223" s="198" t="str">
        <f t="shared" si="31"/>
        <v/>
      </c>
      <c r="AB223" s="198" t="str">
        <f t="shared" si="32"/>
        <v/>
      </c>
      <c r="AC223" s="198" t="str">
        <f t="shared" si="29"/>
        <v/>
      </c>
      <c r="AD223" s="198" t="str">
        <f t="shared" si="27"/>
        <v/>
      </c>
      <c r="AE223" s="198" t="str">
        <f t="shared" si="27"/>
        <v/>
      </c>
      <c r="AF223" s="198" t="str">
        <f t="shared" si="27"/>
        <v/>
      </c>
      <c r="AG223" s="198" t="str">
        <f t="shared" si="27"/>
        <v/>
      </c>
      <c r="AH223" s="198" t="str">
        <f t="shared" si="35"/>
        <v/>
      </c>
      <c r="AI223" s="200" t="str">
        <f t="shared" si="33"/>
        <v/>
      </c>
      <c r="AJ223" s="208" t="str">
        <f t="shared" si="34"/>
        <v/>
      </c>
      <c r="AK223" s="4"/>
      <c r="AL223" s="162">
        <v>1780</v>
      </c>
      <c r="AM223" s="209">
        <v>4.7433447503923834E-4</v>
      </c>
      <c r="AN223" s="183">
        <v>4.1694044411851023E-4</v>
      </c>
      <c r="AO223" s="183">
        <v>5.0534894756511326E-4</v>
      </c>
      <c r="AP223" s="165">
        <v>5.4924768961098572E-4</v>
      </c>
      <c r="AR223" s="210">
        <v>95.260432334897999</v>
      </c>
      <c r="AS223" s="211">
        <v>95.366407357780318</v>
      </c>
      <c r="AT223" s="211">
        <v>95.28881434259614</v>
      </c>
      <c r="AU223" s="211">
        <v>95.166369104226632</v>
      </c>
      <c r="AV223" s="211"/>
      <c r="AW223" s="212"/>
      <c r="AX223" s="210">
        <v>94.992230393957087</v>
      </c>
      <c r="AY223" s="211">
        <v>95.985546707032881</v>
      </c>
      <c r="AZ223" s="213">
        <v>99.066417923489638</v>
      </c>
    </row>
    <row r="224" spans="12:52" x14ac:dyDescent="0.25">
      <c r="L224" s="189">
        <v>1775</v>
      </c>
      <c r="M224" s="196">
        <f t="shared" si="36"/>
        <v>0</v>
      </c>
      <c r="N224" s="197">
        <f t="shared" si="36"/>
        <v>0</v>
      </c>
      <c r="O224" s="152">
        <f ca="1"/>
        <v>95.331714023713928</v>
      </c>
      <c r="Q224" s="198">
        <v>0</v>
      </c>
      <c r="R224" s="200">
        <v>0</v>
      </c>
      <c r="S224" s="200">
        <v>0</v>
      </c>
      <c r="T224" s="200">
        <v>0</v>
      </c>
      <c r="U224" s="200">
        <f t="array" ref="U224">IF(U$77&gt;" ",(U$628:U$1078),"")</f>
        <v>0</v>
      </c>
      <c r="V224" s="200">
        <f t="array" ref="V224">IF(V$77&gt;" ",(V$628:V$1078),"")</f>
        <v>0</v>
      </c>
      <c r="W224" s="200">
        <f t="array" ref="W224">IF(W$77&gt;" ",(W$628:W$1078),"")</f>
        <v>0</v>
      </c>
      <c r="X224" s="200">
        <f t="array" ref="X224">IF(X$77&gt;" ",(X$628:X$1078),"")</f>
        <v>0</v>
      </c>
      <c r="Y224" s="204">
        <v>0</v>
      </c>
      <c r="Z224" s="198" t="str">
        <f t="shared" si="30"/>
        <v/>
      </c>
      <c r="AA224" s="198" t="str">
        <f t="shared" si="31"/>
        <v/>
      </c>
      <c r="AB224" s="198" t="str">
        <f t="shared" si="32"/>
        <v/>
      </c>
      <c r="AC224" s="198" t="str">
        <f t="shared" si="29"/>
        <v/>
      </c>
      <c r="AD224" s="198" t="str">
        <f t="shared" si="27"/>
        <v/>
      </c>
      <c r="AE224" s="198" t="str">
        <f t="shared" si="27"/>
        <v/>
      </c>
      <c r="AF224" s="198" t="str">
        <f t="shared" si="27"/>
        <v/>
      </c>
      <c r="AG224" s="198" t="str">
        <f t="shared" si="27"/>
        <v/>
      </c>
      <c r="AH224" s="198" t="str">
        <f t="shared" si="35"/>
        <v/>
      </c>
      <c r="AI224" s="200" t="str">
        <f t="shared" si="33"/>
        <v/>
      </c>
      <c r="AJ224" s="208" t="str">
        <f t="shared" si="34"/>
        <v/>
      </c>
      <c r="AK224" s="4"/>
      <c r="AL224" s="162">
        <v>1775</v>
      </c>
      <c r="AM224" s="209">
        <v>5.4568283618720175E-4</v>
      </c>
      <c r="AN224" s="183">
        <v>4.672246182352169E-4</v>
      </c>
      <c r="AO224" s="183">
        <v>5.7745545411320997E-4</v>
      </c>
      <c r="AP224" s="165">
        <v>6.2752456554293038E-4</v>
      </c>
      <c r="AR224" s="210">
        <v>95.301098019679344</v>
      </c>
      <c r="AS224" s="211">
        <v>95.407122572781716</v>
      </c>
      <c r="AT224" s="211">
        <v>95.331714023713928</v>
      </c>
      <c r="AU224" s="211">
        <v>95.202461241463581</v>
      </c>
      <c r="AV224" s="211"/>
      <c r="AW224" s="212"/>
      <c r="AX224" s="210">
        <v>95.039705855702479</v>
      </c>
      <c r="AY224" s="211">
        <v>96.028888211149763</v>
      </c>
      <c r="AZ224" s="213">
        <v>99.086983983429121</v>
      </c>
    </row>
    <row r="225" spans="12:52" x14ac:dyDescent="0.25">
      <c r="L225" s="189">
        <v>1770</v>
      </c>
      <c r="M225" s="196">
        <f t="shared" si="36"/>
        <v>0</v>
      </c>
      <c r="N225" s="197">
        <f t="shared" si="36"/>
        <v>0</v>
      </c>
      <c r="O225" s="152">
        <f ca="1"/>
        <v>95.381885497231835</v>
      </c>
      <c r="Q225" s="198">
        <v>0</v>
      </c>
      <c r="R225" s="200">
        <v>0</v>
      </c>
      <c r="S225" s="200">
        <v>0</v>
      </c>
      <c r="T225" s="200">
        <v>0</v>
      </c>
      <c r="U225" s="200">
        <f t="array" ref="U225">IF(U$77&gt;" ",(U$628:U$1078),"")</f>
        <v>0</v>
      </c>
      <c r="V225" s="200">
        <f t="array" ref="V225">IF(V$77&gt;" ",(V$628:V$1078),"")</f>
        <v>0</v>
      </c>
      <c r="W225" s="200">
        <f t="array" ref="W225">IF(W$77&gt;" ",(W$628:W$1078),"")</f>
        <v>0</v>
      </c>
      <c r="X225" s="200">
        <f t="array" ref="X225">IF(X$77&gt;" ",(X$628:X$1078),"")</f>
        <v>0</v>
      </c>
      <c r="Y225" s="204">
        <v>0</v>
      </c>
      <c r="Z225" s="198" t="str">
        <f t="shared" si="30"/>
        <v/>
      </c>
      <c r="AA225" s="198" t="str">
        <f t="shared" si="31"/>
        <v/>
      </c>
      <c r="AB225" s="198" t="str">
        <f t="shared" si="32"/>
        <v/>
      </c>
      <c r="AC225" s="198" t="str">
        <f t="shared" si="29"/>
        <v/>
      </c>
      <c r="AD225" s="198" t="str">
        <f t="shared" si="27"/>
        <v/>
      </c>
      <c r="AE225" s="198" t="str">
        <f t="shared" si="27"/>
        <v/>
      </c>
      <c r="AF225" s="198" t="str">
        <f t="shared" si="27"/>
        <v/>
      </c>
      <c r="AG225" s="198" t="str">
        <f t="shared" si="27"/>
        <v/>
      </c>
      <c r="AH225" s="198" t="str">
        <f t="shared" si="35"/>
        <v/>
      </c>
      <c r="AI225" s="200" t="str">
        <f t="shared" si="33"/>
        <v/>
      </c>
      <c r="AJ225" s="208" t="str">
        <f t="shared" si="34"/>
        <v/>
      </c>
      <c r="AK225" s="4"/>
      <c r="AL225" s="162">
        <v>1770</v>
      </c>
      <c r="AM225" s="209">
        <v>6.1703119733516523E-4</v>
      </c>
      <c r="AN225" s="183">
        <v>5.1750879235192351E-4</v>
      </c>
      <c r="AO225" s="183">
        <v>7.1261744128286422E-4</v>
      </c>
      <c r="AP225" s="165">
        <v>7.740383720702997E-4</v>
      </c>
      <c r="AR225" s="210">
        <v>95.353099168718686</v>
      </c>
      <c r="AS225" s="211">
        <v>95.459591944721126</v>
      </c>
      <c r="AT225" s="211">
        <v>95.381885497231835</v>
      </c>
      <c r="AU225" s="211">
        <v>95.258786503971507</v>
      </c>
      <c r="AV225" s="211"/>
      <c r="AW225" s="212"/>
      <c r="AX225" s="210">
        <v>95.07286619544692</v>
      </c>
      <c r="AY225" s="211">
        <v>96.057848809684401</v>
      </c>
      <c r="AZ225" s="213">
        <v>99.180927351183925</v>
      </c>
    </row>
    <row r="226" spans="12:52" x14ac:dyDescent="0.25">
      <c r="L226" s="189">
        <v>1765</v>
      </c>
      <c r="M226" s="196">
        <f t="shared" si="36"/>
        <v>0</v>
      </c>
      <c r="N226" s="197">
        <f t="shared" si="36"/>
        <v>0</v>
      </c>
      <c r="O226" s="152">
        <f ca="1"/>
        <v>95.425802679680842</v>
      </c>
      <c r="Q226" s="198">
        <v>0</v>
      </c>
      <c r="R226" s="200">
        <v>0</v>
      </c>
      <c r="S226" s="200">
        <v>0</v>
      </c>
      <c r="T226" s="200">
        <v>0</v>
      </c>
      <c r="U226" s="200">
        <f t="array" ref="U226">IF(U$77&gt;" ",(U$628:U$1078),"")</f>
        <v>0</v>
      </c>
      <c r="V226" s="200">
        <f t="array" ref="V226">IF(V$77&gt;" ",(V$628:V$1078),"")</f>
        <v>0</v>
      </c>
      <c r="W226" s="200">
        <f t="array" ref="W226">IF(W$77&gt;" ",(W$628:W$1078),"")</f>
        <v>0</v>
      </c>
      <c r="X226" s="200">
        <f t="array" ref="X226">IF(X$77&gt;" ",(X$628:X$1078),"")</f>
        <v>0</v>
      </c>
      <c r="Y226" s="204">
        <v>0</v>
      </c>
      <c r="Z226" s="198" t="str">
        <f t="shared" si="30"/>
        <v/>
      </c>
      <c r="AA226" s="198" t="str">
        <f t="shared" si="31"/>
        <v/>
      </c>
      <c r="AB226" s="198" t="str">
        <f t="shared" si="32"/>
        <v/>
      </c>
      <c r="AC226" s="198" t="str">
        <f t="shared" si="29"/>
        <v/>
      </c>
      <c r="AD226" s="198" t="str">
        <f t="shared" si="27"/>
        <v/>
      </c>
      <c r="AE226" s="198" t="str">
        <f t="shared" si="27"/>
        <v/>
      </c>
      <c r="AF226" s="198" t="str">
        <f t="shared" si="27"/>
        <v/>
      </c>
      <c r="AG226" s="198" t="str">
        <f t="shared" si="27"/>
        <v/>
      </c>
      <c r="AH226" s="198" t="str">
        <f t="shared" si="35"/>
        <v/>
      </c>
      <c r="AI226" s="200" t="str">
        <f t="shared" si="33"/>
        <v/>
      </c>
      <c r="AJ226" s="208" t="str">
        <f t="shared" si="34"/>
        <v/>
      </c>
      <c r="AK226" s="4"/>
      <c r="AL226" s="162">
        <v>1765</v>
      </c>
      <c r="AM226" s="209">
        <v>6.883795584831287E-4</v>
      </c>
      <c r="AN226" s="183">
        <v>5.6779296646863008E-4</v>
      </c>
      <c r="AO226" s="183">
        <v>6.6796571337860344E-4</v>
      </c>
      <c r="AP226" s="165">
        <v>7.2568545807501824E-4</v>
      </c>
      <c r="AR226" s="210">
        <v>95.393159293225949</v>
      </c>
      <c r="AS226" s="211">
        <v>95.504366426286353</v>
      </c>
      <c r="AT226" s="211">
        <v>95.425802679680842</v>
      </c>
      <c r="AU226" s="211">
        <v>95.305810782069884</v>
      </c>
      <c r="AV226" s="211"/>
      <c r="AW226" s="212"/>
      <c r="AX226" s="210">
        <v>95.140821702620272</v>
      </c>
      <c r="AY226" s="211">
        <v>96.106719867768675</v>
      </c>
      <c r="AZ226" s="213">
        <v>99.096101554031378</v>
      </c>
    </row>
    <row r="227" spans="12:52" x14ac:dyDescent="0.25">
      <c r="L227" s="189">
        <v>1760</v>
      </c>
      <c r="M227" s="196">
        <f t="shared" si="36"/>
        <v>0</v>
      </c>
      <c r="N227" s="197">
        <f t="shared" si="36"/>
        <v>0</v>
      </c>
      <c r="O227" s="152">
        <f ca="1"/>
        <v>95.467022138633197</v>
      </c>
      <c r="Q227" s="198">
        <v>0</v>
      </c>
      <c r="R227" s="200">
        <v>0</v>
      </c>
      <c r="S227" s="200">
        <v>0</v>
      </c>
      <c r="T227" s="200">
        <v>0</v>
      </c>
      <c r="U227" s="200">
        <f t="array" ref="U227">IF(U$77&gt;" ",(U$628:U$1078),"")</f>
        <v>0</v>
      </c>
      <c r="V227" s="200">
        <f t="array" ref="V227">IF(V$77&gt;" ",(V$628:V$1078),"")</f>
        <v>0</v>
      </c>
      <c r="W227" s="200">
        <f t="array" ref="W227">IF(W$77&gt;" ",(W$628:W$1078),"")</f>
        <v>0</v>
      </c>
      <c r="X227" s="200">
        <f t="array" ref="X227">IF(X$77&gt;" ",(X$628:X$1078),"")</f>
        <v>0</v>
      </c>
      <c r="Y227" s="204">
        <v>0</v>
      </c>
      <c r="Z227" s="198" t="str">
        <f t="shared" si="30"/>
        <v/>
      </c>
      <c r="AA227" s="198" t="str">
        <f t="shared" si="31"/>
        <v/>
      </c>
      <c r="AB227" s="198" t="str">
        <f t="shared" si="32"/>
        <v/>
      </c>
      <c r="AC227" s="198" t="str">
        <f t="shared" si="29"/>
        <v/>
      </c>
      <c r="AD227" s="198" t="str">
        <f t="shared" si="27"/>
        <v/>
      </c>
      <c r="AE227" s="198" t="str">
        <f t="shared" si="27"/>
        <v/>
      </c>
      <c r="AF227" s="198" t="str">
        <f t="shared" si="27"/>
        <v/>
      </c>
      <c r="AG227" s="198" t="str">
        <f t="shared" si="27"/>
        <v/>
      </c>
      <c r="AH227" s="198" t="str">
        <f t="shared" si="35"/>
        <v/>
      </c>
      <c r="AI227" s="200" t="str">
        <f t="shared" si="33"/>
        <v/>
      </c>
      <c r="AJ227" s="208" t="str">
        <f t="shared" si="34"/>
        <v/>
      </c>
      <c r="AK227" s="4"/>
      <c r="AL227" s="162">
        <v>1760</v>
      </c>
      <c r="AM227" s="209">
        <v>7.5972791963109206E-4</v>
      </c>
      <c r="AN227" s="183">
        <v>6.1807714058533675E-4</v>
      </c>
      <c r="AO227" s="183">
        <v>8.0443507095986889E-4</v>
      </c>
      <c r="AP227" s="165">
        <v>8.734864370814287E-4</v>
      </c>
      <c r="AR227" s="210">
        <v>95.438075890482281</v>
      </c>
      <c r="AS227" s="211">
        <v>95.540818435643232</v>
      </c>
      <c r="AT227" s="211">
        <v>95.467022138633197</v>
      </c>
      <c r="AU227" s="211">
        <v>95.340457163959556</v>
      </c>
      <c r="AV227" s="211"/>
      <c r="AW227" s="212"/>
      <c r="AX227" s="210">
        <v>95.171579666475409</v>
      </c>
      <c r="AY227" s="211">
        <v>96.127460511645936</v>
      </c>
      <c r="AZ227" s="213">
        <v>99.0359164145124</v>
      </c>
    </row>
    <row r="228" spans="12:52" x14ac:dyDescent="0.25">
      <c r="L228" s="189">
        <v>1755</v>
      </c>
      <c r="M228" s="196">
        <f t="shared" si="36"/>
        <v>0</v>
      </c>
      <c r="N228" s="197">
        <f t="shared" si="36"/>
        <v>0</v>
      </c>
      <c r="O228" s="152">
        <f ca="1"/>
        <v>95.510945789994921</v>
      </c>
      <c r="Q228" s="198">
        <v>0</v>
      </c>
      <c r="R228" s="200">
        <v>0</v>
      </c>
      <c r="S228" s="200">
        <v>0</v>
      </c>
      <c r="T228" s="200">
        <v>0</v>
      </c>
      <c r="U228" s="200">
        <f t="array" ref="U228">IF(U$77&gt;" ",(U$628:U$1078),"")</f>
        <v>0</v>
      </c>
      <c r="V228" s="200">
        <f t="array" ref="V228">IF(V$77&gt;" ",(V$628:V$1078),"")</f>
        <v>0</v>
      </c>
      <c r="W228" s="200">
        <f t="array" ref="W228">IF(W$77&gt;" ",(W$628:W$1078),"")</f>
        <v>0</v>
      </c>
      <c r="X228" s="200">
        <f t="array" ref="X228">IF(X$77&gt;" ",(X$628:X$1078),"")</f>
        <v>0</v>
      </c>
      <c r="Y228" s="204">
        <v>0</v>
      </c>
      <c r="Z228" s="198" t="str">
        <f t="shared" si="30"/>
        <v/>
      </c>
      <c r="AA228" s="198" t="str">
        <f t="shared" si="31"/>
        <v/>
      </c>
      <c r="AB228" s="198" t="str">
        <f t="shared" si="32"/>
        <v/>
      </c>
      <c r="AC228" s="198" t="str">
        <f t="shared" si="29"/>
        <v/>
      </c>
      <c r="AD228" s="198" t="str">
        <f t="shared" si="27"/>
        <v/>
      </c>
      <c r="AE228" s="198" t="str">
        <f t="shared" si="27"/>
        <v/>
      </c>
      <c r="AF228" s="198" t="str">
        <f t="shared" si="27"/>
        <v/>
      </c>
      <c r="AG228" s="198" t="str">
        <f t="shared" si="27"/>
        <v/>
      </c>
      <c r="AH228" s="198" t="str">
        <f t="shared" si="35"/>
        <v/>
      </c>
      <c r="AI228" s="200" t="str">
        <f t="shared" si="33"/>
        <v/>
      </c>
      <c r="AJ228" s="208" t="str">
        <f t="shared" si="34"/>
        <v/>
      </c>
      <c r="AK228" s="4"/>
      <c r="AL228" s="162">
        <v>1755</v>
      </c>
      <c r="AM228" s="209">
        <v>8.3107628077905553E-4</v>
      </c>
      <c r="AN228" s="183">
        <v>6.6836131470204352E-4</v>
      </c>
      <c r="AO228" s="183">
        <v>7.693874872332138E-4</v>
      </c>
      <c r="AP228" s="165">
        <v>8.3559879498095911E-4</v>
      </c>
      <c r="AR228" s="210">
        <v>95.485693315841331</v>
      </c>
      <c r="AS228" s="211">
        <v>95.590762239921673</v>
      </c>
      <c r="AT228" s="211">
        <v>95.510945789994921</v>
      </c>
      <c r="AU228" s="211">
        <v>95.384616877793178</v>
      </c>
      <c r="AV228" s="211"/>
      <c r="AW228" s="212"/>
      <c r="AX228" s="210">
        <v>95.193716886803358</v>
      </c>
      <c r="AY228" s="211">
        <v>96.144811895745036</v>
      </c>
      <c r="AZ228" s="213">
        <v>99.09119941634242</v>
      </c>
    </row>
    <row r="229" spans="12:52" x14ac:dyDescent="0.25">
      <c r="L229" s="189">
        <v>1750</v>
      </c>
      <c r="M229" s="196">
        <f t="shared" si="36"/>
        <v>0</v>
      </c>
      <c r="N229" s="197">
        <f t="shared" si="36"/>
        <v>0</v>
      </c>
      <c r="O229" s="152">
        <f ca="1"/>
        <v>95.55313410339393</v>
      </c>
      <c r="Q229" s="198">
        <v>0</v>
      </c>
      <c r="R229" s="200">
        <v>0</v>
      </c>
      <c r="S229" s="200">
        <v>0</v>
      </c>
      <c r="T229" s="200">
        <v>0</v>
      </c>
      <c r="U229" s="200">
        <f t="array" ref="U229">IF(U$77&gt;" ",(U$628:U$1078),"")</f>
        <v>0</v>
      </c>
      <c r="V229" s="200">
        <f t="array" ref="V229">IF(V$77&gt;" ",(V$628:V$1078),"")</f>
        <v>0</v>
      </c>
      <c r="W229" s="200">
        <f t="array" ref="W229">IF(W$77&gt;" ",(W$628:W$1078),"")</f>
        <v>0</v>
      </c>
      <c r="X229" s="200">
        <f t="array" ref="X229">IF(X$77&gt;" ",(X$628:X$1078),"")</f>
        <v>0</v>
      </c>
      <c r="Y229" s="204">
        <v>0</v>
      </c>
      <c r="Z229" s="198" t="str">
        <f t="shared" si="30"/>
        <v/>
      </c>
      <c r="AA229" s="198" t="str">
        <f t="shared" si="31"/>
        <v/>
      </c>
      <c r="AB229" s="198" t="str">
        <f t="shared" si="32"/>
        <v/>
      </c>
      <c r="AC229" s="198" t="str">
        <f t="shared" si="29"/>
        <v/>
      </c>
      <c r="AD229" s="198" t="str">
        <f t="shared" si="27"/>
        <v/>
      </c>
      <c r="AE229" s="198" t="str">
        <f t="shared" si="27"/>
        <v/>
      </c>
      <c r="AF229" s="198" t="str">
        <f t="shared" si="27"/>
        <v/>
      </c>
      <c r="AG229" s="198" t="str">
        <f t="shared" si="27"/>
        <v/>
      </c>
      <c r="AH229" s="198" t="str">
        <f t="shared" si="35"/>
        <v/>
      </c>
      <c r="AI229" s="200" t="str">
        <f t="shared" si="33"/>
        <v/>
      </c>
      <c r="AJ229" s="208" t="str">
        <f t="shared" si="34"/>
        <v/>
      </c>
      <c r="AK229" s="4"/>
      <c r="AL229" s="162">
        <v>1750</v>
      </c>
      <c r="AM229" s="209">
        <v>9.024246419270189E-4</v>
      </c>
      <c r="AN229" s="183">
        <v>7.1864548881875009E-4</v>
      </c>
      <c r="AO229" s="183">
        <v>8.3299608610583743E-4</v>
      </c>
      <c r="AP229" s="165">
        <v>9.0449050462006989E-4</v>
      </c>
      <c r="AR229" s="210">
        <v>95.524157054117438</v>
      </c>
      <c r="AS229" s="211">
        <v>95.628221589291797</v>
      </c>
      <c r="AT229" s="211">
        <v>95.55313410339393</v>
      </c>
      <c r="AU229" s="211">
        <v>95.433233660693062</v>
      </c>
      <c r="AV229" s="211"/>
      <c r="AW229" s="212"/>
      <c r="AX229" s="210">
        <v>95.238012399087481</v>
      </c>
      <c r="AY229" s="211">
        <v>96.174230864469791</v>
      </c>
      <c r="AZ229" s="213">
        <v>99.100951569959207</v>
      </c>
    </row>
    <row r="230" spans="12:52" x14ac:dyDescent="0.25">
      <c r="L230" s="189">
        <v>1745</v>
      </c>
      <c r="M230" s="196">
        <f t="shared" si="36"/>
        <v>0</v>
      </c>
      <c r="N230" s="197">
        <f t="shared" si="36"/>
        <v>0</v>
      </c>
      <c r="O230" s="152">
        <f ca="1"/>
        <v>95.599725016355251</v>
      </c>
      <c r="Q230" s="198">
        <v>0</v>
      </c>
      <c r="R230" s="200">
        <v>0</v>
      </c>
      <c r="S230" s="200">
        <v>0</v>
      </c>
      <c r="T230" s="200">
        <v>0</v>
      </c>
      <c r="U230" s="200">
        <f t="array" ref="U230">IF(U$77&gt;" ",(U$628:U$1078),"")</f>
        <v>0</v>
      </c>
      <c r="V230" s="200">
        <f t="array" ref="V230">IF(V$77&gt;" ",(V$628:V$1078),"")</f>
        <v>0</v>
      </c>
      <c r="W230" s="200">
        <f t="array" ref="W230">IF(W$77&gt;" ",(W$628:W$1078),"")</f>
        <v>0</v>
      </c>
      <c r="X230" s="200">
        <f t="array" ref="X230">IF(X$77&gt;" ",(X$628:X$1078),"")</f>
        <v>0</v>
      </c>
      <c r="Y230" s="204">
        <v>0</v>
      </c>
      <c r="Z230" s="198" t="str">
        <f t="shared" si="30"/>
        <v/>
      </c>
      <c r="AA230" s="198" t="str">
        <f t="shared" si="31"/>
        <v/>
      </c>
      <c r="AB230" s="198" t="str">
        <f t="shared" si="32"/>
        <v/>
      </c>
      <c r="AC230" s="198" t="str">
        <f t="shared" si="29"/>
        <v/>
      </c>
      <c r="AD230" s="198" t="str">
        <f t="shared" si="27"/>
        <v/>
      </c>
      <c r="AE230" s="198" t="str">
        <f t="shared" si="27"/>
        <v/>
      </c>
      <c r="AF230" s="198" t="str">
        <f t="shared" si="27"/>
        <v/>
      </c>
      <c r="AG230" s="198" t="str">
        <f t="shared" si="27"/>
        <v/>
      </c>
      <c r="AH230" s="198" t="str">
        <f t="shared" si="35"/>
        <v/>
      </c>
      <c r="AI230" s="200" t="str">
        <f t="shared" si="33"/>
        <v/>
      </c>
      <c r="AJ230" s="208" t="str">
        <f t="shared" si="34"/>
        <v/>
      </c>
      <c r="AK230" s="4"/>
      <c r="AL230" s="162">
        <v>1745</v>
      </c>
      <c r="AM230" s="209">
        <v>9.7377300307498237E-4</v>
      </c>
      <c r="AN230" s="183">
        <v>7.1937583993504921E-4</v>
      </c>
      <c r="AO230" s="183">
        <v>7.7843851315975308E-4</v>
      </c>
      <c r="AP230" s="165">
        <v>8.4533653460500894E-4</v>
      </c>
      <c r="AR230" s="210">
        <v>95.567825000109266</v>
      </c>
      <c r="AS230" s="211">
        <v>95.678626829218061</v>
      </c>
      <c r="AT230" s="211">
        <v>95.599725016355251</v>
      </c>
      <c r="AU230" s="211">
        <v>95.477680011551797</v>
      </c>
      <c r="AV230" s="211"/>
      <c r="AW230" s="212"/>
      <c r="AX230" s="210">
        <v>95.267210626614485</v>
      </c>
      <c r="AY230" s="211">
        <v>96.195972623126451</v>
      </c>
      <c r="AZ230" s="213">
        <v>99.011164653948612</v>
      </c>
    </row>
    <row r="231" spans="12:52" x14ac:dyDescent="0.25">
      <c r="L231" s="189">
        <v>1740</v>
      </c>
      <c r="M231" s="196">
        <f t="shared" si="36"/>
        <v>0</v>
      </c>
      <c r="N231" s="197">
        <f t="shared" si="36"/>
        <v>0</v>
      </c>
      <c r="O231" s="152">
        <f ca="1"/>
        <v>95.645109194962757</v>
      </c>
      <c r="Q231" s="198">
        <v>0</v>
      </c>
      <c r="R231" s="200">
        <v>0</v>
      </c>
      <c r="S231" s="200">
        <v>0</v>
      </c>
      <c r="T231" s="200">
        <v>0</v>
      </c>
      <c r="U231" s="200">
        <f t="array" ref="U231">IF(U$77&gt;" ",(U$628:U$1078),"")</f>
        <v>0</v>
      </c>
      <c r="V231" s="200">
        <f t="array" ref="V231">IF(V$77&gt;" ",(V$628:V$1078),"")</f>
        <v>0</v>
      </c>
      <c r="W231" s="200">
        <f t="array" ref="W231">IF(W$77&gt;" ",(W$628:W$1078),"")</f>
        <v>0</v>
      </c>
      <c r="X231" s="200">
        <f t="array" ref="X231">IF(X$77&gt;" ",(X$628:X$1078),"")</f>
        <v>0</v>
      </c>
      <c r="Y231" s="204">
        <v>0</v>
      </c>
      <c r="Z231" s="198" t="str">
        <f t="shared" si="30"/>
        <v/>
      </c>
      <c r="AA231" s="198" t="str">
        <f t="shared" si="31"/>
        <v/>
      </c>
      <c r="AB231" s="198" t="str">
        <f t="shared" si="32"/>
        <v/>
      </c>
      <c r="AC231" s="198" t="str">
        <f t="shared" si="29"/>
        <v/>
      </c>
      <c r="AD231" s="198" t="str">
        <f t="shared" si="27"/>
        <v/>
      </c>
      <c r="AE231" s="198" t="str">
        <f t="shared" si="27"/>
        <v/>
      </c>
      <c r="AF231" s="198" t="str">
        <f t="shared" si="27"/>
        <v/>
      </c>
      <c r="AG231" s="198" t="str">
        <f t="shared" si="27"/>
        <v/>
      </c>
      <c r="AH231" s="198" t="str">
        <f t="shared" si="35"/>
        <v/>
      </c>
      <c r="AI231" s="200" t="str">
        <f t="shared" si="33"/>
        <v/>
      </c>
      <c r="AJ231" s="208" t="str">
        <f t="shared" si="34"/>
        <v/>
      </c>
      <c r="AK231" s="4"/>
      <c r="AL231" s="162">
        <v>1740</v>
      </c>
      <c r="AM231" s="209">
        <v>1.0451213642229456E-3</v>
      </c>
      <c r="AN231" s="183">
        <v>7.2010619105134844E-4</v>
      </c>
      <c r="AO231" s="183">
        <v>8.4566752240299243E-4</v>
      </c>
      <c r="AP231" s="165">
        <v>9.1808976168124279E-4</v>
      </c>
      <c r="AR231" s="210">
        <v>95.60765895886415</v>
      </c>
      <c r="AS231" s="211">
        <v>95.723934292257397</v>
      </c>
      <c r="AT231" s="211">
        <v>95.645109194962757</v>
      </c>
      <c r="AU231" s="211">
        <v>95.520851573235902</v>
      </c>
      <c r="AV231" s="211"/>
      <c r="AW231" s="212"/>
      <c r="AX231" s="210">
        <v>95.320670123391281</v>
      </c>
      <c r="AY231" s="211">
        <v>96.226011788987321</v>
      </c>
      <c r="AZ231" s="213">
        <v>99.085931235183153</v>
      </c>
    </row>
    <row r="232" spans="12:52" x14ac:dyDescent="0.25">
      <c r="L232" s="189">
        <v>1735</v>
      </c>
      <c r="M232" s="196">
        <f t="shared" si="36"/>
        <v>0</v>
      </c>
      <c r="N232" s="197">
        <f t="shared" si="36"/>
        <v>0</v>
      </c>
      <c r="O232" s="152">
        <f ca="1"/>
        <v>95.694382848636337</v>
      </c>
      <c r="Q232" s="198">
        <v>0</v>
      </c>
      <c r="R232" s="200">
        <v>0</v>
      </c>
      <c r="S232" s="200">
        <v>0</v>
      </c>
      <c r="T232" s="200">
        <v>0</v>
      </c>
      <c r="U232" s="200">
        <f t="array" ref="U232">IF(U$77&gt;" ",(U$628:U$1078),"")</f>
        <v>0</v>
      </c>
      <c r="V232" s="200">
        <f t="array" ref="V232">IF(V$77&gt;" ",(V$628:V$1078),"")</f>
        <v>0</v>
      </c>
      <c r="W232" s="200">
        <f t="array" ref="W232">IF(W$77&gt;" ",(W$628:W$1078),"")</f>
        <v>0</v>
      </c>
      <c r="X232" s="200">
        <f t="array" ref="X232">IF(X$77&gt;" ",(X$628:X$1078),"")</f>
        <v>0</v>
      </c>
      <c r="Y232" s="204">
        <v>0</v>
      </c>
      <c r="Z232" s="198" t="str">
        <f t="shared" si="30"/>
        <v/>
      </c>
      <c r="AA232" s="198" t="str">
        <f t="shared" si="31"/>
        <v/>
      </c>
      <c r="AB232" s="198" t="str">
        <f t="shared" si="32"/>
        <v/>
      </c>
      <c r="AC232" s="198" t="str">
        <f t="shared" si="29"/>
        <v/>
      </c>
      <c r="AD232" s="198" t="str">
        <f t="shared" si="27"/>
        <v/>
      </c>
      <c r="AE232" s="198" t="str">
        <f t="shared" si="27"/>
        <v/>
      </c>
      <c r="AF232" s="198" t="str">
        <f t="shared" si="27"/>
        <v/>
      </c>
      <c r="AG232" s="198" t="str">
        <f t="shared" si="27"/>
        <v/>
      </c>
      <c r="AH232" s="198" t="str">
        <f t="shared" si="35"/>
        <v/>
      </c>
      <c r="AI232" s="200" t="str">
        <f t="shared" si="33"/>
        <v/>
      </c>
      <c r="AJ232" s="208" t="str">
        <f t="shared" si="34"/>
        <v/>
      </c>
      <c r="AK232" s="4"/>
      <c r="AL232" s="162">
        <v>1735</v>
      </c>
      <c r="AM232" s="209">
        <v>1.0689041512722669E-3</v>
      </c>
      <c r="AN232" s="183">
        <v>7.2083654216764746E-4</v>
      </c>
      <c r="AO232" s="183">
        <v>8.1227929342953616E-4</v>
      </c>
      <c r="AP232" s="165">
        <v>8.818810402056094E-4</v>
      </c>
      <c r="AR232" s="210">
        <v>95.651641279060982</v>
      </c>
      <c r="AS232" s="211">
        <v>95.767658862468679</v>
      </c>
      <c r="AT232" s="211">
        <v>95.694382848636337</v>
      </c>
      <c r="AU232" s="211">
        <v>95.562798685803543</v>
      </c>
      <c r="AV232" s="211"/>
      <c r="AW232" s="212"/>
      <c r="AX232" s="210">
        <v>95.341819439107454</v>
      </c>
      <c r="AY232" s="211">
        <v>96.243602054005009</v>
      </c>
      <c r="AZ232" s="213">
        <v>99.128734053164877</v>
      </c>
    </row>
    <row r="233" spans="12:52" x14ac:dyDescent="0.25">
      <c r="L233" s="189">
        <v>1730</v>
      </c>
      <c r="M233" s="196">
        <f t="shared" si="36"/>
        <v>0</v>
      </c>
      <c r="N233" s="197">
        <f t="shared" si="36"/>
        <v>0</v>
      </c>
      <c r="O233" s="152">
        <f ca="1"/>
        <v>95.729679290933277</v>
      </c>
      <c r="Q233" s="198">
        <v>0</v>
      </c>
      <c r="R233" s="200">
        <v>0</v>
      </c>
      <c r="S233" s="200">
        <v>0</v>
      </c>
      <c r="T233" s="200">
        <v>0</v>
      </c>
      <c r="U233" s="200">
        <f t="array" ref="U233">IF(U$77&gt;" ",(U$628:U$1078),"")</f>
        <v>0</v>
      </c>
      <c r="V233" s="200">
        <f t="array" ref="V233">IF(V$77&gt;" ",(V$628:V$1078),"")</f>
        <v>0</v>
      </c>
      <c r="W233" s="200">
        <f t="array" ref="W233">IF(W$77&gt;" ",(W$628:W$1078),"")</f>
        <v>0</v>
      </c>
      <c r="X233" s="200">
        <f t="array" ref="X233">IF(X$77&gt;" ",(X$628:X$1078),"")</f>
        <v>0</v>
      </c>
      <c r="Y233" s="204">
        <v>0</v>
      </c>
      <c r="Z233" s="198" t="str">
        <f t="shared" si="30"/>
        <v/>
      </c>
      <c r="AA233" s="198" t="str">
        <f t="shared" si="31"/>
        <v/>
      </c>
      <c r="AB233" s="198" t="str">
        <f t="shared" si="32"/>
        <v/>
      </c>
      <c r="AC233" s="198" t="str">
        <f t="shared" si="29"/>
        <v/>
      </c>
      <c r="AD233" s="198" t="str">
        <f t="shared" si="27"/>
        <v/>
      </c>
      <c r="AE233" s="198" t="str">
        <f t="shared" si="27"/>
        <v/>
      </c>
      <c r="AF233" s="198" t="str">
        <f t="shared" si="27"/>
        <v/>
      </c>
      <c r="AG233" s="198" t="str">
        <f t="shared" si="27"/>
        <v/>
      </c>
      <c r="AH233" s="198" t="str">
        <f t="shared" si="35"/>
        <v/>
      </c>
      <c r="AI233" s="200" t="str">
        <f t="shared" si="33"/>
        <v/>
      </c>
      <c r="AJ233" s="208" t="str">
        <f t="shared" si="34"/>
        <v/>
      </c>
      <c r="AK233" s="4"/>
      <c r="AL233" s="162">
        <v>1730</v>
      </c>
      <c r="AM233" s="209">
        <v>1.0926208750242287E-3</v>
      </c>
      <c r="AN233" s="183">
        <v>7.2156689328394669E-4</v>
      </c>
      <c r="AO233" s="183">
        <v>8.7528449057372405E-4</v>
      </c>
      <c r="AP233" s="165">
        <v>9.502131096364413E-4</v>
      </c>
      <c r="AR233" s="210">
        <v>95.694787011580758</v>
      </c>
      <c r="AS233" s="211">
        <v>95.802989666236385</v>
      </c>
      <c r="AT233" s="211">
        <v>95.729679290933277</v>
      </c>
      <c r="AU233" s="211">
        <v>95.602051382567581</v>
      </c>
      <c r="AV233" s="211"/>
      <c r="AW233" s="212"/>
      <c r="AX233" s="210">
        <v>95.38686259717322</v>
      </c>
      <c r="AY233" s="211">
        <v>96.279578500927826</v>
      </c>
      <c r="AZ233" s="213">
        <v>99.000428553364912</v>
      </c>
    </row>
    <row r="234" spans="12:52" x14ac:dyDescent="0.25">
      <c r="L234" s="189">
        <v>1725</v>
      </c>
      <c r="M234" s="196">
        <f t="shared" si="36"/>
        <v>0</v>
      </c>
      <c r="N234" s="197">
        <f t="shared" si="36"/>
        <v>0</v>
      </c>
      <c r="O234" s="152">
        <f ca="1"/>
        <v>95.75904219050858</v>
      </c>
      <c r="Q234" s="198">
        <v>0</v>
      </c>
      <c r="R234" s="200">
        <v>0</v>
      </c>
      <c r="S234" s="200">
        <v>0</v>
      </c>
      <c r="T234" s="200">
        <v>0</v>
      </c>
      <c r="U234" s="200">
        <f t="array" ref="U234">IF(U$77&gt;" ",(U$628:U$1078),"")</f>
        <v>0</v>
      </c>
      <c r="V234" s="200">
        <f t="array" ref="V234">IF(V$77&gt;" ",(V$628:V$1078),"")</f>
        <v>0</v>
      </c>
      <c r="W234" s="200">
        <f t="array" ref="W234">IF(W$77&gt;" ",(W$628:W$1078),"")</f>
        <v>0</v>
      </c>
      <c r="X234" s="200">
        <f t="array" ref="X234">IF(X$77&gt;" ",(X$628:X$1078),"")</f>
        <v>0</v>
      </c>
      <c r="Y234" s="204">
        <v>0</v>
      </c>
      <c r="Z234" s="198" t="str">
        <f t="shared" si="30"/>
        <v/>
      </c>
      <c r="AA234" s="198" t="str">
        <f t="shared" si="31"/>
        <v/>
      </c>
      <c r="AB234" s="198" t="str">
        <f t="shared" si="32"/>
        <v/>
      </c>
      <c r="AC234" s="198" t="str">
        <f t="shared" si="29"/>
        <v/>
      </c>
      <c r="AD234" s="198" t="str">
        <f t="shared" si="27"/>
        <v/>
      </c>
      <c r="AE234" s="198" t="str">
        <f t="shared" si="27"/>
        <v/>
      </c>
      <c r="AF234" s="198" t="str">
        <f t="shared" si="27"/>
        <v/>
      </c>
      <c r="AG234" s="198" t="str">
        <f t="shared" si="27"/>
        <v/>
      </c>
      <c r="AH234" s="198" t="str">
        <f t="shared" si="35"/>
        <v/>
      </c>
      <c r="AI234" s="200" t="str">
        <f t="shared" si="33"/>
        <v/>
      </c>
      <c r="AJ234" s="208" t="str">
        <f t="shared" si="34"/>
        <v/>
      </c>
      <c r="AK234" s="4"/>
      <c r="AL234" s="162">
        <v>1725</v>
      </c>
      <c r="AM234" s="209">
        <v>1.11640366207355E-3</v>
      </c>
      <c r="AN234" s="183">
        <v>7.2229724440024592E-4</v>
      </c>
      <c r="AO234" s="183">
        <v>8.954481649989588E-4</v>
      </c>
      <c r="AP234" s="165">
        <v>9.7192714971765573E-4</v>
      </c>
      <c r="AR234" s="210">
        <v>95.732238984614668</v>
      </c>
      <c r="AS234" s="211">
        <v>95.836990967946932</v>
      </c>
      <c r="AT234" s="211">
        <v>95.75904219050858</v>
      </c>
      <c r="AU234" s="211">
        <v>95.634337448446345</v>
      </c>
      <c r="AV234" s="211"/>
      <c r="AW234" s="212"/>
      <c r="AX234" s="210">
        <v>95.432216581484184</v>
      </c>
      <c r="AY234" s="211">
        <v>96.298484419299029</v>
      </c>
      <c r="AZ234" s="213">
        <v>99.089133343185821</v>
      </c>
    </row>
    <row r="235" spans="12:52" x14ac:dyDescent="0.25">
      <c r="L235" s="189">
        <v>1720</v>
      </c>
      <c r="M235" s="196">
        <f t="shared" si="36"/>
        <v>0</v>
      </c>
      <c r="N235" s="197">
        <f t="shared" si="36"/>
        <v>0</v>
      </c>
      <c r="O235" s="152">
        <f ca="1"/>
        <v>95.797368063682939</v>
      </c>
      <c r="Q235" s="198">
        <v>0</v>
      </c>
      <c r="R235" s="200">
        <v>0</v>
      </c>
      <c r="S235" s="200">
        <v>0</v>
      </c>
      <c r="T235" s="200">
        <v>0</v>
      </c>
      <c r="U235" s="200">
        <f t="array" ref="U235">IF(U$77&gt;" ",(U$628:U$1078),"")</f>
        <v>0</v>
      </c>
      <c r="V235" s="200">
        <f t="array" ref="V235">IF(V$77&gt;" ",(V$628:V$1078),"")</f>
        <v>0</v>
      </c>
      <c r="W235" s="200">
        <f t="array" ref="W235">IF(W$77&gt;" ",(W$628:W$1078),"")</f>
        <v>0</v>
      </c>
      <c r="X235" s="200">
        <f t="array" ref="X235">IF(X$77&gt;" ",(X$628:X$1078),"")</f>
        <v>0</v>
      </c>
      <c r="Y235" s="204">
        <v>0</v>
      </c>
      <c r="Z235" s="198" t="str">
        <f t="shared" si="30"/>
        <v/>
      </c>
      <c r="AA235" s="198" t="str">
        <f t="shared" si="31"/>
        <v/>
      </c>
      <c r="AB235" s="198" t="str">
        <f t="shared" si="32"/>
        <v/>
      </c>
      <c r="AC235" s="198" t="str">
        <f t="shared" si="29"/>
        <v/>
      </c>
      <c r="AD235" s="198" t="str">
        <f t="shared" si="27"/>
        <v/>
      </c>
      <c r="AE235" s="198" t="str">
        <f t="shared" si="27"/>
        <v/>
      </c>
      <c r="AF235" s="198" t="str">
        <f t="shared" si="27"/>
        <v/>
      </c>
      <c r="AG235" s="198" t="str">
        <f t="shared" si="27"/>
        <v/>
      </c>
      <c r="AH235" s="198" t="str">
        <f t="shared" si="35"/>
        <v/>
      </c>
      <c r="AI235" s="200" t="str">
        <f t="shared" si="33"/>
        <v/>
      </c>
      <c r="AJ235" s="208" t="str">
        <f t="shared" si="34"/>
        <v/>
      </c>
      <c r="AK235" s="4"/>
      <c r="AL235" s="162">
        <v>1720</v>
      </c>
      <c r="AM235" s="209">
        <v>1.1401864491228711E-3</v>
      </c>
      <c r="AN235" s="183">
        <v>7.2302759551654493E-4</v>
      </c>
      <c r="AO235" s="183">
        <v>9.4020045985795898E-4</v>
      </c>
      <c r="AP235" s="165">
        <v>1.0202800637129374E-3</v>
      </c>
      <c r="AR235" s="210">
        <v>95.766173816094408</v>
      </c>
      <c r="AS235" s="211">
        <v>95.870165726765279</v>
      </c>
      <c r="AT235" s="211">
        <v>95.797368063682939</v>
      </c>
      <c r="AU235" s="211">
        <v>95.671626645631591</v>
      </c>
      <c r="AV235" s="211"/>
      <c r="AW235" s="212"/>
      <c r="AX235" s="210">
        <v>95.476759941545808</v>
      </c>
      <c r="AY235" s="211">
        <v>96.308463092777103</v>
      </c>
      <c r="AZ235" s="213">
        <v>99.005792974397252</v>
      </c>
    </row>
    <row r="236" spans="12:52" x14ac:dyDescent="0.25">
      <c r="L236" s="189">
        <v>1715</v>
      </c>
      <c r="M236" s="196">
        <f t="shared" si="36"/>
        <v>0</v>
      </c>
      <c r="N236" s="197">
        <f t="shared" si="36"/>
        <v>0</v>
      </c>
      <c r="O236" s="152">
        <f ca="1"/>
        <v>95.832392809662792</v>
      </c>
      <c r="Q236" s="198">
        <v>0</v>
      </c>
      <c r="R236" s="200">
        <v>0</v>
      </c>
      <c r="S236" s="200">
        <v>0</v>
      </c>
      <c r="T236" s="200">
        <v>0</v>
      </c>
      <c r="U236" s="200">
        <f t="array" ref="U236">IF(U$77&gt;" ",(U$628:U$1078),"")</f>
        <v>0</v>
      </c>
      <c r="V236" s="200">
        <f t="array" ref="V236">IF(V$77&gt;" ",(V$628:V$1078),"")</f>
        <v>0</v>
      </c>
      <c r="W236" s="200">
        <f t="array" ref="W236">IF(W$77&gt;" ",(W$628:W$1078),"")</f>
        <v>0</v>
      </c>
      <c r="X236" s="200">
        <f t="array" ref="X236">IF(X$77&gt;" ",(X$628:X$1078),"")</f>
        <v>0</v>
      </c>
      <c r="Y236" s="204">
        <v>0</v>
      </c>
      <c r="Z236" s="198" t="str">
        <f t="shared" si="30"/>
        <v/>
      </c>
      <c r="AA236" s="198" t="str">
        <f t="shared" si="31"/>
        <v/>
      </c>
      <c r="AB236" s="198" t="str">
        <f t="shared" si="32"/>
        <v/>
      </c>
      <c r="AC236" s="198" t="str">
        <f t="shared" si="29"/>
        <v/>
      </c>
      <c r="AD236" s="198" t="str">
        <f t="shared" si="27"/>
        <v/>
      </c>
      <c r="AE236" s="198" t="str">
        <f t="shared" si="27"/>
        <v/>
      </c>
      <c r="AF236" s="198" t="str">
        <f t="shared" si="27"/>
        <v/>
      </c>
      <c r="AG236" s="198" t="str">
        <f t="shared" si="27"/>
        <v/>
      </c>
      <c r="AH236" s="198" t="str">
        <f t="shared" si="35"/>
        <v/>
      </c>
      <c r="AI236" s="200" t="str">
        <f t="shared" si="33"/>
        <v/>
      </c>
      <c r="AJ236" s="208" t="str">
        <f t="shared" si="34"/>
        <v/>
      </c>
      <c r="AK236" s="4"/>
      <c r="AL236" s="162">
        <v>1715</v>
      </c>
      <c r="AM236" s="209">
        <v>1.1639031728748331E-3</v>
      </c>
      <c r="AN236" s="183">
        <v>7.2375794663284416E-4</v>
      </c>
      <c r="AO236" s="183">
        <v>9.5362614831565908E-4</v>
      </c>
      <c r="AP236" s="165">
        <v>1.0347747451073563E-3</v>
      </c>
      <c r="AR236" s="210">
        <v>95.801232129828094</v>
      </c>
      <c r="AS236" s="211">
        <v>95.901265560930312</v>
      </c>
      <c r="AT236" s="211">
        <v>95.832392809662792</v>
      </c>
      <c r="AU236" s="211">
        <v>95.703792650729198</v>
      </c>
      <c r="AV236" s="211"/>
      <c r="AW236" s="212"/>
      <c r="AX236" s="210">
        <v>95.523776220543709</v>
      </c>
      <c r="AY236" s="211">
        <v>96.35158581085193</v>
      </c>
      <c r="AZ236" s="213">
        <v>99.042436527786961</v>
      </c>
    </row>
    <row r="237" spans="12:52" x14ac:dyDescent="0.25">
      <c r="L237" s="189">
        <v>1710</v>
      </c>
      <c r="M237" s="196">
        <f t="shared" si="36"/>
        <v>0</v>
      </c>
      <c r="N237" s="197">
        <f t="shared" si="36"/>
        <v>0</v>
      </c>
      <c r="O237" s="152">
        <f ca="1"/>
        <v>95.870208098905849</v>
      </c>
      <c r="Q237" s="198">
        <v>0</v>
      </c>
      <c r="R237" s="200">
        <v>0</v>
      </c>
      <c r="S237" s="200">
        <v>0</v>
      </c>
      <c r="T237" s="200">
        <v>0</v>
      </c>
      <c r="U237" s="200">
        <f t="array" ref="U237">IF(U$77&gt;" ",(U$628:U$1078),"")</f>
        <v>0</v>
      </c>
      <c r="V237" s="200">
        <f t="array" ref="V237">IF(V$77&gt;" ",(V$628:V$1078),"")</f>
        <v>0</v>
      </c>
      <c r="W237" s="200">
        <f t="array" ref="W237">IF(W$77&gt;" ",(W$628:W$1078),"")</f>
        <v>0</v>
      </c>
      <c r="X237" s="200">
        <f t="array" ref="X237">IF(X$77&gt;" ",(X$628:X$1078),"")</f>
        <v>0</v>
      </c>
      <c r="Y237" s="204">
        <v>0</v>
      </c>
      <c r="Z237" s="198" t="str">
        <f t="shared" si="30"/>
        <v/>
      </c>
      <c r="AA237" s="198" t="str">
        <f t="shared" si="31"/>
        <v/>
      </c>
      <c r="AB237" s="198" t="str">
        <f t="shared" si="32"/>
        <v/>
      </c>
      <c r="AC237" s="198" t="str">
        <f t="shared" si="29"/>
        <v/>
      </c>
      <c r="AD237" s="198" t="str">
        <f t="shared" si="27"/>
        <v/>
      </c>
      <c r="AE237" s="198" t="str">
        <f t="shared" si="27"/>
        <v/>
      </c>
      <c r="AF237" s="198" t="str">
        <f t="shared" si="27"/>
        <v/>
      </c>
      <c r="AG237" s="198" t="str">
        <f t="shared" si="27"/>
        <v/>
      </c>
      <c r="AH237" s="198" t="str">
        <f t="shared" si="35"/>
        <v/>
      </c>
      <c r="AI237" s="200" t="str">
        <f t="shared" si="33"/>
        <v/>
      </c>
      <c r="AJ237" s="208" t="str">
        <f t="shared" si="34"/>
        <v/>
      </c>
      <c r="AK237" s="4"/>
      <c r="AL237" s="162">
        <v>1710</v>
      </c>
      <c r="AM237" s="209">
        <v>1.1876859599241542E-3</v>
      </c>
      <c r="AN237" s="183">
        <v>7.2448829774914339E-4</v>
      </c>
      <c r="AO237" s="183">
        <v>9.4482653977596802E-4</v>
      </c>
      <c r="AP237" s="165">
        <v>1.0250370054833064E-3</v>
      </c>
      <c r="AR237" s="210">
        <v>95.839948347468166</v>
      </c>
      <c r="AS237" s="211">
        <v>95.940769848961665</v>
      </c>
      <c r="AT237" s="211">
        <v>95.870208098905849</v>
      </c>
      <c r="AU237" s="211">
        <v>95.744879523995266</v>
      </c>
      <c r="AV237" s="211"/>
      <c r="AW237" s="212"/>
      <c r="AX237" s="210">
        <v>95.540863182391988</v>
      </c>
      <c r="AY237" s="211">
        <v>96.383447547252146</v>
      </c>
      <c r="AZ237" s="213">
        <v>99.105506285028142</v>
      </c>
    </row>
    <row r="238" spans="12:52" x14ac:dyDescent="0.25">
      <c r="L238" s="189">
        <v>1705</v>
      </c>
      <c r="M238" s="196">
        <f t="shared" si="36"/>
        <v>0</v>
      </c>
      <c r="N238" s="197">
        <f t="shared" si="36"/>
        <v>0</v>
      </c>
      <c r="O238" s="152">
        <f ca="1"/>
        <v>95.900567079416419</v>
      </c>
      <c r="Q238" s="198">
        <v>0</v>
      </c>
      <c r="R238" s="200">
        <v>0</v>
      </c>
      <c r="S238" s="200">
        <v>0</v>
      </c>
      <c r="T238" s="200">
        <v>0</v>
      </c>
      <c r="U238" s="200">
        <f t="array" ref="U238">IF(U$77&gt;" ",(U$628:U$1078),"")</f>
        <v>0</v>
      </c>
      <c r="V238" s="200">
        <f t="array" ref="V238">IF(V$77&gt;" ",(V$628:V$1078),"")</f>
        <v>0</v>
      </c>
      <c r="W238" s="200">
        <f t="array" ref="W238">IF(W$77&gt;" ",(W$628:W$1078),"")</f>
        <v>0</v>
      </c>
      <c r="X238" s="200">
        <f t="array" ref="X238">IF(X$77&gt;" ",(X$628:X$1078),"")</f>
        <v>0</v>
      </c>
      <c r="Y238" s="204">
        <v>0</v>
      </c>
      <c r="Z238" s="198" t="str">
        <f t="shared" si="30"/>
        <v/>
      </c>
      <c r="AA238" s="198" t="str">
        <f t="shared" si="31"/>
        <v/>
      </c>
      <c r="AB238" s="198" t="str">
        <f t="shared" si="32"/>
        <v/>
      </c>
      <c r="AC238" s="198" t="str">
        <f t="shared" si="29"/>
        <v/>
      </c>
      <c r="AD238" s="198" t="str">
        <f t="shared" si="27"/>
        <v/>
      </c>
      <c r="AE238" s="198" t="str">
        <f t="shared" si="27"/>
        <v/>
      </c>
      <c r="AF238" s="198" t="str">
        <f t="shared" si="27"/>
        <v/>
      </c>
      <c r="AG238" s="198" t="str">
        <f t="shared" si="27"/>
        <v/>
      </c>
      <c r="AH238" s="198" t="str">
        <f t="shared" si="35"/>
        <v/>
      </c>
      <c r="AI238" s="200" t="str">
        <f t="shared" si="33"/>
        <v/>
      </c>
      <c r="AJ238" s="208" t="str">
        <f t="shared" si="34"/>
        <v/>
      </c>
      <c r="AK238" s="4"/>
      <c r="AL238" s="162">
        <v>1705</v>
      </c>
      <c r="AM238" s="209">
        <v>1.2114687469734753E-3</v>
      </c>
      <c r="AN238" s="183">
        <v>7.2521864886544241E-4</v>
      </c>
      <c r="AO238" s="183">
        <v>9.945066154171951E-4</v>
      </c>
      <c r="AP238" s="165">
        <v>1.078706501457236E-3</v>
      </c>
      <c r="AR238" s="210">
        <v>95.870837058610817</v>
      </c>
      <c r="AS238" s="211">
        <v>95.972398002168248</v>
      </c>
      <c r="AT238" s="211">
        <v>95.900567079416419</v>
      </c>
      <c r="AU238" s="211">
        <v>95.774729944373419</v>
      </c>
      <c r="AV238" s="211"/>
      <c r="AW238" s="212"/>
      <c r="AX238" s="210">
        <v>95.569535885407731</v>
      </c>
      <c r="AY238" s="211">
        <v>96.396650807219274</v>
      </c>
      <c r="AZ238" s="213">
        <v>99.098417090183631</v>
      </c>
    </row>
    <row r="239" spans="12:52" x14ac:dyDescent="0.25">
      <c r="L239" s="189">
        <v>1700</v>
      </c>
      <c r="M239" s="196">
        <f t="shared" ref="M239:N254" si="37">M788</f>
        <v>0</v>
      </c>
      <c r="N239" s="197">
        <f t="shared" si="37"/>
        <v>0</v>
      </c>
      <c r="O239" s="152">
        <f ca="1"/>
        <v>95.945313333197873</v>
      </c>
      <c r="Q239" s="198">
        <v>0</v>
      </c>
      <c r="R239" s="200">
        <v>0</v>
      </c>
      <c r="S239" s="200">
        <v>0</v>
      </c>
      <c r="T239" s="200">
        <v>0</v>
      </c>
      <c r="U239" s="200">
        <f t="array" ref="U239">IF(U$77&gt;" ",(U$628:U$1078),"")</f>
        <v>0</v>
      </c>
      <c r="V239" s="200">
        <f t="array" ref="V239">IF(V$77&gt;" ",(V$628:V$1078),"")</f>
        <v>0</v>
      </c>
      <c r="W239" s="200">
        <f t="array" ref="W239">IF(W$77&gt;" ",(W$628:W$1078),"")</f>
        <v>0</v>
      </c>
      <c r="X239" s="200">
        <f t="array" ref="X239">IF(X$77&gt;" ",(X$628:X$1078),"")</f>
        <v>0</v>
      </c>
      <c r="Y239" s="204">
        <v>0</v>
      </c>
      <c r="Z239" s="198" t="str">
        <f t="shared" si="30"/>
        <v/>
      </c>
      <c r="AA239" s="198" t="str">
        <f t="shared" si="31"/>
        <v/>
      </c>
      <c r="AB239" s="198" t="str">
        <f t="shared" si="32"/>
        <v/>
      </c>
      <c r="AC239" s="198" t="str">
        <f t="shared" ref="AC239:AC271" si="38">IF(AND(T239&gt;0,T239&lt;999),(T239-$M239)/($N239-$M239)*$O239,"")</f>
        <v/>
      </c>
      <c r="AD239" s="198" t="str">
        <f t="shared" si="27"/>
        <v/>
      </c>
      <c r="AE239" s="198" t="str">
        <f t="shared" si="27"/>
        <v/>
      </c>
      <c r="AF239" s="198" t="str">
        <f t="shared" si="27"/>
        <v/>
      </c>
      <c r="AG239" s="198" t="str">
        <f t="shared" si="27"/>
        <v/>
      </c>
      <c r="AH239" s="198" t="str">
        <f t="shared" si="35"/>
        <v/>
      </c>
      <c r="AI239" s="200" t="str">
        <f t="shared" si="33"/>
        <v/>
      </c>
      <c r="AJ239" s="208" t="str">
        <f t="shared" si="34"/>
        <v/>
      </c>
      <c r="AK239" s="4"/>
      <c r="AL239" s="162">
        <v>1700</v>
      </c>
      <c r="AM239" s="209">
        <v>1.2351854707254373E-3</v>
      </c>
      <c r="AN239" s="183">
        <v>7.2594899998174164E-4</v>
      </c>
      <c r="AO239" s="183">
        <v>1.0044124604590187E-3</v>
      </c>
      <c r="AP239" s="165">
        <v>1.0892837013937037E-3</v>
      </c>
      <c r="AR239" s="210">
        <v>95.903874551414788</v>
      </c>
      <c r="AS239" s="211">
        <v>96.018712523723806</v>
      </c>
      <c r="AT239" s="211">
        <v>95.945313333197873</v>
      </c>
      <c r="AU239" s="211">
        <v>95.810554148779659</v>
      </c>
      <c r="AV239" s="211"/>
      <c r="AW239" s="212"/>
      <c r="AX239" s="210">
        <v>95.593732741726058</v>
      </c>
      <c r="AY239" s="211">
        <v>96.403657043509227</v>
      </c>
      <c r="AZ239" s="213">
        <v>99.008402852444647</v>
      </c>
    </row>
    <row r="240" spans="12:52" x14ac:dyDescent="0.25">
      <c r="L240" s="189">
        <v>1695</v>
      </c>
      <c r="M240" s="196">
        <f t="shared" si="37"/>
        <v>0</v>
      </c>
      <c r="N240" s="197">
        <f t="shared" si="37"/>
        <v>0</v>
      </c>
      <c r="O240" s="152">
        <f ca="1"/>
        <v>95.974370406585692</v>
      </c>
      <c r="Q240" s="198">
        <v>0</v>
      </c>
      <c r="R240" s="200">
        <v>0</v>
      </c>
      <c r="S240" s="200">
        <v>0</v>
      </c>
      <c r="T240" s="200">
        <v>0</v>
      </c>
      <c r="U240" s="200">
        <f t="array" ref="U240">IF(U$77&gt;" ",(U$628:U$1078),"")</f>
        <v>0</v>
      </c>
      <c r="V240" s="200">
        <f t="array" ref="V240">IF(V$77&gt;" ",(V$628:V$1078),"")</f>
        <v>0</v>
      </c>
      <c r="W240" s="200">
        <f t="array" ref="W240">IF(W$77&gt;" ",(W$628:W$1078),"")</f>
        <v>0</v>
      </c>
      <c r="X240" s="200">
        <f t="array" ref="X240">IF(X$77&gt;" ",(X$628:X$1078),"")</f>
        <v>0</v>
      </c>
      <c r="Y240" s="204">
        <v>0</v>
      </c>
      <c r="Z240" s="198" t="str">
        <f t="shared" ref="Z240:Z271" si="39">IF(AND(Q240&gt;0,Q240&lt;999),(Q240-$M240)/($N240-$M240)*$O240,"")</f>
        <v/>
      </c>
      <c r="AA240" s="198" t="str">
        <f t="shared" ref="AA240:AA271" si="40">IF(AND(R240&gt;0,R240&lt;999),(R240-$M240)/($N240-$M240)*$O240,"")</f>
        <v/>
      </c>
      <c r="AB240" s="198" t="str">
        <f t="shared" ref="AB240:AB271" si="41">IF(AND(S240&gt;0,S240&lt;999),(S240-$M240)/($N240-$M240)*$O240,"")</f>
        <v/>
      </c>
      <c r="AC240" s="198" t="str">
        <f t="shared" si="38"/>
        <v/>
      </c>
      <c r="AD240" s="198" t="str">
        <f t="shared" si="27"/>
        <v/>
      </c>
      <c r="AE240" s="198" t="str">
        <f t="shared" si="27"/>
        <v/>
      </c>
      <c r="AF240" s="198" t="str">
        <f t="shared" si="27"/>
        <v/>
      </c>
      <c r="AG240" s="198" t="str">
        <f t="shared" si="27"/>
        <v/>
      </c>
      <c r="AH240" s="198" t="str">
        <f t="shared" si="35"/>
        <v/>
      </c>
      <c r="AI240" s="200" t="str">
        <f t="shared" si="33"/>
        <v/>
      </c>
      <c r="AJ240" s="208" t="str">
        <f t="shared" si="34"/>
        <v/>
      </c>
      <c r="AK240" s="4"/>
      <c r="AL240" s="162">
        <v>1695</v>
      </c>
      <c r="AM240" s="209">
        <v>1.2589682577747584E-3</v>
      </c>
      <c r="AN240" s="183">
        <v>7.5955515614131535E-4</v>
      </c>
      <c r="AO240" s="183">
        <v>1.0543439534870941E-3</v>
      </c>
      <c r="AP240" s="165">
        <v>1.1431770534509446E-3</v>
      </c>
      <c r="AR240" s="210">
        <v>95.933690376028963</v>
      </c>
      <c r="AS240" s="211">
        <v>96.05143960593152</v>
      </c>
      <c r="AT240" s="211">
        <v>95.974370406585692</v>
      </c>
      <c r="AU240" s="211">
        <v>95.841320429294683</v>
      </c>
      <c r="AV240" s="211"/>
      <c r="AW240" s="212"/>
      <c r="AX240" s="210">
        <v>95.608296341949924</v>
      </c>
      <c r="AY240" s="211">
        <v>96.424392876118404</v>
      </c>
      <c r="AZ240" s="213">
        <v>99.117598895079141</v>
      </c>
    </row>
    <row r="241" spans="12:52" x14ac:dyDescent="0.25">
      <c r="L241" s="189">
        <v>1690</v>
      </c>
      <c r="M241" s="196">
        <f t="shared" si="37"/>
        <v>0</v>
      </c>
      <c r="N241" s="197">
        <f t="shared" si="37"/>
        <v>0</v>
      </c>
      <c r="O241" s="152">
        <f ca="1"/>
        <v>96.010814428120582</v>
      </c>
      <c r="Q241" s="198">
        <v>0</v>
      </c>
      <c r="R241" s="200">
        <v>0</v>
      </c>
      <c r="S241" s="200">
        <v>0</v>
      </c>
      <c r="T241" s="200">
        <v>0</v>
      </c>
      <c r="U241" s="200">
        <f t="array" ref="U241">IF(U$77&gt;" ",(U$628:U$1078),"")</f>
        <v>0</v>
      </c>
      <c r="V241" s="200">
        <f t="array" ref="V241">IF(V$77&gt;" ",(V$628:V$1078),"")</f>
        <v>0</v>
      </c>
      <c r="W241" s="200">
        <f t="array" ref="W241">IF(W$77&gt;" ",(W$628:W$1078),"")</f>
        <v>0</v>
      </c>
      <c r="X241" s="200">
        <f t="array" ref="X241">IF(X$77&gt;" ",(X$628:X$1078),"")</f>
        <v>0</v>
      </c>
      <c r="Y241" s="204">
        <v>0</v>
      </c>
      <c r="Z241" s="198" t="str">
        <f t="shared" si="39"/>
        <v/>
      </c>
      <c r="AA241" s="198" t="str">
        <f t="shared" si="40"/>
        <v/>
      </c>
      <c r="AB241" s="198" t="str">
        <f t="shared" si="41"/>
        <v/>
      </c>
      <c r="AC241" s="198" t="str">
        <f t="shared" si="38"/>
        <v/>
      </c>
      <c r="AD241" s="198" t="str">
        <f t="shared" si="27"/>
        <v/>
      </c>
      <c r="AE241" s="198" t="str">
        <f t="shared" si="27"/>
        <v/>
      </c>
      <c r="AF241" s="198" t="str">
        <f t="shared" si="27"/>
        <v/>
      </c>
      <c r="AG241" s="198" t="str">
        <f t="shared" si="27"/>
        <v/>
      </c>
      <c r="AH241" s="198" t="str">
        <f t="shared" si="35"/>
        <v/>
      </c>
      <c r="AI241" s="200" t="str">
        <f t="shared" si="33"/>
        <v/>
      </c>
      <c r="AJ241" s="208" t="str">
        <f t="shared" si="34"/>
        <v/>
      </c>
      <c r="AK241" s="4"/>
      <c r="AL241" s="162">
        <v>1690</v>
      </c>
      <c r="AM241" s="209">
        <v>1.2827510448240795E-3</v>
      </c>
      <c r="AN241" s="183">
        <v>7.9316131230088905E-4</v>
      </c>
      <c r="AO241" s="183">
        <v>1.0319678060575939E-3</v>
      </c>
      <c r="AP241" s="165">
        <v>1.1187767403699922E-3</v>
      </c>
      <c r="AR241" s="210">
        <v>95.967566598235692</v>
      </c>
      <c r="AS241" s="211">
        <v>96.086930608717978</v>
      </c>
      <c r="AT241" s="211">
        <v>96.010814428120582</v>
      </c>
      <c r="AU241" s="211">
        <v>95.882634513854057</v>
      </c>
      <c r="AV241" s="211"/>
      <c r="AW241" s="212"/>
      <c r="AX241" s="210">
        <v>95.642016761859182</v>
      </c>
      <c r="AY241" s="211">
        <v>96.451161746579714</v>
      </c>
      <c r="AZ241" s="213">
        <v>98.94954486497403</v>
      </c>
    </row>
    <row r="242" spans="12:52" x14ac:dyDescent="0.25">
      <c r="L242" s="189">
        <v>1685</v>
      </c>
      <c r="M242" s="196">
        <f t="shared" si="37"/>
        <v>0</v>
      </c>
      <c r="N242" s="197">
        <f t="shared" si="37"/>
        <v>0</v>
      </c>
      <c r="O242" s="152">
        <f ca="1"/>
        <v>96.045578419450251</v>
      </c>
      <c r="Q242" s="198">
        <v>0</v>
      </c>
      <c r="R242" s="200">
        <v>0</v>
      </c>
      <c r="S242" s="200">
        <v>0</v>
      </c>
      <c r="T242" s="200">
        <v>0</v>
      </c>
      <c r="U242" s="200">
        <f t="array" ref="U242">IF(U$77&gt;" ",(U$628:U$1078),"")</f>
        <v>0</v>
      </c>
      <c r="V242" s="200">
        <f t="array" ref="V242">IF(V$77&gt;" ",(V$628:V$1078),"")</f>
        <v>0</v>
      </c>
      <c r="W242" s="200">
        <f t="array" ref="W242">IF(W$77&gt;" ",(W$628:W$1078),"")</f>
        <v>0</v>
      </c>
      <c r="X242" s="200">
        <f t="array" ref="X242">IF(X$77&gt;" ",(X$628:X$1078),"")</f>
        <v>0</v>
      </c>
      <c r="Y242" s="204">
        <v>0</v>
      </c>
      <c r="Z242" s="198" t="str">
        <f t="shared" si="39"/>
        <v/>
      </c>
      <c r="AA242" s="198" t="str">
        <f t="shared" si="40"/>
        <v/>
      </c>
      <c r="AB242" s="198" t="str">
        <f t="shared" si="41"/>
        <v/>
      </c>
      <c r="AC242" s="198" t="str">
        <f t="shared" si="38"/>
        <v/>
      </c>
      <c r="AD242" s="198" t="str">
        <f t="shared" si="27"/>
        <v/>
      </c>
      <c r="AE242" s="198" t="str">
        <f t="shared" si="27"/>
        <v/>
      </c>
      <c r="AF242" s="198" t="str">
        <f t="shared" si="27"/>
        <v/>
      </c>
      <c r="AG242" s="198" t="str">
        <f t="shared" si="27"/>
        <v/>
      </c>
      <c r="AH242" s="198" t="str">
        <f t="shared" si="35"/>
        <v/>
      </c>
      <c r="AI242" s="200" t="str">
        <f t="shared" si="33"/>
        <v/>
      </c>
      <c r="AJ242" s="208" t="str">
        <f t="shared" si="34"/>
        <v/>
      </c>
      <c r="AK242" s="4"/>
      <c r="AL242" s="162">
        <v>1685</v>
      </c>
      <c r="AM242" s="209">
        <v>1.3064677685760413E-3</v>
      </c>
      <c r="AN242" s="183">
        <v>8.2676746846046265E-4</v>
      </c>
      <c r="AO242" s="183">
        <v>1.072094020998585E-3</v>
      </c>
      <c r="AP242" s="165">
        <v>1.1619809644491097E-3</v>
      </c>
      <c r="AR242" s="210">
        <v>95.997802180254837</v>
      </c>
      <c r="AS242" s="211">
        <v>96.124761879955187</v>
      </c>
      <c r="AT242" s="211">
        <v>96.045578419450251</v>
      </c>
      <c r="AU242" s="211">
        <v>95.919550289873499</v>
      </c>
      <c r="AV242" s="211"/>
      <c r="AW242" s="212"/>
      <c r="AX242" s="210">
        <v>95.696280089120009</v>
      </c>
      <c r="AY242" s="211">
        <v>96.481467264983237</v>
      </c>
      <c r="AZ242" s="213">
        <v>99.082146992116719</v>
      </c>
    </row>
    <row r="243" spans="12:52" x14ac:dyDescent="0.25">
      <c r="L243" s="189">
        <v>1680</v>
      </c>
      <c r="M243" s="196">
        <f t="shared" si="37"/>
        <v>0</v>
      </c>
      <c r="N243" s="197">
        <f t="shared" si="37"/>
        <v>0</v>
      </c>
      <c r="O243" s="152">
        <f ca="1"/>
        <v>96.071739835839296</v>
      </c>
      <c r="Q243" s="198">
        <v>0</v>
      </c>
      <c r="R243" s="200">
        <v>0</v>
      </c>
      <c r="S243" s="200">
        <v>0</v>
      </c>
      <c r="T243" s="200">
        <v>0</v>
      </c>
      <c r="U243" s="200">
        <f t="array" ref="U243">IF(U$77&gt;" ",(U$628:U$1078),"")</f>
        <v>0</v>
      </c>
      <c r="V243" s="200">
        <f t="array" ref="V243">IF(V$77&gt;" ",(V$628:V$1078),"")</f>
        <v>0</v>
      </c>
      <c r="W243" s="200">
        <f t="array" ref="W243">IF(W$77&gt;" ",(W$628:W$1078),"")</f>
        <v>0</v>
      </c>
      <c r="X243" s="200">
        <f t="array" ref="X243">IF(X$77&gt;" ",(X$628:X$1078),"")</f>
        <v>0</v>
      </c>
      <c r="Y243" s="204">
        <v>0</v>
      </c>
      <c r="Z243" s="198" t="str">
        <f t="shared" si="39"/>
        <v/>
      </c>
      <c r="AA243" s="198" t="str">
        <f t="shared" si="40"/>
        <v/>
      </c>
      <c r="AB243" s="198" t="str">
        <f t="shared" si="41"/>
        <v/>
      </c>
      <c r="AC243" s="198" t="str">
        <f t="shared" si="38"/>
        <v/>
      </c>
      <c r="AD243" s="198" t="str">
        <f t="shared" si="27"/>
        <v/>
      </c>
      <c r="AE243" s="198" t="str">
        <f t="shared" si="27"/>
        <v/>
      </c>
      <c r="AF243" s="198" t="str">
        <f t="shared" si="27"/>
        <v/>
      </c>
      <c r="AG243" s="198" t="str">
        <f t="shared" si="27"/>
        <v/>
      </c>
      <c r="AH243" s="198" t="str">
        <f t="shared" si="35"/>
        <v/>
      </c>
      <c r="AI243" s="200" t="str">
        <f t="shared" si="33"/>
        <v/>
      </c>
      <c r="AJ243" s="208" t="str">
        <f t="shared" si="34"/>
        <v/>
      </c>
      <c r="AK243" s="4"/>
      <c r="AL243" s="162">
        <v>1680</v>
      </c>
      <c r="AM243" s="209">
        <v>1.3302505556253626E-3</v>
      </c>
      <c r="AN243" s="183">
        <v>8.6037362462003657E-4</v>
      </c>
      <c r="AO243" s="183">
        <v>1.0337277277655322E-3</v>
      </c>
      <c r="AP243" s="165">
        <v>1.120231804911517E-3</v>
      </c>
      <c r="AR243" s="210">
        <v>96.027330972512786</v>
      </c>
      <c r="AS243" s="211">
        <v>96.141862595309206</v>
      </c>
      <c r="AT243" s="211">
        <v>96.071739835839296</v>
      </c>
      <c r="AU243" s="211">
        <v>95.938479980793588</v>
      </c>
      <c r="AV243" s="211"/>
      <c r="AW243" s="212"/>
      <c r="AX243" s="210">
        <v>95.715168465385673</v>
      </c>
      <c r="AY243" s="211">
        <v>96.483540608548466</v>
      </c>
      <c r="AZ243" s="213">
        <v>99.167266276143465</v>
      </c>
    </row>
    <row r="244" spans="12:52" x14ac:dyDescent="0.25">
      <c r="L244" s="189">
        <v>1675</v>
      </c>
      <c r="M244" s="196">
        <f t="shared" si="37"/>
        <v>0</v>
      </c>
      <c r="N244" s="197">
        <f t="shared" si="37"/>
        <v>0</v>
      </c>
      <c r="O244" s="152">
        <f ca="1"/>
        <v>96.087475413568086</v>
      </c>
      <c r="Q244" s="198">
        <v>0</v>
      </c>
      <c r="R244" s="200">
        <v>0</v>
      </c>
      <c r="S244" s="200">
        <v>0</v>
      </c>
      <c r="T244" s="200">
        <v>0</v>
      </c>
      <c r="U244" s="200">
        <f t="array" ref="U244">IF(U$77&gt;" ",(U$628:U$1078),"")</f>
        <v>0</v>
      </c>
      <c r="V244" s="200">
        <f t="array" ref="V244">IF(V$77&gt;" ",(V$628:V$1078),"")</f>
        <v>0</v>
      </c>
      <c r="W244" s="200">
        <f t="array" ref="W244">IF(W$77&gt;" ",(W$628:W$1078),"")</f>
        <v>0</v>
      </c>
      <c r="X244" s="200">
        <f t="array" ref="X244">IF(X$77&gt;" ",(X$628:X$1078),"")</f>
        <v>0</v>
      </c>
      <c r="Y244" s="204">
        <v>0</v>
      </c>
      <c r="Z244" s="198" t="str">
        <f t="shared" si="39"/>
        <v/>
      </c>
      <c r="AA244" s="198" t="str">
        <f t="shared" si="40"/>
        <v/>
      </c>
      <c r="AB244" s="198" t="str">
        <f t="shared" si="41"/>
        <v/>
      </c>
      <c r="AC244" s="198" t="str">
        <f t="shared" si="38"/>
        <v/>
      </c>
      <c r="AD244" s="198" t="str">
        <f t="shared" si="27"/>
        <v/>
      </c>
      <c r="AE244" s="198" t="str">
        <f t="shared" si="27"/>
        <v/>
      </c>
      <c r="AF244" s="198" t="str">
        <f t="shared" si="27"/>
        <v/>
      </c>
      <c r="AG244" s="198" t="str">
        <f t="shared" si="27"/>
        <v/>
      </c>
      <c r="AH244" s="198" t="str">
        <f t="shared" si="35"/>
        <v/>
      </c>
      <c r="AI244" s="200" t="str">
        <f t="shared" si="33"/>
        <v/>
      </c>
      <c r="AJ244" s="208" t="str">
        <f t="shared" si="34"/>
        <v/>
      </c>
      <c r="AK244" s="4"/>
      <c r="AL244" s="162">
        <v>1675</v>
      </c>
      <c r="AM244" s="209">
        <v>1.3478894560202757E-3</v>
      </c>
      <c r="AN244" s="183">
        <v>8.9397978077961028E-4</v>
      </c>
      <c r="AO244" s="183">
        <v>1.0740550766160019E-3</v>
      </c>
      <c r="AP244" s="165">
        <v>1.1636598850739458E-3</v>
      </c>
      <c r="AR244" s="210">
        <v>96.049952821162876</v>
      </c>
      <c r="AS244" s="211">
        <v>96.159992480450498</v>
      </c>
      <c r="AT244" s="211">
        <v>96.087475413568086</v>
      </c>
      <c r="AU244" s="211">
        <v>95.954815751766702</v>
      </c>
      <c r="AV244" s="211"/>
      <c r="AW244" s="212"/>
      <c r="AX244" s="210">
        <v>95.72871931540972</v>
      </c>
      <c r="AY244" s="211">
        <v>96.479467283136614</v>
      </c>
      <c r="AZ244" s="213">
        <v>99.160630666485474</v>
      </c>
    </row>
    <row r="245" spans="12:52" x14ac:dyDescent="0.25">
      <c r="L245" s="189">
        <v>1670</v>
      </c>
      <c r="M245" s="196">
        <f t="shared" si="37"/>
        <v>0</v>
      </c>
      <c r="N245" s="197">
        <f t="shared" si="37"/>
        <v>0</v>
      </c>
      <c r="O245" s="152">
        <f ca="1"/>
        <v>96.101375522097541</v>
      </c>
      <c r="Q245" s="198">
        <v>0</v>
      </c>
      <c r="R245" s="200">
        <v>0</v>
      </c>
      <c r="S245" s="200">
        <v>0</v>
      </c>
      <c r="T245" s="200">
        <v>0</v>
      </c>
      <c r="U245" s="200">
        <f t="array" ref="U245">IF(U$77&gt;" ",(U$628:U$1078),"")</f>
        <v>0</v>
      </c>
      <c r="V245" s="200">
        <f t="array" ref="V245">IF(V$77&gt;" ",(V$628:V$1078),"")</f>
        <v>0</v>
      </c>
      <c r="W245" s="200">
        <f t="array" ref="W245">IF(W$77&gt;" ",(W$628:W$1078),"")</f>
        <v>0</v>
      </c>
      <c r="X245" s="200">
        <f t="array" ref="X245">IF(X$77&gt;" ",(X$628:X$1078),"")</f>
        <v>0</v>
      </c>
      <c r="Y245" s="204">
        <v>0</v>
      </c>
      <c r="Z245" s="198" t="str">
        <f t="shared" si="39"/>
        <v/>
      </c>
      <c r="AA245" s="198" t="str">
        <f t="shared" si="40"/>
        <v/>
      </c>
      <c r="AB245" s="198" t="str">
        <f t="shared" si="41"/>
        <v/>
      </c>
      <c r="AC245" s="198" t="str">
        <f t="shared" si="38"/>
        <v/>
      </c>
      <c r="AD245" s="198" t="str">
        <f t="shared" si="27"/>
        <v/>
      </c>
      <c r="AE245" s="198" t="str">
        <f t="shared" si="27"/>
        <v/>
      </c>
      <c r="AF245" s="198" t="str">
        <f t="shared" si="27"/>
        <v/>
      </c>
      <c r="AG245" s="198" t="str">
        <f t="shared" si="27"/>
        <v/>
      </c>
      <c r="AH245" s="198" t="str">
        <f t="shared" si="35"/>
        <v/>
      </c>
      <c r="AI245" s="200" t="str">
        <f t="shared" si="33"/>
        <v/>
      </c>
      <c r="AJ245" s="208" t="str">
        <f t="shared" si="34"/>
        <v/>
      </c>
      <c r="AK245" s="4"/>
      <c r="AL245" s="162">
        <v>1670</v>
      </c>
      <c r="AM245" s="209">
        <v>1.3613663686815576E-3</v>
      </c>
      <c r="AN245" s="183">
        <v>9.2758593693918387E-4</v>
      </c>
      <c r="AO245" s="183">
        <v>1.1146841263306895E-3</v>
      </c>
      <c r="AP245" s="165">
        <v>1.2073118213196861E-3</v>
      </c>
      <c r="AR245" s="210">
        <v>96.068420018129373</v>
      </c>
      <c r="AS245" s="211">
        <v>96.176930421205199</v>
      </c>
      <c r="AT245" s="211">
        <v>96.101375522097541</v>
      </c>
      <c r="AU245" s="211">
        <v>95.967857511570628</v>
      </c>
      <c r="AV245" s="211"/>
      <c r="AW245" s="212"/>
      <c r="AX245" s="210">
        <v>95.760554541969626</v>
      </c>
      <c r="AY245" s="211">
        <v>96.499917297309807</v>
      </c>
      <c r="AZ245" s="213">
        <v>99.119691971651065</v>
      </c>
    </row>
    <row r="246" spans="12:52" x14ac:dyDescent="0.25">
      <c r="L246" s="189">
        <v>1665</v>
      </c>
      <c r="M246" s="196">
        <f t="shared" si="37"/>
        <v>0</v>
      </c>
      <c r="N246" s="197">
        <f t="shared" si="37"/>
        <v>0</v>
      </c>
      <c r="O246" s="152">
        <f ca="1"/>
        <v>96.130573476014504</v>
      </c>
      <c r="Q246" s="198">
        <v>0</v>
      </c>
      <c r="R246" s="200">
        <v>0</v>
      </c>
      <c r="S246" s="200">
        <v>0</v>
      </c>
      <c r="T246" s="200">
        <v>0</v>
      </c>
      <c r="U246" s="200">
        <f t="array" ref="U246">IF(U$77&gt;" ",(U$628:U$1078),"")</f>
        <v>0</v>
      </c>
      <c r="V246" s="200">
        <f t="array" ref="V246">IF(V$77&gt;" ",(V$628:V$1078),"")</f>
        <v>0</v>
      </c>
      <c r="W246" s="200">
        <f t="array" ref="W246">IF(W$77&gt;" ",(W$628:W$1078),"")</f>
        <v>0</v>
      </c>
      <c r="X246" s="200">
        <f t="array" ref="X246">IF(X$77&gt;" ",(X$628:X$1078),"")</f>
        <v>0</v>
      </c>
      <c r="Y246" s="204">
        <v>0</v>
      </c>
      <c r="Z246" s="198" t="str">
        <f t="shared" si="39"/>
        <v/>
      </c>
      <c r="AA246" s="198" t="str">
        <f t="shared" si="40"/>
        <v/>
      </c>
      <c r="AB246" s="198" t="str">
        <f t="shared" si="41"/>
        <v/>
      </c>
      <c r="AC246" s="198" t="str">
        <f t="shared" si="38"/>
        <v/>
      </c>
      <c r="AD246" s="198" t="str">
        <f t="shared" si="27"/>
        <v/>
      </c>
      <c r="AE246" s="198" t="str">
        <f t="shared" si="27"/>
        <v/>
      </c>
      <c r="AF246" s="198" t="str">
        <f t="shared" si="27"/>
        <v/>
      </c>
      <c r="AG246" s="198" t="str">
        <f t="shared" si="27"/>
        <v/>
      </c>
      <c r="AH246" s="198" t="str">
        <f t="shared" si="35"/>
        <v/>
      </c>
      <c r="AI246" s="200" t="str">
        <f t="shared" si="33"/>
        <v/>
      </c>
      <c r="AJ246" s="208" t="str">
        <f t="shared" si="34"/>
        <v/>
      </c>
      <c r="AK246" s="4"/>
      <c r="AL246" s="162">
        <v>1665</v>
      </c>
      <c r="AM246" s="209">
        <v>1.3749093446401991E-3</v>
      </c>
      <c r="AN246" s="183">
        <v>9.6119209309875769E-4</v>
      </c>
      <c r="AO246" s="183">
        <v>1.0649034837347231E-3</v>
      </c>
      <c r="AP246" s="165">
        <v>1.1532505771999616E-3</v>
      </c>
      <c r="AR246" s="210">
        <v>96.094614164139088</v>
      </c>
      <c r="AS246" s="211">
        <v>96.204253507833144</v>
      </c>
      <c r="AT246" s="211">
        <v>96.130573476014504</v>
      </c>
      <c r="AU246" s="211">
        <v>95.996739696973563</v>
      </c>
      <c r="AV246" s="211"/>
      <c r="AW246" s="212"/>
      <c r="AX246" s="210">
        <v>95.789626338512051</v>
      </c>
      <c r="AY246" s="211">
        <v>96.529718659000878</v>
      </c>
      <c r="AZ246" s="213">
        <v>99.10887583100758</v>
      </c>
    </row>
    <row r="247" spans="12:52" x14ac:dyDescent="0.25">
      <c r="L247" s="189">
        <v>1660</v>
      </c>
      <c r="M247" s="196">
        <f t="shared" si="37"/>
        <v>0</v>
      </c>
      <c r="N247" s="197">
        <f t="shared" si="37"/>
        <v>0</v>
      </c>
      <c r="O247" s="152">
        <f ca="1"/>
        <v>96.141939149257951</v>
      </c>
      <c r="Q247" s="198">
        <v>0</v>
      </c>
      <c r="R247" s="200">
        <v>0</v>
      </c>
      <c r="S247" s="200">
        <v>0</v>
      </c>
      <c r="T247" s="200">
        <v>0</v>
      </c>
      <c r="U247" s="200">
        <f t="array" ref="U247">IF(U$77&gt;" ",(U$628:U$1078),"")</f>
        <v>0</v>
      </c>
      <c r="V247" s="200">
        <f t="array" ref="V247">IF(V$77&gt;" ",(V$628:V$1078),"")</f>
        <v>0</v>
      </c>
      <c r="W247" s="200">
        <f t="array" ref="W247">IF(W$77&gt;" ",(W$628:W$1078),"")</f>
        <v>0</v>
      </c>
      <c r="X247" s="200">
        <f t="array" ref="X247">IF(X$77&gt;" ",(X$628:X$1078),"")</f>
        <v>0</v>
      </c>
      <c r="Y247" s="204">
        <v>0</v>
      </c>
      <c r="Z247" s="198" t="str">
        <f t="shared" si="39"/>
        <v/>
      </c>
      <c r="AA247" s="198" t="str">
        <f t="shared" si="40"/>
        <v/>
      </c>
      <c r="AB247" s="198" t="str">
        <f t="shared" si="41"/>
        <v/>
      </c>
      <c r="AC247" s="198" t="str">
        <f t="shared" si="38"/>
        <v/>
      </c>
      <c r="AD247" s="198" t="str">
        <f t="shared" si="27"/>
        <v/>
      </c>
      <c r="AE247" s="198" t="str">
        <f t="shared" si="27"/>
        <v/>
      </c>
      <c r="AF247" s="198" t="str">
        <f t="shared" si="27"/>
        <v/>
      </c>
      <c r="AG247" s="198" t="str">
        <f t="shared" si="27"/>
        <v/>
      </c>
      <c r="AH247" s="198" t="str">
        <f t="shared" si="35"/>
        <v/>
      </c>
      <c r="AI247" s="200" t="str">
        <f t="shared" si="33"/>
        <v/>
      </c>
      <c r="AJ247" s="208" t="str">
        <f t="shared" si="34"/>
        <v/>
      </c>
      <c r="AK247" s="4"/>
      <c r="AL247" s="162">
        <v>1660</v>
      </c>
      <c r="AM247" s="209">
        <v>1.3884523205988401E-3</v>
      </c>
      <c r="AN247" s="183">
        <v>9.947982492583315E-4</v>
      </c>
      <c r="AO247" s="183">
        <v>1.1229306166193143E-3</v>
      </c>
      <c r="AP247" s="165">
        <v>1.215594496402211E-3</v>
      </c>
      <c r="AR247" s="210">
        <v>96.115952470299646</v>
      </c>
      <c r="AS247" s="211">
        <v>96.220497344983571</v>
      </c>
      <c r="AT247" s="211">
        <v>96.141939149257951</v>
      </c>
      <c r="AU247" s="211">
        <v>96.009546656969064</v>
      </c>
      <c r="AV247" s="211"/>
      <c r="AW247" s="212"/>
      <c r="AX247" s="210">
        <v>95.823893706629065</v>
      </c>
      <c r="AY247" s="211">
        <v>96.563774180881765</v>
      </c>
      <c r="AZ247" s="213">
        <v>99.025127926494434</v>
      </c>
    </row>
    <row r="248" spans="12:52" x14ac:dyDescent="0.25">
      <c r="L248" s="189">
        <v>1655</v>
      </c>
      <c r="M248" s="196">
        <f t="shared" si="37"/>
        <v>0</v>
      </c>
      <c r="N248" s="197">
        <f t="shared" si="37"/>
        <v>0</v>
      </c>
      <c r="O248" s="152">
        <f ca="1"/>
        <v>96.171054282956604</v>
      </c>
      <c r="Q248" s="198">
        <v>0</v>
      </c>
      <c r="R248" s="200">
        <v>0</v>
      </c>
      <c r="S248" s="200">
        <v>0</v>
      </c>
      <c r="T248" s="200">
        <v>0</v>
      </c>
      <c r="U248" s="200">
        <f t="array" ref="U248">IF(U$77&gt;" ",(U$628:U$1078),"")</f>
        <v>0</v>
      </c>
      <c r="V248" s="200">
        <f t="array" ref="V248">IF(V$77&gt;" ",(V$628:V$1078),"")</f>
        <v>0</v>
      </c>
      <c r="W248" s="200">
        <f t="array" ref="W248">IF(W$77&gt;" ",(W$628:W$1078),"")</f>
        <v>0</v>
      </c>
      <c r="X248" s="200">
        <f t="array" ref="X248">IF(X$77&gt;" ",(X$628:X$1078),"")</f>
        <v>0</v>
      </c>
      <c r="Y248" s="204">
        <v>0</v>
      </c>
      <c r="Z248" s="198" t="str">
        <f t="shared" si="39"/>
        <v/>
      </c>
      <c r="AA248" s="198" t="str">
        <f t="shared" si="40"/>
        <v/>
      </c>
      <c r="AB248" s="198" t="str">
        <f t="shared" si="41"/>
        <v/>
      </c>
      <c r="AC248" s="198" t="str">
        <f t="shared" si="38"/>
        <v/>
      </c>
      <c r="AD248" s="198" t="str">
        <f t="shared" si="27"/>
        <v/>
      </c>
      <c r="AE248" s="198" t="str">
        <f t="shared" si="27"/>
        <v/>
      </c>
      <c r="AF248" s="198" t="str">
        <f t="shared" si="27"/>
        <v/>
      </c>
      <c r="AG248" s="198" t="str">
        <f t="shared" si="27"/>
        <v/>
      </c>
      <c r="AH248" s="198" t="str">
        <f t="shared" si="35"/>
        <v/>
      </c>
      <c r="AI248" s="200" t="str">
        <f t="shared" si="33"/>
        <v/>
      </c>
      <c r="AJ248" s="208" t="str">
        <f t="shared" si="34"/>
        <v/>
      </c>
      <c r="AK248" s="4"/>
      <c r="AL248" s="162">
        <v>1655</v>
      </c>
      <c r="AM248" s="209">
        <v>1.4019952965574813E-3</v>
      </c>
      <c r="AN248" s="183">
        <v>1.0284044054179053E-3</v>
      </c>
      <c r="AO248" s="183">
        <v>1.1178519854049783E-3</v>
      </c>
      <c r="AP248" s="165">
        <v>1.2098861662777681E-3</v>
      </c>
      <c r="AR248" s="210">
        <v>96.13974999669675</v>
      </c>
      <c r="AS248" s="211">
        <v>96.246290911504673</v>
      </c>
      <c r="AT248" s="211">
        <v>96.171054282956604</v>
      </c>
      <c r="AU248" s="211">
        <v>96.040652988600286</v>
      </c>
      <c r="AV248" s="211"/>
      <c r="AW248" s="212"/>
      <c r="AX248" s="210">
        <v>95.838356835055606</v>
      </c>
      <c r="AY248" s="211">
        <v>96.572089384823016</v>
      </c>
      <c r="AZ248" s="213">
        <v>98.987210784023972</v>
      </c>
    </row>
    <row r="249" spans="12:52" x14ac:dyDescent="0.25">
      <c r="L249" s="189">
        <v>1650</v>
      </c>
      <c r="M249" s="196">
        <f t="shared" si="37"/>
        <v>0</v>
      </c>
      <c r="N249" s="197">
        <f t="shared" si="37"/>
        <v>0</v>
      </c>
      <c r="O249" s="152">
        <f ca="1"/>
        <v>96.19713103356186</v>
      </c>
      <c r="Q249" s="198">
        <v>0</v>
      </c>
      <c r="R249" s="200">
        <v>0</v>
      </c>
      <c r="S249" s="200">
        <v>0</v>
      </c>
      <c r="T249" s="200">
        <v>0</v>
      </c>
      <c r="U249" s="200">
        <f t="array" ref="U249">IF(U$77&gt;" ",(U$628:U$1078),"")</f>
        <v>0</v>
      </c>
      <c r="V249" s="200">
        <f t="array" ref="V249">IF(V$77&gt;" ",(V$628:V$1078),"")</f>
        <v>0</v>
      </c>
      <c r="W249" s="200">
        <f t="array" ref="W249">IF(W$77&gt;" ",(W$628:W$1078),"")</f>
        <v>0</v>
      </c>
      <c r="X249" s="200">
        <f t="array" ref="X249">IF(X$77&gt;" ",(X$628:X$1078),"")</f>
        <v>0</v>
      </c>
      <c r="Y249" s="204">
        <v>0</v>
      </c>
      <c r="Z249" s="198" t="str">
        <f t="shared" si="39"/>
        <v/>
      </c>
      <c r="AA249" s="198" t="str">
        <f t="shared" si="40"/>
        <v/>
      </c>
      <c r="AB249" s="198" t="str">
        <f t="shared" si="41"/>
        <v/>
      </c>
      <c r="AC249" s="198" t="str">
        <f t="shared" si="38"/>
        <v/>
      </c>
      <c r="AD249" s="198" t="str">
        <f t="shared" si="27"/>
        <v/>
      </c>
      <c r="AE249" s="198" t="str">
        <f t="shared" si="27"/>
        <v/>
      </c>
      <c r="AF249" s="198" t="str">
        <f t="shared" si="27"/>
        <v/>
      </c>
      <c r="AG249" s="198" t="str">
        <f t="shared" si="27"/>
        <v/>
      </c>
      <c r="AH249" s="198" t="str">
        <f t="shared" si="35"/>
        <v/>
      </c>
      <c r="AI249" s="200" t="str">
        <f t="shared" si="33"/>
        <v/>
      </c>
      <c r="AJ249" s="208" t="str">
        <f t="shared" si="34"/>
        <v/>
      </c>
      <c r="AK249" s="4"/>
      <c r="AL249" s="162">
        <v>1650</v>
      </c>
      <c r="AM249" s="209">
        <v>1.4154722092187633E-3</v>
      </c>
      <c r="AN249" s="183">
        <v>1.0620105615774791E-3</v>
      </c>
      <c r="AO249" s="183">
        <v>1.1326856112290288E-3</v>
      </c>
      <c r="AP249" s="165">
        <v>1.2257239841720561E-3</v>
      </c>
      <c r="AR249" s="210">
        <v>96.158512796565006</v>
      </c>
      <c r="AS249" s="211">
        <v>96.271609062055845</v>
      </c>
      <c r="AT249" s="211">
        <v>96.19713103356186</v>
      </c>
      <c r="AU249" s="211">
        <v>96.065689443783356</v>
      </c>
      <c r="AV249" s="211"/>
      <c r="AW249" s="212"/>
      <c r="AX249" s="210">
        <v>95.844302749236988</v>
      </c>
      <c r="AY249" s="211">
        <v>96.569765264289288</v>
      </c>
      <c r="AZ249" s="213">
        <v>99.11629592121804</v>
      </c>
    </row>
    <row r="250" spans="12:52" x14ac:dyDescent="0.25">
      <c r="L250" s="189">
        <v>1645</v>
      </c>
      <c r="M250" s="196">
        <f t="shared" si="37"/>
        <v>0</v>
      </c>
      <c r="N250" s="197">
        <f t="shared" si="37"/>
        <v>0</v>
      </c>
      <c r="O250" s="152">
        <f ca="1"/>
        <v>96.214873944918963</v>
      </c>
      <c r="Q250" s="198">
        <v>0</v>
      </c>
      <c r="R250" s="200">
        <v>0</v>
      </c>
      <c r="S250" s="200">
        <v>0</v>
      </c>
      <c r="T250" s="200">
        <v>0</v>
      </c>
      <c r="U250" s="200">
        <f t="array" ref="U250">IF(U$77&gt;" ",(U$628:U$1078),"")</f>
        <v>0</v>
      </c>
      <c r="V250" s="200">
        <f t="array" ref="V250">IF(V$77&gt;" ",(V$628:V$1078),"")</f>
        <v>0</v>
      </c>
      <c r="W250" s="200">
        <f t="array" ref="W250">IF(W$77&gt;" ",(W$628:W$1078),"")</f>
        <v>0</v>
      </c>
      <c r="X250" s="200">
        <f t="array" ref="X250">IF(X$77&gt;" ",(X$628:X$1078),"")</f>
        <v>0</v>
      </c>
      <c r="Y250" s="204">
        <v>0</v>
      </c>
      <c r="Z250" s="198" t="str">
        <f t="shared" si="39"/>
        <v/>
      </c>
      <c r="AA250" s="198" t="str">
        <f t="shared" si="40"/>
        <v/>
      </c>
      <c r="AB250" s="198" t="str">
        <f t="shared" si="41"/>
        <v/>
      </c>
      <c r="AC250" s="198" t="str">
        <f t="shared" si="38"/>
        <v/>
      </c>
      <c r="AD250" s="198" t="str">
        <f t="shared" si="27"/>
        <v/>
      </c>
      <c r="AE250" s="198" t="str">
        <f t="shared" si="27"/>
        <v/>
      </c>
      <c r="AF250" s="198" t="str">
        <f t="shared" si="27"/>
        <v/>
      </c>
      <c r="AG250" s="198" t="str">
        <f t="shared" si="27"/>
        <v/>
      </c>
      <c r="AH250" s="198" t="str">
        <f t="shared" si="35"/>
        <v/>
      </c>
      <c r="AI250" s="200" t="str">
        <f t="shared" si="33"/>
        <v/>
      </c>
      <c r="AJ250" s="208" t="str">
        <f t="shared" si="34"/>
        <v/>
      </c>
      <c r="AK250" s="4"/>
      <c r="AL250" s="162">
        <v>1645</v>
      </c>
      <c r="AM250" s="209">
        <v>1.4299400713404335E-3</v>
      </c>
      <c r="AN250" s="183">
        <v>1.0778981995594389E-3</v>
      </c>
      <c r="AO250" s="183">
        <v>1.0972860431607862E-3</v>
      </c>
      <c r="AP250" s="165">
        <v>1.1873326658841357E-3</v>
      </c>
      <c r="AR250" s="210">
        <v>96.183269114640893</v>
      </c>
      <c r="AS250" s="211">
        <v>96.296062799145417</v>
      </c>
      <c r="AT250" s="211">
        <v>96.214873944918963</v>
      </c>
      <c r="AU250" s="211">
        <v>96.087357926226034</v>
      </c>
      <c r="AV250" s="211"/>
      <c r="AW250" s="212"/>
      <c r="AX250" s="210">
        <v>95.83868719446285</v>
      </c>
      <c r="AY250" s="211">
        <v>96.562394811166371</v>
      </c>
      <c r="AZ250" s="213">
        <v>99.129264910251521</v>
      </c>
    </row>
    <row r="251" spans="12:52" x14ac:dyDescent="0.25">
      <c r="L251" s="189">
        <v>1640</v>
      </c>
      <c r="M251" s="196">
        <f t="shared" si="37"/>
        <v>0</v>
      </c>
      <c r="N251" s="197">
        <f t="shared" si="37"/>
        <v>0</v>
      </c>
      <c r="O251" s="152">
        <f ca="1"/>
        <v>96.228854204569288</v>
      </c>
      <c r="Q251" s="198">
        <v>0</v>
      </c>
      <c r="R251" s="200">
        <v>0</v>
      </c>
      <c r="S251" s="200">
        <v>0</v>
      </c>
      <c r="T251" s="200">
        <v>0</v>
      </c>
      <c r="U251" s="200">
        <f t="array" ref="U251">IF(U$77&gt;" ",(U$628:U$1078),"")</f>
        <v>0</v>
      </c>
      <c r="V251" s="200">
        <f t="array" ref="V251">IF(V$77&gt;" ",(V$628:V$1078),"")</f>
        <v>0</v>
      </c>
      <c r="W251" s="200">
        <f t="array" ref="W251">IF(W$77&gt;" ",(W$628:W$1078),"")</f>
        <v>0</v>
      </c>
      <c r="X251" s="200">
        <f t="array" ref="X251">IF(X$77&gt;" ",(X$628:X$1078),"")</f>
        <v>0</v>
      </c>
      <c r="Y251" s="204">
        <v>0</v>
      </c>
      <c r="Z251" s="198" t="str">
        <f t="shared" si="39"/>
        <v/>
      </c>
      <c r="AA251" s="198" t="str">
        <f t="shared" si="40"/>
        <v/>
      </c>
      <c r="AB251" s="198" t="str">
        <f t="shared" si="41"/>
        <v/>
      </c>
      <c r="AC251" s="198" t="str">
        <f t="shared" si="38"/>
        <v/>
      </c>
      <c r="AD251" s="198" t="str">
        <f t="shared" si="27"/>
        <v/>
      </c>
      <c r="AE251" s="198" t="str">
        <f t="shared" si="27"/>
        <v/>
      </c>
      <c r="AF251" s="198" t="str">
        <f t="shared" si="27"/>
        <v/>
      </c>
      <c r="AG251" s="198" t="str">
        <f t="shared" si="27"/>
        <v/>
      </c>
      <c r="AH251" s="198" t="str">
        <f t="shared" si="35"/>
        <v/>
      </c>
      <c r="AI251" s="200" t="str">
        <f t="shared" si="33"/>
        <v/>
      </c>
      <c r="AJ251" s="208" t="str">
        <f t="shared" si="34"/>
        <v/>
      </c>
      <c r="AK251" s="4"/>
      <c r="AL251" s="162">
        <v>1640</v>
      </c>
      <c r="AM251" s="209">
        <v>1.4481074781142207E-3</v>
      </c>
      <c r="AN251" s="183">
        <v>1.0937858375413988E-3</v>
      </c>
      <c r="AO251" s="183">
        <v>1.081647881698821E-3</v>
      </c>
      <c r="AP251" s="165">
        <v>1.1703755675732904E-3</v>
      </c>
      <c r="AR251" s="210">
        <v>96.201175069918705</v>
      </c>
      <c r="AS251" s="211">
        <v>96.305677925232132</v>
      </c>
      <c r="AT251" s="211">
        <v>96.228854204569288</v>
      </c>
      <c r="AU251" s="211">
        <v>96.097469692674451</v>
      </c>
      <c r="AV251" s="211"/>
      <c r="AW251" s="212"/>
      <c r="AX251" s="210">
        <v>95.864784394868153</v>
      </c>
      <c r="AY251" s="211">
        <v>96.575360959752061</v>
      </c>
      <c r="AZ251" s="213">
        <v>99.131475316542989</v>
      </c>
    </row>
    <row r="252" spans="12:52" x14ac:dyDescent="0.25">
      <c r="L252" s="189">
        <v>1635</v>
      </c>
      <c r="M252" s="196">
        <f t="shared" si="37"/>
        <v>0</v>
      </c>
      <c r="N252" s="197">
        <f t="shared" si="37"/>
        <v>0</v>
      </c>
      <c r="O252" s="152">
        <f ca="1"/>
        <v>96.251189700040769</v>
      </c>
      <c r="Q252" s="198">
        <v>0</v>
      </c>
      <c r="R252" s="200">
        <v>0</v>
      </c>
      <c r="S252" s="200">
        <v>0</v>
      </c>
      <c r="T252" s="200">
        <v>0</v>
      </c>
      <c r="U252" s="200">
        <f t="array" ref="U252">IF(U$77&gt;" ",(U$628:U$1078),"")</f>
        <v>0</v>
      </c>
      <c r="V252" s="200">
        <f t="array" ref="V252">IF(V$77&gt;" ",(V$628:V$1078),"")</f>
        <v>0</v>
      </c>
      <c r="W252" s="200">
        <f t="array" ref="W252">IF(W$77&gt;" ",(W$628:W$1078),"")</f>
        <v>0</v>
      </c>
      <c r="X252" s="200">
        <f t="array" ref="X252">IF(X$77&gt;" ",(X$628:X$1078),"")</f>
        <v>0</v>
      </c>
      <c r="Y252" s="204">
        <v>0</v>
      </c>
      <c r="Z252" s="198" t="str">
        <f t="shared" si="39"/>
        <v/>
      </c>
      <c r="AA252" s="198" t="str">
        <f t="shared" si="40"/>
        <v/>
      </c>
      <c r="AB252" s="198" t="str">
        <f t="shared" si="41"/>
        <v/>
      </c>
      <c r="AC252" s="198" t="str">
        <f t="shared" si="38"/>
        <v/>
      </c>
      <c r="AD252" s="198" t="str">
        <f t="shared" si="27"/>
        <v/>
      </c>
      <c r="AE252" s="198" t="str">
        <f t="shared" si="27"/>
        <v/>
      </c>
      <c r="AF252" s="198" t="str">
        <f t="shared" si="27"/>
        <v/>
      </c>
      <c r="AG252" s="198" t="str">
        <f t="shared" si="27"/>
        <v/>
      </c>
      <c r="AH252" s="198" t="str">
        <f t="shared" si="35"/>
        <v/>
      </c>
      <c r="AI252" s="200" t="str">
        <f t="shared" si="33"/>
        <v/>
      </c>
      <c r="AJ252" s="208" t="str">
        <f t="shared" si="34"/>
        <v/>
      </c>
      <c r="AK252" s="4"/>
      <c r="AL252" s="162">
        <v>1635</v>
      </c>
      <c r="AM252" s="209">
        <v>1.4662748848880075E-3</v>
      </c>
      <c r="AN252" s="183">
        <v>1.1096734755233584E-3</v>
      </c>
      <c r="AO252" s="183">
        <v>1.1749740156969154E-3</v>
      </c>
      <c r="AP252" s="165">
        <v>1.2710548410426324E-3</v>
      </c>
      <c r="AR252" s="210">
        <v>96.218156184566226</v>
      </c>
      <c r="AS252" s="211">
        <v>96.325731123792707</v>
      </c>
      <c r="AT252" s="211">
        <v>96.251189700040769</v>
      </c>
      <c r="AU252" s="211">
        <v>96.123675013042927</v>
      </c>
      <c r="AV252" s="211"/>
      <c r="AW252" s="212"/>
      <c r="AX252" s="210">
        <v>95.867451298424953</v>
      </c>
      <c r="AY252" s="211">
        <v>96.573462157010894</v>
      </c>
      <c r="AZ252" s="213">
        <v>99.05568021569222</v>
      </c>
    </row>
    <row r="253" spans="12:52" x14ac:dyDescent="0.25">
      <c r="L253" s="189">
        <v>1630</v>
      </c>
      <c r="M253" s="196">
        <f t="shared" si="37"/>
        <v>0</v>
      </c>
      <c r="N253" s="197">
        <f t="shared" si="37"/>
        <v>0</v>
      </c>
      <c r="O253" s="152">
        <f ca="1"/>
        <v>96.270657507201676</v>
      </c>
      <c r="Q253" s="198">
        <v>0</v>
      </c>
      <c r="R253" s="200">
        <v>0</v>
      </c>
      <c r="S253" s="200">
        <v>0</v>
      </c>
      <c r="T253" s="200">
        <v>0</v>
      </c>
      <c r="U253" s="200">
        <f t="array" ref="U253">IF(U$77&gt;" ",(U$628:U$1078),"")</f>
        <v>0</v>
      </c>
      <c r="V253" s="200">
        <f t="array" ref="V253">IF(V$77&gt;" ",(V$628:V$1078),"")</f>
        <v>0</v>
      </c>
      <c r="W253" s="200">
        <f t="array" ref="W253">IF(W$77&gt;" ",(W$628:W$1078),"")</f>
        <v>0</v>
      </c>
      <c r="X253" s="200">
        <f t="array" ref="X253">IF(X$77&gt;" ",(X$628:X$1078),"")</f>
        <v>0</v>
      </c>
      <c r="Y253" s="204">
        <v>0</v>
      </c>
      <c r="Z253" s="198" t="str">
        <f t="shared" si="39"/>
        <v/>
      </c>
      <c r="AA253" s="198" t="str">
        <f t="shared" si="40"/>
        <v/>
      </c>
      <c r="AB253" s="198" t="str">
        <f t="shared" si="41"/>
        <v/>
      </c>
      <c r="AC253" s="198" t="str">
        <f t="shared" si="38"/>
        <v/>
      </c>
      <c r="AD253" s="198" t="str">
        <f t="shared" si="27"/>
        <v/>
      </c>
      <c r="AE253" s="198" t="str">
        <f t="shared" si="27"/>
        <v/>
      </c>
      <c r="AF253" s="198" t="str">
        <f t="shared" si="27"/>
        <v/>
      </c>
      <c r="AG253" s="198" t="str">
        <f t="shared" si="27"/>
        <v/>
      </c>
      <c r="AH253" s="198" t="str">
        <f t="shared" si="35"/>
        <v/>
      </c>
      <c r="AI253" s="200" t="str">
        <f t="shared" si="33"/>
        <v/>
      </c>
      <c r="AJ253" s="208" t="str">
        <f t="shared" si="34"/>
        <v/>
      </c>
      <c r="AK253" s="4"/>
      <c r="AL253" s="162">
        <v>1630</v>
      </c>
      <c r="AM253" s="209">
        <v>1.4844422916617946E-3</v>
      </c>
      <c r="AN253" s="183">
        <v>1.1255611135053184E-3</v>
      </c>
      <c r="AO253" s="183">
        <v>1.1892545232698999E-3</v>
      </c>
      <c r="AP253" s="165">
        <v>1.2862770547078135E-3</v>
      </c>
      <c r="AR253" s="210">
        <v>96.234760845959684</v>
      </c>
      <c r="AS253" s="211">
        <v>96.348101230066334</v>
      </c>
      <c r="AT253" s="211">
        <v>96.270657507201676</v>
      </c>
      <c r="AU253" s="211">
        <v>96.150004840249437</v>
      </c>
      <c r="AV253" s="211"/>
      <c r="AW253" s="212"/>
      <c r="AX253" s="210">
        <v>95.884041622230328</v>
      </c>
      <c r="AY253" s="211">
        <v>96.583405640696085</v>
      </c>
      <c r="AZ253" s="213">
        <v>99.085573922213271</v>
      </c>
    </row>
    <row r="254" spans="12:52" x14ac:dyDescent="0.25">
      <c r="L254" s="189">
        <v>1625</v>
      </c>
      <c r="M254" s="196">
        <f t="shared" si="37"/>
        <v>0</v>
      </c>
      <c r="N254" s="197">
        <f t="shared" si="37"/>
        <v>0</v>
      </c>
      <c r="O254" s="152">
        <f ca="1"/>
        <v>96.28633277910923</v>
      </c>
      <c r="Q254" s="198">
        <v>0</v>
      </c>
      <c r="R254" s="200">
        <v>0</v>
      </c>
      <c r="S254" s="200">
        <v>0</v>
      </c>
      <c r="T254" s="200">
        <v>0</v>
      </c>
      <c r="U254" s="200">
        <f t="array" ref="U254">IF(U$77&gt;" ",(U$628:U$1078),"")</f>
        <v>0</v>
      </c>
      <c r="V254" s="200">
        <f t="array" ref="V254">IF(V$77&gt;" ",(V$628:V$1078),"")</f>
        <v>0</v>
      </c>
      <c r="W254" s="200">
        <f t="array" ref="W254">IF(W$77&gt;" ",(W$628:W$1078),"")</f>
        <v>0</v>
      </c>
      <c r="X254" s="200">
        <f t="array" ref="X254">IF(X$77&gt;" ",(X$628:X$1078),"")</f>
        <v>0</v>
      </c>
      <c r="Y254" s="204">
        <v>0</v>
      </c>
      <c r="Z254" s="198" t="str">
        <f t="shared" si="39"/>
        <v/>
      </c>
      <c r="AA254" s="198" t="str">
        <f t="shared" si="40"/>
        <v/>
      </c>
      <c r="AB254" s="198" t="str">
        <f t="shared" si="41"/>
        <v/>
      </c>
      <c r="AC254" s="198" t="str">
        <f t="shared" si="38"/>
        <v/>
      </c>
      <c r="AD254" s="198" t="str">
        <f t="shared" si="27"/>
        <v/>
      </c>
      <c r="AE254" s="198" t="str">
        <f t="shared" si="27"/>
        <v/>
      </c>
      <c r="AF254" s="198" t="str">
        <f t="shared" si="27"/>
        <v/>
      </c>
      <c r="AG254" s="198" t="str">
        <f t="shared" si="27"/>
        <v/>
      </c>
      <c r="AH254" s="198" t="str">
        <f t="shared" si="35"/>
        <v/>
      </c>
      <c r="AI254" s="200" t="str">
        <f t="shared" si="33"/>
        <v/>
      </c>
      <c r="AJ254" s="208" t="str">
        <f t="shared" si="34"/>
        <v/>
      </c>
      <c r="AK254" s="4"/>
      <c r="AL254" s="162">
        <v>1625</v>
      </c>
      <c r="AM254" s="209">
        <v>1.4609898210992697E-3</v>
      </c>
      <c r="AN254" s="183">
        <v>1.1414487514872782E-3</v>
      </c>
      <c r="AO254" s="183">
        <v>1.1958416588053256E-3</v>
      </c>
      <c r="AP254" s="165">
        <v>1.2932725573112976E-3</v>
      </c>
      <c r="AR254" s="210">
        <v>96.248772191843656</v>
      </c>
      <c r="AS254" s="211">
        <v>96.361653390386934</v>
      </c>
      <c r="AT254" s="211">
        <v>96.28633277910923</v>
      </c>
      <c r="AU254" s="211">
        <v>96.164510166429281</v>
      </c>
      <c r="AV254" s="211"/>
      <c r="AW254" s="212"/>
      <c r="AX254" s="210">
        <v>95.937324155972149</v>
      </c>
      <c r="AY254" s="211">
        <v>96.610239014774677</v>
      </c>
      <c r="AZ254" s="213">
        <v>99.067220051135422</v>
      </c>
    </row>
    <row r="255" spans="12:52" x14ac:dyDescent="0.25">
      <c r="L255" s="189">
        <v>1620</v>
      </c>
      <c r="M255" s="196">
        <f t="shared" ref="M255:N270" si="42">M804</f>
        <v>0</v>
      </c>
      <c r="N255" s="197">
        <f t="shared" si="42"/>
        <v>0</v>
      </c>
      <c r="O255" s="152">
        <f ca="1"/>
        <v>96.292717938679615</v>
      </c>
      <c r="Q255" s="198">
        <v>0</v>
      </c>
      <c r="R255" s="200">
        <v>0</v>
      </c>
      <c r="S255" s="200">
        <v>0</v>
      </c>
      <c r="T255" s="200">
        <v>0</v>
      </c>
      <c r="U255" s="200">
        <f t="array" ref="U255">IF(U$77&gt;" ",(U$628:U$1078),"")</f>
        <v>0</v>
      </c>
      <c r="V255" s="200">
        <f t="array" ref="V255">IF(V$77&gt;" ",(V$628:V$1078),"")</f>
        <v>0</v>
      </c>
      <c r="W255" s="200">
        <f t="array" ref="W255">IF(W$77&gt;" ",(W$628:W$1078),"")</f>
        <v>0</v>
      </c>
      <c r="X255" s="200">
        <f t="array" ref="X255">IF(X$77&gt;" ",(X$628:X$1078),"")</f>
        <v>0</v>
      </c>
      <c r="Y255" s="204">
        <v>0</v>
      </c>
      <c r="Z255" s="198" t="str">
        <f t="shared" si="39"/>
        <v/>
      </c>
      <c r="AA255" s="198" t="str">
        <f t="shared" si="40"/>
        <v/>
      </c>
      <c r="AB255" s="198" t="str">
        <f t="shared" si="41"/>
        <v/>
      </c>
      <c r="AC255" s="198" t="str">
        <f t="shared" si="38"/>
        <v/>
      </c>
      <c r="AD255" s="198" t="str">
        <f t="shared" si="27"/>
        <v/>
      </c>
      <c r="AE255" s="198" t="str">
        <f t="shared" si="27"/>
        <v/>
      </c>
      <c r="AF255" s="198" t="str">
        <f t="shared" si="27"/>
        <v/>
      </c>
      <c r="AG255" s="198" t="str">
        <f t="shared" si="27"/>
        <v/>
      </c>
      <c r="AH255" s="198" t="str">
        <f t="shared" si="35"/>
        <v/>
      </c>
      <c r="AI255" s="200" t="str">
        <f t="shared" si="33"/>
        <v/>
      </c>
      <c r="AJ255" s="208" t="str">
        <f t="shared" si="34"/>
        <v/>
      </c>
      <c r="AK255" s="4"/>
      <c r="AL255" s="162">
        <v>1620</v>
      </c>
      <c r="AM255" s="209">
        <v>1.4375373505367446E-3</v>
      </c>
      <c r="AN255" s="183">
        <v>1.157336389469238E-3</v>
      </c>
      <c r="AO255" s="183">
        <v>1.179097260841228E-3</v>
      </c>
      <c r="AP255" s="165">
        <v>1.2750282865214113E-3</v>
      </c>
      <c r="AR255" s="210">
        <v>96.25904797077682</v>
      </c>
      <c r="AS255" s="211">
        <v>96.365974216327913</v>
      </c>
      <c r="AT255" s="211">
        <v>96.292717938679615</v>
      </c>
      <c r="AU255" s="211">
        <v>96.162658131765852</v>
      </c>
      <c r="AV255" s="211"/>
      <c r="AW255" s="212"/>
      <c r="AX255" s="210">
        <v>95.931540921693639</v>
      </c>
      <c r="AY255" s="211">
        <v>96.615092892666794</v>
      </c>
      <c r="AZ255" s="213">
        <v>99.095085664204873</v>
      </c>
    </row>
    <row r="256" spans="12:52" x14ac:dyDescent="0.25">
      <c r="L256" s="189">
        <v>1615</v>
      </c>
      <c r="M256" s="196">
        <f t="shared" si="42"/>
        <v>0</v>
      </c>
      <c r="N256" s="197">
        <f t="shared" si="42"/>
        <v>0</v>
      </c>
      <c r="O256" s="152">
        <f ca="1"/>
        <v>96.306715193714254</v>
      </c>
      <c r="Q256" s="198">
        <v>0</v>
      </c>
      <c r="R256" s="200">
        <v>0</v>
      </c>
      <c r="S256" s="200">
        <v>0</v>
      </c>
      <c r="T256" s="200">
        <v>0</v>
      </c>
      <c r="U256" s="200">
        <f t="array" ref="U256">IF(U$77&gt;" ",(U$628:U$1078),"")</f>
        <v>0</v>
      </c>
      <c r="V256" s="200">
        <f t="array" ref="V256">IF(V$77&gt;" ",(V$628:V$1078),"")</f>
        <v>0</v>
      </c>
      <c r="W256" s="200">
        <f t="array" ref="W256">IF(W$77&gt;" ",(W$628:W$1078),"")</f>
        <v>0</v>
      </c>
      <c r="X256" s="200">
        <f t="array" ref="X256">IF(X$77&gt;" ",(X$628:X$1078),"")</f>
        <v>0</v>
      </c>
      <c r="Y256" s="204">
        <v>0</v>
      </c>
      <c r="Z256" s="198" t="str">
        <f t="shared" si="39"/>
        <v/>
      </c>
      <c r="AA256" s="198" t="str">
        <f t="shared" si="40"/>
        <v/>
      </c>
      <c r="AB256" s="198" t="str">
        <f t="shared" si="41"/>
        <v/>
      </c>
      <c r="AC256" s="198" t="str">
        <f t="shared" si="38"/>
        <v/>
      </c>
      <c r="AD256" s="198" t="str">
        <f t="shared" si="27"/>
        <v/>
      </c>
      <c r="AE256" s="198" t="str">
        <f t="shared" si="27"/>
        <v/>
      </c>
      <c r="AF256" s="198" t="str">
        <f t="shared" si="27"/>
        <v/>
      </c>
      <c r="AG256" s="198" t="str">
        <f t="shared" si="27"/>
        <v/>
      </c>
      <c r="AH256" s="198" t="str">
        <f t="shared" si="35"/>
        <v/>
      </c>
      <c r="AI256" s="200" t="str">
        <f t="shared" si="33"/>
        <v/>
      </c>
      <c r="AJ256" s="208" t="str">
        <f t="shared" si="34"/>
        <v/>
      </c>
      <c r="AK256" s="4"/>
      <c r="AL256" s="162">
        <v>1615</v>
      </c>
      <c r="AM256" s="209">
        <v>1.4140848799742197E-3</v>
      </c>
      <c r="AN256" s="183">
        <v>1.1732240274511978E-3</v>
      </c>
      <c r="AO256" s="183">
        <v>1.2120329385183573E-3</v>
      </c>
      <c r="AP256" s="165">
        <v>1.3106773677887657E-3</v>
      </c>
      <c r="AR256" s="210">
        <v>96.269420674007151</v>
      </c>
      <c r="AS256" s="211">
        <v>96.379276634463466</v>
      </c>
      <c r="AT256" s="211">
        <v>96.306715193714254</v>
      </c>
      <c r="AU256" s="211">
        <v>96.171131997738044</v>
      </c>
      <c r="AV256" s="211"/>
      <c r="AW256" s="212"/>
      <c r="AX256" s="210">
        <v>95.928207804853912</v>
      </c>
      <c r="AY256" s="211">
        <v>96.622182737676908</v>
      </c>
      <c r="AZ256" s="213">
        <v>98.981615870944722</v>
      </c>
    </row>
    <row r="257" spans="12:52" x14ac:dyDescent="0.25">
      <c r="L257" s="189">
        <v>1610</v>
      </c>
      <c r="M257" s="196">
        <f t="shared" si="42"/>
        <v>0</v>
      </c>
      <c r="N257" s="197">
        <f t="shared" si="42"/>
        <v>0</v>
      </c>
      <c r="O257" s="152">
        <f ca="1"/>
        <v>96.307344005843774</v>
      </c>
      <c r="Q257" s="198">
        <v>0</v>
      </c>
      <c r="R257" s="200">
        <v>0</v>
      </c>
      <c r="S257" s="200">
        <v>0</v>
      </c>
      <c r="T257" s="200">
        <v>0</v>
      </c>
      <c r="U257" s="200">
        <f t="array" ref="U257">IF(U$77&gt;" ",(U$628:U$1078),"")</f>
        <v>0</v>
      </c>
      <c r="V257" s="200">
        <f t="array" ref="V257">IF(V$77&gt;" ",(V$628:V$1078),"")</f>
        <v>0</v>
      </c>
      <c r="W257" s="200">
        <f t="array" ref="W257">IF(W$77&gt;" ",(W$628:W$1078),"")</f>
        <v>0</v>
      </c>
      <c r="X257" s="200">
        <f t="array" ref="X257">IF(X$77&gt;" ",(X$628:X$1078),"")</f>
        <v>0</v>
      </c>
      <c r="Y257" s="204">
        <v>0</v>
      </c>
      <c r="Z257" s="198" t="str">
        <f t="shared" si="39"/>
        <v/>
      </c>
      <c r="AA257" s="198" t="str">
        <f t="shared" si="40"/>
        <v/>
      </c>
      <c r="AB257" s="198" t="str">
        <f t="shared" si="41"/>
        <v/>
      </c>
      <c r="AC257" s="198" t="str">
        <f t="shared" si="38"/>
        <v/>
      </c>
      <c r="AD257" s="198" t="str">
        <f t="shared" si="27"/>
        <v/>
      </c>
      <c r="AE257" s="198" t="str">
        <f t="shared" si="27"/>
        <v/>
      </c>
      <c r="AF257" s="198" t="str">
        <f t="shared" si="27"/>
        <v/>
      </c>
      <c r="AG257" s="198" t="str">
        <f t="shared" si="27"/>
        <v/>
      </c>
      <c r="AH257" s="198" t="str">
        <f t="shared" si="35"/>
        <v/>
      </c>
      <c r="AI257" s="200" t="str">
        <f t="shared" si="33"/>
        <v/>
      </c>
      <c r="AJ257" s="208" t="str">
        <f t="shared" si="34"/>
        <v/>
      </c>
      <c r="AK257" s="4"/>
      <c r="AL257" s="162">
        <v>1610</v>
      </c>
      <c r="AM257" s="209">
        <v>1.3906324094116946E-3</v>
      </c>
      <c r="AN257" s="183">
        <v>1.1891116654331579E-3</v>
      </c>
      <c r="AO257" s="183">
        <v>1.0941684675638669E-3</v>
      </c>
      <c r="AP257" s="165">
        <v>1.1834151844261846E-3</v>
      </c>
      <c r="AR257" s="210">
        <v>96.272277005849929</v>
      </c>
      <c r="AS257" s="211">
        <v>96.383627195403847</v>
      </c>
      <c r="AT257" s="211">
        <v>96.307344005843774</v>
      </c>
      <c r="AU257" s="211">
        <v>96.174587988805456</v>
      </c>
      <c r="AV257" s="211"/>
      <c r="AW257" s="212"/>
      <c r="AX257" s="210">
        <v>95.978645711551053</v>
      </c>
      <c r="AY257" s="211">
        <v>96.654598982412494</v>
      </c>
      <c r="AZ257" s="213">
        <v>98.980297297402103</v>
      </c>
    </row>
    <row r="258" spans="12:52" x14ac:dyDescent="0.25">
      <c r="L258" s="189">
        <v>1605</v>
      </c>
      <c r="M258" s="196">
        <f t="shared" si="42"/>
        <v>0</v>
      </c>
      <c r="N258" s="197">
        <f t="shared" si="42"/>
        <v>0</v>
      </c>
      <c r="O258" s="152">
        <f ca="1"/>
        <v>96.314014845532668</v>
      </c>
      <c r="Q258" s="198">
        <v>0</v>
      </c>
      <c r="R258" s="200">
        <v>0</v>
      </c>
      <c r="S258" s="200">
        <v>0</v>
      </c>
      <c r="T258" s="200">
        <v>0</v>
      </c>
      <c r="U258" s="200">
        <f t="array" ref="U258">IF(U$77&gt;" ",(U$628:U$1078),"")</f>
        <v>0</v>
      </c>
      <c r="V258" s="200">
        <f t="array" ref="V258">IF(V$77&gt;" ",(V$628:V$1078),"")</f>
        <v>0</v>
      </c>
      <c r="W258" s="200">
        <f t="array" ref="W258">IF(W$77&gt;" ",(W$628:W$1078),"")</f>
        <v>0</v>
      </c>
      <c r="X258" s="200">
        <f t="array" ref="X258">IF(X$77&gt;" ",(X$628:X$1078),"")</f>
        <v>0</v>
      </c>
      <c r="Y258" s="204">
        <v>0</v>
      </c>
      <c r="Z258" s="198" t="str">
        <f t="shared" si="39"/>
        <v/>
      </c>
      <c r="AA258" s="198" t="str">
        <f t="shared" si="40"/>
        <v/>
      </c>
      <c r="AB258" s="198" t="str">
        <f t="shared" si="41"/>
        <v/>
      </c>
      <c r="AC258" s="198" t="str">
        <f t="shared" si="38"/>
        <v/>
      </c>
      <c r="AD258" s="198" t="str">
        <f t="shared" si="27"/>
        <v/>
      </c>
      <c r="AE258" s="198" t="str">
        <f t="shared" si="27"/>
        <v/>
      </c>
      <c r="AF258" s="198" t="str">
        <f t="shared" si="27"/>
        <v/>
      </c>
      <c r="AG258" s="198" t="str">
        <f t="shared" si="27"/>
        <v/>
      </c>
      <c r="AH258" s="198" t="str">
        <f t="shared" si="35"/>
        <v/>
      </c>
      <c r="AI258" s="200" t="str">
        <f t="shared" si="33"/>
        <v/>
      </c>
      <c r="AJ258" s="208" t="str">
        <f t="shared" si="34"/>
        <v/>
      </c>
      <c r="AK258" s="4"/>
      <c r="AL258" s="162">
        <v>1605</v>
      </c>
      <c r="AM258" s="209">
        <v>1.4214839692784527E-3</v>
      </c>
      <c r="AN258" s="183">
        <v>1.2049993034151175E-3</v>
      </c>
      <c r="AO258" s="183">
        <v>1.1908635945457292E-3</v>
      </c>
      <c r="AP258" s="165">
        <v>1.2877321192493385E-3</v>
      </c>
      <c r="AR258" s="210">
        <v>96.285431764591451</v>
      </c>
      <c r="AS258" s="211">
        <v>96.387599660886011</v>
      </c>
      <c r="AT258" s="211">
        <v>96.314014845532668</v>
      </c>
      <c r="AU258" s="211">
        <v>96.178211974921211</v>
      </c>
      <c r="AV258" s="211"/>
      <c r="AW258" s="212"/>
      <c r="AX258" s="210">
        <v>95.966864410575113</v>
      </c>
      <c r="AY258" s="211">
        <v>96.649044686716579</v>
      </c>
      <c r="AZ258" s="213">
        <v>99.077195752468498</v>
      </c>
    </row>
    <row r="259" spans="12:52" x14ac:dyDescent="0.25">
      <c r="L259" s="189">
        <v>1600</v>
      </c>
      <c r="M259" s="196">
        <f t="shared" si="42"/>
        <v>0</v>
      </c>
      <c r="N259" s="197">
        <f t="shared" si="42"/>
        <v>0</v>
      </c>
      <c r="O259" s="152">
        <f ca="1"/>
        <v>96.348212507128778</v>
      </c>
      <c r="Q259" s="198">
        <v>0</v>
      </c>
      <c r="R259" s="200">
        <v>0</v>
      </c>
      <c r="S259" s="200">
        <v>0</v>
      </c>
      <c r="T259" s="200">
        <v>0</v>
      </c>
      <c r="U259" s="200">
        <f t="array" ref="U259">IF(U$77&gt;" ",(U$628:U$1078),"")</f>
        <v>0</v>
      </c>
      <c r="V259" s="200">
        <f t="array" ref="V259">IF(V$77&gt;" ",(V$628:V$1078),"")</f>
        <v>0</v>
      </c>
      <c r="W259" s="200">
        <f t="array" ref="W259">IF(W$77&gt;" ",(W$628:W$1078),"")</f>
        <v>0</v>
      </c>
      <c r="X259" s="200">
        <f t="array" ref="X259">IF(X$77&gt;" ",(X$628:X$1078),"")</f>
        <v>0</v>
      </c>
      <c r="Y259" s="204">
        <v>0</v>
      </c>
      <c r="Z259" s="198" t="str">
        <f t="shared" si="39"/>
        <v/>
      </c>
      <c r="AA259" s="198" t="str">
        <f t="shared" si="40"/>
        <v/>
      </c>
      <c r="AB259" s="198" t="str">
        <f t="shared" si="41"/>
        <v/>
      </c>
      <c r="AC259" s="198" t="str">
        <f t="shared" si="38"/>
        <v/>
      </c>
      <c r="AD259" s="198" t="str">
        <f t="shared" si="27"/>
        <v/>
      </c>
      <c r="AE259" s="198" t="str">
        <f t="shared" si="27"/>
        <v/>
      </c>
      <c r="AF259" s="198" t="str">
        <f t="shared" si="27"/>
        <v/>
      </c>
      <c r="AG259" s="198" t="str">
        <f t="shared" si="27"/>
        <v/>
      </c>
      <c r="AH259" s="198" t="str">
        <f t="shared" si="35"/>
        <v/>
      </c>
      <c r="AI259" s="200" t="str">
        <f t="shared" si="33"/>
        <v/>
      </c>
      <c r="AJ259" s="208" t="str">
        <f t="shared" si="34"/>
        <v/>
      </c>
      <c r="AK259" s="4"/>
      <c r="AL259" s="162">
        <v>1600</v>
      </c>
      <c r="AM259" s="209">
        <v>1.452269465847852E-3</v>
      </c>
      <c r="AN259" s="183">
        <v>1.2208869413970775E-3</v>
      </c>
      <c r="AO259" s="183">
        <v>1.1972495961716763E-3</v>
      </c>
      <c r="AP259" s="165">
        <v>1.2946156938111668E-3</v>
      </c>
      <c r="AR259" s="210">
        <v>96.318127729454957</v>
      </c>
      <c r="AS259" s="211">
        <v>96.424471601033517</v>
      </c>
      <c r="AT259" s="211">
        <v>96.348212507128778</v>
      </c>
      <c r="AU259" s="211">
        <v>96.21497517130922</v>
      </c>
      <c r="AV259" s="211"/>
      <c r="AW259" s="212"/>
      <c r="AX259" s="210">
        <v>95.967377707875016</v>
      </c>
      <c r="AY259" s="211">
        <v>96.652183145222082</v>
      </c>
      <c r="AZ259" s="213">
        <v>99.210805481445533</v>
      </c>
    </row>
    <row r="260" spans="12:52" x14ac:dyDescent="0.25">
      <c r="L260" s="189">
        <v>1595</v>
      </c>
      <c r="M260" s="196">
        <f t="shared" si="42"/>
        <v>0</v>
      </c>
      <c r="N260" s="197">
        <f t="shared" si="42"/>
        <v>0</v>
      </c>
      <c r="O260" s="152">
        <f ca="1"/>
        <v>96.356087915570541</v>
      </c>
      <c r="Q260" s="198">
        <v>0</v>
      </c>
      <c r="R260" s="200">
        <v>0</v>
      </c>
      <c r="S260" s="200">
        <v>0</v>
      </c>
      <c r="T260" s="200">
        <v>0</v>
      </c>
      <c r="U260" s="200">
        <f t="array" ref="U260">IF(U$77&gt;" ",(U$628:U$1078),"")</f>
        <v>0</v>
      </c>
      <c r="V260" s="200">
        <f t="array" ref="V260">IF(V$77&gt;" ",(V$628:V$1078),"")</f>
        <v>0</v>
      </c>
      <c r="W260" s="200">
        <f t="array" ref="W260">IF(W$77&gt;" ",(W$628:W$1078),"")</f>
        <v>0</v>
      </c>
      <c r="X260" s="200">
        <f t="array" ref="X260">IF(X$77&gt;" ",(X$628:X$1078),"")</f>
        <v>0</v>
      </c>
      <c r="Y260" s="204">
        <v>0</v>
      </c>
      <c r="Z260" s="198" t="str">
        <f t="shared" si="39"/>
        <v/>
      </c>
      <c r="AA260" s="198" t="str">
        <f t="shared" si="40"/>
        <v/>
      </c>
      <c r="AB260" s="198" t="str">
        <f t="shared" si="41"/>
        <v/>
      </c>
      <c r="AC260" s="198" t="str">
        <f t="shared" si="38"/>
        <v/>
      </c>
      <c r="AD260" s="198" t="str">
        <f t="shared" si="27"/>
        <v/>
      </c>
      <c r="AE260" s="198" t="str">
        <f t="shared" si="27"/>
        <v/>
      </c>
      <c r="AF260" s="198" t="str">
        <f t="shared" si="27"/>
        <v/>
      </c>
      <c r="AG260" s="198" t="str">
        <f t="shared" si="27"/>
        <v/>
      </c>
      <c r="AH260" s="198" t="str">
        <f t="shared" si="35"/>
        <v/>
      </c>
      <c r="AI260" s="200" t="str">
        <f t="shared" si="33"/>
        <v/>
      </c>
      <c r="AJ260" s="208" t="str">
        <f t="shared" si="34"/>
        <v/>
      </c>
      <c r="AK260" s="4"/>
      <c r="AL260" s="162">
        <v>1595</v>
      </c>
      <c r="AM260" s="209">
        <v>1.4831210257146101E-3</v>
      </c>
      <c r="AN260" s="183">
        <v>1.2357941080174302E-3</v>
      </c>
      <c r="AO260" s="183">
        <v>1.2984702361168079E-3</v>
      </c>
      <c r="AP260" s="165">
        <v>1.4037455344255174E-3</v>
      </c>
      <c r="AR260" s="210">
        <v>96.330625229899283</v>
      </c>
      <c r="AS260" s="211">
        <v>96.431179569527941</v>
      </c>
      <c r="AT260" s="211">
        <v>96.356087915570541</v>
      </c>
      <c r="AU260" s="211">
        <v>96.227112432013783</v>
      </c>
      <c r="AV260" s="211"/>
      <c r="AW260" s="212"/>
      <c r="AX260" s="210">
        <v>95.969013209140527</v>
      </c>
      <c r="AY260" s="211">
        <v>96.639553683245538</v>
      </c>
      <c r="AZ260" s="213">
        <v>99.033420957655096</v>
      </c>
    </row>
    <row r="261" spans="12:52" x14ac:dyDescent="0.25">
      <c r="L261" s="189">
        <v>1590</v>
      </c>
      <c r="M261" s="196">
        <f t="shared" si="42"/>
        <v>0</v>
      </c>
      <c r="N261" s="197">
        <f t="shared" si="42"/>
        <v>0</v>
      </c>
      <c r="O261" s="152">
        <f ca="1"/>
        <v>96.366565686286719</v>
      </c>
      <c r="Q261" s="198">
        <v>0</v>
      </c>
      <c r="R261" s="200">
        <v>0</v>
      </c>
      <c r="S261" s="200">
        <v>0</v>
      </c>
      <c r="T261" s="200">
        <v>0</v>
      </c>
      <c r="U261" s="200">
        <f t="array" ref="U261">IF(U$77&gt;" ",(U$628:U$1078),"")</f>
        <v>0</v>
      </c>
      <c r="V261" s="200">
        <f t="array" ref="V261">IF(V$77&gt;" ",(V$628:V$1078),"")</f>
        <v>0</v>
      </c>
      <c r="W261" s="200">
        <f t="array" ref="W261">IF(W$77&gt;" ",(W$628:W$1078),"")</f>
        <v>0</v>
      </c>
      <c r="X261" s="200">
        <f t="array" ref="X261">IF(X$77&gt;" ",(X$628:X$1078),"")</f>
        <v>0</v>
      </c>
      <c r="Y261" s="204">
        <v>0</v>
      </c>
      <c r="Z261" s="198" t="str">
        <f t="shared" si="39"/>
        <v/>
      </c>
      <c r="AA261" s="198" t="str">
        <f t="shared" si="40"/>
        <v/>
      </c>
      <c r="AB261" s="198" t="str">
        <f t="shared" si="41"/>
        <v/>
      </c>
      <c r="AC261" s="198" t="str">
        <f t="shared" si="38"/>
        <v/>
      </c>
      <c r="AD261" s="198" t="str">
        <f t="shared" si="27"/>
        <v/>
      </c>
      <c r="AE261" s="198" t="str">
        <f t="shared" si="27"/>
        <v/>
      </c>
      <c r="AF261" s="198" t="str">
        <f t="shared" si="27"/>
        <v/>
      </c>
      <c r="AG261" s="198" t="str">
        <f t="shared" si="27"/>
        <v/>
      </c>
      <c r="AH261" s="198" t="str">
        <f t="shared" si="35"/>
        <v/>
      </c>
      <c r="AI261" s="200" t="str">
        <f t="shared" si="33"/>
        <v/>
      </c>
      <c r="AJ261" s="208" t="str">
        <f t="shared" si="34"/>
        <v/>
      </c>
      <c r="AK261" s="4"/>
      <c r="AL261" s="162">
        <v>1590</v>
      </c>
      <c r="AM261" s="209">
        <v>1.4969282548626883E-3</v>
      </c>
      <c r="AN261" s="183">
        <v>1.2507012746377829E-3</v>
      </c>
      <c r="AO261" s="183">
        <v>1.215804199321082E-3</v>
      </c>
      <c r="AP261" s="165">
        <v>1.3143709931634057E-3</v>
      </c>
      <c r="AR261" s="210">
        <v>96.338377033620532</v>
      </c>
      <c r="AS261" s="211">
        <v>96.442555379676946</v>
      </c>
      <c r="AT261" s="211">
        <v>96.366565686286719</v>
      </c>
      <c r="AU261" s="211">
        <v>96.234298411571217</v>
      </c>
      <c r="AV261" s="211"/>
      <c r="AW261" s="212"/>
      <c r="AX261" s="210">
        <v>95.973003105642988</v>
      </c>
      <c r="AY261" s="211">
        <v>96.639820410575666</v>
      </c>
      <c r="AZ261" s="213">
        <v>99.023995043211912</v>
      </c>
    </row>
    <row r="262" spans="12:52" x14ac:dyDescent="0.25">
      <c r="L262" s="189">
        <v>1585</v>
      </c>
      <c r="M262" s="196">
        <f t="shared" si="42"/>
        <v>0</v>
      </c>
      <c r="N262" s="197">
        <f t="shared" si="42"/>
        <v>0</v>
      </c>
      <c r="O262" s="152">
        <f ca="1"/>
        <v>96.398502347767717</v>
      </c>
      <c r="Q262" s="198">
        <v>0</v>
      </c>
      <c r="R262" s="200">
        <v>0</v>
      </c>
      <c r="S262" s="200">
        <v>0</v>
      </c>
      <c r="T262" s="200">
        <v>0</v>
      </c>
      <c r="U262" s="200">
        <f t="array" ref="U262">IF(U$77&gt;" ",(U$628:U$1078),"")</f>
        <v>0</v>
      </c>
      <c r="V262" s="200">
        <f t="array" ref="V262">IF(V$77&gt;" ",(V$628:V$1078),"")</f>
        <v>0</v>
      </c>
      <c r="W262" s="200">
        <f t="array" ref="W262">IF(W$77&gt;" ",(W$628:W$1078),"")</f>
        <v>0</v>
      </c>
      <c r="X262" s="200">
        <f t="array" ref="X262">IF(X$77&gt;" ",(X$628:X$1078),"")</f>
        <v>0</v>
      </c>
      <c r="Y262" s="204">
        <v>0</v>
      </c>
      <c r="Z262" s="198" t="str">
        <f t="shared" si="39"/>
        <v/>
      </c>
      <c r="AA262" s="198" t="str">
        <f t="shared" si="40"/>
        <v/>
      </c>
      <c r="AB262" s="198" t="str">
        <f t="shared" si="41"/>
        <v/>
      </c>
      <c r="AC262" s="198" t="str">
        <f t="shared" si="38"/>
        <v/>
      </c>
      <c r="AD262" s="198" t="str">
        <f t="shared" si="27"/>
        <v/>
      </c>
      <c r="AE262" s="198" t="str">
        <f t="shared" si="27"/>
        <v/>
      </c>
      <c r="AF262" s="198" t="str">
        <f t="shared" si="27"/>
        <v/>
      </c>
      <c r="AG262" s="198" t="str">
        <f t="shared" si="27"/>
        <v/>
      </c>
      <c r="AH262" s="198" t="str">
        <f t="shared" si="35"/>
        <v/>
      </c>
      <c r="AI262" s="200" t="str">
        <f t="shared" si="33"/>
        <v/>
      </c>
      <c r="AJ262" s="208" t="str">
        <f t="shared" si="34"/>
        <v/>
      </c>
      <c r="AK262" s="4"/>
      <c r="AL262" s="162">
        <v>1585</v>
      </c>
      <c r="AM262" s="209">
        <v>1.485102924635387E-3</v>
      </c>
      <c r="AN262" s="183">
        <v>1.2656084412581356E-3</v>
      </c>
      <c r="AO262" s="183">
        <v>1.301034693462661E-3</v>
      </c>
      <c r="AP262" s="165">
        <v>1.4066556635085668E-3</v>
      </c>
      <c r="AR262" s="210">
        <v>96.363822836067953</v>
      </c>
      <c r="AS262" s="211">
        <v>96.477171307194041</v>
      </c>
      <c r="AT262" s="211">
        <v>96.398502347767717</v>
      </c>
      <c r="AU262" s="211">
        <v>96.265935508700636</v>
      </c>
      <c r="AV262" s="211"/>
      <c r="AW262" s="212"/>
      <c r="AX262" s="210">
        <v>95.926595493052616</v>
      </c>
      <c r="AY262" s="211">
        <v>96.640675482636141</v>
      </c>
      <c r="AZ262" s="213">
        <v>99.14103603507499</v>
      </c>
    </row>
    <row r="263" spans="12:52" x14ac:dyDescent="0.25">
      <c r="L263" s="225">
        <v>1580</v>
      </c>
      <c r="M263" s="226">
        <f t="shared" si="42"/>
        <v>0</v>
      </c>
      <c r="N263" s="227">
        <f t="shared" si="42"/>
        <v>0</v>
      </c>
      <c r="O263" s="152">
        <f ca="1"/>
        <v>96.400882131528547</v>
      </c>
      <c r="P263" s="9"/>
      <c r="Q263" s="199">
        <v>0</v>
      </c>
      <c r="R263" s="201">
        <v>0</v>
      </c>
      <c r="S263" s="201">
        <v>0</v>
      </c>
      <c r="T263" s="201">
        <v>0</v>
      </c>
      <c r="U263" s="200">
        <f t="array" ref="U263">IF(U$77&gt;" ",(U$628:U$1078),"")</f>
        <v>0</v>
      </c>
      <c r="V263" s="200">
        <f t="array" ref="V263">IF(V$77&gt;" ",(V$628:V$1078),"")</f>
        <v>0</v>
      </c>
      <c r="W263" s="200">
        <f t="array" ref="W263">IF(W$77&gt;" ",(W$628:W$1078),"")</f>
        <v>0</v>
      </c>
      <c r="X263" s="200">
        <f t="array" ref="X263">IF(X$77&gt;" ",(X$628:X$1078),"")</f>
        <v>0</v>
      </c>
      <c r="Y263" s="205">
        <v>0</v>
      </c>
      <c r="Z263" s="198" t="str">
        <f t="shared" si="39"/>
        <v/>
      </c>
      <c r="AA263" s="198" t="str">
        <f t="shared" si="40"/>
        <v/>
      </c>
      <c r="AB263" s="198" t="str">
        <f t="shared" si="41"/>
        <v/>
      </c>
      <c r="AC263" s="198" t="str">
        <f t="shared" si="38"/>
        <v/>
      </c>
      <c r="AD263" s="198" t="str">
        <f t="shared" si="27"/>
        <v/>
      </c>
      <c r="AE263" s="198" t="str">
        <f t="shared" si="27"/>
        <v/>
      </c>
      <c r="AF263" s="198" t="str">
        <f t="shared" si="27"/>
        <v/>
      </c>
      <c r="AG263" s="198" t="str">
        <f t="shared" si="27"/>
        <v/>
      </c>
      <c r="AH263" s="198" t="str">
        <f t="shared" si="35"/>
        <v/>
      </c>
      <c r="AI263" s="200" t="str">
        <f t="shared" si="33"/>
        <v/>
      </c>
      <c r="AJ263" s="208" t="str">
        <f t="shared" si="34"/>
        <v/>
      </c>
      <c r="AK263" s="126"/>
      <c r="AL263" s="162">
        <v>1580</v>
      </c>
      <c r="AM263" s="209">
        <v>1.4732775944080855E-3</v>
      </c>
      <c r="AN263" s="183">
        <v>1.2805156078784883E-3</v>
      </c>
      <c r="AO263" s="183">
        <v>1.2301349903714358E-3</v>
      </c>
      <c r="AP263" s="165">
        <v>1.330376703120177E-3</v>
      </c>
      <c r="AQ263" s="9"/>
      <c r="AR263" s="228">
        <v>96.36713727304469</v>
      </c>
      <c r="AS263" s="229">
        <v>96.475054327861031</v>
      </c>
      <c r="AT263" s="211">
        <v>96.400882131528547</v>
      </c>
      <c r="AU263" s="211">
        <v>96.266767097908996</v>
      </c>
      <c r="AV263" s="211"/>
      <c r="AW263" s="212"/>
      <c r="AX263" s="228">
        <v>95.916897496911375</v>
      </c>
      <c r="AY263" s="211">
        <v>96.636610407521857</v>
      </c>
      <c r="AZ263" s="213">
        <v>99.047825337677779</v>
      </c>
    </row>
    <row r="264" spans="12:52" x14ac:dyDescent="0.25">
      <c r="L264" s="189">
        <v>1575</v>
      </c>
      <c r="M264" s="196">
        <f t="shared" si="42"/>
        <v>0</v>
      </c>
      <c r="N264" s="197">
        <f t="shared" si="42"/>
        <v>0</v>
      </c>
      <c r="O264" s="152">
        <f ca="1"/>
        <v>96.416821805771576</v>
      </c>
      <c r="Q264" s="198">
        <v>0</v>
      </c>
      <c r="R264" s="200">
        <v>0</v>
      </c>
      <c r="S264" s="200">
        <v>0</v>
      </c>
      <c r="T264" s="200">
        <v>0</v>
      </c>
      <c r="U264" s="200">
        <f t="array" ref="U264">IF(U$77&gt;" ",(U$628:U$1078),"")</f>
        <v>0</v>
      </c>
      <c r="V264" s="200">
        <f t="array" ref="V264">IF(V$77&gt;" ",(V$628:V$1078),"")</f>
        <v>0</v>
      </c>
      <c r="W264" s="200">
        <f t="array" ref="W264">IF(W$77&gt;" ",(W$628:W$1078),"")</f>
        <v>0</v>
      </c>
      <c r="X264" s="200">
        <f t="array" ref="X264">IF(X$77&gt;" ",(X$628:X$1078),"")</f>
        <v>0</v>
      </c>
      <c r="Y264" s="204">
        <v>0</v>
      </c>
      <c r="Z264" s="198" t="str">
        <f t="shared" si="39"/>
        <v/>
      </c>
      <c r="AA264" s="198" t="str">
        <f t="shared" si="40"/>
        <v/>
      </c>
      <c r="AB264" s="198" t="str">
        <f t="shared" si="41"/>
        <v/>
      </c>
      <c r="AC264" s="198" t="str">
        <f t="shared" si="38"/>
        <v/>
      </c>
      <c r="AD264" s="198" t="str">
        <f t="shared" si="27"/>
        <v/>
      </c>
      <c r="AE264" s="198" t="str">
        <f t="shared" si="27"/>
        <v/>
      </c>
      <c r="AF264" s="198" t="str">
        <f t="shared" si="27"/>
        <v/>
      </c>
      <c r="AG264" s="198" t="str">
        <f t="shared" si="27"/>
        <v/>
      </c>
      <c r="AH264" s="198" t="str">
        <f t="shared" si="35"/>
        <v/>
      </c>
      <c r="AI264" s="200" t="str">
        <f t="shared" si="33"/>
        <v/>
      </c>
      <c r="AJ264" s="208" t="str">
        <f t="shared" si="34"/>
        <v/>
      </c>
      <c r="AK264" s="4"/>
      <c r="AL264" s="162">
        <v>1575</v>
      </c>
      <c r="AM264" s="209">
        <v>1.4964658117811737E-3</v>
      </c>
      <c r="AN264" s="183">
        <v>1.2954227744988412E-3</v>
      </c>
      <c r="AO264" s="183">
        <v>1.2054960864603011E-3</v>
      </c>
      <c r="AP264" s="165">
        <v>1.3036259011644539E-3</v>
      </c>
      <c r="AR264" s="210">
        <v>96.381377256398366</v>
      </c>
      <c r="AS264" s="211">
        <v>96.491867160307535</v>
      </c>
      <c r="AT264" s="211">
        <v>96.416821805771576</v>
      </c>
      <c r="AU264" s="211">
        <v>96.281793367680962</v>
      </c>
      <c r="AV264" s="211"/>
      <c r="AW264" s="212"/>
      <c r="AX264" s="210">
        <v>95.93072976320677</v>
      </c>
      <c r="AY264" s="211">
        <v>96.622395555343289</v>
      </c>
      <c r="AZ264" s="213">
        <v>99.119714673913052</v>
      </c>
    </row>
    <row r="265" spans="12:52" x14ac:dyDescent="0.25">
      <c r="L265" s="189">
        <v>1570</v>
      </c>
      <c r="M265" s="196">
        <f t="shared" si="42"/>
        <v>0</v>
      </c>
      <c r="N265" s="197">
        <f t="shared" si="42"/>
        <v>0</v>
      </c>
      <c r="O265" s="152">
        <f ca="1"/>
        <v>96.438804771323419</v>
      </c>
      <c r="Q265" s="198">
        <v>0</v>
      </c>
      <c r="R265" s="200">
        <v>0</v>
      </c>
      <c r="S265" s="200">
        <v>0</v>
      </c>
      <c r="T265" s="200">
        <v>0</v>
      </c>
      <c r="U265" s="200">
        <f t="array" ref="U265">IF(U$77&gt;" ",(U$628:U$1078),"")</f>
        <v>0</v>
      </c>
      <c r="V265" s="200">
        <f t="array" ref="V265">IF(V$77&gt;" ",(V$628:V$1078),"")</f>
        <v>0</v>
      </c>
      <c r="W265" s="200">
        <f t="array" ref="W265">IF(W$77&gt;" ",(W$628:W$1078),"")</f>
        <v>0</v>
      </c>
      <c r="X265" s="200">
        <f t="array" ref="X265">IF(X$77&gt;" ",(X$628:X$1078),"")</f>
        <v>0</v>
      </c>
      <c r="Y265" s="204">
        <v>0</v>
      </c>
      <c r="Z265" s="198" t="str">
        <f t="shared" si="39"/>
        <v/>
      </c>
      <c r="AA265" s="198" t="str">
        <f t="shared" si="40"/>
        <v/>
      </c>
      <c r="AB265" s="198" t="str">
        <f t="shared" si="41"/>
        <v/>
      </c>
      <c r="AC265" s="198" t="str">
        <f t="shared" si="38"/>
        <v/>
      </c>
      <c r="AD265" s="198" t="str">
        <f t="shared" si="27"/>
        <v/>
      </c>
      <c r="AE265" s="198" t="str">
        <f t="shared" si="27"/>
        <v/>
      </c>
      <c r="AF265" s="198" t="str">
        <f t="shared" si="27"/>
        <v/>
      </c>
      <c r="AG265" s="198" t="str">
        <f t="shared" si="27"/>
        <v/>
      </c>
      <c r="AH265" s="198" t="str">
        <f t="shared" si="35"/>
        <v/>
      </c>
      <c r="AI265" s="200" t="str">
        <f t="shared" si="33"/>
        <v/>
      </c>
      <c r="AJ265" s="208" t="str">
        <f t="shared" si="34"/>
        <v/>
      </c>
      <c r="AK265" s="4"/>
      <c r="AL265" s="162">
        <v>1570</v>
      </c>
      <c r="AM265" s="209">
        <v>1.5429083098247092E-3</v>
      </c>
      <c r="AN265" s="183">
        <v>1.3103299411191937E-3</v>
      </c>
      <c r="AO265" s="183">
        <v>1.2156030654116032E-3</v>
      </c>
      <c r="AP265" s="165">
        <v>1.314986597392512E-3</v>
      </c>
      <c r="AR265" s="210">
        <v>96.403682088519489</v>
      </c>
      <c r="AS265" s="211">
        <v>96.51909469205134</v>
      </c>
      <c r="AT265" s="211">
        <v>96.438804771323419</v>
      </c>
      <c r="AU265" s="211">
        <v>96.306130167436223</v>
      </c>
      <c r="AV265" s="211"/>
      <c r="AW265" s="212"/>
      <c r="AX265" s="210">
        <v>95.923782892665869</v>
      </c>
      <c r="AY265" s="211">
        <v>96.630549254742235</v>
      </c>
      <c r="AZ265" s="213">
        <v>98.919592852594462</v>
      </c>
    </row>
    <row r="266" spans="12:52" x14ac:dyDescent="0.25">
      <c r="L266" s="189">
        <v>1565</v>
      </c>
      <c r="M266" s="196">
        <f t="shared" si="42"/>
        <v>0</v>
      </c>
      <c r="N266" s="197">
        <f t="shared" si="42"/>
        <v>0</v>
      </c>
      <c r="O266" s="152">
        <f ca="1"/>
        <v>96.445212688002172</v>
      </c>
      <c r="Q266" s="198">
        <v>0</v>
      </c>
      <c r="R266" s="200">
        <v>0</v>
      </c>
      <c r="S266" s="200">
        <v>0</v>
      </c>
      <c r="T266" s="200">
        <v>0</v>
      </c>
      <c r="U266" s="200">
        <f t="array" ref="U266">IF(U$77&gt;" ",(U$628:U$1078),"")</f>
        <v>0</v>
      </c>
      <c r="V266" s="200">
        <f t="array" ref="V266">IF(V$77&gt;" ",(V$628:V$1078),"")</f>
        <v>0</v>
      </c>
      <c r="W266" s="200">
        <f t="array" ref="W266">IF(W$77&gt;" ",(W$628:W$1078),"")</f>
        <v>0</v>
      </c>
      <c r="X266" s="200">
        <f t="array" ref="X266">IF(X$77&gt;" ",(X$628:X$1078),"")</f>
        <v>0</v>
      </c>
      <c r="Y266" s="204">
        <v>0</v>
      </c>
      <c r="Z266" s="198" t="str">
        <f t="shared" si="39"/>
        <v/>
      </c>
      <c r="AA266" s="198" t="str">
        <f t="shared" si="40"/>
        <v/>
      </c>
      <c r="AB266" s="198" t="str">
        <f t="shared" si="41"/>
        <v/>
      </c>
      <c r="AC266" s="198" t="str">
        <f t="shared" si="38"/>
        <v/>
      </c>
      <c r="AD266" s="198" t="str">
        <f t="shared" si="27"/>
        <v/>
      </c>
      <c r="AE266" s="198" t="str">
        <f t="shared" si="27"/>
        <v/>
      </c>
      <c r="AF266" s="198" t="str">
        <f t="shared" si="27"/>
        <v/>
      </c>
      <c r="AG266" s="198" t="str">
        <f t="shared" ref="AG266:AH329" si="43">IF(AND(X266&gt;0,X266&lt;999),(X266-$M266)/($N266-$M266)*$O266,"")</f>
        <v/>
      </c>
      <c r="AH266" s="198" t="str">
        <f t="shared" si="35"/>
        <v/>
      </c>
      <c r="AI266" s="200" t="str">
        <f t="shared" si="33"/>
        <v/>
      </c>
      <c r="AJ266" s="208" t="str">
        <f t="shared" si="34"/>
        <v/>
      </c>
      <c r="AK266" s="4"/>
      <c r="AL266" s="162">
        <v>1565</v>
      </c>
      <c r="AM266" s="209">
        <v>1.5893508078682447E-3</v>
      </c>
      <c r="AN266" s="183">
        <v>1.3252371077395464E-3</v>
      </c>
      <c r="AO266" s="183">
        <v>1.3439767831363531E-3</v>
      </c>
      <c r="AP266" s="165">
        <v>1.4536654410039792E-3</v>
      </c>
      <c r="AR266" s="210">
        <v>96.415677056308908</v>
      </c>
      <c r="AS266" s="211">
        <v>96.52470611114056</v>
      </c>
      <c r="AT266" s="211">
        <v>96.445212688002172</v>
      </c>
      <c r="AU266" s="211">
        <v>96.315894516804633</v>
      </c>
      <c r="AV266" s="211"/>
      <c r="AW266" s="212"/>
      <c r="AX266" s="210">
        <v>95.922059008312615</v>
      </c>
      <c r="AY266" s="211">
        <v>96.635329843231361</v>
      </c>
      <c r="AZ266" s="213">
        <v>98.910332768584567</v>
      </c>
    </row>
    <row r="267" spans="12:52" x14ac:dyDescent="0.25">
      <c r="L267" s="189">
        <v>1560</v>
      </c>
      <c r="M267" s="196">
        <f t="shared" si="42"/>
        <v>0</v>
      </c>
      <c r="N267" s="197">
        <f t="shared" si="42"/>
        <v>0</v>
      </c>
      <c r="O267" s="152">
        <f ca="1"/>
        <v>96.46990012102377</v>
      </c>
      <c r="Q267" s="198">
        <v>0</v>
      </c>
      <c r="R267" s="200">
        <v>0</v>
      </c>
      <c r="S267" s="200">
        <v>0</v>
      </c>
      <c r="T267" s="200">
        <v>0</v>
      </c>
      <c r="U267" s="200">
        <f t="array" ref="U267">IF(U$77&gt;" ",(U$628:U$1078),"")</f>
        <v>0</v>
      </c>
      <c r="V267" s="200">
        <f t="array" ref="V267">IF(V$77&gt;" ",(V$628:V$1078),"")</f>
        <v>0</v>
      </c>
      <c r="W267" s="200">
        <f t="array" ref="W267">IF(W$77&gt;" ",(W$628:W$1078),"")</f>
        <v>0</v>
      </c>
      <c r="X267" s="200">
        <f t="array" ref="X267">IF(X$77&gt;" ",(X$628:X$1078),"")</f>
        <v>0</v>
      </c>
      <c r="Y267" s="204">
        <v>0</v>
      </c>
      <c r="Z267" s="198" t="str">
        <f t="shared" si="39"/>
        <v/>
      </c>
      <c r="AA267" s="198" t="str">
        <f t="shared" si="40"/>
        <v/>
      </c>
      <c r="AB267" s="198" t="str">
        <f t="shared" si="41"/>
        <v/>
      </c>
      <c r="AC267" s="198" t="str">
        <f t="shared" si="38"/>
        <v/>
      </c>
      <c r="AD267" s="198" t="str">
        <f t="shared" ref="AD267:AF271" si="44">IF(AND(U267&gt;0,U267&lt;999),(U267-$M267)/($N267-$M267)*$O267,"")</f>
        <v/>
      </c>
      <c r="AE267" s="198" t="str">
        <f t="shared" si="44"/>
        <v/>
      </c>
      <c r="AF267" s="198" t="str">
        <f t="shared" si="44"/>
        <v/>
      </c>
      <c r="AG267" s="198" t="str">
        <f t="shared" si="43"/>
        <v/>
      </c>
      <c r="AH267" s="198" t="str">
        <f t="shared" si="35"/>
        <v/>
      </c>
      <c r="AI267" s="200" t="str">
        <f t="shared" si="33"/>
        <v/>
      </c>
      <c r="AJ267" s="208" t="str">
        <f t="shared" si="34"/>
        <v/>
      </c>
      <c r="AK267" s="4"/>
      <c r="AL267" s="162">
        <v>1560</v>
      </c>
      <c r="AM267" s="209">
        <v>1.6357933059117803E-3</v>
      </c>
      <c r="AN267" s="183">
        <v>1.3401442743598993E-3</v>
      </c>
      <c r="AO267" s="183">
        <v>1.3359314267572069E-3</v>
      </c>
      <c r="AP267" s="165">
        <v>1.445046981796487E-3</v>
      </c>
      <c r="AR267" s="210">
        <v>96.436400047081364</v>
      </c>
      <c r="AS267" s="211">
        <v>96.547479239627236</v>
      </c>
      <c r="AT267" s="211">
        <v>96.46990012102377</v>
      </c>
      <c r="AU267" s="211">
        <v>96.346112856734123</v>
      </c>
      <c r="AV267" s="211"/>
      <c r="AW267" s="212"/>
      <c r="AX267" s="210">
        <v>95.938971293145002</v>
      </c>
      <c r="AY267" s="211">
        <v>96.627034405894619</v>
      </c>
      <c r="AZ267" s="213">
        <v>98.911153630826874</v>
      </c>
    </row>
    <row r="268" spans="12:52" x14ac:dyDescent="0.25">
      <c r="L268" s="189">
        <v>1555</v>
      </c>
      <c r="M268" s="196">
        <f t="shared" si="42"/>
        <v>0</v>
      </c>
      <c r="N268" s="197">
        <f t="shared" si="42"/>
        <v>0</v>
      </c>
      <c r="O268" s="152">
        <f ca="1"/>
        <v>96.468726570190867</v>
      </c>
      <c r="Q268" s="198">
        <v>0</v>
      </c>
      <c r="R268" s="200">
        <v>0</v>
      </c>
      <c r="S268" s="200">
        <v>0</v>
      </c>
      <c r="T268" s="200">
        <v>0</v>
      </c>
      <c r="U268" s="200">
        <f t="array" ref="U268">IF(U$77&gt;" ",(U$628:U$1078),"")</f>
        <v>0</v>
      </c>
      <c r="V268" s="200">
        <f t="array" ref="V268">IF(V$77&gt;" ",(V$628:V$1078),"")</f>
        <v>0</v>
      </c>
      <c r="W268" s="200">
        <f t="array" ref="W268">IF(W$77&gt;" ",(W$628:W$1078),"")</f>
        <v>0</v>
      </c>
      <c r="X268" s="200">
        <f t="array" ref="X268">IF(X$77&gt;" ",(X$628:X$1078),"")</f>
        <v>0</v>
      </c>
      <c r="Y268" s="204">
        <v>0</v>
      </c>
      <c r="Z268" s="198" t="str">
        <f t="shared" si="39"/>
        <v/>
      </c>
      <c r="AA268" s="198" t="str">
        <f t="shared" si="40"/>
        <v/>
      </c>
      <c r="AB268" s="198" t="str">
        <f t="shared" si="41"/>
        <v/>
      </c>
      <c r="AC268" s="198" t="str">
        <f t="shared" si="38"/>
        <v/>
      </c>
      <c r="AD268" s="198" t="str">
        <f t="shared" si="44"/>
        <v/>
      </c>
      <c r="AE268" s="198" t="str">
        <f t="shared" si="44"/>
        <v/>
      </c>
      <c r="AF268" s="198" t="str">
        <f t="shared" si="44"/>
        <v/>
      </c>
      <c r="AG268" s="198" t="str">
        <f t="shared" si="43"/>
        <v/>
      </c>
      <c r="AH268" s="198" t="str">
        <f t="shared" si="35"/>
        <v/>
      </c>
      <c r="AI268" s="200" t="str">
        <f t="shared" si="33"/>
        <v/>
      </c>
      <c r="AJ268" s="208" t="str">
        <f t="shared" si="34"/>
        <v/>
      </c>
      <c r="AK268" s="4"/>
      <c r="AL268" s="162">
        <v>1555</v>
      </c>
      <c r="AM268" s="209">
        <v>1.6462973701918968E-3</v>
      </c>
      <c r="AN268" s="183">
        <v>1.355051440980252E-3</v>
      </c>
      <c r="AO268" s="183">
        <v>1.3455355709348124E-3</v>
      </c>
      <c r="AP268" s="165">
        <v>1.4553443616288153E-3</v>
      </c>
      <c r="AR268" s="210">
        <v>96.435589558970918</v>
      </c>
      <c r="AS268" s="211">
        <v>96.54824208908208</v>
      </c>
      <c r="AT268" s="211">
        <v>96.468726570190867</v>
      </c>
      <c r="AU268" s="211">
        <v>96.342466572620921</v>
      </c>
      <c r="AV268" s="211"/>
      <c r="AW268" s="212"/>
      <c r="AX268" s="210">
        <v>95.919565654982648</v>
      </c>
      <c r="AY268" s="211">
        <v>96.600664139998898</v>
      </c>
      <c r="AZ268" s="213">
        <v>99.026727447216899</v>
      </c>
    </row>
    <row r="269" spans="12:52" x14ac:dyDescent="0.25">
      <c r="L269" s="189">
        <v>1550</v>
      </c>
      <c r="M269" s="196">
        <f t="shared" si="42"/>
        <v>0</v>
      </c>
      <c r="N269" s="197">
        <f t="shared" si="42"/>
        <v>0</v>
      </c>
      <c r="O269" s="152">
        <f ca="1"/>
        <v>96.489210255746229</v>
      </c>
      <c r="Q269" s="198">
        <v>0</v>
      </c>
      <c r="R269" s="200">
        <v>0</v>
      </c>
      <c r="S269" s="200">
        <v>0</v>
      </c>
      <c r="T269" s="200">
        <v>0</v>
      </c>
      <c r="U269" s="200">
        <f t="array" ref="U269">IF(U$77&gt;" ",(U$628:U$1078),"")</f>
        <v>0</v>
      </c>
      <c r="V269" s="200">
        <f t="array" ref="V269">IF(V$77&gt;" ",(V$628:V$1078),"")</f>
        <v>0</v>
      </c>
      <c r="W269" s="200">
        <f t="array" ref="W269">IF(W$77&gt;" ",(W$628:W$1078),"")</f>
        <v>0</v>
      </c>
      <c r="X269" s="200">
        <f t="array" ref="X269">IF(X$77&gt;" ",(X$628:X$1078),"")</f>
        <v>0</v>
      </c>
      <c r="Y269" s="204">
        <v>0</v>
      </c>
      <c r="Z269" s="198" t="str">
        <f t="shared" si="39"/>
        <v/>
      </c>
      <c r="AA269" s="198" t="str">
        <f t="shared" si="40"/>
        <v/>
      </c>
      <c r="AB269" s="198" t="str">
        <f t="shared" si="41"/>
        <v/>
      </c>
      <c r="AC269" s="198" t="str">
        <f t="shared" si="38"/>
        <v/>
      </c>
      <c r="AD269" s="198" t="str">
        <f t="shared" si="44"/>
        <v/>
      </c>
      <c r="AE269" s="198" t="str">
        <f t="shared" si="44"/>
        <v/>
      </c>
      <c r="AF269" s="198" t="str">
        <f t="shared" si="44"/>
        <v/>
      </c>
      <c r="AG269" s="198" t="str">
        <f t="shared" si="43"/>
        <v/>
      </c>
      <c r="AH269" s="198" t="str">
        <f t="shared" si="35"/>
        <v/>
      </c>
      <c r="AI269" s="200" t="str">
        <f t="shared" si="33"/>
        <v/>
      </c>
      <c r="AJ269" s="208" t="str">
        <f t="shared" si="34"/>
        <v/>
      </c>
      <c r="AK269" s="4"/>
      <c r="AL269" s="162">
        <v>1550</v>
      </c>
      <c r="AM269" s="209">
        <v>1.6455046106235863E-3</v>
      </c>
      <c r="AN269" s="183">
        <v>1.3699586076006047E-3</v>
      </c>
      <c r="AO269" s="183">
        <v>1.3571510542072045E-3</v>
      </c>
      <c r="AP269" s="165">
        <v>1.4677124102317751E-3</v>
      </c>
      <c r="AR269" s="210">
        <v>96.455299488851779</v>
      </c>
      <c r="AS269" s="211">
        <v>96.567314838573807</v>
      </c>
      <c r="AT269" s="211">
        <v>96.489210255746229</v>
      </c>
      <c r="AU269" s="211">
        <v>96.358558959546386</v>
      </c>
      <c r="AV269" s="211"/>
      <c r="AW269" s="212"/>
      <c r="AX269" s="210">
        <v>95.905946965197771</v>
      </c>
      <c r="AY269" s="211">
        <v>96.610280318598328</v>
      </c>
      <c r="AZ269" s="213">
        <v>99.019046873409337</v>
      </c>
    </row>
    <row r="270" spans="12:52" x14ac:dyDescent="0.25">
      <c r="L270" s="189">
        <v>1545</v>
      </c>
      <c r="M270" s="196">
        <f t="shared" si="42"/>
        <v>0</v>
      </c>
      <c r="N270" s="197">
        <f t="shared" si="42"/>
        <v>0</v>
      </c>
      <c r="O270" s="152">
        <f ca="1"/>
        <v>96.497646882288677</v>
      </c>
      <c r="Q270" s="198">
        <v>0</v>
      </c>
      <c r="R270" s="200">
        <v>0</v>
      </c>
      <c r="S270" s="200">
        <v>0</v>
      </c>
      <c r="T270" s="200">
        <v>0</v>
      </c>
      <c r="U270" s="200">
        <f t="array" ref="U270">IF(U$77&gt;" ",(U$628:U$1078),"")</f>
        <v>0</v>
      </c>
      <c r="V270" s="200">
        <f t="array" ref="V270">IF(V$77&gt;" ",(V$628:V$1078),"")</f>
        <v>0</v>
      </c>
      <c r="W270" s="200">
        <f t="array" ref="W270">IF(W$77&gt;" ",(W$628:W$1078),"")</f>
        <v>0</v>
      </c>
      <c r="X270" s="200">
        <f t="array" ref="X270">IF(X$77&gt;" ",(X$628:X$1078),"")</f>
        <v>0</v>
      </c>
      <c r="Y270" s="204">
        <v>0</v>
      </c>
      <c r="Z270" s="198" t="str">
        <f t="shared" si="39"/>
        <v/>
      </c>
      <c r="AA270" s="198" t="str">
        <f t="shared" si="40"/>
        <v/>
      </c>
      <c r="AB270" s="198" t="str">
        <f t="shared" si="41"/>
        <v/>
      </c>
      <c r="AC270" s="198" t="str">
        <f t="shared" si="38"/>
        <v/>
      </c>
      <c r="AD270" s="198" t="str">
        <f t="shared" si="44"/>
        <v/>
      </c>
      <c r="AE270" s="198" t="str">
        <f t="shared" si="44"/>
        <v/>
      </c>
      <c r="AF270" s="198" t="str">
        <f t="shared" si="44"/>
        <v/>
      </c>
      <c r="AG270" s="198" t="str">
        <f t="shared" si="43"/>
        <v/>
      </c>
      <c r="AH270" s="198" t="str">
        <f t="shared" si="35"/>
        <v/>
      </c>
      <c r="AI270" s="200" t="str">
        <f t="shared" si="33"/>
        <v/>
      </c>
      <c r="AJ270" s="208" t="str">
        <f t="shared" si="34"/>
        <v/>
      </c>
      <c r="AK270" s="4"/>
      <c r="AL270" s="162">
        <v>1545</v>
      </c>
      <c r="AM270" s="209">
        <v>1.6446457877579161E-3</v>
      </c>
      <c r="AN270" s="183">
        <v>1.3299393683513356E-3</v>
      </c>
      <c r="AO270" s="183">
        <v>1.3931037405265137E-3</v>
      </c>
      <c r="AP270" s="165">
        <v>1.5066633687279745E-3</v>
      </c>
      <c r="AR270" s="210">
        <v>96.458510294482821</v>
      </c>
      <c r="AS270" s="211">
        <v>96.575387587317948</v>
      </c>
      <c r="AT270" s="211">
        <v>96.497646882288677</v>
      </c>
      <c r="AU270" s="211">
        <v>96.362599030829401</v>
      </c>
      <c r="AV270" s="211"/>
      <c r="AW270" s="212"/>
      <c r="AX270" s="210">
        <v>95.889573551249612</v>
      </c>
      <c r="AY270" s="211">
        <v>96.602747354402098</v>
      </c>
      <c r="AZ270" s="213">
        <v>98.904327942613719</v>
      </c>
    </row>
    <row r="271" spans="12:52" x14ac:dyDescent="0.25">
      <c r="L271" s="189">
        <v>1540</v>
      </c>
      <c r="M271" s="196">
        <f t="shared" ref="M271:N286" si="45">M820</f>
        <v>0</v>
      </c>
      <c r="N271" s="197">
        <f t="shared" si="45"/>
        <v>0</v>
      </c>
      <c r="O271" s="152">
        <f ca="1"/>
        <v>96.499522940724646</v>
      </c>
      <c r="Q271" s="198">
        <v>0</v>
      </c>
      <c r="R271" s="200">
        <v>0</v>
      </c>
      <c r="S271" s="200">
        <v>0</v>
      </c>
      <c r="T271" s="200">
        <v>0</v>
      </c>
      <c r="U271" s="200">
        <f t="array" ref="U271">IF(U$77&gt;" ",(U$628:U$1078),"")</f>
        <v>0</v>
      </c>
      <c r="V271" s="200">
        <f t="array" ref="V271">IF(V$77&gt;" ",(V$628:V$1078),"")</f>
        <v>0</v>
      </c>
      <c r="W271" s="200">
        <f t="array" ref="W271">IF(W$77&gt;" ",(W$628:W$1078),"")</f>
        <v>0</v>
      </c>
      <c r="X271" s="200">
        <f t="array" ref="X271">IF(X$77&gt;" ",(X$628:X$1078),"")</f>
        <v>0</v>
      </c>
      <c r="Y271" s="204">
        <v>0</v>
      </c>
      <c r="Z271" s="198" t="str">
        <f t="shared" si="39"/>
        <v/>
      </c>
      <c r="AA271" s="198" t="str">
        <f t="shared" si="40"/>
        <v/>
      </c>
      <c r="AB271" s="198" t="str">
        <f t="shared" si="41"/>
        <v/>
      </c>
      <c r="AC271" s="198" t="str">
        <f t="shared" si="38"/>
        <v/>
      </c>
      <c r="AD271" s="198" t="str">
        <f t="shared" si="44"/>
        <v/>
      </c>
      <c r="AE271" s="198" t="str">
        <f t="shared" si="44"/>
        <v/>
      </c>
      <c r="AF271" s="198" t="str">
        <f t="shared" si="44"/>
        <v/>
      </c>
      <c r="AG271" s="198" t="str">
        <f t="shared" si="43"/>
        <v/>
      </c>
      <c r="AH271" s="198" t="str">
        <f t="shared" si="35"/>
        <v/>
      </c>
      <c r="AI271" s="200" t="str">
        <f t="shared" si="33"/>
        <v/>
      </c>
      <c r="AJ271" s="208" t="str">
        <f t="shared" si="34"/>
        <v/>
      </c>
      <c r="AK271" s="4"/>
      <c r="AL271" s="162">
        <v>1540</v>
      </c>
      <c r="AM271" s="209">
        <v>1.6438530281896056E-3</v>
      </c>
      <c r="AN271" s="183">
        <v>1.2899201291020664E-3</v>
      </c>
      <c r="AO271" s="183">
        <v>1.3320595989997426E-3</v>
      </c>
      <c r="AP271" s="165">
        <v>1.4403460040469458E-3</v>
      </c>
      <c r="AR271" s="210">
        <v>96.461617254876586</v>
      </c>
      <c r="AS271" s="211">
        <v>96.573204405577656</v>
      </c>
      <c r="AT271" s="211">
        <v>96.499522940724646</v>
      </c>
      <c r="AU271" s="211">
        <v>96.361777871606932</v>
      </c>
      <c r="AV271" s="211"/>
      <c r="AW271" s="212"/>
      <c r="AX271" s="210">
        <v>95.876541124781639</v>
      </c>
      <c r="AY271" s="211">
        <v>96.579279006014929</v>
      </c>
      <c r="AZ271" s="213">
        <v>99.036819092297748</v>
      </c>
    </row>
    <row r="272" spans="12:52" x14ac:dyDescent="0.25">
      <c r="L272" s="189">
        <v>1535</v>
      </c>
      <c r="M272" s="196">
        <f t="shared" si="45"/>
        <v>0</v>
      </c>
      <c r="N272" s="197">
        <f t="shared" si="45"/>
        <v>0</v>
      </c>
      <c r="O272" s="152">
        <f ca="1"/>
        <v>96.488804062877037</v>
      </c>
      <c r="Q272" s="198">
        <v>0</v>
      </c>
      <c r="R272" s="200">
        <v>0</v>
      </c>
      <c r="S272" s="200">
        <v>0</v>
      </c>
      <c r="T272" s="200">
        <v>0</v>
      </c>
      <c r="U272" s="200">
        <f t="array" ref="U272">IF(U$77&gt;" ",(U$628:U$1078),"")</f>
        <v>0</v>
      </c>
      <c r="V272" s="200">
        <f t="array" ref="V272">IF(V$77&gt;" ",(V$628:V$1078),"")</f>
        <v>0</v>
      </c>
      <c r="W272" s="200">
        <f t="array" ref="W272">IF(W$77&gt;" ",(W$628:W$1078),"")</f>
        <v>0</v>
      </c>
      <c r="X272" s="200">
        <f t="array" ref="X272">IF(X$77&gt;" ",(X$628:X$1078),"")</f>
        <v>0</v>
      </c>
      <c r="Y272" s="204">
        <v>0</v>
      </c>
      <c r="Z272" s="198" t="str">
        <f t="shared" ref="Z272:AC335" si="46">IF(AND(Q272&gt;0,Q272&lt;999),(Q272-$M272)/($N272-$M272)*$O272,"")</f>
        <v/>
      </c>
      <c r="AA272" s="198" t="str">
        <f t="shared" si="46"/>
        <v/>
      </c>
      <c r="AB272" s="198" t="str">
        <f t="shared" si="46"/>
        <v/>
      </c>
      <c r="AC272" s="198" t="str">
        <f t="shared" si="46"/>
        <v/>
      </c>
      <c r="AD272" s="198" t="str">
        <f t="shared" ref="AD272:AH335" si="47">IF(AND(U272&gt;0,U272&lt;999),(U272-$M272)/($N272-$M272)*$O272,"")</f>
        <v/>
      </c>
      <c r="AE272" s="198" t="str">
        <f t="shared" si="47"/>
        <v/>
      </c>
      <c r="AF272" s="198" t="str">
        <f t="shared" si="47"/>
        <v/>
      </c>
      <c r="AG272" s="198" t="str">
        <f t="shared" si="43"/>
        <v/>
      </c>
      <c r="AH272" s="198" t="str">
        <f t="shared" si="35"/>
        <v/>
      </c>
      <c r="AI272" s="200" t="str">
        <f t="shared" ref="AI272:AI335" si="48">IFERROR(AVERAGE(Z272:AA272),"")</f>
        <v/>
      </c>
      <c r="AJ272" s="208" t="str">
        <f t="shared" ref="AJ272:AJ335" si="49">IFERROR(AI272/100,"")</f>
        <v/>
      </c>
      <c r="AK272" s="4"/>
      <c r="AL272" s="162">
        <v>1535</v>
      </c>
      <c r="AM272" s="209">
        <v>1.630442178825683E-3</v>
      </c>
      <c r="AN272" s="183">
        <v>1.2499008898527973E-3</v>
      </c>
      <c r="AO272" s="183">
        <v>1.3418648770868271E-3</v>
      </c>
      <c r="AP272" s="165">
        <v>1.4508112759417579E-3</v>
      </c>
      <c r="AR272" s="210">
        <v>96.456990171393542</v>
      </c>
      <c r="AS272" s="211">
        <v>96.563147403435778</v>
      </c>
      <c r="AT272" s="211">
        <v>96.488804062877037</v>
      </c>
      <c r="AU272" s="211">
        <v>96.35901935912635</v>
      </c>
      <c r="AV272" s="211"/>
      <c r="AW272" s="212"/>
      <c r="AX272" s="210">
        <v>95.867779623649866</v>
      </c>
      <c r="AY272" s="211">
        <v>96.587629646330427</v>
      </c>
      <c r="AZ272" s="213">
        <v>98.926729813507961</v>
      </c>
    </row>
    <row r="273" spans="12:52" x14ac:dyDescent="0.25">
      <c r="L273" s="189">
        <v>1530</v>
      </c>
      <c r="M273" s="196">
        <f t="shared" si="45"/>
        <v>0</v>
      </c>
      <c r="N273" s="197">
        <f t="shared" si="45"/>
        <v>0</v>
      </c>
      <c r="O273" s="152">
        <f ca="1"/>
        <v>96.486117873251501</v>
      </c>
      <c r="Q273" s="198">
        <v>0</v>
      </c>
      <c r="R273" s="200">
        <v>0</v>
      </c>
      <c r="S273" s="200">
        <v>0</v>
      </c>
      <c r="T273" s="200">
        <v>0</v>
      </c>
      <c r="U273" s="200">
        <f t="array" ref="U273">IF(U$77&gt;" ",(U$628:U$1078),"")</f>
        <v>0</v>
      </c>
      <c r="V273" s="200">
        <f t="array" ref="V273">IF(V$77&gt;" ",(V$628:V$1078),"")</f>
        <v>0</v>
      </c>
      <c r="W273" s="200">
        <f t="array" ref="W273">IF(W$77&gt;" ",(W$628:W$1078),"")</f>
        <v>0</v>
      </c>
      <c r="X273" s="200">
        <f t="array" ref="X273">IF(X$77&gt;" ",(X$628:X$1078),"")</f>
        <v>0</v>
      </c>
      <c r="Y273" s="204">
        <v>0</v>
      </c>
      <c r="Z273" s="198" t="str">
        <f t="shared" si="46"/>
        <v/>
      </c>
      <c r="AA273" s="198" t="str">
        <f t="shared" si="46"/>
        <v/>
      </c>
      <c r="AB273" s="198" t="str">
        <f t="shared" si="46"/>
        <v/>
      </c>
      <c r="AC273" s="198" t="str">
        <f t="shared" si="46"/>
        <v/>
      </c>
      <c r="AD273" s="198" t="str">
        <f t="shared" si="47"/>
        <v/>
      </c>
      <c r="AE273" s="198" t="str">
        <f t="shared" si="47"/>
        <v/>
      </c>
      <c r="AF273" s="198" t="str">
        <f t="shared" si="47"/>
        <v/>
      </c>
      <c r="AG273" s="198" t="str">
        <f t="shared" si="43"/>
        <v/>
      </c>
      <c r="AH273" s="198" t="str">
        <f t="shared" si="35"/>
        <v/>
      </c>
      <c r="AI273" s="200" t="str">
        <f t="shared" si="48"/>
        <v/>
      </c>
      <c r="AJ273" s="208" t="str">
        <f t="shared" si="49"/>
        <v/>
      </c>
      <c r="AK273" s="4"/>
      <c r="AL273" s="162">
        <v>1530</v>
      </c>
      <c r="AM273" s="209">
        <v>1.6139263544858765E-3</v>
      </c>
      <c r="AN273" s="183">
        <v>1.2098816506035282E-3</v>
      </c>
      <c r="AO273" s="183">
        <v>1.2833349094285393E-3</v>
      </c>
      <c r="AP273" s="165">
        <v>1.3872921123021229E-3</v>
      </c>
      <c r="AR273" s="210">
        <v>96.456966661613563</v>
      </c>
      <c r="AS273" s="211">
        <v>96.566383538172389</v>
      </c>
      <c r="AT273" s="211">
        <v>96.486117873251501</v>
      </c>
      <c r="AU273" s="211">
        <v>96.359463179765214</v>
      </c>
      <c r="AV273" s="211"/>
      <c r="AW273" s="212"/>
      <c r="AX273" s="210">
        <v>95.805171888354963</v>
      </c>
      <c r="AY273" s="211">
        <v>96.530882424862952</v>
      </c>
      <c r="AZ273" s="213">
        <v>98.928387370283673</v>
      </c>
    </row>
    <row r="274" spans="12:52" x14ac:dyDescent="0.25">
      <c r="L274" s="189">
        <v>1525</v>
      </c>
      <c r="M274" s="196">
        <f t="shared" si="45"/>
        <v>0</v>
      </c>
      <c r="N274" s="197">
        <f t="shared" si="45"/>
        <v>0</v>
      </c>
      <c r="O274" s="152">
        <f ca="1"/>
        <v>96.482090971918936</v>
      </c>
      <c r="Q274" s="198">
        <v>0</v>
      </c>
      <c r="R274" s="200">
        <v>0</v>
      </c>
      <c r="S274" s="200">
        <v>0</v>
      </c>
      <c r="T274" s="200">
        <v>0</v>
      </c>
      <c r="U274" s="200">
        <f t="array" ref="U274">IF(U$77&gt;" ",(U$628:U$1078),"")</f>
        <v>0</v>
      </c>
      <c r="V274" s="200">
        <f t="array" ref="V274">IF(V$77&gt;" ",(V$628:V$1078),"")</f>
        <v>0</v>
      </c>
      <c r="W274" s="200">
        <f t="array" ref="W274">IF(W$77&gt;" ",(W$628:W$1078),"")</f>
        <v>0</v>
      </c>
      <c r="X274" s="200">
        <f t="array" ref="X274">IF(X$77&gt;" ",(X$628:X$1078),"")</f>
        <v>0</v>
      </c>
      <c r="Y274" s="204">
        <v>0</v>
      </c>
      <c r="Z274" s="198" t="str">
        <f t="shared" si="46"/>
        <v/>
      </c>
      <c r="AA274" s="198" t="str">
        <f t="shared" si="46"/>
        <v/>
      </c>
      <c r="AB274" s="198" t="str">
        <f t="shared" si="46"/>
        <v/>
      </c>
      <c r="AC274" s="198" t="str">
        <f t="shared" si="46"/>
        <v/>
      </c>
      <c r="AD274" s="198" t="str">
        <f t="shared" si="47"/>
        <v/>
      </c>
      <c r="AE274" s="198" t="str">
        <f t="shared" si="47"/>
        <v/>
      </c>
      <c r="AF274" s="198" t="str">
        <f t="shared" si="47"/>
        <v/>
      </c>
      <c r="AG274" s="198" t="str">
        <f t="shared" si="43"/>
        <v/>
      </c>
      <c r="AH274" s="198" t="str">
        <f t="shared" si="35"/>
        <v/>
      </c>
      <c r="AI274" s="200" t="str">
        <f t="shared" si="48"/>
        <v/>
      </c>
      <c r="AJ274" s="208" t="str">
        <f t="shared" si="49"/>
        <v/>
      </c>
      <c r="AK274" s="4"/>
      <c r="AL274" s="162">
        <v>1525</v>
      </c>
      <c r="AM274" s="209">
        <v>1.5974105301460701E-3</v>
      </c>
      <c r="AN274" s="183">
        <v>1.1698624113542593E-3</v>
      </c>
      <c r="AO274" s="183">
        <v>1.3015375282363574E-3</v>
      </c>
      <c r="AP274" s="165">
        <v>1.4069354836127061E-3</v>
      </c>
      <c r="AR274" s="210">
        <v>96.44895033010701</v>
      </c>
      <c r="AS274" s="211">
        <v>96.560117884618705</v>
      </c>
      <c r="AT274" s="211">
        <v>96.482090971918936</v>
      </c>
      <c r="AU274" s="211">
        <v>96.356416068180337</v>
      </c>
      <c r="AV274" s="211"/>
      <c r="AW274" s="212"/>
      <c r="AX274" s="210">
        <v>95.79006311200942</v>
      </c>
      <c r="AY274" s="211">
        <v>96.50558369162168</v>
      </c>
      <c r="AZ274" s="213">
        <v>99.03648457047538</v>
      </c>
    </row>
    <row r="275" spans="12:52" x14ac:dyDescent="0.25">
      <c r="L275" s="189">
        <v>1520</v>
      </c>
      <c r="M275" s="196">
        <f t="shared" si="45"/>
        <v>0</v>
      </c>
      <c r="N275" s="197">
        <f t="shared" si="45"/>
        <v>0</v>
      </c>
      <c r="O275" s="152">
        <f ca="1"/>
        <v>96.475156309549178</v>
      </c>
      <c r="Q275" s="198">
        <v>0</v>
      </c>
      <c r="R275" s="200">
        <v>0</v>
      </c>
      <c r="S275" s="200">
        <v>0</v>
      </c>
      <c r="T275" s="200">
        <v>0</v>
      </c>
      <c r="U275" s="200">
        <f t="array" ref="U275">IF(U$77&gt;" ",(U$628:U$1078),"")</f>
        <v>0</v>
      </c>
      <c r="V275" s="200">
        <f t="array" ref="V275">IF(V$77&gt;" ",(V$628:V$1078),"")</f>
        <v>0</v>
      </c>
      <c r="W275" s="200">
        <f t="array" ref="W275">IF(W$77&gt;" ",(W$628:W$1078),"")</f>
        <v>0</v>
      </c>
      <c r="X275" s="200">
        <f t="array" ref="X275">IF(X$77&gt;" ",(X$628:X$1078),"")</f>
        <v>0</v>
      </c>
      <c r="Y275" s="204">
        <v>0</v>
      </c>
      <c r="Z275" s="198" t="str">
        <f t="shared" si="46"/>
        <v/>
      </c>
      <c r="AA275" s="198" t="str">
        <f t="shared" si="46"/>
        <v/>
      </c>
      <c r="AB275" s="198" t="str">
        <f t="shared" si="46"/>
        <v/>
      </c>
      <c r="AC275" s="198" t="str">
        <f t="shared" si="46"/>
        <v/>
      </c>
      <c r="AD275" s="198" t="str">
        <f t="shared" si="47"/>
        <v/>
      </c>
      <c r="AE275" s="198" t="str">
        <f t="shared" si="47"/>
        <v/>
      </c>
      <c r="AF275" s="198" t="str">
        <f t="shared" si="47"/>
        <v/>
      </c>
      <c r="AG275" s="198" t="str">
        <f t="shared" si="43"/>
        <v/>
      </c>
      <c r="AH275" s="198" t="str">
        <f t="shared" si="35"/>
        <v/>
      </c>
      <c r="AI275" s="200" t="str">
        <f t="shared" si="48"/>
        <v/>
      </c>
      <c r="AJ275" s="208" t="str">
        <f t="shared" si="49"/>
        <v/>
      </c>
      <c r="AK275" s="4"/>
      <c r="AL275" s="162">
        <v>1520</v>
      </c>
      <c r="AM275" s="209">
        <v>1.5808947058062639E-3</v>
      </c>
      <c r="AN275" s="183">
        <v>1.1298431721049901E-3</v>
      </c>
      <c r="AO275" s="183">
        <v>1.3299979764275867E-3</v>
      </c>
      <c r="AP275" s="165">
        <v>1.4376037670263799E-3</v>
      </c>
      <c r="AR275" s="210">
        <v>96.445042429208584</v>
      </c>
      <c r="AS275" s="211">
        <v>96.551955023169185</v>
      </c>
      <c r="AT275" s="211">
        <v>96.475156309549178</v>
      </c>
      <c r="AU275" s="211">
        <v>96.349210412213097</v>
      </c>
      <c r="AV275" s="211"/>
      <c r="AW275" s="212"/>
      <c r="AX275" s="210">
        <v>95.81539717918325</v>
      </c>
      <c r="AY275" s="211">
        <v>96.535911820105568</v>
      </c>
      <c r="AZ275" s="213">
        <v>99.018609850471634</v>
      </c>
    </row>
    <row r="276" spans="12:52" x14ac:dyDescent="0.25">
      <c r="L276" s="189">
        <v>1515</v>
      </c>
      <c r="M276" s="196">
        <f t="shared" si="45"/>
        <v>0</v>
      </c>
      <c r="N276" s="197">
        <f t="shared" si="45"/>
        <v>0</v>
      </c>
      <c r="O276" s="152">
        <f ca="1"/>
        <v>96.48464660260386</v>
      </c>
      <c r="Q276" s="198">
        <v>0</v>
      </c>
      <c r="R276" s="200">
        <v>0</v>
      </c>
      <c r="S276" s="200">
        <v>0</v>
      </c>
      <c r="T276" s="200">
        <v>0</v>
      </c>
      <c r="U276" s="200">
        <f t="array" ref="U276">IF(U$77&gt;" ",(U$628:U$1078),"")</f>
        <v>0</v>
      </c>
      <c r="V276" s="200">
        <f t="array" ref="V276">IF(V$77&gt;" ",(V$628:V$1078),"")</f>
        <v>0</v>
      </c>
      <c r="W276" s="200">
        <f t="array" ref="W276">IF(W$77&gt;" ",(W$628:W$1078),"")</f>
        <v>0</v>
      </c>
      <c r="X276" s="200">
        <f t="array" ref="X276">IF(X$77&gt;" ",(X$628:X$1078),"")</f>
        <v>0</v>
      </c>
      <c r="Y276" s="204">
        <v>0</v>
      </c>
      <c r="Z276" s="198" t="str">
        <f t="shared" si="46"/>
        <v/>
      </c>
      <c r="AA276" s="198" t="str">
        <f t="shared" si="46"/>
        <v/>
      </c>
      <c r="AB276" s="198" t="str">
        <f t="shared" si="46"/>
        <v/>
      </c>
      <c r="AC276" s="198" t="str">
        <f t="shared" si="46"/>
        <v/>
      </c>
      <c r="AD276" s="198" t="str">
        <f t="shared" si="47"/>
        <v/>
      </c>
      <c r="AE276" s="198" t="str">
        <f t="shared" si="47"/>
        <v/>
      </c>
      <c r="AF276" s="198" t="str">
        <f t="shared" si="47"/>
        <v/>
      </c>
      <c r="AG276" s="198" t="str">
        <f t="shared" si="43"/>
        <v/>
      </c>
      <c r="AH276" s="198" t="str">
        <f t="shared" si="35"/>
        <v/>
      </c>
      <c r="AI276" s="200" t="str">
        <f t="shared" si="48"/>
        <v/>
      </c>
      <c r="AJ276" s="208" t="str">
        <f t="shared" si="49"/>
        <v/>
      </c>
      <c r="AK276" s="4"/>
      <c r="AL276" s="162">
        <v>1515</v>
      </c>
      <c r="AM276" s="209">
        <v>1.4771753289522798E-3</v>
      </c>
      <c r="AN276" s="183">
        <v>1.089823932855721E-3</v>
      </c>
      <c r="AO276" s="183">
        <v>1.3361828441440552E-3</v>
      </c>
      <c r="AP276" s="165">
        <v>1.4440955934424131E-3</v>
      </c>
      <c r="AR276" s="210">
        <v>96.445477689745147</v>
      </c>
      <c r="AS276" s="211">
        <v>96.5557296933993</v>
      </c>
      <c r="AT276" s="211">
        <v>96.48464660260386</v>
      </c>
      <c r="AU276" s="211">
        <v>96.353795145203307</v>
      </c>
      <c r="AV276" s="211"/>
      <c r="AW276" s="212"/>
      <c r="AX276" s="210">
        <v>95.792370129010294</v>
      </c>
      <c r="AY276" s="211">
        <v>96.527697636016583</v>
      </c>
      <c r="AZ276" s="213">
        <v>99.006605610770592</v>
      </c>
    </row>
    <row r="277" spans="12:52" x14ac:dyDescent="0.25">
      <c r="L277" s="189">
        <v>1510</v>
      </c>
      <c r="M277" s="196">
        <f t="shared" si="45"/>
        <v>0</v>
      </c>
      <c r="N277" s="197">
        <f t="shared" si="45"/>
        <v>0</v>
      </c>
      <c r="O277" s="152">
        <f ca="1"/>
        <v>96.490789805616359</v>
      </c>
      <c r="Q277" s="198">
        <v>0</v>
      </c>
      <c r="R277" s="200">
        <v>0</v>
      </c>
      <c r="S277" s="200">
        <v>0</v>
      </c>
      <c r="T277" s="200">
        <v>0</v>
      </c>
      <c r="U277" s="200">
        <f t="array" ref="U277">IF(U$77&gt;" ",(U$628:U$1078),"")</f>
        <v>0</v>
      </c>
      <c r="V277" s="200">
        <f t="array" ref="V277">IF(V$77&gt;" ",(V$628:V$1078),"")</f>
        <v>0</v>
      </c>
      <c r="W277" s="200">
        <f t="array" ref="W277">IF(W$77&gt;" ",(W$628:W$1078),"")</f>
        <v>0</v>
      </c>
      <c r="X277" s="200">
        <f t="array" ref="X277">IF(X$77&gt;" ",(X$628:X$1078),"")</f>
        <v>0</v>
      </c>
      <c r="Y277" s="204">
        <v>0</v>
      </c>
      <c r="Z277" s="198" t="str">
        <f t="shared" si="46"/>
        <v/>
      </c>
      <c r="AA277" s="198" t="str">
        <f t="shared" si="46"/>
        <v/>
      </c>
      <c r="AB277" s="198" t="str">
        <f t="shared" si="46"/>
        <v/>
      </c>
      <c r="AC277" s="198" t="str">
        <f t="shared" si="46"/>
        <v/>
      </c>
      <c r="AD277" s="198" t="str">
        <f t="shared" si="47"/>
        <v/>
      </c>
      <c r="AE277" s="198" t="str">
        <f t="shared" si="47"/>
        <v/>
      </c>
      <c r="AF277" s="198" t="str">
        <f t="shared" si="47"/>
        <v/>
      </c>
      <c r="AG277" s="198" t="str">
        <f t="shared" si="43"/>
        <v/>
      </c>
      <c r="AH277" s="198" t="str">
        <f t="shared" si="35"/>
        <v/>
      </c>
      <c r="AI277" s="200" t="str">
        <f t="shared" si="48"/>
        <v/>
      </c>
      <c r="AJ277" s="208" t="str">
        <f t="shared" si="49"/>
        <v/>
      </c>
      <c r="AK277" s="4"/>
      <c r="AL277" s="162">
        <v>1510</v>
      </c>
      <c r="AM277" s="209">
        <v>1.3735220153956553E-3</v>
      </c>
      <c r="AN277" s="183">
        <v>1.0498046936064519E-3</v>
      </c>
      <c r="AO277" s="183">
        <v>1.3602686298041235E-3</v>
      </c>
      <c r="AP277" s="165">
        <v>1.4701188631273735E-3</v>
      </c>
      <c r="AR277" s="210">
        <v>96.444034652194361</v>
      </c>
      <c r="AS277" s="211">
        <v>96.564233665831537</v>
      </c>
      <c r="AT277" s="211">
        <v>96.490789805616359</v>
      </c>
      <c r="AU277" s="211">
        <v>96.356747273243556</v>
      </c>
      <c r="AV277" s="211"/>
      <c r="AW277" s="212"/>
      <c r="AX277" s="210">
        <v>95.766497979637393</v>
      </c>
      <c r="AY277" s="211">
        <v>96.515400252727886</v>
      </c>
      <c r="AZ277" s="213">
        <v>98.920770341372659</v>
      </c>
    </row>
    <row r="278" spans="12:52" x14ac:dyDescent="0.25">
      <c r="L278" s="189">
        <v>1505</v>
      </c>
      <c r="M278" s="196">
        <f t="shared" si="45"/>
        <v>0</v>
      </c>
      <c r="N278" s="197">
        <f t="shared" si="45"/>
        <v>0</v>
      </c>
      <c r="O278" s="152">
        <f ca="1"/>
        <v>96.471295741413428</v>
      </c>
      <c r="Q278" s="198">
        <v>0</v>
      </c>
      <c r="R278" s="200">
        <v>0</v>
      </c>
      <c r="S278" s="200">
        <v>0</v>
      </c>
      <c r="T278" s="200">
        <v>0</v>
      </c>
      <c r="U278" s="200">
        <f t="array" ref="U278">IF(U$77&gt;" ",(U$628:U$1078),"")</f>
        <v>0</v>
      </c>
      <c r="V278" s="200">
        <f t="array" ref="V278">IF(V$77&gt;" ",(V$628:V$1078),"")</f>
        <v>0</v>
      </c>
      <c r="W278" s="200">
        <f t="array" ref="W278">IF(W$77&gt;" ",(W$628:W$1078),"")</f>
        <v>0</v>
      </c>
      <c r="X278" s="200">
        <f t="array" ref="X278">IF(X$77&gt;" ",(X$628:X$1078),"")</f>
        <v>0</v>
      </c>
      <c r="Y278" s="204">
        <v>0</v>
      </c>
      <c r="Z278" s="198" t="str">
        <f t="shared" si="46"/>
        <v/>
      </c>
      <c r="AA278" s="198" t="str">
        <f t="shared" si="46"/>
        <v/>
      </c>
      <c r="AB278" s="198" t="str">
        <f t="shared" si="46"/>
        <v/>
      </c>
      <c r="AC278" s="198" t="str">
        <f t="shared" si="46"/>
        <v/>
      </c>
      <c r="AD278" s="198" t="str">
        <f t="shared" si="47"/>
        <v/>
      </c>
      <c r="AE278" s="198" t="str">
        <f t="shared" si="47"/>
        <v/>
      </c>
      <c r="AF278" s="198" t="str">
        <f t="shared" si="47"/>
        <v/>
      </c>
      <c r="AG278" s="198" t="str">
        <f t="shared" si="43"/>
        <v/>
      </c>
      <c r="AH278" s="198" t="str">
        <f t="shared" si="35"/>
        <v/>
      </c>
      <c r="AI278" s="200" t="str">
        <f t="shared" si="48"/>
        <v/>
      </c>
      <c r="AJ278" s="208" t="str">
        <f t="shared" si="49"/>
        <v/>
      </c>
      <c r="AK278" s="4"/>
      <c r="AL278" s="162">
        <v>1505</v>
      </c>
      <c r="AM278" s="209">
        <v>1.2698026385416714E-3</v>
      </c>
      <c r="AN278" s="183">
        <v>1.0097854543571828E-3</v>
      </c>
      <c r="AO278" s="183">
        <v>9.2531655055653865E-4</v>
      </c>
      <c r="AP278" s="165">
        <v>1.0009165125064935E-3</v>
      </c>
      <c r="AR278" s="210">
        <v>96.431428544335105</v>
      </c>
      <c r="AS278" s="211">
        <v>96.544540900653303</v>
      </c>
      <c r="AT278" s="211">
        <v>96.471295741413428</v>
      </c>
      <c r="AU278" s="211">
        <v>96.334855417522704</v>
      </c>
      <c r="AV278" s="211"/>
      <c r="AW278" s="212"/>
      <c r="AX278" s="210">
        <v>95.731827560533929</v>
      </c>
      <c r="AY278" s="211">
        <v>96.485484902794198</v>
      </c>
      <c r="AZ278" s="213">
        <v>99.013701963156421</v>
      </c>
    </row>
    <row r="279" spans="12:52" x14ac:dyDescent="0.25">
      <c r="L279" s="189">
        <v>1500</v>
      </c>
      <c r="M279" s="196">
        <f t="shared" si="45"/>
        <v>0</v>
      </c>
      <c r="N279" s="197">
        <f t="shared" si="45"/>
        <v>0</v>
      </c>
      <c r="O279" s="152">
        <f ca="1"/>
        <v>96.462307233124577</v>
      </c>
      <c r="Q279" s="198">
        <v>0</v>
      </c>
      <c r="R279" s="200">
        <v>0</v>
      </c>
      <c r="S279" s="200">
        <v>0</v>
      </c>
      <c r="T279" s="200">
        <v>0</v>
      </c>
      <c r="U279" s="200">
        <f t="array" ref="U279">IF(U$77&gt;" ",(U$628:U$1078),"")</f>
        <v>0</v>
      </c>
      <c r="V279" s="200">
        <f t="array" ref="V279">IF(V$77&gt;" ",(V$628:V$1078),"")</f>
        <v>0</v>
      </c>
      <c r="W279" s="200">
        <f t="array" ref="W279">IF(W$77&gt;" ",(W$628:W$1078),"")</f>
        <v>0</v>
      </c>
      <c r="X279" s="200">
        <f t="array" ref="X279">IF(X$77&gt;" ",(X$628:X$1078),"")</f>
        <v>0</v>
      </c>
      <c r="Y279" s="204">
        <v>0</v>
      </c>
      <c r="Z279" s="198" t="str">
        <f t="shared" si="46"/>
        <v/>
      </c>
      <c r="AA279" s="198" t="str">
        <f t="shared" si="46"/>
        <v/>
      </c>
      <c r="AB279" s="198" t="str">
        <f t="shared" si="46"/>
        <v/>
      </c>
      <c r="AC279" s="198" t="str">
        <f t="shared" si="46"/>
        <v/>
      </c>
      <c r="AD279" s="198" t="str">
        <f t="shared" si="47"/>
        <v/>
      </c>
      <c r="AE279" s="198" t="str">
        <f t="shared" si="47"/>
        <v/>
      </c>
      <c r="AF279" s="198" t="str">
        <f t="shared" si="47"/>
        <v/>
      </c>
      <c r="AG279" s="198" t="str">
        <f t="shared" si="43"/>
        <v/>
      </c>
      <c r="AH279" s="198" t="str">
        <f t="shared" si="35"/>
        <v/>
      </c>
      <c r="AI279" s="200" t="str">
        <f t="shared" si="48"/>
        <v/>
      </c>
      <c r="AJ279" s="208" t="str">
        <f t="shared" si="49"/>
        <v/>
      </c>
      <c r="AK279" s="4"/>
      <c r="AL279" s="162">
        <v>1500</v>
      </c>
      <c r="AM279" s="209">
        <v>1.1661493249850467E-3</v>
      </c>
      <c r="AN279" s="183">
        <v>9.6976621510791363E-4</v>
      </c>
      <c r="AO279" s="183">
        <v>1.2601542263611246E-3</v>
      </c>
      <c r="AP279" s="165">
        <v>1.3621083029295802E-3</v>
      </c>
      <c r="AR279" s="210">
        <v>96.425928894445761</v>
      </c>
      <c r="AS279" s="211">
        <v>96.537693268904505</v>
      </c>
      <c r="AT279" s="211">
        <v>96.462307233124577</v>
      </c>
      <c r="AU279" s="211">
        <v>96.329241727142985</v>
      </c>
      <c r="AV279" s="211"/>
      <c r="AW279" s="212"/>
      <c r="AX279" s="210">
        <v>95.688329003956767</v>
      </c>
      <c r="AY279" s="211">
        <v>96.456088083957411</v>
      </c>
      <c r="AZ279" s="213">
        <v>98.907310248338575</v>
      </c>
    </row>
    <row r="280" spans="12:52" x14ac:dyDescent="0.25">
      <c r="L280" s="189">
        <v>1495</v>
      </c>
      <c r="M280" s="196">
        <f t="shared" si="45"/>
        <v>0</v>
      </c>
      <c r="N280" s="197">
        <f t="shared" si="45"/>
        <v>0</v>
      </c>
      <c r="O280" s="152">
        <f ca="1"/>
        <v>96.43592863262468</v>
      </c>
      <c r="Q280" s="198">
        <v>0</v>
      </c>
      <c r="R280" s="200">
        <v>0</v>
      </c>
      <c r="S280" s="200">
        <v>0</v>
      </c>
      <c r="T280" s="200">
        <v>0</v>
      </c>
      <c r="U280" s="200">
        <f t="array" ref="U280">IF(U$77&gt;" ",(U$628:U$1078),"")</f>
        <v>0</v>
      </c>
      <c r="V280" s="200">
        <f t="array" ref="V280">IF(V$77&gt;" ",(V$628:V$1078),"")</f>
        <v>0</v>
      </c>
      <c r="W280" s="200">
        <f t="array" ref="W280">IF(W$77&gt;" ",(W$628:W$1078),"")</f>
        <v>0</v>
      </c>
      <c r="X280" s="200">
        <f t="array" ref="X280">IF(X$77&gt;" ",(X$628:X$1078),"")</f>
        <v>0</v>
      </c>
      <c r="Y280" s="204">
        <v>0</v>
      </c>
      <c r="Z280" s="198" t="str">
        <f t="shared" si="46"/>
        <v/>
      </c>
      <c r="AA280" s="198" t="str">
        <f t="shared" si="46"/>
        <v/>
      </c>
      <c r="AB280" s="198" t="str">
        <f t="shared" si="46"/>
        <v/>
      </c>
      <c r="AC280" s="198" t="str">
        <f t="shared" si="46"/>
        <v/>
      </c>
      <c r="AD280" s="198" t="str">
        <f t="shared" si="47"/>
        <v/>
      </c>
      <c r="AE280" s="198" t="str">
        <f t="shared" si="47"/>
        <v/>
      </c>
      <c r="AF280" s="198" t="str">
        <f t="shared" si="47"/>
        <v/>
      </c>
      <c r="AG280" s="198" t="str">
        <f t="shared" si="43"/>
        <v/>
      </c>
      <c r="AH280" s="198" t="str">
        <f t="shared" si="35"/>
        <v/>
      </c>
      <c r="AI280" s="200" t="str">
        <f t="shared" si="48"/>
        <v/>
      </c>
      <c r="AJ280" s="208" t="str">
        <f t="shared" si="49"/>
        <v/>
      </c>
      <c r="AK280" s="4"/>
      <c r="AL280" s="162">
        <v>1495</v>
      </c>
      <c r="AM280" s="209">
        <v>1.0578055173159171E-3</v>
      </c>
      <c r="AN280" s="183">
        <v>9.1072783240542948E-4</v>
      </c>
      <c r="AO280" s="183">
        <v>9.1782431242845889E-4</v>
      </c>
      <c r="AP280" s="165">
        <v>9.9308154959059139E-4</v>
      </c>
      <c r="AR280" s="210">
        <v>96.399221816137739</v>
      </c>
      <c r="AS280" s="211">
        <v>96.514201010119962</v>
      </c>
      <c r="AT280" s="211">
        <v>96.43592863262468</v>
      </c>
      <c r="AU280" s="211">
        <v>96.306173530645879</v>
      </c>
      <c r="AV280" s="211"/>
      <c r="AW280" s="212"/>
      <c r="AX280" s="210">
        <v>95.669065638386328</v>
      </c>
      <c r="AY280" s="211">
        <v>96.442332656544238</v>
      </c>
      <c r="AZ280" s="213">
        <v>98.906974062842153</v>
      </c>
    </row>
    <row r="281" spans="12:52" x14ac:dyDescent="0.25">
      <c r="L281" s="189">
        <v>1490</v>
      </c>
      <c r="M281" s="196">
        <f t="shared" si="45"/>
        <v>0</v>
      </c>
      <c r="N281" s="197">
        <f t="shared" si="45"/>
        <v>0</v>
      </c>
      <c r="O281" s="152">
        <f ca="1"/>
        <v>96.398746890083203</v>
      </c>
      <c r="Q281" s="198">
        <v>0</v>
      </c>
      <c r="R281" s="200">
        <v>0</v>
      </c>
      <c r="S281" s="200">
        <v>0</v>
      </c>
      <c r="T281" s="200">
        <v>0</v>
      </c>
      <c r="U281" s="200">
        <f t="array" ref="U281">IF(U$77&gt;" ",(U$628:U$1078),"")</f>
        <v>0</v>
      </c>
      <c r="V281" s="200">
        <f t="array" ref="V281">IF(V$77&gt;" ",(V$628:V$1078),"")</f>
        <v>0</v>
      </c>
      <c r="W281" s="200">
        <f t="array" ref="W281">IF(W$77&gt;" ",(W$628:W$1078),"")</f>
        <v>0</v>
      </c>
      <c r="X281" s="200">
        <f t="array" ref="X281">IF(X$77&gt;" ",(X$628:X$1078),"")</f>
        <v>0</v>
      </c>
      <c r="Y281" s="204">
        <v>0</v>
      </c>
      <c r="Z281" s="198" t="str">
        <f t="shared" si="46"/>
        <v/>
      </c>
      <c r="AA281" s="198" t="str">
        <f t="shared" si="46"/>
        <v/>
      </c>
      <c r="AB281" s="198" t="str">
        <f t="shared" si="46"/>
        <v/>
      </c>
      <c r="AC281" s="198" t="str">
        <f t="shared" si="46"/>
        <v/>
      </c>
      <c r="AD281" s="198" t="str">
        <f t="shared" si="47"/>
        <v/>
      </c>
      <c r="AE281" s="198" t="str">
        <f t="shared" si="47"/>
        <v/>
      </c>
      <c r="AF281" s="198" t="str">
        <f t="shared" si="47"/>
        <v/>
      </c>
      <c r="AG281" s="198" t="str">
        <f t="shared" si="43"/>
        <v/>
      </c>
      <c r="AH281" s="198" t="str">
        <f t="shared" si="35"/>
        <v/>
      </c>
      <c r="AI281" s="200" t="str">
        <f t="shared" si="48"/>
        <v/>
      </c>
      <c r="AJ281" s="208" t="str">
        <f t="shared" si="49"/>
        <v/>
      </c>
      <c r="AK281" s="4"/>
      <c r="AL281" s="162">
        <v>1490</v>
      </c>
      <c r="AM281" s="209">
        <v>9.4252506342406867E-4</v>
      </c>
      <c r="AN281" s="183">
        <v>8.5168944970294511E-4</v>
      </c>
      <c r="AO281" s="183">
        <v>8.7885461746697001E-4</v>
      </c>
      <c r="AP281" s="165">
        <v>9.5099660592803167E-4</v>
      </c>
      <c r="AR281" s="210">
        <v>96.365178600141888</v>
      </c>
      <c r="AS281" s="211">
        <v>96.475930668739167</v>
      </c>
      <c r="AT281" s="211">
        <v>96.398746890083203</v>
      </c>
      <c r="AU281" s="211">
        <v>96.271526730781332</v>
      </c>
      <c r="AV281" s="211"/>
      <c r="AW281" s="212"/>
      <c r="AX281" s="210">
        <v>95.661735757699105</v>
      </c>
      <c r="AY281" s="211">
        <v>96.433419887843115</v>
      </c>
      <c r="AZ281" s="213">
        <v>98.925322734653321</v>
      </c>
    </row>
    <row r="282" spans="12:52" x14ac:dyDescent="0.25">
      <c r="L282" s="189">
        <v>1485</v>
      </c>
      <c r="M282" s="196">
        <f t="shared" si="45"/>
        <v>0</v>
      </c>
      <c r="N282" s="197">
        <f t="shared" si="45"/>
        <v>0</v>
      </c>
      <c r="O282" s="152">
        <f ca="1"/>
        <v>96.399250919158149</v>
      </c>
      <c r="Q282" s="198">
        <v>0</v>
      </c>
      <c r="R282" s="200">
        <v>0</v>
      </c>
      <c r="S282" s="200">
        <v>0</v>
      </c>
      <c r="T282" s="200">
        <v>0</v>
      </c>
      <c r="U282" s="200">
        <f t="array" ref="U282">IF(U$77&gt;" ",(U$628:U$1078),"")</f>
        <v>0</v>
      </c>
      <c r="V282" s="200">
        <f t="array" ref="V282">IF(V$77&gt;" ",(V$628:V$1078),"")</f>
        <v>0</v>
      </c>
      <c r="W282" s="200">
        <f t="array" ref="W282">IF(W$77&gt;" ",(W$628:W$1078),"")</f>
        <v>0</v>
      </c>
      <c r="X282" s="200">
        <f t="array" ref="X282">IF(X$77&gt;" ",(X$628:X$1078),"")</f>
        <v>0</v>
      </c>
      <c r="Y282" s="204">
        <v>0</v>
      </c>
      <c r="Z282" s="198" t="str">
        <f t="shared" si="46"/>
        <v/>
      </c>
      <c r="AA282" s="198" t="str">
        <f t="shared" si="46"/>
        <v/>
      </c>
      <c r="AB282" s="198" t="str">
        <f t="shared" si="46"/>
        <v/>
      </c>
      <c r="AC282" s="198" t="str">
        <f t="shared" si="46"/>
        <v/>
      </c>
      <c r="AD282" s="198" t="str">
        <f t="shared" si="47"/>
        <v/>
      </c>
      <c r="AE282" s="198" t="str">
        <f t="shared" si="47"/>
        <v/>
      </c>
      <c r="AF282" s="198" t="str">
        <f t="shared" si="47"/>
        <v/>
      </c>
      <c r="AG282" s="198" t="str">
        <f t="shared" si="43"/>
        <v/>
      </c>
      <c r="AH282" s="198" t="str">
        <f t="shared" si="35"/>
        <v/>
      </c>
      <c r="AI282" s="200" t="str">
        <f t="shared" si="48"/>
        <v/>
      </c>
      <c r="AJ282" s="208" t="str">
        <f t="shared" si="49"/>
        <v/>
      </c>
      <c r="AK282" s="4"/>
      <c r="AL282" s="162">
        <v>1485</v>
      </c>
      <c r="AM282" s="209">
        <v>8.2724460953222047E-4</v>
      </c>
      <c r="AN282" s="183">
        <v>7.9265106700046085E-4</v>
      </c>
      <c r="AO282" s="183">
        <v>6.2869431755289658E-4</v>
      </c>
      <c r="AP282" s="165">
        <v>6.8097020543354835E-4</v>
      </c>
      <c r="AR282" s="210">
        <v>96.360818276110166</v>
      </c>
      <c r="AS282" s="211">
        <v>96.479277331738615</v>
      </c>
      <c r="AT282" s="211">
        <v>96.399250919158149</v>
      </c>
      <c r="AU282" s="211">
        <v>96.273870660279499</v>
      </c>
      <c r="AV282" s="211"/>
      <c r="AW282" s="212"/>
      <c r="AX282" s="210">
        <v>95.601901914607652</v>
      </c>
      <c r="AY282" s="211">
        <v>96.400060767372722</v>
      </c>
      <c r="AZ282" s="213">
        <v>98.930510764411821</v>
      </c>
    </row>
    <row r="283" spans="12:52" x14ac:dyDescent="0.25">
      <c r="L283" s="189">
        <v>1480</v>
      </c>
      <c r="M283" s="196">
        <f t="shared" si="45"/>
        <v>0</v>
      </c>
      <c r="N283" s="197">
        <f t="shared" si="45"/>
        <v>0</v>
      </c>
      <c r="O283" s="152">
        <f ca="1"/>
        <v>96.36594619641231</v>
      </c>
      <c r="Q283" s="198">
        <v>0</v>
      </c>
      <c r="R283" s="200">
        <v>0</v>
      </c>
      <c r="S283" s="200">
        <v>0</v>
      </c>
      <c r="T283" s="200">
        <v>0</v>
      </c>
      <c r="U283" s="200">
        <f t="array" ref="U283">IF(U$77&gt;" ",(U$628:U$1078),"")</f>
        <v>0</v>
      </c>
      <c r="V283" s="200">
        <f t="array" ref="V283">IF(V$77&gt;" ",(V$628:V$1078),"")</f>
        <v>0</v>
      </c>
      <c r="W283" s="200">
        <f t="array" ref="W283">IF(W$77&gt;" ",(W$628:W$1078),"")</f>
        <v>0</v>
      </c>
      <c r="X283" s="200">
        <f t="array" ref="X283">IF(X$77&gt;" ",(X$628:X$1078),"")</f>
        <v>0</v>
      </c>
      <c r="Y283" s="204">
        <v>0</v>
      </c>
      <c r="Z283" s="198" t="str">
        <f t="shared" si="46"/>
        <v/>
      </c>
      <c r="AA283" s="198" t="str">
        <f t="shared" si="46"/>
        <v/>
      </c>
      <c r="AB283" s="198" t="str">
        <f t="shared" si="46"/>
        <v/>
      </c>
      <c r="AC283" s="198" t="str">
        <f t="shared" si="46"/>
        <v/>
      </c>
      <c r="AD283" s="198" t="str">
        <f t="shared" si="47"/>
        <v/>
      </c>
      <c r="AE283" s="198" t="str">
        <f t="shared" si="47"/>
        <v/>
      </c>
      <c r="AF283" s="198" t="str">
        <f t="shared" si="47"/>
        <v/>
      </c>
      <c r="AG283" s="198" t="str">
        <f t="shared" si="43"/>
        <v/>
      </c>
      <c r="AH283" s="198" t="str">
        <f t="shared" si="35"/>
        <v/>
      </c>
      <c r="AI283" s="200" t="str">
        <f t="shared" si="48"/>
        <v/>
      </c>
      <c r="AJ283" s="208" t="str">
        <f t="shared" si="49"/>
        <v/>
      </c>
      <c r="AK283" s="4"/>
      <c r="AL283" s="162">
        <v>1480</v>
      </c>
      <c r="AM283" s="209">
        <v>7.1196415564037205E-4</v>
      </c>
      <c r="AN283" s="183">
        <v>7.336126842979767E-4</v>
      </c>
      <c r="AO283" s="183">
        <v>3.0490392172642563E-4</v>
      </c>
      <c r="AP283" s="165">
        <v>3.3054029621566131E-4</v>
      </c>
      <c r="AR283" s="210">
        <v>96.329114364655808</v>
      </c>
      <c r="AS283" s="211">
        <v>96.448227244229614</v>
      </c>
      <c r="AT283" s="211">
        <v>96.36594619641231</v>
      </c>
      <c r="AU283" s="211">
        <v>96.2381161172719</v>
      </c>
      <c r="AV283" s="211"/>
      <c r="AW283" s="212"/>
      <c r="AX283" s="210">
        <v>95.555583079982284</v>
      </c>
      <c r="AY283" s="211">
        <v>96.360318500776543</v>
      </c>
      <c r="AZ283" s="213">
        <v>99.04500299146585</v>
      </c>
    </row>
    <row r="284" spans="12:52" x14ac:dyDescent="0.25">
      <c r="L284" s="189">
        <v>1475</v>
      </c>
      <c r="M284" s="196">
        <f t="shared" si="45"/>
        <v>0</v>
      </c>
      <c r="N284" s="197">
        <f t="shared" si="45"/>
        <v>0</v>
      </c>
      <c r="O284" s="152">
        <f ca="1"/>
        <v>96.337243571192417</v>
      </c>
      <c r="Q284" s="198">
        <v>0</v>
      </c>
      <c r="R284" s="200">
        <v>0</v>
      </c>
      <c r="S284" s="200">
        <v>0</v>
      </c>
      <c r="T284" s="200">
        <v>0</v>
      </c>
      <c r="U284" s="200">
        <f t="array" ref="U284">IF(U$77&gt;" ",(U$628:U$1078),"")</f>
        <v>0</v>
      </c>
      <c r="V284" s="200">
        <f t="array" ref="V284">IF(V$77&gt;" ",(V$628:V$1078),"")</f>
        <v>0</v>
      </c>
      <c r="W284" s="200">
        <f t="array" ref="W284">IF(W$77&gt;" ",(W$628:W$1078),"")</f>
        <v>0</v>
      </c>
      <c r="X284" s="200">
        <f t="array" ref="X284">IF(X$77&gt;" ",(X$628:X$1078),"")</f>
        <v>0</v>
      </c>
      <c r="Y284" s="204">
        <v>0</v>
      </c>
      <c r="Z284" s="198" t="str">
        <f t="shared" si="46"/>
        <v/>
      </c>
      <c r="AA284" s="198" t="str">
        <f t="shared" si="46"/>
        <v/>
      </c>
      <c r="AB284" s="198" t="str">
        <f t="shared" si="46"/>
        <v/>
      </c>
      <c r="AC284" s="198" t="str">
        <f t="shared" si="46"/>
        <v/>
      </c>
      <c r="AD284" s="198" t="str">
        <f t="shared" si="47"/>
        <v/>
      </c>
      <c r="AE284" s="198" t="str">
        <f t="shared" si="47"/>
        <v/>
      </c>
      <c r="AF284" s="198" t="str">
        <f t="shared" si="47"/>
        <v/>
      </c>
      <c r="AG284" s="198" t="str">
        <f t="shared" si="43"/>
        <v/>
      </c>
      <c r="AH284" s="198" t="str">
        <f t="shared" si="35"/>
        <v/>
      </c>
      <c r="AI284" s="200" t="str">
        <f t="shared" si="48"/>
        <v/>
      </c>
      <c r="AJ284" s="208" t="str">
        <f t="shared" si="49"/>
        <v/>
      </c>
      <c r="AK284" s="4"/>
      <c r="AL284" s="162">
        <v>1475</v>
      </c>
      <c r="AM284" s="209">
        <v>6.4253163011582628E-4</v>
      </c>
      <c r="AN284" s="183">
        <v>6.7457430159549234E-4</v>
      </c>
      <c r="AO284" s="183">
        <v>9.2838384267608805E-4</v>
      </c>
      <c r="AP284" s="165">
        <v>1.0047780299436166E-3</v>
      </c>
      <c r="AR284" s="210">
        <v>96.297156433248063</v>
      </c>
      <c r="AS284" s="211">
        <v>96.41791685709704</v>
      </c>
      <c r="AT284" s="211">
        <v>96.337243571192417</v>
      </c>
      <c r="AU284" s="211">
        <v>96.208365917751394</v>
      </c>
      <c r="AV284" s="211"/>
      <c r="AW284" s="212"/>
      <c r="AX284" s="210">
        <v>95.561862199081247</v>
      </c>
      <c r="AY284" s="211">
        <v>96.361965721661093</v>
      </c>
      <c r="AZ284" s="213">
        <v>98.896054944011595</v>
      </c>
    </row>
    <row r="285" spans="12:52" x14ac:dyDescent="0.25">
      <c r="L285" s="189">
        <v>1470</v>
      </c>
      <c r="M285" s="196">
        <f t="shared" si="45"/>
        <v>0</v>
      </c>
      <c r="N285" s="197">
        <f t="shared" si="45"/>
        <v>0</v>
      </c>
      <c r="O285" s="152">
        <f ca="1"/>
        <v>96.299873833408881</v>
      </c>
      <c r="Q285" s="198">
        <v>0</v>
      </c>
      <c r="R285" s="200">
        <v>0</v>
      </c>
      <c r="S285" s="200">
        <v>0</v>
      </c>
      <c r="T285" s="200">
        <v>0</v>
      </c>
      <c r="U285" s="200">
        <f t="array" ref="U285">IF(U$77&gt;" ",(U$628:U$1078),"")</f>
        <v>0</v>
      </c>
      <c r="V285" s="200">
        <f t="array" ref="V285">IF(V$77&gt;" ",(V$628:V$1078),"")</f>
        <v>0</v>
      </c>
      <c r="W285" s="200">
        <f t="array" ref="W285">IF(W$77&gt;" ",(W$628:W$1078),"")</f>
        <v>0</v>
      </c>
      <c r="X285" s="200">
        <f t="array" ref="X285">IF(X$77&gt;" ",(X$628:X$1078),"")</f>
        <v>0</v>
      </c>
      <c r="Y285" s="204">
        <v>0</v>
      </c>
      <c r="Z285" s="198" t="str">
        <f t="shared" si="46"/>
        <v/>
      </c>
      <c r="AA285" s="198" t="str">
        <f t="shared" si="46"/>
        <v/>
      </c>
      <c r="AB285" s="198" t="str">
        <f t="shared" si="46"/>
        <v/>
      </c>
      <c r="AC285" s="198" t="str">
        <f t="shared" si="46"/>
        <v/>
      </c>
      <c r="AD285" s="198" t="str">
        <f t="shared" si="47"/>
        <v/>
      </c>
      <c r="AE285" s="198" t="str">
        <f t="shared" si="47"/>
        <v/>
      </c>
      <c r="AF285" s="198" t="str">
        <f t="shared" si="47"/>
        <v/>
      </c>
      <c r="AG285" s="198" t="str">
        <f t="shared" si="43"/>
        <v/>
      </c>
      <c r="AH285" s="198" t="str">
        <f t="shared" si="35"/>
        <v/>
      </c>
      <c r="AI285" s="200" t="str">
        <f t="shared" si="48"/>
        <v/>
      </c>
      <c r="AJ285" s="208" t="str">
        <f t="shared" si="49"/>
        <v/>
      </c>
      <c r="AK285" s="4"/>
      <c r="AL285" s="162">
        <v>1470</v>
      </c>
      <c r="AM285" s="209">
        <v>6.4187099714223391E-4</v>
      </c>
      <c r="AN285" s="183">
        <v>6.1553591889300808E-4</v>
      </c>
      <c r="AO285" s="183">
        <v>2.4979825887701192E-4</v>
      </c>
      <c r="AP285" s="165">
        <v>2.7084907160065291E-4</v>
      </c>
      <c r="AR285" s="210">
        <v>96.262515008140952</v>
      </c>
      <c r="AS285" s="211">
        <v>96.383507036190323</v>
      </c>
      <c r="AT285" s="211">
        <v>96.299873833408881</v>
      </c>
      <c r="AU285" s="211">
        <v>96.171330199539554</v>
      </c>
      <c r="AV285" s="211"/>
      <c r="AW285" s="212"/>
      <c r="AX285" s="210">
        <v>95.504884428734997</v>
      </c>
      <c r="AY285" s="211">
        <v>96.323521666373566</v>
      </c>
      <c r="AZ285" s="213">
        <v>98.807322411623559</v>
      </c>
    </row>
    <row r="286" spans="12:52" x14ac:dyDescent="0.25">
      <c r="L286" s="189">
        <v>1465</v>
      </c>
      <c r="M286" s="196">
        <f t="shared" si="45"/>
        <v>0</v>
      </c>
      <c r="N286" s="197">
        <f t="shared" si="45"/>
        <v>0</v>
      </c>
      <c r="O286" s="152">
        <f ca="1"/>
        <v>96.271688591433985</v>
      </c>
      <c r="Q286" s="198">
        <v>0</v>
      </c>
      <c r="R286" s="200">
        <v>0</v>
      </c>
      <c r="S286" s="200">
        <v>0</v>
      </c>
      <c r="T286" s="200">
        <v>0</v>
      </c>
      <c r="U286" s="200">
        <f t="array" ref="U286">IF(U$77&gt;" ",(U$628:U$1078),"")</f>
        <v>0</v>
      </c>
      <c r="V286" s="200">
        <f t="array" ref="V286">IF(V$77&gt;" ",(V$628:V$1078),"")</f>
        <v>0</v>
      </c>
      <c r="W286" s="200">
        <f t="array" ref="W286">IF(W$77&gt;" ",(W$628:W$1078),"")</f>
        <v>0</v>
      </c>
      <c r="X286" s="200">
        <f t="array" ref="X286">IF(X$77&gt;" ",(X$628:X$1078),"")</f>
        <v>0</v>
      </c>
      <c r="Y286" s="204">
        <v>0</v>
      </c>
      <c r="Z286" s="198" t="str">
        <f t="shared" si="46"/>
        <v/>
      </c>
      <c r="AA286" s="198" t="str">
        <f t="shared" si="46"/>
        <v/>
      </c>
      <c r="AB286" s="198" t="str">
        <f t="shared" si="46"/>
        <v/>
      </c>
      <c r="AC286" s="198" t="str">
        <f t="shared" si="46"/>
        <v/>
      </c>
      <c r="AD286" s="198" t="str">
        <f t="shared" si="47"/>
        <v/>
      </c>
      <c r="AE286" s="198" t="str">
        <f t="shared" si="47"/>
        <v/>
      </c>
      <c r="AF286" s="198" t="str">
        <f t="shared" si="47"/>
        <v/>
      </c>
      <c r="AG286" s="198" t="str">
        <f t="shared" si="43"/>
        <v/>
      </c>
      <c r="AH286" s="198" t="str">
        <f t="shared" si="43"/>
        <v/>
      </c>
      <c r="AI286" s="200" t="str">
        <f t="shared" si="48"/>
        <v/>
      </c>
      <c r="AJ286" s="208" t="str">
        <f t="shared" si="49"/>
        <v/>
      </c>
      <c r="AK286" s="4"/>
      <c r="AL286" s="162">
        <v>1465</v>
      </c>
      <c r="AM286" s="209">
        <v>6.4114430087128249E-4</v>
      </c>
      <c r="AN286" s="183">
        <v>5.5649753619052382E-4</v>
      </c>
      <c r="AO286" s="183">
        <v>4.6956219672112407E-4</v>
      </c>
      <c r="AP286" s="165">
        <v>5.0877450974826858E-4</v>
      </c>
      <c r="AR286" s="210">
        <v>96.23356285014448</v>
      </c>
      <c r="AS286" s="211">
        <v>96.355558568563879</v>
      </c>
      <c r="AT286" s="211">
        <v>96.271688591433985</v>
      </c>
      <c r="AU286" s="211">
        <v>96.141808230182463</v>
      </c>
      <c r="AV286" s="211"/>
      <c r="AW286" s="212"/>
      <c r="AX286" s="210">
        <v>95.462017783310088</v>
      </c>
      <c r="AY286" s="211">
        <v>96.30032328833461</v>
      </c>
      <c r="AZ286" s="213">
        <v>98.809126636666377</v>
      </c>
    </row>
    <row r="287" spans="12:52" x14ac:dyDescent="0.25">
      <c r="L287" s="189">
        <v>1460</v>
      </c>
      <c r="M287" s="196">
        <f t="shared" ref="M287:N302" si="50">M836</f>
        <v>0</v>
      </c>
      <c r="N287" s="197">
        <f t="shared" si="50"/>
        <v>0</v>
      </c>
      <c r="O287" s="152">
        <f ca="1"/>
        <v>96.224137666278764</v>
      </c>
      <c r="Q287" s="198">
        <v>0</v>
      </c>
      <c r="R287" s="200">
        <v>0</v>
      </c>
      <c r="S287" s="200">
        <v>0</v>
      </c>
      <c r="T287" s="200">
        <v>0</v>
      </c>
      <c r="U287" s="200">
        <f t="array" ref="U287">IF(U$77&gt;" ",(U$628:U$1078),"")</f>
        <v>0</v>
      </c>
      <c r="V287" s="200">
        <f t="array" ref="V287">IF(V$77&gt;" ",(V$628:V$1078),"")</f>
        <v>0</v>
      </c>
      <c r="W287" s="200">
        <f t="array" ref="W287">IF(W$77&gt;" ",(W$628:W$1078),"")</f>
        <v>0</v>
      </c>
      <c r="X287" s="200">
        <f t="array" ref="X287">IF(X$77&gt;" ",(X$628:X$1078),"")</f>
        <v>0</v>
      </c>
      <c r="Y287" s="204">
        <v>0</v>
      </c>
      <c r="Z287" s="198" t="str">
        <f t="shared" si="46"/>
        <v/>
      </c>
      <c r="AA287" s="198" t="str">
        <f t="shared" si="46"/>
        <v/>
      </c>
      <c r="AB287" s="198" t="str">
        <f t="shared" si="46"/>
        <v/>
      </c>
      <c r="AC287" s="198" t="str">
        <f t="shared" si="46"/>
        <v/>
      </c>
      <c r="AD287" s="198" t="str">
        <f t="shared" si="47"/>
        <v/>
      </c>
      <c r="AE287" s="198" t="str">
        <f t="shared" si="47"/>
        <v/>
      </c>
      <c r="AF287" s="198" t="str">
        <f t="shared" si="47"/>
        <v/>
      </c>
      <c r="AG287" s="198" t="str">
        <f t="shared" si="43"/>
        <v/>
      </c>
      <c r="AH287" s="198" t="str">
        <f t="shared" si="43"/>
        <v/>
      </c>
      <c r="AI287" s="200" t="str">
        <f t="shared" si="48"/>
        <v/>
      </c>
      <c r="AJ287" s="208" t="str">
        <f t="shared" si="49"/>
        <v/>
      </c>
      <c r="AK287" s="4"/>
      <c r="AL287" s="162">
        <v>1460</v>
      </c>
      <c r="AM287" s="209">
        <v>6.0329003148444627E-4</v>
      </c>
      <c r="AN287" s="183">
        <v>4.9745915348803967E-4</v>
      </c>
      <c r="AO287" s="183">
        <v>4.2952649203939838E-4</v>
      </c>
      <c r="AP287" s="165">
        <v>4.6540239360666762E-4</v>
      </c>
      <c r="AR287" s="210">
        <v>96.184789387192282</v>
      </c>
      <c r="AS287" s="211">
        <v>96.302967270196802</v>
      </c>
      <c r="AT287" s="211">
        <v>96.224137666278764</v>
      </c>
      <c r="AU287" s="211">
        <v>96.094817202129732</v>
      </c>
      <c r="AV287" s="211"/>
      <c r="AW287" s="212"/>
      <c r="AX287" s="210">
        <v>95.424197428394962</v>
      </c>
      <c r="AY287" s="211">
        <v>96.273003737439481</v>
      </c>
      <c r="AZ287" s="213">
        <v>98.914818523590284</v>
      </c>
    </row>
    <row r="288" spans="12:52" x14ac:dyDescent="0.25">
      <c r="L288" s="189">
        <v>1455</v>
      </c>
      <c r="M288" s="196">
        <f t="shared" si="50"/>
        <v>0</v>
      </c>
      <c r="N288" s="197">
        <f t="shared" si="50"/>
        <v>0</v>
      </c>
      <c r="O288" s="152">
        <f ca="1"/>
        <v>96.168725892259317</v>
      </c>
      <c r="Q288" s="198">
        <v>0</v>
      </c>
      <c r="R288" s="200">
        <v>0</v>
      </c>
      <c r="S288" s="200">
        <v>0</v>
      </c>
      <c r="T288" s="200">
        <v>0</v>
      </c>
      <c r="U288" s="200">
        <f t="array" ref="U288">IF(U$77&gt;" ",(U$628:U$1078),"")</f>
        <v>0</v>
      </c>
      <c r="V288" s="200">
        <f t="array" ref="V288">IF(V$77&gt;" ",(V$628:V$1078),"")</f>
        <v>0</v>
      </c>
      <c r="W288" s="200">
        <f t="array" ref="W288">IF(W$77&gt;" ",(W$628:W$1078),"")</f>
        <v>0</v>
      </c>
      <c r="X288" s="200">
        <f t="array" ref="X288">IF(X$77&gt;" ",(X$628:X$1078),"")</f>
        <v>0</v>
      </c>
      <c r="Y288" s="204">
        <v>0</v>
      </c>
      <c r="Z288" s="198" t="str">
        <f t="shared" si="46"/>
        <v/>
      </c>
      <c r="AA288" s="198" t="str">
        <f t="shared" si="46"/>
        <v/>
      </c>
      <c r="AB288" s="198" t="str">
        <f t="shared" si="46"/>
        <v/>
      </c>
      <c r="AC288" s="198" t="str">
        <f t="shared" si="46"/>
        <v/>
      </c>
      <c r="AD288" s="198" t="str">
        <f t="shared" si="47"/>
        <v/>
      </c>
      <c r="AE288" s="198" t="str">
        <f t="shared" si="47"/>
        <v/>
      </c>
      <c r="AF288" s="198" t="str">
        <f t="shared" si="47"/>
        <v/>
      </c>
      <c r="AG288" s="198" t="str">
        <f t="shared" si="43"/>
        <v/>
      </c>
      <c r="AH288" s="198" t="str">
        <f t="shared" si="43"/>
        <v/>
      </c>
      <c r="AI288" s="200" t="str">
        <f t="shared" si="48"/>
        <v/>
      </c>
      <c r="AJ288" s="208" t="str">
        <f t="shared" si="49"/>
        <v/>
      </c>
      <c r="AK288" s="4"/>
      <c r="AL288" s="162">
        <v>1455</v>
      </c>
      <c r="AM288" s="209">
        <v>5.2830818898172546E-4</v>
      </c>
      <c r="AN288" s="183">
        <v>4.3842077078555536E-4</v>
      </c>
      <c r="AO288" s="183">
        <v>3.3262520280032083E-4</v>
      </c>
      <c r="AP288" s="165">
        <v>3.6045866175024176E-4</v>
      </c>
      <c r="AR288" s="210">
        <v>96.136398324889271</v>
      </c>
      <c r="AS288" s="211">
        <v>96.246351964524465</v>
      </c>
      <c r="AT288" s="211">
        <v>96.168725892259317</v>
      </c>
      <c r="AU288" s="211">
        <v>96.041876775027433</v>
      </c>
      <c r="AV288" s="211"/>
      <c r="AW288" s="212"/>
      <c r="AX288" s="210">
        <v>95.361661438612614</v>
      </c>
      <c r="AY288" s="211">
        <v>96.237624397151578</v>
      </c>
      <c r="AZ288" s="213">
        <v>98.815427876621101</v>
      </c>
    </row>
    <row r="289" spans="12:52" x14ac:dyDescent="0.25">
      <c r="L289" s="189">
        <v>1450</v>
      </c>
      <c r="M289" s="196">
        <f t="shared" si="50"/>
        <v>0</v>
      </c>
      <c r="N289" s="197">
        <f t="shared" si="50"/>
        <v>0</v>
      </c>
      <c r="O289" s="152">
        <f ca="1"/>
        <v>96.130402243932224</v>
      </c>
      <c r="Q289" s="198">
        <v>0</v>
      </c>
      <c r="R289" s="200">
        <v>0</v>
      </c>
      <c r="S289" s="200">
        <v>0</v>
      </c>
      <c r="T289" s="200">
        <v>0</v>
      </c>
      <c r="U289" s="200">
        <f t="array" ref="U289">IF(U$77&gt;" ",(U$628:U$1078),"")</f>
        <v>0</v>
      </c>
      <c r="V289" s="200">
        <f t="array" ref="V289">IF(V$77&gt;" ",(V$628:V$1078),"")</f>
        <v>0</v>
      </c>
      <c r="W289" s="200">
        <f t="array" ref="W289">IF(W$77&gt;" ",(W$628:W$1078),"")</f>
        <v>0</v>
      </c>
      <c r="X289" s="200">
        <f t="array" ref="X289">IF(X$77&gt;" ",(X$628:X$1078),"")</f>
        <v>0</v>
      </c>
      <c r="Y289" s="204">
        <v>0</v>
      </c>
      <c r="Z289" s="198" t="str">
        <f t="shared" si="46"/>
        <v/>
      </c>
      <c r="AA289" s="198" t="str">
        <f t="shared" si="46"/>
        <v/>
      </c>
      <c r="AB289" s="198" t="str">
        <f t="shared" si="46"/>
        <v/>
      </c>
      <c r="AC289" s="198" t="str">
        <f t="shared" si="46"/>
        <v/>
      </c>
      <c r="AD289" s="198" t="str">
        <f t="shared" si="47"/>
        <v/>
      </c>
      <c r="AE289" s="198" t="str">
        <f t="shared" si="47"/>
        <v/>
      </c>
      <c r="AF289" s="198" t="str">
        <f t="shared" si="47"/>
        <v/>
      </c>
      <c r="AG289" s="198" t="str">
        <f t="shared" si="43"/>
        <v/>
      </c>
      <c r="AH289" s="198" t="str">
        <f t="shared" si="43"/>
        <v/>
      </c>
      <c r="AI289" s="200" t="str">
        <f t="shared" si="48"/>
        <v/>
      </c>
      <c r="AJ289" s="208" t="str">
        <f t="shared" si="49"/>
        <v/>
      </c>
      <c r="AK289" s="4"/>
      <c r="AL289" s="162">
        <v>1450</v>
      </c>
      <c r="AM289" s="209">
        <v>4.5339240977636388E-4</v>
      </c>
      <c r="AN289" s="183">
        <v>3.793823880830711E-4</v>
      </c>
      <c r="AO289" s="183">
        <v>1.3783706816572025E-4</v>
      </c>
      <c r="AP289" s="165">
        <v>1.4941833920833588E-4</v>
      </c>
      <c r="AR289" s="210">
        <v>96.098100316744549</v>
      </c>
      <c r="AS289" s="211">
        <v>96.21207189506076</v>
      </c>
      <c r="AT289" s="211">
        <v>96.130402243932224</v>
      </c>
      <c r="AU289" s="211">
        <v>96.00565226766669</v>
      </c>
      <c r="AV289" s="211"/>
      <c r="AW289" s="212"/>
      <c r="AX289" s="210">
        <v>95.275522662134406</v>
      </c>
      <c r="AY289" s="211">
        <v>96.183918185378545</v>
      </c>
      <c r="AZ289" s="213">
        <v>98.852484572488734</v>
      </c>
    </row>
    <row r="290" spans="12:52" x14ac:dyDescent="0.25">
      <c r="L290" s="189">
        <v>1445</v>
      </c>
      <c r="M290" s="196">
        <f t="shared" si="50"/>
        <v>0</v>
      </c>
      <c r="N290" s="197">
        <f t="shared" si="50"/>
        <v>0</v>
      </c>
      <c r="O290" s="152">
        <f ca="1"/>
        <v>96.056945326274331</v>
      </c>
      <c r="Q290" s="198">
        <v>0</v>
      </c>
      <c r="R290" s="200">
        <v>0</v>
      </c>
      <c r="S290" s="200">
        <v>0</v>
      </c>
      <c r="T290" s="200">
        <v>0</v>
      </c>
      <c r="U290" s="200">
        <f t="array" ref="U290">IF(U$77&gt;" ",(U$628:U$1078),"")</f>
        <v>0</v>
      </c>
      <c r="V290" s="200">
        <f t="array" ref="V290">IF(V$77&gt;" ",(V$628:V$1078),"")</f>
        <v>0</v>
      </c>
      <c r="W290" s="200">
        <f t="array" ref="W290">IF(W$77&gt;" ",(W$628:W$1078),"")</f>
        <v>0</v>
      </c>
      <c r="X290" s="200">
        <f t="array" ref="X290">IF(X$77&gt;" ",(X$628:X$1078),"")</f>
        <v>0</v>
      </c>
      <c r="Y290" s="204">
        <v>0</v>
      </c>
      <c r="Z290" s="198" t="str">
        <f t="shared" si="46"/>
        <v/>
      </c>
      <c r="AA290" s="198" t="str">
        <f t="shared" si="46"/>
        <v/>
      </c>
      <c r="AB290" s="198" t="str">
        <f t="shared" si="46"/>
        <v/>
      </c>
      <c r="AC290" s="198" t="str">
        <f t="shared" si="46"/>
        <v/>
      </c>
      <c r="AD290" s="198" t="str">
        <f t="shared" si="47"/>
        <v/>
      </c>
      <c r="AE290" s="198" t="str">
        <f t="shared" si="47"/>
        <v/>
      </c>
      <c r="AF290" s="198" t="str">
        <f t="shared" si="47"/>
        <v/>
      </c>
      <c r="AG290" s="198" t="str">
        <f t="shared" si="43"/>
        <v/>
      </c>
      <c r="AH290" s="198" t="str">
        <f t="shared" si="43"/>
        <v/>
      </c>
      <c r="AI290" s="200" t="str">
        <f t="shared" si="48"/>
        <v/>
      </c>
      <c r="AJ290" s="208" t="str">
        <f t="shared" si="49"/>
        <v/>
      </c>
      <c r="AK290" s="4"/>
      <c r="AL290" s="162">
        <v>1445</v>
      </c>
      <c r="AM290" s="209">
        <v>3.7841056727364308E-4</v>
      </c>
      <c r="AN290" s="183">
        <v>3.4885771334569111E-4</v>
      </c>
      <c r="AO290" s="183">
        <v>2.5016532826181042E-4</v>
      </c>
      <c r="AP290" s="165">
        <v>2.7105613847771599E-4</v>
      </c>
      <c r="AR290" s="210">
        <v>96.024452240331939</v>
      </c>
      <c r="AS290" s="211">
        <v>96.14032318344691</v>
      </c>
      <c r="AT290" s="211">
        <v>96.056945326274331</v>
      </c>
      <c r="AU290" s="211">
        <v>95.928003981137508</v>
      </c>
      <c r="AV290" s="211"/>
      <c r="AW290" s="212"/>
      <c r="AX290" s="210">
        <v>95.175486109593407</v>
      </c>
      <c r="AY290" s="211">
        <v>96.109351866196789</v>
      </c>
      <c r="AZ290" s="213">
        <v>98.828460035591007</v>
      </c>
    </row>
    <row r="291" spans="12:52" x14ac:dyDescent="0.25">
      <c r="L291" s="189">
        <v>1440</v>
      </c>
      <c r="M291" s="196">
        <f t="shared" si="50"/>
        <v>0</v>
      </c>
      <c r="N291" s="197">
        <f t="shared" si="50"/>
        <v>0</v>
      </c>
      <c r="O291" s="152">
        <f ca="1"/>
        <v>95.997040391095325</v>
      </c>
      <c r="Q291" s="198">
        <v>0</v>
      </c>
      <c r="R291" s="200">
        <v>0</v>
      </c>
      <c r="S291" s="200">
        <v>0</v>
      </c>
      <c r="T291" s="200">
        <v>0</v>
      </c>
      <c r="U291" s="200">
        <f t="array" ref="U291">IF(U$77&gt;" ",(U$628:U$1078),"")</f>
        <v>0</v>
      </c>
      <c r="V291" s="200">
        <f t="array" ref="V291">IF(V$77&gt;" ",(V$628:V$1078),"")</f>
        <v>0</v>
      </c>
      <c r="W291" s="200">
        <f t="array" ref="W291">IF(W$77&gt;" ",(W$628:W$1078),"")</f>
        <v>0</v>
      </c>
      <c r="X291" s="200">
        <f t="array" ref="X291">IF(X$77&gt;" ",(X$628:X$1078),"")</f>
        <v>0</v>
      </c>
      <c r="Y291" s="204">
        <v>0</v>
      </c>
      <c r="Z291" s="198" t="str">
        <f t="shared" si="46"/>
        <v/>
      </c>
      <c r="AA291" s="198" t="str">
        <f t="shared" si="46"/>
        <v/>
      </c>
      <c r="AB291" s="198" t="str">
        <f t="shared" si="46"/>
        <v/>
      </c>
      <c r="AC291" s="198" t="str">
        <f t="shared" si="46"/>
        <v/>
      </c>
      <c r="AD291" s="198" t="str">
        <f t="shared" si="47"/>
        <v/>
      </c>
      <c r="AE291" s="198" t="str">
        <f t="shared" si="47"/>
        <v/>
      </c>
      <c r="AF291" s="198" t="str">
        <f t="shared" si="47"/>
        <v/>
      </c>
      <c r="AG291" s="198" t="str">
        <f t="shared" si="43"/>
        <v/>
      </c>
      <c r="AH291" s="198" t="str">
        <f t="shared" si="43"/>
        <v/>
      </c>
      <c r="AI291" s="200" t="str">
        <f t="shared" si="48"/>
        <v/>
      </c>
      <c r="AJ291" s="208" t="str">
        <f t="shared" si="49"/>
        <v/>
      </c>
      <c r="AK291" s="4"/>
      <c r="AL291" s="162">
        <v>1440</v>
      </c>
      <c r="AM291" s="209">
        <v>3.2344590387076757E-4</v>
      </c>
      <c r="AN291" s="183">
        <v>3.1833303860831112E-4</v>
      </c>
      <c r="AO291" s="183">
        <v>1.9912759873160247E-4</v>
      </c>
      <c r="AP291" s="165">
        <v>2.1572451108519878E-4</v>
      </c>
      <c r="AR291" s="210">
        <v>95.960169295057355</v>
      </c>
      <c r="AS291" s="211">
        <v>96.074173793086388</v>
      </c>
      <c r="AT291" s="211">
        <v>95.997040391095325</v>
      </c>
      <c r="AU291" s="211">
        <v>95.865015934497706</v>
      </c>
      <c r="AV291" s="211"/>
      <c r="AW291" s="212"/>
      <c r="AX291" s="210">
        <v>95.147834170474127</v>
      </c>
      <c r="AY291" s="211">
        <v>96.074919978347751</v>
      </c>
      <c r="AZ291" s="213">
        <v>98.810174371906953</v>
      </c>
    </row>
    <row r="292" spans="12:52" x14ac:dyDescent="0.25">
      <c r="L292" s="189">
        <v>1435</v>
      </c>
      <c r="M292" s="196">
        <f t="shared" si="50"/>
        <v>0</v>
      </c>
      <c r="N292" s="197">
        <f t="shared" si="50"/>
        <v>0</v>
      </c>
      <c r="O292" s="152">
        <f ca="1"/>
        <v>95.934858389010174</v>
      </c>
      <c r="Q292" s="198">
        <v>0</v>
      </c>
      <c r="R292" s="200">
        <v>0</v>
      </c>
      <c r="S292" s="200">
        <v>0</v>
      </c>
      <c r="T292" s="200">
        <v>0</v>
      </c>
      <c r="U292" s="200">
        <f t="array" ref="U292">IF(U$77&gt;" ",(U$628:U$1078),"")</f>
        <v>0</v>
      </c>
      <c r="V292" s="200">
        <f t="array" ref="V292">IF(V$77&gt;" ",(V$628:V$1078),"")</f>
        <v>0</v>
      </c>
      <c r="W292" s="200">
        <f t="array" ref="W292">IF(W$77&gt;" ",(W$628:W$1078),"")</f>
        <v>0</v>
      </c>
      <c r="X292" s="200">
        <f t="array" ref="X292">IF(X$77&gt;" ",(X$628:X$1078),"")</f>
        <v>0</v>
      </c>
      <c r="Y292" s="204">
        <v>0</v>
      </c>
      <c r="Z292" s="198" t="str">
        <f t="shared" si="46"/>
        <v/>
      </c>
      <c r="AA292" s="198" t="str">
        <f t="shared" si="46"/>
        <v/>
      </c>
      <c r="AB292" s="198" t="str">
        <f t="shared" si="46"/>
        <v/>
      </c>
      <c r="AC292" s="198" t="str">
        <f t="shared" si="46"/>
        <v/>
      </c>
      <c r="AD292" s="198" t="str">
        <f t="shared" si="47"/>
        <v/>
      </c>
      <c r="AE292" s="198" t="str">
        <f t="shared" si="47"/>
        <v/>
      </c>
      <c r="AF292" s="198" t="str">
        <f t="shared" si="47"/>
        <v/>
      </c>
      <c r="AG292" s="198" t="str">
        <f t="shared" si="43"/>
        <v/>
      </c>
      <c r="AH292" s="198" t="str">
        <f t="shared" si="43"/>
        <v/>
      </c>
      <c r="AI292" s="200" t="str">
        <f t="shared" si="48"/>
        <v/>
      </c>
      <c r="AJ292" s="208" t="str">
        <f t="shared" si="49"/>
        <v/>
      </c>
      <c r="AK292" s="4"/>
      <c r="AL292" s="162">
        <v>1435</v>
      </c>
      <c r="AM292" s="209">
        <v>2.8849841956773731E-4</v>
      </c>
      <c r="AN292" s="183">
        <v>2.8780836387093102E-4</v>
      </c>
      <c r="AO292" s="183">
        <v>1.0768709513487031E-4</v>
      </c>
      <c r="AP292" s="165">
        <v>1.1666819421986509E-4</v>
      </c>
      <c r="AR292" s="210">
        <v>95.895225928851787</v>
      </c>
      <c r="AS292" s="211">
        <v>96.012228132960345</v>
      </c>
      <c r="AT292" s="211">
        <v>95.934858389010174</v>
      </c>
      <c r="AU292" s="211">
        <v>95.799602644107196</v>
      </c>
      <c r="AV292" s="211"/>
      <c r="AW292" s="212"/>
      <c r="AX292" s="210">
        <v>95.056944656395672</v>
      </c>
      <c r="AY292" s="211">
        <v>96.022219097002349</v>
      </c>
      <c r="AZ292" s="213">
        <v>98.947906623199898</v>
      </c>
    </row>
    <row r="293" spans="12:52" x14ac:dyDescent="0.25">
      <c r="L293" s="189">
        <v>1430</v>
      </c>
      <c r="M293" s="196">
        <f t="shared" si="50"/>
        <v>0</v>
      </c>
      <c r="N293" s="197">
        <f t="shared" si="50"/>
        <v>0</v>
      </c>
      <c r="O293" s="152">
        <f ca="1"/>
        <v>95.879623062429175</v>
      </c>
      <c r="Q293" s="198">
        <v>0</v>
      </c>
      <c r="R293" s="200">
        <v>0</v>
      </c>
      <c r="S293" s="200">
        <v>0</v>
      </c>
      <c r="T293" s="200">
        <v>0</v>
      </c>
      <c r="U293" s="200">
        <f t="array" ref="U293">IF(U$77&gt;" ",(U$628:U$1078),"")</f>
        <v>0</v>
      </c>
      <c r="V293" s="200">
        <f t="array" ref="V293">IF(V$77&gt;" ",(V$628:V$1078),"")</f>
        <v>0</v>
      </c>
      <c r="W293" s="200">
        <f t="array" ref="W293">IF(W$77&gt;" ",(W$628:W$1078),"")</f>
        <v>0</v>
      </c>
      <c r="X293" s="200">
        <f t="array" ref="X293">IF(X$77&gt;" ",(X$628:X$1078),"")</f>
        <v>0</v>
      </c>
      <c r="Y293" s="204">
        <v>0</v>
      </c>
      <c r="Z293" s="198" t="str">
        <f t="shared" si="46"/>
        <v/>
      </c>
      <c r="AA293" s="198" t="str">
        <f t="shared" si="46"/>
        <v/>
      </c>
      <c r="AB293" s="198" t="str">
        <f t="shared" si="46"/>
        <v/>
      </c>
      <c r="AC293" s="198" t="str">
        <f t="shared" si="46"/>
        <v/>
      </c>
      <c r="AD293" s="198" t="str">
        <f t="shared" si="47"/>
        <v/>
      </c>
      <c r="AE293" s="198" t="str">
        <f t="shared" si="47"/>
        <v/>
      </c>
      <c r="AF293" s="198" t="str">
        <f t="shared" si="47"/>
        <v/>
      </c>
      <c r="AG293" s="198" t="str">
        <f t="shared" si="43"/>
        <v/>
      </c>
      <c r="AH293" s="198" t="str">
        <f t="shared" si="43"/>
        <v/>
      </c>
      <c r="AI293" s="200" t="str">
        <f t="shared" si="48"/>
        <v/>
      </c>
      <c r="AJ293" s="208" t="str">
        <f t="shared" si="49"/>
        <v/>
      </c>
      <c r="AK293" s="4"/>
      <c r="AL293" s="162">
        <v>1430</v>
      </c>
      <c r="AM293" s="209">
        <v>2.5361699856206628E-4</v>
      </c>
      <c r="AN293" s="183">
        <v>2.5728368913355108E-4</v>
      </c>
      <c r="AO293" s="183">
        <v>3.0975124894486113E-4</v>
      </c>
      <c r="AP293" s="165">
        <v>3.3529164158394768E-4</v>
      </c>
      <c r="AR293" s="210">
        <v>95.831339680719026</v>
      </c>
      <c r="AS293" s="211">
        <v>95.956537292384837</v>
      </c>
      <c r="AT293" s="211">
        <v>95.879623062429175</v>
      </c>
      <c r="AU293" s="211">
        <v>95.743884244150351</v>
      </c>
      <c r="AV293" s="211"/>
      <c r="AW293" s="212"/>
      <c r="AX293" s="210">
        <v>94.952487151202618</v>
      </c>
      <c r="AY293" s="211">
        <v>95.960990520769499</v>
      </c>
      <c r="AZ293" s="213">
        <v>98.94837547886047</v>
      </c>
    </row>
    <row r="294" spans="12:52" x14ac:dyDescent="0.25">
      <c r="L294" s="189">
        <v>1425</v>
      </c>
      <c r="M294" s="196">
        <f t="shared" si="50"/>
        <v>0</v>
      </c>
      <c r="N294" s="197">
        <f t="shared" si="50"/>
        <v>0</v>
      </c>
      <c r="O294" s="152">
        <f ca="1"/>
        <v>95.809310533232363</v>
      </c>
      <c r="Q294" s="198">
        <v>0</v>
      </c>
      <c r="R294" s="200">
        <v>0</v>
      </c>
      <c r="S294" s="200">
        <v>0</v>
      </c>
      <c r="T294" s="200">
        <v>0</v>
      </c>
      <c r="U294" s="200">
        <f t="array" ref="U294">IF(U$77&gt;" ",(U$628:U$1078),"")</f>
        <v>0</v>
      </c>
      <c r="V294" s="200">
        <f t="array" ref="V294">IF(V$77&gt;" ",(V$628:V$1078),"")</f>
        <v>0</v>
      </c>
      <c r="W294" s="200">
        <f t="array" ref="W294">IF(W$77&gt;" ",(W$628:W$1078),"")</f>
        <v>0</v>
      </c>
      <c r="X294" s="200">
        <f t="array" ref="X294">IF(X$77&gt;" ",(X$628:X$1078),"")</f>
        <v>0</v>
      </c>
      <c r="Y294" s="204">
        <v>0</v>
      </c>
      <c r="Z294" s="198" t="str">
        <f t="shared" si="46"/>
        <v/>
      </c>
      <c r="AA294" s="198" t="str">
        <f t="shared" si="46"/>
        <v/>
      </c>
      <c r="AB294" s="198" t="str">
        <f t="shared" si="46"/>
        <v/>
      </c>
      <c r="AC294" s="198" t="str">
        <f t="shared" si="46"/>
        <v/>
      </c>
      <c r="AD294" s="198" t="str">
        <f t="shared" si="47"/>
        <v/>
      </c>
      <c r="AE294" s="198" t="str">
        <f t="shared" si="47"/>
        <v/>
      </c>
      <c r="AF294" s="198" t="str">
        <f t="shared" si="47"/>
        <v/>
      </c>
      <c r="AG294" s="198" t="str">
        <f t="shared" si="43"/>
        <v/>
      </c>
      <c r="AH294" s="198" t="str">
        <f t="shared" si="43"/>
        <v/>
      </c>
      <c r="AI294" s="200" t="str">
        <f t="shared" si="48"/>
        <v/>
      </c>
      <c r="AJ294" s="208" t="str">
        <f t="shared" si="49"/>
        <v/>
      </c>
      <c r="AK294" s="4"/>
      <c r="AL294" s="162">
        <v>1425</v>
      </c>
      <c r="AM294" s="209">
        <v>2.187355775563953E-4</v>
      </c>
      <c r="AN294" s="183">
        <v>2.2675901439617107E-4</v>
      </c>
      <c r="AO294" s="183">
        <v>1.2998278900057888E-4</v>
      </c>
      <c r="AP294" s="165">
        <v>1.4070474116543617E-4</v>
      </c>
      <c r="AR294" s="210">
        <v>95.764122638064833</v>
      </c>
      <c r="AS294" s="211">
        <v>95.892304636498125</v>
      </c>
      <c r="AT294" s="211">
        <v>95.809310533232363</v>
      </c>
      <c r="AU294" s="211">
        <v>95.675608894918426</v>
      </c>
      <c r="AV294" s="211"/>
      <c r="AW294" s="212"/>
      <c r="AX294" s="210">
        <v>94.879251460441253</v>
      </c>
      <c r="AY294" s="211">
        <v>95.910465327370616</v>
      </c>
      <c r="AZ294" s="213">
        <v>98.834800969920281</v>
      </c>
    </row>
    <row r="295" spans="12:52" x14ac:dyDescent="0.25">
      <c r="L295" s="189">
        <v>1420</v>
      </c>
      <c r="M295" s="196">
        <f t="shared" si="50"/>
        <v>0</v>
      </c>
      <c r="N295" s="197">
        <f t="shared" si="50"/>
        <v>0</v>
      </c>
      <c r="O295" s="152">
        <f ca="1"/>
        <v>95.744937025433799</v>
      </c>
      <c r="Q295" s="198">
        <v>0</v>
      </c>
      <c r="R295" s="200">
        <v>0</v>
      </c>
      <c r="S295" s="200">
        <v>0</v>
      </c>
      <c r="T295" s="200">
        <v>0</v>
      </c>
      <c r="U295" s="200">
        <f t="array" ref="U295">IF(U$77&gt;" ",(U$628:U$1078),"")</f>
        <v>0</v>
      </c>
      <c r="V295" s="200">
        <f t="array" ref="V295">IF(V$77&gt;" ",(V$628:V$1078),"")</f>
        <v>0</v>
      </c>
      <c r="W295" s="200">
        <f t="array" ref="W295">IF(W$77&gt;" ",(W$628:W$1078),"")</f>
        <v>0</v>
      </c>
      <c r="X295" s="200">
        <f t="array" ref="X295">IF(X$77&gt;" ",(X$628:X$1078),"")</f>
        <v>0</v>
      </c>
      <c r="Y295" s="204">
        <v>0</v>
      </c>
      <c r="Z295" s="198" t="str">
        <f t="shared" si="46"/>
        <v/>
      </c>
      <c r="AA295" s="198" t="str">
        <f t="shared" si="46"/>
        <v/>
      </c>
      <c r="AB295" s="198" t="str">
        <f t="shared" si="46"/>
        <v/>
      </c>
      <c r="AC295" s="198" t="str">
        <f t="shared" si="46"/>
        <v/>
      </c>
      <c r="AD295" s="198" t="str">
        <f t="shared" si="47"/>
        <v/>
      </c>
      <c r="AE295" s="198" t="str">
        <f t="shared" si="47"/>
        <v/>
      </c>
      <c r="AF295" s="198" t="str">
        <f t="shared" si="47"/>
        <v/>
      </c>
      <c r="AG295" s="198" t="str">
        <f t="shared" si="43"/>
        <v/>
      </c>
      <c r="AH295" s="198" t="str">
        <f t="shared" si="43"/>
        <v/>
      </c>
      <c r="AI295" s="200" t="str">
        <f t="shared" si="48"/>
        <v/>
      </c>
      <c r="AJ295" s="208" t="str">
        <f t="shared" si="49"/>
        <v/>
      </c>
      <c r="AK295" s="4"/>
      <c r="AL295" s="162">
        <v>1420</v>
      </c>
      <c r="AM295" s="209">
        <v>1.8378809325336507E-4</v>
      </c>
      <c r="AN295" s="183">
        <v>1.9623433965879108E-4</v>
      </c>
      <c r="AO295" s="183">
        <v>4.1593486810637848E-5</v>
      </c>
      <c r="AP295" s="165">
        <v>4.5015779433315526E-5</v>
      </c>
      <c r="AR295" s="210">
        <v>95.704936567283625</v>
      </c>
      <c r="AS295" s="211">
        <v>95.830989548869113</v>
      </c>
      <c r="AT295" s="211">
        <v>95.744937025433799</v>
      </c>
      <c r="AU295" s="211">
        <v>95.613497448486484</v>
      </c>
      <c r="AV295" s="211"/>
      <c r="AW295" s="212"/>
      <c r="AX295" s="210">
        <v>94.790770250786593</v>
      </c>
      <c r="AY295" s="211">
        <v>95.851569126177367</v>
      </c>
      <c r="AZ295" s="213">
        <v>98.751111111111101</v>
      </c>
    </row>
    <row r="296" spans="12:52" x14ac:dyDescent="0.25">
      <c r="L296" s="189">
        <v>1415</v>
      </c>
      <c r="M296" s="196">
        <f t="shared" si="50"/>
        <v>0</v>
      </c>
      <c r="N296" s="197">
        <f t="shared" si="50"/>
        <v>0</v>
      </c>
      <c r="O296" s="152">
        <f ca="1"/>
        <v>95.710034285855173</v>
      </c>
      <c r="Q296" s="198">
        <v>0</v>
      </c>
      <c r="R296" s="200">
        <v>0</v>
      </c>
      <c r="S296" s="200">
        <v>0</v>
      </c>
      <c r="T296" s="200">
        <v>0</v>
      </c>
      <c r="U296" s="200">
        <f t="array" ref="U296">IF(U$77&gt;" ",(U$628:U$1078),"")</f>
        <v>0</v>
      </c>
      <c r="V296" s="200">
        <f t="array" ref="V296">IF(V$77&gt;" ",(V$628:V$1078),"")</f>
        <v>0</v>
      </c>
      <c r="W296" s="200">
        <f t="array" ref="W296">IF(W$77&gt;" ",(W$628:W$1078),"")</f>
        <v>0</v>
      </c>
      <c r="X296" s="200">
        <f t="array" ref="X296">IF(X$77&gt;" ",(X$628:X$1078),"")</f>
        <v>0</v>
      </c>
      <c r="Y296" s="204">
        <v>0</v>
      </c>
      <c r="Z296" s="198" t="str">
        <f t="shared" si="46"/>
        <v/>
      </c>
      <c r="AA296" s="198" t="str">
        <f t="shared" si="46"/>
        <v/>
      </c>
      <c r="AB296" s="198" t="str">
        <f t="shared" si="46"/>
        <v/>
      </c>
      <c r="AC296" s="198" t="str">
        <f t="shared" si="46"/>
        <v/>
      </c>
      <c r="AD296" s="198" t="str">
        <f t="shared" si="47"/>
        <v/>
      </c>
      <c r="AE296" s="198" t="str">
        <f t="shared" si="47"/>
        <v/>
      </c>
      <c r="AF296" s="198" t="str">
        <f t="shared" si="47"/>
        <v/>
      </c>
      <c r="AG296" s="198" t="str">
        <f t="shared" si="43"/>
        <v/>
      </c>
      <c r="AH296" s="198" t="str">
        <f t="shared" si="43"/>
        <v/>
      </c>
      <c r="AI296" s="200" t="str">
        <f t="shared" si="48"/>
        <v/>
      </c>
      <c r="AJ296" s="208" t="str">
        <f t="shared" si="49"/>
        <v/>
      </c>
      <c r="AK296" s="4"/>
      <c r="AL296" s="162">
        <v>1415</v>
      </c>
      <c r="AM296" s="209">
        <v>1.4890667224769404E-4</v>
      </c>
      <c r="AN296" s="183">
        <v>1.6570966492141103E-4</v>
      </c>
      <c r="AO296" s="183">
        <v>9.2350634537123079E-7</v>
      </c>
      <c r="AP296" s="165">
        <v>9.9918162786082948E-7</v>
      </c>
      <c r="AR296" s="210">
        <v>95.664114133134177</v>
      </c>
      <c r="AS296" s="211">
        <v>95.793628249606499</v>
      </c>
      <c r="AT296" s="211">
        <v>95.710034285855173</v>
      </c>
      <c r="AU296" s="211">
        <v>95.572706095603394</v>
      </c>
      <c r="AV296" s="211"/>
      <c r="AW296" s="212"/>
      <c r="AX296" s="210">
        <v>94.779762566284333</v>
      </c>
      <c r="AY296" s="211">
        <v>95.836759033821693</v>
      </c>
      <c r="AZ296" s="213">
        <v>98.821128420963049</v>
      </c>
    </row>
    <row r="297" spans="12:52" x14ac:dyDescent="0.25">
      <c r="L297" s="189">
        <v>1410</v>
      </c>
      <c r="M297" s="196">
        <f t="shared" si="50"/>
        <v>0</v>
      </c>
      <c r="N297" s="197">
        <f t="shared" si="50"/>
        <v>0</v>
      </c>
      <c r="O297" s="152">
        <f ca="1"/>
        <v>95.722940645126002</v>
      </c>
      <c r="Q297" s="198">
        <v>0</v>
      </c>
      <c r="R297" s="200">
        <v>0</v>
      </c>
      <c r="S297" s="200">
        <v>0</v>
      </c>
      <c r="T297" s="200">
        <v>0</v>
      </c>
      <c r="U297" s="200">
        <f t="array" ref="U297">IF(U$77&gt;" ",(U$628:U$1078),"")</f>
        <v>0</v>
      </c>
      <c r="V297" s="200">
        <f t="array" ref="V297">IF(V$77&gt;" ",(V$628:V$1078),"")</f>
        <v>0</v>
      </c>
      <c r="W297" s="200">
        <f t="array" ref="W297">IF(W$77&gt;" ",(W$628:W$1078),"")</f>
        <v>0</v>
      </c>
      <c r="X297" s="200">
        <f t="array" ref="X297">IF(X$77&gt;" ",(X$628:X$1078),"")</f>
        <v>0</v>
      </c>
      <c r="Y297" s="204">
        <v>0</v>
      </c>
      <c r="Z297" s="198" t="str">
        <f t="shared" si="46"/>
        <v/>
      </c>
      <c r="AA297" s="198" t="str">
        <f t="shared" si="46"/>
        <v/>
      </c>
      <c r="AB297" s="198" t="str">
        <f t="shared" si="46"/>
        <v/>
      </c>
      <c r="AC297" s="198" t="str">
        <f t="shared" si="46"/>
        <v/>
      </c>
      <c r="AD297" s="198" t="str">
        <f t="shared" si="47"/>
        <v/>
      </c>
      <c r="AE297" s="198" t="str">
        <f t="shared" si="47"/>
        <v/>
      </c>
      <c r="AF297" s="198" t="str">
        <f t="shared" si="47"/>
        <v/>
      </c>
      <c r="AG297" s="198" t="str">
        <f t="shared" si="43"/>
        <v/>
      </c>
      <c r="AH297" s="198" t="str">
        <f t="shared" si="43"/>
        <v/>
      </c>
      <c r="AI297" s="200" t="str">
        <f t="shared" si="48"/>
        <v/>
      </c>
      <c r="AJ297" s="208" t="str">
        <f t="shared" si="49"/>
        <v/>
      </c>
      <c r="AK297" s="4"/>
      <c r="AL297" s="162">
        <v>1410</v>
      </c>
      <c r="AM297" s="209">
        <v>1.1395918794466382E-4</v>
      </c>
      <c r="AN297" s="183">
        <v>1.3518499018403104E-4</v>
      </c>
      <c r="AO297" s="183">
        <v>2.3458750697268885E-6</v>
      </c>
      <c r="AP297" s="165">
        <v>2.5369609921691008E-6</v>
      </c>
      <c r="AR297" s="210">
        <v>95.674395351162573</v>
      </c>
      <c r="AS297" s="211">
        <v>95.801211619091688</v>
      </c>
      <c r="AT297" s="211">
        <v>95.722940645126002</v>
      </c>
      <c r="AU297" s="211">
        <v>95.586049566189402</v>
      </c>
      <c r="AV297" s="211"/>
      <c r="AW297" s="212"/>
      <c r="AX297" s="210">
        <v>94.771293766640042</v>
      </c>
      <c r="AY297" s="211">
        <v>95.821000778842688</v>
      </c>
      <c r="AZ297" s="213">
        <v>98.73706928420323</v>
      </c>
    </row>
    <row r="298" spans="12:52" x14ac:dyDescent="0.25">
      <c r="L298" s="189">
        <v>1405</v>
      </c>
      <c r="M298" s="196">
        <f t="shared" si="50"/>
        <v>0</v>
      </c>
      <c r="N298" s="197">
        <f t="shared" si="50"/>
        <v>0</v>
      </c>
      <c r="O298" s="152">
        <f ca="1"/>
        <v>95.73458474559034</v>
      </c>
      <c r="Q298" s="198">
        <v>0</v>
      </c>
      <c r="R298" s="200">
        <v>0</v>
      </c>
      <c r="S298" s="200">
        <v>0</v>
      </c>
      <c r="T298" s="200">
        <v>0</v>
      </c>
      <c r="U298" s="200">
        <f t="array" ref="U298">IF(U$77&gt;" ",(U$628:U$1078),"")</f>
        <v>0</v>
      </c>
      <c r="V298" s="200">
        <f t="array" ref="V298">IF(V$77&gt;" ",(V$628:V$1078),"")</f>
        <v>0</v>
      </c>
      <c r="W298" s="200">
        <f t="array" ref="W298">IF(W$77&gt;" ",(W$628:W$1078),"")</f>
        <v>0</v>
      </c>
      <c r="X298" s="200">
        <f t="array" ref="X298">IF(X$77&gt;" ",(X$628:X$1078),"")</f>
        <v>0</v>
      </c>
      <c r="Y298" s="204">
        <v>0</v>
      </c>
      <c r="Z298" s="198" t="str">
        <f t="shared" si="46"/>
        <v/>
      </c>
      <c r="AA298" s="198" t="str">
        <f t="shared" si="46"/>
        <v/>
      </c>
      <c r="AB298" s="198" t="str">
        <f t="shared" si="46"/>
        <v/>
      </c>
      <c r="AC298" s="198" t="str">
        <f t="shared" si="46"/>
        <v/>
      </c>
      <c r="AD298" s="198" t="str">
        <f t="shared" si="47"/>
        <v/>
      </c>
      <c r="AE298" s="198" t="str">
        <f t="shared" si="47"/>
        <v/>
      </c>
      <c r="AF298" s="198" t="str">
        <f t="shared" si="47"/>
        <v/>
      </c>
      <c r="AG298" s="198" t="str">
        <f t="shared" si="43"/>
        <v/>
      </c>
      <c r="AH298" s="198" t="str">
        <f t="shared" si="43"/>
        <v/>
      </c>
      <c r="AI298" s="200" t="str">
        <f t="shared" si="48"/>
        <v/>
      </c>
      <c r="AJ298" s="208" t="str">
        <f t="shared" si="49"/>
        <v/>
      </c>
      <c r="AK298" s="4"/>
      <c r="AL298" s="162">
        <v>1405</v>
      </c>
      <c r="AM298" s="209">
        <v>7.9077766938992811E-5</v>
      </c>
      <c r="AN298" s="183">
        <v>1.0466031544665104E-4</v>
      </c>
      <c r="AO298" s="183">
        <v>1.8325310492599986E-9</v>
      </c>
      <c r="AP298" s="165">
        <v>1.9808465172025352E-9</v>
      </c>
      <c r="AR298" s="210">
        <v>95.698746627322635</v>
      </c>
      <c r="AS298" s="211">
        <v>95.821453950630726</v>
      </c>
      <c r="AT298" s="211">
        <v>95.73458474559034</v>
      </c>
      <c r="AU298" s="211">
        <v>95.608054246400272</v>
      </c>
      <c r="AV298" s="211"/>
      <c r="AW298" s="212"/>
      <c r="AX298" s="210">
        <v>94.835394844956667</v>
      </c>
      <c r="AY298" s="211">
        <v>95.867677157129137</v>
      </c>
      <c r="AZ298" s="213">
        <v>98.785837366069359</v>
      </c>
    </row>
    <row r="299" spans="12:52" x14ac:dyDescent="0.25">
      <c r="L299" s="189">
        <v>1400</v>
      </c>
      <c r="M299" s="196">
        <f t="shared" si="50"/>
        <v>0</v>
      </c>
      <c r="N299" s="197">
        <f t="shared" si="50"/>
        <v>0</v>
      </c>
      <c r="O299" s="152">
        <f ca="1"/>
        <v>95.820275945618008</v>
      </c>
      <c r="Q299" s="198">
        <v>0</v>
      </c>
      <c r="R299" s="200">
        <v>0</v>
      </c>
      <c r="S299" s="200">
        <v>0</v>
      </c>
      <c r="T299" s="200">
        <v>0</v>
      </c>
      <c r="U299" s="200">
        <f t="array" ref="U299">IF(U$77&gt;" ",(U$628:U$1078),"")</f>
        <v>0</v>
      </c>
      <c r="V299" s="200">
        <f t="array" ref="V299">IF(V$77&gt;" ",(V$628:V$1078),"")</f>
        <v>0</v>
      </c>
      <c r="W299" s="200">
        <f t="array" ref="W299">IF(W$77&gt;" ",(W$628:W$1078),"")</f>
        <v>0</v>
      </c>
      <c r="X299" s="200">
        <f t="array" ref="X299">IF(X$77&gt;" ",(X$628:X$1078),"")</f>
        <v>0</v>
      </c>
      <c r="Y299" s="204">
        <v>0</v>
      </c>
      <c r="Z299" s="198" t="str">
        <f t="shared" si="46"/>
        <v/>
      </c>
      <c r="AA299" s="198" t="str">
        <f t="shared" si="46"/>
        <v/>
      </c>
      <c r="AB299" s="198" t="str">
        <f t="shared" si="46"/>
        <v/>
      </c>
      <c r="AC299" s="198" t="str">
        <f t="shared" si="46"/>
        <v/>
      </c>
      <c r="AD299" s="198" t="str">
        <f t="shared" si="47"/>
        <v/>
      </c>
      <c r="AE299" s="198" t="str">
        <f t="shared" si="47"/>
        <v/>
      </c>
      <c r="AF299" s="198" t="str">
        <f t="shared" si="47"/>
        <v/>
      </c>
      <c r="AG299" s="198" t="str">
        <f t="shared" si="43"/>
        <v/>
      </c>
      <c r="AH299" s="198" t="str">
        <f t="shared" si="43"/>
        <v/>
      </c>
      <c r="AI299" s="200" t="str">
        <f t="shared" si="48"/>
        <v/>
      </c>
      <c r="AJ299" s="208" t="str">
        <f t="shared" si="49"/>
        <v/>
      </c>
      <c r="AK299" s="4"/>
      <c r="AL299" s="162">
        <v>1400</v>
      </c>
      <c r="AM299" s="209">
        <v>4.4130282635962566E-5</v>
      </c>
      <c r="AN299" s="183">
        <v>7.4135640709271019E-5</v>
      </c>
      <c r="AO299" s="183">
        <v>1.6325033762834794E-11</v>
      </c>
      <c r="AP299" s="165">
        <v>1.7635941883487352E-11</v>
      </c>
      <c r="AR299" s="210">
        <v>95.785787883116939</v>
      </c>
      <c r="AS299" s="211">
        <v>95.897001075984448</v>
      </c>
      <c r="AT299" s="211">
        <v>95.820275945618008</v>
      </c>
      <c r="AU299" s="211">
        <v>95.696757465262195</v>
      </c>
      <c r="AV299" s="211"/>
      <c r="AW299" s="212"/>
      <c r="AX299" s="210">
        <v>94.853585984098402</v>
      </c>
      <c r="AY299" s="211">
        <v>95.854834291569361</v>
      </c>
      <c r="AZ299" s="213">
        <v>98.705892430105649</v>
      </c>
    </row>
    <row r="300" spans="12:52" x14ac:dyDescent="0.25">
      <c r="L300" s="189">
        <v>1395</v>
      </c>
      <c r="M300" s="196">
        <f t="shared" si="50"/>
        <v>0</v>
      </c>
      <c r="N300" s="197">
        <f t="shared" si="50"/>
        <v>0</v>
      </c>
      <c r="O300" s="152">
        <f ca="1"/>
        <v>95.929575733458776</v>
      </c>
      <c r="Q300" s="198">
        <v>0</v>
      </c>
      <c r="R300" s="200">
        <v>0</v>
      </c>
      <c r="S300" s="200">
        <v>0</v>
      </c>
      <c r="T300" s="200">
        <v>0</v>
      </c>
      <c r="U300" s="200">
        <f t="array" ref="U300">IF(U$77&gt;" ",(U$628:U$1078),"")</f>
        <v>0</v>
      </c>
      <c r="V300" s="200">
        <f t="array" ref="V300">IF(V$77&gt;" ",(V$628:V$1078),"")</f>
        <v>0</v>
      </c>
      <c r="W300" s="200">
        <f t="array" ref="W300">IF(W$77&gt;" ",(W$628:W$1078),"")</f>
        <v>0</v>
      </c>
      <c r="X300" s="200">
        <f t="array" ref="X300">IF(X$77&gt;" ",(X$628:X$1078),"")</f>
        <v>0</v>
      </c>
      <c r="Y300" s="204">
        <v>0</v>
      </c>
      <c r="Z300" s="198" t="str">
        <f t="shared" si="46"/>
        <v/>
      </c>
      <c r="AA300" s="198" t="str">
        <f t="shared" si="46"/>
        <v/>
      </c>
      <c r="AB300" s="198" t="str">
        <f t="shared" si="46"/>
        <v/>
      </c>
      <c r="AC300" s="198" t="str">
        <f t="shared" si="46"/>
        <v/>
      </c>
      <c r="AD300" s="198" t="str">
        <f t="shared" si="47"/>
        <v/>
      </c>
      <c r="AE300" s="198" t="str">
        <f t="shared" si="47"/>
        <v/>
      </c>
      <c r="AF300" s="198" t="str">
        <f t="shared" si="47"/>
        <v/>
      </c>
      <c r="AG300" s="198" t="str">
        <f t="shared" si="43"/>
        <v/>
      </c>
      <c r="AH300" s="198" t="str">
        <f t="shared" si="43"/>
        <v/>
      </c>
      <c r="AI300" s="200" t="str">
        <f t="shared" si="48"/>
        <v/>
      </c>
      <c r="AJ300" s="208" t="str">
        <f t="shared" si="49"/>
        <v/>
      </c>
      <c r="AK300" s="4"/>
      <c r="AL300" s="162">
        <v>1395</v>
      </c>
      <c r="AM300" s="209">
        <v>9.2488616302915551E-6</v>
      </c>
      <c r="AN300" s="183">
        <v>1.0417007976584749E-4</v>
      </c>
      <c r="AO300" s="183">
        <v>3.3758315366896957E-9</v>
      </c>
      <c r="AP300" s="165">
        <v>3.6453284246651091E-9</v>
      </c>
      <c r="AR300" s="210">
        <v>95.887682824081224</v>
      </c>
      <c r="AS300" s="211">
        <v>96.000294954289032</v>
      </c>
      <c r="AT300" s="211">
        <v>95.929575733458776</v>
      </c>
      <c r="AU300" s="211">
        <v>95.801503124790244</v>
      </c>
      <c r="AV300" s="211"/>
      <c r="AW300" s="212"/>
      <c r="AX300" s="210">
        <v>94.930003432072638</v>
      </c>
      <c r="AY300" s="211">
        <v>95.903223672079108</v>
      </c>
      <c r="AZ300" s="213">
        <v>98.790332897510993</v>
      </c>
    </row>
    <row r="301" spans="12:52" x14ac:dyDescent="0.25">
      <c r="L301" s="189">
        <v>1390</v>
      </c>
      <c r="M301" s="196">
        <f t="shared" si="50"/>
        <v>0</v>
      </c>
      <c r="N301" s="197">
        <f t="shared" si="50"/>
        <v>0</v>
      </c>
      <c r="O301" s="152">
        <f ca="1"/>
        <v>96.043173083343504</v>
      </c>
      <c r="Q301" s="198">
        <v>0</v>
      </c>
      <c r="R301" s="200">
        <v>0</v>
      </c>
      <c r="S301" s="200">
        <v>0</v>
      </c>
      <c r="T301" s="200">
        <v>0</v>
      </c>
      <c r="U301" s="200">
        <f t="array" ref="U301">IF(U$77&gt;" ",(U$628:U$1078),"")</f>
        <v>0</v>
      </c>
      <c r="V301" s="200">
        <f t="array" ref="V301">IF(V$77&gt;" ",(V$628:V$1078),"")</f>
        <v>0</v>
      </c>
      <c r="W301" s="200">
        <f t="array" ref="W301">IF(W$77&gt;" ",(W$628:W$1078),"")</f>
        <v>0</v>
      </c>
      <c r="X301" s="200">
        <f t="array" ref="X301">IF(X$77&gt;" ",(X$628:X$1078),"")</f>
        <v>0</v>
      </c>
      <c r="Y301" s="204">
        <v>0</v>
      </c>
      <c r="Z301" s="198" t="str">
        <f t="shared" si="46"/>
        <v/>
      </c>
      <c r="AA301" s="198" t="str">
        <f t="shared" si="46"/>
        <v/>
      </c>
      <c r="AB301" s="198" t="str">
        <f t="shared" si="46"/>
        <v/>
      </c>
      <c r="AC301" s="198" t="str">
        <f t="shared" si="46"/>
        <v/>
      </c>
      <c r="AD301" s="198" t="str">
        <f t="shared" si="47"/>
        <v/>
      </c>
      <c r="AE301" s="198" t="str">
        <f t="shared" si="47"/>
        <v/>
      </c>
      <c r="AF301" s="198" t="str">
        <f t="shared" si="47"/>
        <v/>
      </c>
      <c r="AG301" s="198" t="str">
        <f t="shared" si="43"/>
        <v/>
      </c>
      <c r="AH301" s="198" t="str">
        <f t="shared" si="43"/>
        <v/>
      </c>
      <c r="AI301" s="200" t="str">
        <f t="shared" si="48"/>
        <v/>
      </c>
      <c r="AJ301" s="208" t="str">
        <f t="shared" si="49"/>
        <v/>
      </c>
      <c r="AK301" s="4"/>
      <c r="AL301" s="162">
        <v>1390</v>
      </c>
      <c r="AM301" s="209">
        <v>3.0323053487884458E-5</v>
      </c>
      <c r="AN301" s="183">
        <v>1.3420451882242395E-4</v>
      </c>
      <c r="AO301" s="183">
        <v>2.4803833716907371E-6</v>
      </c>
      <c r="AP301" s="165">
        <v>2.6770949003220922E-6</v>
      </c>
      <c r="AR301" s="210">
        <v>95.991624254931992</v>
      </c>
      <c r="AS301" s="211">
        <v>96.113720577896359</v>
      </c>
      <c r="AT301" s="211">
        <v>96.043173083343504</v>
      </c>
      <c r="AU301" s="211">
        <v>95.911178853892906</v>
      </c>
      <c r="AV301" s="211"/>
      <c r="AW301" s="212"/>
      <c r="AX301" s="210">
        <v>95.096392979917837</v>
      </c>
      <c r="AY301" s="211">
        <v>96.0225083912553</v>
      </c>
      <c r="AZ301" s="213">
        <v>98.814352091335479</v>
      </c>
    </row>
    <row r="302" spans="12:52" x14ac:dyDescent="0.25">
      <c r="L302" s="189">
        <v>1385</v>
      </c>
      <c r="M302" s="196">
        <f t="shared" si="50"/>
        <v>0</v>
      </c>
      <c r="N302" s="197">
        <f t="shared" si="50"/>
        <v>0</v>
      </c>
      <c r="O302" s="152">
        <f ca="1"/>
        <v>96.147146511342541</v>
      </c>
      <c r="Q302" s="198">
        <v>0</v>
      </c>
      <c r="R302" s="200">
        <v>0</v>
      </c>
      <c r="S302" s="200">
        <v>0</v>
      </c>
      <c r="T302" s="200">
        <v>0</v>
      </c>
      <c r="U302" s="200">
        <f t="array" ref="U302">IF(U$77&gt;" ",(U$628:U$1078),"")</f>
        <v>0</v>
      </c>
      <c r="V302" s="200">
        <f t="array" ref="V302">IF(V$77&gt;" ",(V$628:V$1078),"")</f>
        <v>0</v>
      </c>
      <c r="W302" s="200">
        <f t="array" ref="W302">IF(W$77&gt;" ",(W$628:W$1078),"")</f>
        <v>0</v>
      </c>
      <c r="X302" s="200">
        <f t="array" ref="X302">IF(X$77&gt;" ",(X$628:X$1078),"")</f>
        <v>0</v>
      </c>
      <c r="Y302" s="204">
        <v>0</v>
      </c>
      <c r="Z302" s="198" t="str">
        <f t="shared" si="46"/>
        <v/>
      </c>
      <c r="AA302" s="198" t="str">
        <f t="shared" si="46"/>
        <v/>
      </c>
      <c r="AB302" s="198" t="str">
        <f t="shared" si="46"/>
        <v/>
      </c>
      <c r="AC302" s="198" t="str">
        <f t="shared" si="46"/>
        <v/>
      </c>
      <c r="AD302" s="198" t="str">
        <f t="shared" si="47"/>
        <v/>
      </c>
      <c r="AE302" s="198" t="str">
        <f t="shared" si="47"/>
        <v/>
      </c>
      <c r="AF302" s="198" t="str">
        <f t="shared" si="47"/>
        <v/>
      </c>
      <c r="AG302" s="198" t="str">
        <f t="shared" si="43"/>
        <v/>
      </c>
      <c r="AH302" s="198" t="str">
        <f t="shared" si="43"/>
        <v/>
      </c>
      <c r="AI302" s="200" t="str">
        <f t="shared" si="48"/>
        <v/>
      </c>
      <c r="AJ302" s="208" t="str">
        <f t="shared" si="49"/>
        <v/>
      </c>
      <c r="AK302" s="4"/>
      <c r="AL302" s="162">
        <v>1385</v>
      </c>
      <c r="AM302" s="209">
        <v>5.1397245345477363E-5</v>
      </c>
      <c r="AN302" s="183">
        <v>1.6423895787900041E-4</v>
      </c>
      <c r="AO302" s="183">
        <v>1.0508743935485872E-8</v>
      </c>
      <c r="AP302" s="165">
        <v>1.1335512418685505E-8</v>
      </c>
      <c r="AR302" s="210">
        <v>96.095480881877918</v>
      </c>
      <c r="AS302" s="211">
        <v>96.219564723336305</v>
      </c>
      <c r="AT302" s="211">
        <v>96.147146511342541</v>
      </c>
      <c r="AU302" s="211">
        <v>96.017351559172127</v>
      </c>
      <c r="AV302" s="211"/>
      <c r="AW302" s="212"/>
      <c r="AX302" s="210">
        <v>95.213596429439619</v>
      </c>
      <c r="AY302" s="211">
        <v>96.104868226320761</v>
      </c>
      <c r="AZ302" s="213">
        <v>98.750399692417972</v>
      </c>
    </row>
    <row r="303" spans="12:52" x14ac:dyDescent="0.25">
      <c r="L303" s="189">
        <v>1380</v>
      </c>
      <c r="M303" s="196">
        <f t="shared" ref="M303:N318" si="51">M852</f>
        <v>0</v>
      </c>
      <c r="N303" s="197">
        <f t="shared" si="51"/>
        <v>0</v>
      </c>
      <c r="O303" s="152">
        <f ca="1"/>
        <v>96.215684511083296</v>
      </c>
      <c r="Q303" s="198">
        <v>0</v>
      </c>
      <c r="R303" s="200">
        <v>0</v>
      </c>
      <c r="S303" s="200">
        <v>0</v>
      </c>
      <c r="T303" s="200">
        <v>0</v>
      </c>
      <c r="U303" s="200">
        <f t="array" ref="U303">IF(U$77&gt;" ",(U$628:U$1078),"")</f>
        <v>0</v>
      </c>
      <c r="V303" s="200">
        <f t="array" ref="V303">IF(V$77&gt;" ",(V$628:V$1078),"")</f>
        <v>0</v>
      </c>
      <c r="W303" s="200">
        <f t="array" ref="W303">IF(W$77&gt;" ",(W$628:W$1078),"")</f>
        <v>0</v>
      </c>
      <c r="X303" s="200">
        <f t="array" ref="X303">IF(X$77&gt;" ",(X$628:X$1078),"")</f>
        <v>0</v>
      </c>
      <c r="Y303" s="204">
        <v>0</v>
      </c>
      <c r="Z303" s="198" t="str">
        <f t="shared" si="46"/>
        <v/>
      </c>
      <c r="AA303" s="198" t="str">
        <f t="shared" si="46"/>
        <v/>
      </c>
      <c r="AB303" s="198" t="str">
        <f t="shared" si="46"/>
        <v/>
      </c>
      <c r="AC303" s="198" t="str">
        <f t="shared" si="46"/>
        <v/>
      </c>
      <c r="AD303" s="198" t="str">
        <f t="shared" si="47"/>
        <v/>
      </c>
      <c r="AE303" s="198" t="str">
        <f t="shared" si="47"/>
        <v/>
      </c>
      <c r="AF303" s="198" t="str">
        <f t="shared" si="47"/>
        <v/>
      </c>
      <c r="AG303" s="198" t="str">
        <f t="shared" si="43"/>
        <v/>
      </c>
      <c r="AH303" s="198" t="str">
        <f t="shared" si="43"/>
        <v/>
      </c>
      <c r="AI303" s="200" t="str">
        <f t="shared" si="48"/>
        <v/>
      </c>
      <c r="AJ303" s="208" t="str">
        <f t="shared" si="49"/>
        <v/>
      </c>
      <c r="AK303" s="4"/>
      <c r="AL303" s="162">
        <v>1380</v>
      </c>
      <c r="AM303" s="209">
        <v>7.247143720307026E-5</v>
      </c>
      <c r="AN303" s="183">
        <v>1.9427339693557687E-4</v>
      </c>
      <c r="AO303" s="183">
        <v>4.1024780681586959E-7</v>
      </c>
      <c r="AP303" s="165">
        <v>4.4235081342766712E-7</v>
      </c>
      <c r="AR303" s="210">
        <v>96.173157859886089</v>
      </c>
      <c r="AS303" s="211">
        <v>96.289508119645959</v>
      </c>
      <c r="AT303" s="211">
        <v>96.215684511083296</v>
      </c>
      <c r="AU303" s="211">
        <v>96.088403573007895</v>
      </c>
      <c r="AV303" s="211"/>
      <c r="AW303" s="212"/>
      <c r="AX303" s="210">
        <v>95.281659128523231</v>
      </c>
      <c r="AY303" s="211">
        <v>96.156953142351085</v>
      </c>
      <c r="AZ303" s="213">
        <v>98.825987600004652</v>
      </c>
    </row>
    <row r="304" spans="12:52" x14ac:dyDescent="0.25">
      <c r="L304" s="189">
        <v>1375</v>
      </c>
      <c r="M304" s="196">
        <f t="shared" si="51"/>
        <v>0</v>
      </c>
      <c r="N304" s="197">
        <f t="shared" si="51"/>
        <v>0</v>
      </c>
      <c r="O304" s="152">
        <f ca="1"/>
        <v>96.254905589455333</v>
      </c>
      <c r="Q304" s="198">
        <v>0</v>
      </c>
      <c r="R304" s="200">
        <v>0</v>
      </c>
      <c r="S304" s="200">
        <v>0</v>
      </c>
      <c r="T304" s="200">
        <v>0</v>
      </c>
      <c r="U304" s="200">
        <f t="array" ref="U304">IF(U$77&gt;" ",(U$628:U$1078),"")</f>
        <v>0</v>
      </c>
      <c r="V304" s="200">
        <f t="array" ref="V304">IF(V$77&gt;" ",(V$628:V$1078),"")</f>
        <v>0</v>
      </c>
      <c r="W304" s="200">
        <f t="array" ref="W304">IF(W$77&gt;" ",(W$628:W$1078),"")</f>
        <v>0</v>
      </c>
      <c r="X304" s="200">
        <f t="array" ref="X304">IF(X$77&gt;" ",(X$628:X$1078),"")</f>
        <v>0</v>
      </c>
      <c r="Y304" s="204">
        <v>0</v>
      </c>
      <c r="Z304" s="198" t="str">
        <f t="shared" si="46"/>
        <v/>
      </c>
      <c r="AA304" s="198" t="str">
        <f t="shared" si="46"/>
        <v/>
      </c>
      <c r="AB304" s="198" t="str">
        <f t="shared" si="46"/>
        <v/>
      </c>
      <c r="AC304" s="198" t="str">
        <f t="shared" si="46"/>
        <v/>
      </c>
      <c r="AD304" s="198" t="str">
        <f t="shared" si="47"/>
        <v/>
      </c>
      <c r="AE304" s="198" t="str">
        <f t="shared" si="47"/>
        <v/>
      </c>
      <c r="AF304" s="198" t="str">
        <f t="shared" si="47"/>
        <v/>
      </c>
      <c r="AG304" s="198" t="str">
        <f t="shared" si="43"/>
        <v/>
      </c>
      <c r="AH304" s="198" t="str">
        <f t="shared" si="43"/>
        <v/>
      </c>
      <c r="AI304" s="200" t="str">
        <f t="shared" si="48"/>
        <v/>
      </c>
      <c r="AJ304" s="208" t="str">
        <f t="shared" si="49"/>
        <v/>
      </c>
      <c r="AK304" s="4"/>
      <c r="AL304" s="162">
        <v>1375</v>
      </c>
      <c r="AM304" s="209">
        <v>9.3545629060663165E-5</v>
      </c>
      <c r="AN304" s="183">
        <v>2.2430783599215333E-4</v>
      </c>
      <c r="AO304" s="183">
        <v>1.6257653903159443E-6</v>
      </c>
      <c r="AP304" s="165">
        <v>1.7521775280998495E-6</v>
      </c>
      <c r="AR304" s="210">
        <v>96.214824422604167</v>
      </c>
      <c r="AS304" s="211">
        <v>96.329621931969953</v>
      </c>
      <c r="AT304" s="211">
        <v>96.254905589455333</v>
      </c>
      <c r="AU304" s="211">
        <v>96.125563298746712</v>
      </c>
      <c r="AV304" s="211"/>
      <c r="AW304" s="212"/>
      <c r="AX304" s="210">
        <v>95.292989434829295</v>
      </c>
      <c r="AY304" s="211">
        <v>96.168458097538647</v>
      </c>
      <c r="AZ304" s="213">
        <v>98.737096879985643</v>
      </c>
    </row>
    <row r="305" spans="12:52" x14ac:dyDescent="0.25">
      <c r="L305" s="189">
        <v>1370</v>
      </c>
      <c r="M305" s="196">
        <f t="shared" si="51"/>
        <v>0</v>
      </c>
      <c r="N305" s="197">
        <f t="shared" si="51"/>
        <v>0</v>
      </c>
      <c r="O305" s="151">
        <f ca="1"/>
        <v>96.286941164403473</v>
      </c>
      <c r="Q305" s="198">
        <f t="array" ref="Q305:Q529">IF(Q77&gt;" ",(Q$854:Q$1078),"")</f>
        <v>0</v>
      </c>
      <c r="R305" s="200">
        <v>0</v>
      </c>
      <c r="S305" s="200">
        <v>0</v>
      </c>
      <c r="T305" s="200">
        <v>0</v>
      </c>
      <c r="U305" s="200">
        <f t="array" ref="U305">IF(U$77&gt;" ",(U$628:U$1078),"")</f>
        <v>0</v>
      </c>
      <c r="V305" s="200">
        <f t="array" ref="V305">IF(V$77&gt;" ",(V$628:V$1078),"")</f>
        <v>0</v>
      </c>
      <c r="W305" s="200">
        <f t="array" ref="W305">IF(W$77&gt;" ",(W$628:W$1078),"")</f>
        <v>0</v>
      </c>
      <c r="X305" s="200">
        <f t="array" ref="X305">IF(X$77&gt;" ",(X$628:X$1078),"")</f>
        <v>0</v>
      </c>
      <c r="Y305" s="204">
        <v>0</v>
      </c>
      <c r="Z305" s="198" t="str">
        <f t="shared" si="46"/>
        <v/>
      </c>
      <c r="AA305" s="198" t="str">
        <f t="shared" si="46"/>
        <v/>
      </c>
      <c r="AB305" s="198" t="str">
        <f t="shared" si="46"/>
        <v/>
      </c>
      <c r="AC305" s="198" t="str">
        <f t="shared" si="46"/>
        <v/>
      </c>
      <c r="AD305" s="198" t="str">
        <f t="shared" si="47"/>
        <v/>
      </c>
      <c r="AE305" s="198" t="str">
        <f t="shared" si="47"/>
        <v/>
      </c>
      <c r="AF305" s="198" t="str">
        <f t="shared" si="47"/>
        <v/>
      </c>
      <c r="AG305" s="198" t="str">
        <f t="shared" si="43"/>
        <v/>
      </c>
      <c r="AH305" s="198" t="str">
        <f t="shared" si="43"/>
        <v/>
      </c>
      <c r="AI305" s="200" t="str">
        <f t="shared" si="48"/>
        <v/>
      </c>
      <c r="AJ305" s="208" t="str">
        <f t="shared" si="49"/>
        <v/>
      </c>
      <c r="AK305" s="4"/>
      <c r="AL305" s="162">
        <v>1370</v>
      </c>
      <c r="AM305" s="209">
        <v>1.1455375762089684E-4</v>
      </c>
      <c r="AN305" s="183">
        <v>2.5434227504872979E-4</v>
      </c>
      <c r="AO305" s="183">
        <v>1.46827753919416E-9</v>
      </c>
      <c r="AP305" s="165">
        <v>1.5818790127206345E-9</v>
      </c>
      <c r="AR305" s="210">
        <v>96.231288541151301</v>
      </c>
      <c r="AS305" s="211">
        <v>96.360923291256597</v>
      </c>
      <c r="AT305" s="211">
        <v>96.286941164403473</v>
      </c>
      <c r="AU305" s="211">
        <v>96.151429019121792</v>
      </c>
      <c r="AV305" s="211"/>
      <c r="AW305" s="212"/>
      <c r="AX305" s="210">
        <v>95.304103748498378</v>
      </c>
      <c r="AY305" s="211">
        <v>96.192250133574518</v>
      </c>
      <c r="AZ305" s="213">
        <v>98.768257327154856</v>
      </c>
    </row>
    <row r="306" spans="12:52" x14ac:dyDescent="0.25">
      <c r="L306" s="189">
        <v>1365</v>
      </c>
      <c r="M306" s="196">
        <f t="shared" si="51"/>
        <v>0</v>
      </c>
      <c r="N306" s="197">
        <f t="shared" si="51"/>
        <v>0</v>
      </c>
      <c r="O306" s="151">
        <f ca="1"/>
        <v>96.26778773280239</v>
      </c>
      <c r="Q306" s="198">
        <v>0</v>
      </c>
      <c r="R306" s="200">
        <v>0</v>
      </c>
      <c r="S306" s="200">
        <v>0</v>
      </c>
      <c r="T306" s="200">
        <v>0</v>
      </c>
      <c r="U306" s="200">
        <f t="array" ref="U306">IF(U$77&gt;" ",(U$628:U$1078),"")</f>
        <v>0</v>
      </c>
      <c r="V306" s="200">
        <f t="array" ref="V306">IF(V$77&gt;" ",(V$628:V$1078),"")</f>
        <v>0</v>
      </c>
      <c r="W306" s="200">
        <f t="array" ref="W306">IF(W$77&gt;" ",(W$628:W$1078),"")</f>
        <v>0</v>
      </c>
      <c r="X306" s="200">
        <f t="array" ref="X306">IF(X$77&gt;" ",(X$628:X$1078),"")</f>
        <v>0</v>
      </c>
      <c r="Y306" s="204">
        <v>0</v>
      </c>
      <c r="Z306" s="198" t="str">
        <f t="shared" si="46"/>
        <v/>
      </c>
      <c r="AA306" s="198" t="str">
        <f t="shared" si="46"/>
        <v/>
      </c>
      <c r="AB306" s="198" t="str">
        <f t="shared" si="46"/>
        <v/>
      </c>
      <c r="AC306" s="198" t="str">
        <f t="shared" si="46"/>
        <v/>
      </c>
      <c r="AD306" s="198" t="str">
        <f t="shared" si="47"/>
        <v/>
      </c>
      <c r="AE306" s="198" t="str">
        <f t="shared" si="47"/>
        <v/>
      </c>
      <c r="AF306" s="198" t="str">
        <f t="shared" si="47"/>
        <v/>
      </c>
      <c r="AG306" s="198" t="str">
        <f t="shared" si="43"/>
        <v/>
      </c>
      <c r="AH306" s="198" t="str">
        <f t="shared" si="43"/>
        <v/>
      </c>
      <c r="AI306" s="200" t="str">
        <f t="shared" si="48"/>
        <v/>
      </c>
      <c r="AJ306" s="208" t="str">
        <f t="shared" si="49"/>
        <v/>
      </c>
      <c r="AK306" s="4"/>
      <c r="AL306" s="162">
        <v>1365</v>
      </c>
      <c r="AM306" s="209">
        <v>1.3562794947848974E-4</v>
      </c>
      <c r="AN306" s="183">
        <v>2.8437671410530628E-4</v>
      </c>
      <c r="AO306" s="183">
        <v>4.5639295399800938E-14</v>
      </c>
      <c r="AP306" s="165">
        <v>4.9154878413744951E-14</v>
      </c>
      <c r="AR306" s="210">
        <v>96.216607555598245</v>
      </c>
      <c r="AS306" s="211">
        <v>96.356132490338368</v>
      </c>
      <c r="AT306" s="211">
        <v>96.26778773280239</v>
      </c>
      <c r="AU306" s="211">
        <v>96.133576768440363</v>
      </c>
      <c r="AV306" s="211"/>
      <c r="AW306" s="212"/>
      <c r="AX306" s="210">
        <v>95.249766185283349</v>
      </c>
      <c r="AY306" s="211">
        <v>96.159428389830381</v>
      </c>
      <c r="AZ306" s="213">
        <v>98.702097836729337</v>
      </c>
    </row>
    <row r="307" spans="12:52" x14ac:dyDescent="0.25">
      <c r="L307" s="189">
        <v>1360</v>
      </c>
      <c r="M307" s="196">
        <f t="shared" si="51"/>
        <v>0</v>
      </c>
      <c r="N307" s="197">
        <f t="shared" si="51"/>
        <v>0</v>
      </c>
      <c r="O307" s="151">
        <f ca="1"/>
        <v>96.281065306369328</v>
      </c>
      <c r="Q307" s="198">
        <v>0</v>
      </c>
      <c r="R307" s="200">
        <v>0</v>
      </c>
      <c r="S307" s="200">
        <v>0</v>
      </c>
      <c r="T307" s="200">
        <v>0</v>
      </c>
      <c r="U307" s="200">
        <f t="array" ref="U307">IF(U$77&gt;" ",(U$628:U$1078),"")</f>
        <v>0</v>
      </c>
      <c r="V307" s="200">
        <f t="array" ref="V307">IF(V$77&gt;" ",(V$628:V$1078),"")</f>
        <v>0</v>
      </c>
      <c r="W307" s="200">
        <f t="array" ref="W307">IF(W$77&gt;" ",(W$628:W$1078),"")</f>
        <v>0</v>
      </c>
      <c r="X307" s="200">
        <f t="array" ref="X307">IF(X$77&gt;" ",(X$628:X$1078),"")</f>
        <v>0</v>
      </c>
      <c r="Y307" s="204">
        <v>0</v>
      </c>
      <c r="Z307" s="198" t="str">
        <f t="shared" si="46"/>
        <v/>
      </c>
      <c r="AA307" s="198" t="str">
        <f t="shared" si="46"/>
        <v/>
      </c>
      <c r="AB307" s="198" t="str">
        <f t="shared" si="46"/>
        <v/>
      </c>
      <c r="AC307" s="198" t="str">
        <f t="shared" si="46"/>
        <v/>
      </c>
      <c r="AD307" s="198" t="str">
        <f t="shared" si="47"/>
        <v/>
      </c>
      <c r="AE307" s="198" t="str">
        <f t="shared" si="47"/>
        <v/>
      </c>
      <c r="AF307" s="198" t="str">
        <f t="shared" si="47"/>
        <v/>
      </c>
      <c r="AG307" s="198" t="str">
        <f t="shared" si="43"/>
        <v/>
      </c>
      <c r="AH307" s="198" t="str">
        <f t="shared" si="43"/>
        <v/>
      </c>
      <c r="AI307" s="200" t="str">
        <f t="shared" si="48"/>
        <v/>
      </c>
      <c r="AJ307" s="208" t="str">
        <f t="shared" si="49"/>
        <v/>
      </c>
      <c r="AK307" s="4"/>
      <c r="AL307" s="162">
        <v>1360</v>
      </c>
      <c r="AM307" s="209">
        <v>1.5670214133608264E-4</v>
      </c>
      <c r="AN307" s="183">
        <v>3.1441115316188271E-4</v>
      </c>
      <c r="AO307" s="183">
        <v>1.076267549620267E-8</v>
      </c>
      <c r="AP307" s="165">
        <v>1.1587910152619209E-8</v>
      </c>
      <c r="AR307" s="210">
        <v>96.228075089097828</v>
      </c>
      <c r="AS307" s="211">
        <v>96.36475330468086</v>
      </c>
      <c r="AT307" s="211">
        <v>96.281065306369328</v>
      </c>
      <c r="AU307" s="211">
        <v>96.149802391987066</v>
      </c>
      <c r="AV307" s="211"/>
      <c r="AW307" s="212"/>
      <c r="AX307" s="210">
        <v>95.223928222620032</v>
      </c>
      <c r="AY307" s="211">
        <v>96.117449065731805</v>
      </c>
      <c r="AZ307" s="213">
        <v>98.724074910594837</v>
      </c>
    </row>
    <row r="308" spans="12:52" x14ac:dyDescent="0.25">
      <c r="L308" s="189">
        <v>1355</v>
      </c>
      <c r="M308" s="196">
        <f t="shared" si="51"/>
        <v>0</v>
      </c>
      <c r="N308" s="197">
        <f t="shared" si="51"/>
        <v>0</v>
      </c>
      <c r="O308" s="151">
        <f ca="1"/>
        <v>96.27459004200675</v>
      </c>
      <c r="Q308" s="198">
        <v>0</v>
      </c>
      <c r="R308" s="200">
        <v>0</v>
      </c>
      <c r="S308" s="200">
        <v>0</v>
      </c>
      <c r="T308" s="200">
        <v>0</v>
      </c>
      <c r="U308" s="200">
        <f t="array" ref="U308">IF(U$77&gt;" ",(U$628:U$1078),"")</f>
        <v>0</v>
      </c>
      <c r="V308" s="200">
        <f t="array" ref="V308">IF(V$77&gt;" ",(V$628:V$1078),"")</f>
        <v>0</v>
      </c>
      <c r="W308" s="200">
        <f t="array" ref="W308">IF(W$77&gt;" ",(W$628:W$1078),"")</f>
        <v>0</v>
      </c>
      <c r="X308" s="200">
        <f t="array" ref="X308">IF(X$77&gt;" ",(X$628:X$1078),"")</f>
        <v>0</v>
      </c>
      <c r="Y308" s="204">
        <v>0</v>
      </c>
      <c r="Z308" s="198" t="str">
        <f t="shared" si="46"/>
        <v/>
      </c>
      <c r="AA308" s="198" t="str">
        <f t="shared" si="46"/>
        <v/>
      </c>
      <c r="AB308" s="198" t="str">
        <f t="shared" si="46"/>
        <v/>
      </c>
      <c r="AC308" s="198" t="str">
        <f t="shared" si="46"/>
        <v/>
      </c>
      <c r="AD308" s="198" t="str">
        <f t="shared" si="47"/>
        <v/>
      </c>
      <c r="AE308" s="198" t="str">
        <f t="shared" si="47"/>
        <v/>
      </c>
      <c r="AF308" s="198" t="str">
        <f t="shared" si="47"/>
        <v/>
      </c>
      <c r="AG308" s="198" t="str">
        <f t="shared" si="43"/>
        <v/>
      </c>
      <c r="AH308" s="198" t="str">
        <f t="shared" si="43"/>
        <v/>
      </c>
      <c r="AI308" s="200" t="str">
        <f t="shared" si="48"/>
        <v/>
      </c>
      <c r="AJ308" s="208" t="str">
        <f t="shared" si="49"/>
        <v/>
      </c>
      <c r="AK308" s="4"/>
      <c r="AL308" s="162">
        <v>1355</v>
      </c>
      <c r="AM308" s="209">
        <v>1.7777633319367554E-4</v>
      </c>
      <c r="AN308" s="183">
        <v>3.4444559221845919E-4</v>
      </c>
      <c r="AO308" s="183">
        <v>1.811914823538437E-8</v>
      </c>
      <c r="AP308" s="165">
        <v>1.9501782337888608E-8</v>
      </c>
      <c r="AR308" s="210">
        <v>96.223455428528553</v>
      </c>
      <c r="AS308" s="211">
        <v>96.352918972652859</v>
      </c>
      <c r="AT308" s="211">
        <v>96.27459004200675</v>
      </c>
      <c r="AU308" s="211">
        <v>96.140511100951599</v>
      </c>
      <c r="AV308" s="211"/>
      <c r="AW308" s="212"/>
      <c r="AX308" s="210">
        <v>95.230330166909312</v>
      </c>
      <c r="AY308" s="211">
        <v>96.117365141486061</v>
      </c>
      <c r="AZ308" s="213">
        <v>98.739245721976516</v>
      </c>
    </row>
    <row r="309" spans="12:52" x14ac:dyDescent="0.25">
      <c r="L309" s="189">
        <v>1350</v>
      </c>
      <c r="M309" s="196">
        <f t="shared" si="51"/>
        <v>0</v>
      </c>
      <c r="N309" s="197">
        <f t="shared" si="51"/>
        <v>0</v>
      </c>
      <c r="O309" s="152">
        <f ca="1"/>
        <v>96.276660271241781</v>
      </c>
      <c r="Q309" s="198">
        <v>0</v>
      </c>
      <c r="R309" s="200">
        <v>0</v>
      </c>
      <c r="S309" s="200">
        <v>0</v>
      </c>
      <c r="T309" s="200">
        <v>0</v>
      </c>
      <c r="U309" s="200">
        <f t="array" ref="U309">IF(U$77&gt;" ",(U$628:U$1078),"")</f>
        <v>0</v>
      </c>
      <c r="V309" s="200">
        <f t="array" ref="V309">IF(V$77&gt;" ",(V$628:V$1078),"")</f>
        <v>0</v>
      </c>
      <c r="W309" s="200">
        <f t="array" ref="W309">IF(W$77&gt;" ",(W$628:W$1078),"")</f>
        <v>0</v>
      </c>
      <c r="X309" s="200">
        <f t="array" ref="X309">IF(X$77&gt;" ",(X$628:X$1078),"")</f>
        <v>0</v>
      </c>
      <c r="Y309" s="204">
        <v>0</v>
      </c>
      <c r="Z309" s="198" t="str">
        <f t="shared" si="46"/>
        <v/>
      </c>
      <c r="AA309" s="198" t="str">
        <f t="shared" si="46"/>
        <v/>
      </c>
      <c r="AB309" s="198" t="str">
        <f t="shared" si="46"/>
        <v/>
      </c>
      <c r="AC309" s="198" t="str">
        <f t="shared" si="46"/>
        <v/>
      </c>
      <c r="AD309" s="198" t="str">
        <f t="shared" si="47"/>
        <v/>
      </c>
      <c r="AE309" s="198" t="str">
        <f t="shared" si="47"/>
        <v/>
      </c>
      <c r="AF309" s="198" t="str">
        <f t="shared" si="47"/>
        <v/>
      </c>
      <c r="AG309" s="198" t="str">
        <f t="shared" si="43"/>
        <v/>
      </c>
      <c r="AH309" s="198" t="str">
        <f t="shared" si="43"/>
        <v/>
      </c>
      <c r="AI309" s="200" t="str">
        <f t="shared" si="48"/>
        <v/>
      </c>
      <c r="AJ309" s="208" t="str">
        <f t="shared" si="49"/>
        <v/>
      </c>
      <c r="AK309" s="4"/>
      <c r="AL309" s="162">
        <v>1350</v>
      </c>
      <c r="AM309" s="209">
        <v>1.9885052505126845E-4</v>
      </c>
      <c r="AN309" s="183">
        <v>3.7448003127503568E-4</v>
      </c>
      <c r="AO309" s="183">
        <v>8.0579272484884972E-5</v>
      </c>
      <c r="AP309" s="165">
        <v>8.6677075458208391E-5</v>
      </c>
      <c r="AR309" s="210">
        <v>96.22908966787432</v>
      </c>
      <c r="AS309" s="211">
        <v>96.354871256261802</v>
      </c>
      <c r="AT309" s="211">
        <v>96.276660271241781</v>
      </c>
      <c r="AU309" s="211">
        <v>96.143774629036685</v>
      </c>
      <c r="AV309" s="211"/>
      <c r="AW309" s="212"/>
      <c r="AX309" s="210">
        <v>95.16332837768762</v>
      </c>
      <c r="AY309" s="211">
        <v>96.088598440516876</v>
      </c>
      <c r="AZ309" s="213">
        <v>98.717115411401366</v>
      </c>
    </row>
    <row r="310" spans="12:52" x14ac:dyDescent="0.25">
      <c r="L310" s="189">
        <v>1345</v>
      </c>
      <c r="M310" s="196">
        <f t="shared" si="51"/>
        <v>0</v>
      </c>
      <c r="N310" s="197">
        <f t="shared" si="51"/>
        <v>0</v>
      </c>
      <c r="O310" s="152">
        <f ca="1"/>
        <v>96.291230889378866</v>
      </c>
      <c r="Q310" s="198">
        <v>0</v>
      </c>
      <c r="R310" s="200">
        <v>0</v>
      </c>
      <c r="S310" s="200">
        <v>0</v>
      </c>
      <c r="T310" s="200">
        <v>0</v>
      </c>
      <c r="U310" s="200">
        <f t="array" ref="U310">IF(U$77&gt;" ",(U$628:U$1078),"")</f>
        <v>0</v>
      </c>
      <c r="V310" s="200">
        <f t="array" ref="V310">IF(V$77&gt;" ",(V$628:V$1078),"")</f>
        <v>0</v>
      </c>
      <c r="W310" s="200">
        <f t="array" ref="W310">IF(W$77&gt;" ",(W$628:W$1078),"")</f>
        <v>0</v>
      </c>
      <c r="X310" s="200">
        <f t="array" ref="X310">IF(X$77&gt;" ",(X$628:X$1078),"")</f>
        <v>0</v>
      </c>
      <c r="Y310" s="204">
        <v>0</v>
      </c>
      <c r="Z310" s="198" t="str">
        <f t="shared" si="46"/>
        <v/>
      </c>
      <c r="AA310" s="198" t="str">
        <f t="shared" si="46"/>
        <v/>
      </c>
      <c r="AB310" s="198" t="str">
        <f t="shared" si="46"/>
        <v/>
      </c>
      <c r="AC310" s="198" t="str">
        <f t="shared" si="46"/>
        <v/>
      </c>
      <c r="AD310" s="198" t="str">
        <f t="shared" si="47"/>
        <v/>
      </c>
      <c r="AE310" s="198" t="str">
        <f t="shared" si="47"/>
        <v/>
      </c>
      <c r="AF310" s="198" t="str">
        <f t="shared" si="47"/>
        <v/>
      </c>
      <c r="AG310" s="198" t="str">
        <f t="shared" si="43"/>
        <v/>
      </c>
      <c r="AH310" s="198" t="str">
        <f t="shared" si="43"/>
        <v/>
      </c>
      <c r="AI310" s="200" t="str">
        <f t="shared" si="48"/>
        <v/>
      </c>
      <c r="AJ310" s="208" t="str">
        <f t="shared" si="49"/>
        <v/>
      </c>
      <c r="AK310" s="4"/>
      <c r="AL310" s="162">
        <v>1345</v>
      </c>
      <c r="AM310" s="209">
        <v>4.117064691426927E-4</v>
      </c>
      <c r="AN310" s="183">
        <v>5.1467743117503768E-4</v>
      </c>
      <c r="AO310" s="183">
        <v>5.4829103723880548E-4</v>
      </c>
      <c r="AP310" s="165">
        <v>5.8879746313004295E-4</v>
      </c>
      <c r="AR310" s="210">
        <v>96.238278052748441</v>
      </c>
      <c r="AS310" s="211">
        <v>96.36835279501679</v>
      </c>
      <c r="AT310" s="211">
        <v>96.291230889378866</v>
      </c>
      <c r="AU310" s="211">
        <v>96.156010260165246</v>
      </c>
      <c r="AV310" s="211"/>
      <c r="AW310" s="212"/>
      <c r="AX310" s="210">
        <v>95.150447045944176</v>
      </c>
      <c r="AY310" s="211">
        <v>96.077415025027861</v>
      </c>
      <c r="AZ310" s="213">
        <v>98.725242800536535</v>
      </c>
    </row>
    <row r="311" spans="12:52" x14ac:dyDescent="0.25">
      <c r="L311" s="189">
        <v>1340</v>
      </c>
      <c r="M311" s="196">
        <f t="shared" si="51"/>
        <v>0</v>
      </c>
      <c r="N311" s="197">
        <f t="shared" si="51"/>
        <v>0</v>
      </c>
      <c r="O311" s="152">
        <f ca="1"/>
        <v>96.268754247086903</v>
      </c>
      <c r="Q311" s="198">
        <v>0</v>
      </c>
      <c r="R311" s="200">
        <v>0</v>
      </c>
      <c r="S311" s="200">
        <v>0</v>
      </c>
      <c r="T311" s="200">
        <v>0</v>
      </c>
      <c r="U311" s="200">
        <f t="array" ref="U311">IF(U$77&gt;" ",(U$628:U$1078),"")</f>
        <v>0</v>
      </c>
      <c r="V311" s="200">
        <f t="array" ref="V311">IF(V$77&gt;" ",(V$628:V$1078),"")</f>
        <v>0</v>
      </c>
      <c r="W311" s="200">
        <f t="array" ref="W311">IF(W$77&gt;" ",(W$628:W$1078),"")</f>
        <v>0</v>
      </c>
      <c r="X311" s="200">
        <f t="array" ref="X311">IF(X$77&gt;" ",(X$628:X$1078),"")</f>
        <v>0</v>
      </c>
      <c r="Y311" s="204">
        <v>0</v>
      </c>
      <c r="Z311" s="198" t="str">
        <f t="shared" si="46"/>
        <v/>
      </c>
      <c r="AA311" s="198" t="str">
        <f t="shared" si="46"/>
        <v/>
      </c>
      <c r="AB311" s="198" t="str">
        <f t="shared" si="46"/>
        <v/>
      </c>
      <c r="AC311" s="198" t="str">
        <f t="shared" si="46"/>
        <v/>
      </c>
      <c r="AD311" s="198" t="str">
        <f t="shared" si="47"/>
        <v/>
      </c>
      <c r="AE311" s="198" t="str">
        <f t="shared" si="47"/>
        <v/>
      </c>
      <c r="AF311" s="198" t="str">
        <f t="shared" si="47"/>
        <v/>
      </c>
      <c r="AG311" s="198" t="str">
        <f t="shared" si="43"/>
        <v/>
      </c>
      <c r="AH311" s="198" t="str">
        <f t="shared" si="43"/>
        <v/>
      </c>
      <c r="AI311" s="200" t="str">
        <f t="shared" si="48"/>
        <v/>
      </c>
      <c r="AJ311" s="208" t="str">
        <f t="shared" si="49"/>
        <v/>
      </c>
      <c r="AK311" s="4"/>
      <c r="AL311" s="162">
        <v>1340</v>
      </c>
      <c r="AM311" s="209">
        <v>6.2449634993675773E-4</v>
      </c>
      <c r="AN311" s="183">
        <v>6.5487483107503968E-4</v>
      </c>
      <c r="AO311" s="183">
        <v>8.4632120760879802E-4</v>
      </c>
      <c r="AP311" s="165">
        <v>9.075125617447749E-4</v>
      </c>
      <c r="AR311" s="210">
        <v>96.222981008930986</v>
      </c>
      <c r="AS311" s="211">
        <v>96.346625180164324</v>
      </c>
      <c r="AT311" s="211">
        <v>96.268754247086903</v>
      </c>
      <c r="AU311" s="211">
        <v>96.133890819510768</v>
      </c>
      <c r="AV311" s="211"/>
      <c r="AW311" s="212"/>
      <c r="AX311" s="210">
        <v>95.143091923450243</v>
      </c>
      <c r="AY311" s="211">
        <v>96.078712661970599</v>
      </c>
      <c r="AZ311" s="213">
        <v>98.822752226916776</v>
      </c>
    </row>
    <row r="312" spans="12:52" x14ac:dyDescent="0.25">
      <c r="L312" s="189">
        <v>1335</v>
      </c>
      <c r="M312" s="196">
        <f t="shared" si="51"/>
        <v>0</v>
      </c>
      <c r="N312" s="197">
        <f t="shared" si="51"/>
        <v>0</v>
      </c>
      <c r="O312" s="152">
        <f ca="1"/>
        <v>96.26342926632158</v>
      </c>
      <c r="Q312" s="198">
        <v>0</v>
      </c>
      <c r="R312" s="200">
        <v>0</v>
      </c>
      <c r="S312" s="200">
        <v>0</v>
      </c>
      <c r="T312" s="200">
        <v>0</v>
      </c>
      <c r="U312" s="200">
        <f t="array" ref="U312">IF(U$77&gt;" ",(U$628:U$1078),"")</f>
        <v>0</v>
      </c>
      <c r="V312" s="200">
        <f t="array" ref="V312">IF(V$77&gt;" ",(V$628:V$1078),"")</f>
        <v>0</v>
      </c>
      <c r="W312" s="200">
        <f t="array" ref="W312">IF(W$77&gt;" ",(W$628:W$1078),"")</f>
        <v>0</v>
      </c>
      <c r="X312" s="200">
        <f t="array" ref="X312">IF(X$77&gt;" ",(X$628:X$1078),"")</f>
        <v>0</v>
      </c>
      <c r="Y312" s="204">
        <v>0</v>
      </c>
      <c r="Z312" s="198" t="str">
        <f t="shared" si="46"/>
        <v/>
      </c>
      <c r="AA312" s="198" t="str">
        <f t="shared" si="46"/>
        <v/>
      </c>
      <c r="AB312" s="198" t="str">
        <f t="shared" si="46"/>
        <v/>
      </c>
      <c r="AC312" s="198" t="str">
        <f t="shared" si="46"/>
        <v/>
      </c>
      <c r="AD312" s="198" t="str">
        <f t="shared" si="47"/>
        <v/>
      </c>
      <c r="AE312" s="198" t="str">
        <f t="shared" si="47"/>
        <v/>
      </c>
      <c r="AF312" s="198" t="str">
        <f t="shared" si="47"/>
        <v/>
      </c>
      <c r="AG312" s="198" t="str">
        <f t="shared" si="43"/>
        <v/>
      </c>
      <c r="AH312" s="198" t="str">
        <f t="shared" si="43"/>
        <v/>
      </c>
      <c r="AI312" s="200" t="str">
        <f t="shared" si="48"/>
        <v/>
      </c>
      <c r="AJ312" s="208" t="str">
        <f t="shared" si="49"/>
        <v/>
      </c>
      <c r="AK312" s="4"/>
      <c r="AL312" s="162">
        <v>1335</v>
      </c>
      <c r="AM312" s="209">
        <v>8.3735229402818188E-4</v>
      </c>
      <c r="AN312" s="183">
        <v>7.9507223097504168E-4</v>
      </c>
      <c r="AO312" s="183">
        <v>1.1624031463544997E-3</v>
      </c>
      <c r="AP312" s="165">
        <v>1.2448636792951882E-3</v>
      </c>
      <c r="AR312" s="210">
        <v>96.211109478853359</v>
      </c>
      <c r="AS312" s="211">
        <v>96.34536152233143</v>
      </c>
      <c r="AT312" s="211">
        <v>96.26342926632158</v>
      </c>
      <c r="AU312" s="211">
        <v>96.13199903879196</v>
      </c>
      <c r="AV312" s="211"/>
      <c r="AW312" s="212"/>
      <c r="AX312" s="210">
        <v>95.114545447164744</v>
      </c>
      <c r="AY312" s="211">
        <v>96.061718219908585</v>
      </c>
      <c r="AZ312" s="213">
        <v>98.847819014988147</v>
      </c>
    </row>
    <row r="313" spans="12:52" x14ac:dyDescent="0.25">
      <c r="L313" s="189">
        <v>1330</v>
      </c>
      <c r="M313" s="196">
        <f t="shared" si="51"/>
        <v>0</v>
      </c>
      <c r="N313" s="197">
        <f t="shared" si="51"/>
        <v>0</v>
      </c>
      <c r="O313" s="152">
        <f ca="1"/>
        <v>96.244565924613298</v>
      </c>
      <c r="Q313" s="198">
        <v>0</v>
      </c>
      <c r="R313" s="200">
        <v>0</v>
      </c>
      <c r="S313" s="200">
        <v>0</v>
      </c>
      <c r="T313" s="200">
        <v>0</v>
      </c>
      <c r="U313" s="200">
        <f t="array" ref="U313">IF(U$77&gt;" ",(U$628:U$1078),"")</f>
        <v>0</v>
      </c>
      <c r="V313" s="200">
        <f t="array" ref="V313">IF(V$77&gt;" ",(V$628:V$1078),"")</f>
        <v>0</v>
      </c>
      <c r="W313" s="200">
        <f t="array" ref="W313">IF(W$77&gt;" ",(W$628:W$1078),"")</f>
        <v>0</v>
      </c>
      <c r="X313" s="200">
        <f t="array" ref="X313">IF(X$77&gt;" ",(X$628:X$1078),"")</f>
        <v>0</v>
      </c>
      <c r="Y313" s="204">
        <v>0</v>
      </c>
      <c r="Z313" s="198" t="str">
        <f t="shared" si="46"/>
        <v/>
      </c>
      <c r="AA313" s="198" t="str">
        <f t="shared" si="46"/>
        <v/>
      </c>
      <c r="AB313" s="198" t="str">
        <f t="shared" si="46"/>
        <v/>
      </c>
      <c r="AC313" s="198" t="str">
        <f t="shared" si="46"/>
        <v/>
      </c>
      <c r="AD313" s="198" t="str">
        <f t="shared" si="47"/>
        <v/>
      </c>
      <c r="AE313" s="198" t="str">
        <f t="shared" si="47"/>
        <v/>
      </c>
      <c r="AF313" s="198" t="str">
        <f t="shared" si="47"/>
        <v/>
      </c>
      <c r="AG313" s="198" t="str">
        <f t="shared" si="43"/>
        <v/>
      </c>
      <c r="AH313" s="198" t="str">
        <f t="shared" si="43"/>
        <v/>
      </c>
      <c r="AI313" s="200" t="str">
        <f t="shared" si="48"/>
        <v/>
      </c>
      <c r="AJ313" s="208" t="str">
        <f t="shared" si="49"/>
        <v/>
      </c>
      <c r="AK313" s="4"/>
      <c r="AL313" s="162">
        <v>1330</v>
      </c>
      <c r="AM313" s="209">
        <v>1.0502082381196062E-3</v>
      </c>
      <c r="AN313" s="183">
        <v>9.3526963087504379E-4</v>
      </c>
      <c r="AO313" s="183">
        <v>1.1526481517447852E-3</v>
      </c>
      <c r="AP313" s="165">
        <v>1.2341185872962368E-3</v>
      </c>
      <c r="AR313" s="210">
        <v>96.198426778496426</v>
      </c>
      <c r="AS313" s="211">
        <v>96.329707586332518</v>
      </c>
      <c r="AT313" s="211">
        <v>96.244565924613298</v>
      </c>
      <c r="AU313" s="211">
        <v>96.113085954995384</v>
      </c>
      <c r="AV313" s="211"/>
      <c r="AW313" s="212"/>
      <c r="AX313" s="210">
        <v>95.14272049090043</v>
      </c>
      <c r="AY313" s="211">
        <v>96.065174629994019</v>
      </c>
      <c r="AZ313" s="213">
        <v>98.720720748469546</v>
      </c>
    </row>
    <row r="314" spans="12:52" x14ac:dyDescent="0.25">
      <c r="L314" s="189">
        <v>1325</v>
      </c>
      <c r="M314" s="196">
        <f t="shared" si="51"/>
        <v>0</v>
      </c>
      <c r="N314" s="197">
        <f t="shared" si="51"/>
        <v>0</v>
      </c>
      <c r="O314" s="152">
        <f ca="1"/>
        <v>96.245114903933484</v>
      </c>
      <c r="Q314" s="198">
        <v>0</v>
      </c>
      <c r="R314" s="200">
        <v>0</v>
      </c>
      <c r="S314" s="200">
        <v>0</v>
      </c>
      <c r="T314" s="200">
        <v>0</v>
      </c>
      <c r="U314" s="200">
        <f t="array" ref="U314">IF(U$77&gt;" ",(U$628:U$1078),"")</f>
        <v>0</v>
      </c>
      <c r="V314" s="200">
        <f t="array" ref="V314">IF(V$77&gt;" ",(V$628:V$1078),"")</f>
        <v>0</v>
      </c>
      <c r="W314" s="200">
        <f t="array" ref="W314">IF(W$77&gt;" ",(W$628:W$1078),"")</f>
        <v>0</v>
      </c>
      <c r="X314" s="200">
        <f t="array" ref="X314">IF(X$77&gt;" ",(X$628:X$1078),"")</f>
        <v>0</v>
      </c>
      <c r="Y314" s="204">
        <v>0</v>
      </c>
      <c r="Z314" s="198" t="str">
        <f t="shared" si="46"/>
        <v/>
      </c>
      <c r="AA314" s="198" t="str">
        <f t="shared" si="46"/>
        <v/>
      </c>
      <c r="AB314" s="198" t="str">
        <f t="shared" si="46"/>
        <v/>
      </c>
      <c r="AC314" s="198" t="str">
        <f t="shared" si="46"/>
        <v/>
      </c>
      <c r="AD314" s="198" t="str">
        <f t="shared" si="47"/>
        <v/>
      </c>
      <c r="AE314" s="198" t="str">
        <f t="shared" si="47"/>
        <v/>
      </c>
      <c r="AF314" s="198" t="str">
        <f t="shared" si="47"/>
        <v/>
      </c>
      <c r="AG314" s="198" t="str">
        <f t="shared" si="43"/>
        <v/>
      </c>
      <c r="AH314" s="198" t="str">
        <f t="shared" si="43"/>
        <v/>
      </c>
      <c r="AI314" s="200" t="str">
        <f t="shared" si="48"/>
        <v/>
      </c>
      <c r="AJ314" s="208" t="str">
        <f t="shared" si="49"/>
        <v/>
      </c>
      <c r="AK314" s="4"/>
      <c r="AL314" s="162">
        <v>1325</v>
      </c>
      <c r="AM314" s="209">
        <v>1.2629981189136712E-3</v>
      </c>
      <c r="AN314" s="183">
        <v>1.0754670307750456E-3</v>
      </c>
      <c r="AO314" s="183">
        <v>1.6203347747600209E-3</v>
      </c>
      <c r="AP314" s="165">
        <v>1.7316946964768482E-3</v>
      </c>
      <c r="AR314" s="210">
        <v>96.201663519664891</v>
      </c>
      <c r="AS314" s="211">
        <v>96.334507247581527</v>
      </c>
      <c r="AT314" s="211">
        <v>96.245114903933484</v>
      </c>
      <c r="AU314" s="211">
        <v>96.121432812424871</v>
      </c>
      <c r="AV314" s="211"/>
      <c r="AW314" s="212"/>
      <c r="AX314" s="210">
        <v>95.158145480579449</v>
      </c>
      <c r="AY314" s="211">
        <v>96.051031249339232</v>
      </c>
      <c r="AZ314" s="213">
        <v>98.82927784843055</v>
      </c>
    </row>
    <row r="315" spans="12:52" x14ac:dyDescent="0.25">
      <c r="L315" s="189">
        <v>1320</v>
      </c>
      <c r="M315" s="196">
        <f t="shared" si="51"/>
        <v>0</v>
      </c>
      <c r="N315" s="197">
        <f t="shared" si="51"/>
        <v>0</v>
      </c>
      <c r="O315" s="152">
        <f ca="1"/>
        <v>96.23384905612663</v>
      </c>
      <c r="Q315" s="198">
        <v>0</v>
      </c>
      <c r="R315" s="200">
        <v>0</v>
      </c>
      <c r="S315" s="200">
        <v>0</v>
      </c>
      <c r="T315" s="200">
        <v>0</v>
      </c>
      <c r="U315" s="200">
        <f t="array" ref="U315">IF(U$77&gt;" ",(U$628:U$1078),"")</f>
        <v>0</v>
      </c>
      <c r="V315" s="200">
        <f t="array" ref="V315">IF(V$77&gt;" ",(V$628:V$1078),"")</f>
        <v>0</v>
      </c>
      <c r="W315" s="200">
        <f t="array" ref="W315">IF(W$77&gt;" ",(W$628:W$1078),"")</f>
        <v>0</v>
      </c>
      <c r="X315" s="200">
        <f t="array" ref="X315">IF(X$77&gt;" ",(X$628:X$1078),"")</f>
        <v>0</v>
      </c>
      <c r="Y315" s="204">
        <v>0</v>
      </c>
      <c r="Z315" s="198" t="str">
        <f t="shared" si="46"/>
        <v/>
      </c>
      <c r="AA315" s="198" t="str">
        <f t="shared" si="46"/>
        <v/>
      </c>
      <c r="AB315" s="198" t="str">
        <f t="shared" si="46"/>
        <v/>
      </c>
      <c r="AC315" s="198" t="str">
        <f t="shared" si="46"/>
        <v/>
      </c>
      <c r="AD315" s="198" t="str">
        <f t="shared" si="47"/>
        <v/>
      </c>
      <c r="AE315" s="198" t="str">
        <f t="shared" si="47"/>
        <v/>
      </c>
      <c r="AF315" s="198" t="str">
        <f t="shared" si="47"/>
        <v/>
      </c>
      <c r="AG315" s="198" t="str">
        <f t="shared" si="43"/>
        <v/>
      </c>
      <c r="AH315" s="198" t="str">
        <f t="shared" si="43"/>
        <v/>
      </c>
      <c r="AI315" s="200" t="str">
        <f t="shared" si="48"/>
        <v/>
      </c>
      <c r="AJ315" s="208" t="str">
        <f t="shared" si="49"/>
        <v/>
      </c>
      <c r="AK315" s="4"/>
      <c r="AL315" s="162">
        <v>1320</v>
      </c>
      <c r="AM315" s="209">
        <v>1.4758540630050955E-3</v>
      </c>
      <c r="AN315" s="183">
        <v>1.2156644306750477E-3</v>
      </c>
      <c r="AO315" s="183">
        <v>1.3009341265079214E-3</v>
      </c>
      <c r="AP315" s="165">
        <v>1.3914894138642134E-3</v>
      </c>
      <c r="AR315" s="210">
        <v>96.192461779167871</v>
      </c>
      <c r="AS315" s="211">
        <v>96.318017568049228</v>
      </c>
      <c r="AT315" s="211">
        <v>96.23384905612663</v>
      </c>
      <c r="AU315" s="211">
        <v>96.106866119763978</v>
      </c>
      <c r="AV315" s="211"/>
      <c r="AW315" s="212"/>
      <c r="AX315" s="210">
        <v>95.117706197585449</v>
      </c>
      <c r="AY315" s="211">
        <v>96.036198381951905</v>
      </c>
      <c r="AZ315" s="213">
        <v>98.844507496504846</v>
      </c>
    </row>
    <row r="316" spans="12:52" x14ac:dyDescent="0.25">
      <c r="L316" s="189">
        <v>1315</v>
      </c>
      <c r="M316" s="196">
        <f t="shared" si="51"/>
        <v>0</v>
      </c>
      <c r="N316" s="197">
        <f t="shared" si="51"/>
        <v>0</v>
      </c>
      <c r="O316" s="152">
        <f ca="1"/>
        <v>96.211531409359864</v>
      </c>
      <c r="Q316" s="198">
        <v>0</v>
      </c>
      <c r="R316" s="200">
        <v>0</v>
      </c>
      <c r="S316" s="200">
        <v>0</v>
      </c>
      <c r="T316" s="200">
        <v>0</v>
      </c>
      <c r="U316" s="200">
        <f t="array" ref="U316">IF(U$77&gt;" ",(U$628:U$1078),"")</f>
        <v>0</v>
      </c>
      <c r="V316" s="200">
        <f t="array" ref="V316">IF(V$77&gt;" ",(V$628:V$1078),"")</f>
        <v>0</v>
      </c>
      <c r="W316" s="200">
        <f t="array" ref="W316">IF(W$77&gt;" ",(W$628:W$1078),"")</f>
        <v>0</v>
      </c>
      <c r="X316" s="200">
        <f t="array" ref="X316">IF(X$77&gt;" ",(X$628:X$1078),"")</f>
        <v>0</v>
      </c>
      <c r="Y316" s="204">
        <v>0</v>
      </c>
      <c r="Z316" s="198" t="str">
        <f t="shared" si="46"/>
        <v/>
      </c>
      <c r="AA316" s="198" t="str">
        <f t="shared" si="46"/>
        <v/>
      </c>
      <c r="AB316" s="198" t="str">
        <f t="shared" si="46"/>
        <v/>
      </c>
      <c r="AC316" s="198" t="str">
        <f t="shared" si="46"/>
        <v/>
      </c>
      <c r="AD316" s="198" t="str">
        <f t="shared" si="47"/>
        <v/>
      </c>
      <c r="AE316" s="198" t="str">
        <f t="shared" si="47"/>
        <v/>
      </c>
      <c r="AF316" s="198" t="str">
        <f t="shared" si="47"/>
        <v/>
      </c>
      <c r="AG316" s="198" t="str">
        <f t="shared" si="43"/>
        <v/>
      </c>
      <c r="AH316" s="198" t="str">
        <f t="shared" si="43"/>
        <v/>
      </c>
      <c r="AI316" s="200" t="str">
        <f t="shared" si="48"/>
        <v/>
      </c>
      <c r="AJ316" s="208" t="str">
        <f t="shared" si="49"/>
        <v/>
      </c>
      <c r="AK316" s="4"/>
      <c r="AL316" s="162">
        <v>1315</v>
      </c>
      <c r="AM316" s="209">
        <v>1.6325562043411779E-3</v>
      </c>
      <c r="AN316" s="183">
        <v>1.3558618305750494E-3</v>
      </c>
      <c r="AO316" s="183">
        <v>1.4371520667023384E-3</v>
      </c>
      <c r="AP316" s="165">
        <v>1.5360444796626072E-3</v>
      </c>
      <c r="AR316" s="210">
        <v>96.179582391417298</v>
      </c>
      <c r="AS316" s="211">
        <v>96.293178899657548</v>
      </c>
      <c r="AT316" s="211">
        <v>96.211531409359864</v>
      </c>
      <c r="AU316" s="211">
        <v>96.08453157479687</v>
      </c>
      <c r="AV316" s="211"/>
      <c r="AW316" s="212"/>
      <c r="AX316" s="210">
        <v>95.074738151294397</v>
      </c>
      <c r="AY316" s="211">
        <v>95.999076721312761</v>
      </c>
      <c r="AZ316" s="213">
        <v>98.858674634676362</v>
      </c>
    </row>
    <row r="317" spans="12:52" x14ac:dyDescent="0.25">
      <c r="L317" s="189">
        <v>1310</v>
      </c>
      <c r="M317" s="196">
        <f t="shared" si="51"/>
        <v>0</v>
      </c>
      <c r="N317" s="197">
        <f t="shared" si="51"/>
        <v>0</v>
      </c>
      <c r="O317" s="152">
        <f ca="1"/>
        <v>96.204141627382796</v>
      </c>
      <c r="Q317" s="198">
        <v>0</v>
      </c>
      <c r="R317" s="200">
        <v>0</v>
      </c>
      <c r="S317" s="200">
        <v>0</v>
      </c>
      <c r="T317" s="200">
        <v>0</v>
      </c>
      <c r="U317" s="200">
        <f t="array" ref="U317">IF(U$77&gt;" ",(U$628:U$1078),"")</f>
        <v>0</v>
      </c>
      <c r="V317" s="200">
        <f t="array" ref="V317">IF(V$77&gt;" ",(V$628:V$1078),"")</f>
        <v>0</v>
      </c>
      <c r="W317" s="200">
        <f t="array" ref="W317">IF(W$77&gt;" ",(W$628:W$1078),"")</f>
        <v>0</v>
      </c>
      <c r="X317" s="200">
        <f t="array" ref="X317">IF(X$77&gt;" ",(X$628:X$1078),"")</f>
        <v>0</v>
      </c>
      <c r="Y317" s="204">
        <v>0</v>
      </c>
      <c r="Z317" s="198" t="str">
        <f t="shared" si="46"/>
        <v/>
      </c>
      <c r="AA317" s="198" t="str">
        <f t="shared" si="46"/>
        <v/>
      </c>
      <c r="AB317" s="198" t="str">
        <f t="shared" si="46"/>
        <v/>
      </c>
      <c r="AC317" s="198" t="str">
        <f t="shared" si="46"/>
        <v/>
      </c>
      <c r="AD317" s="198" t="str">
        <f t="shared" si="47"/>
        <v/>
      </c>
      <c r="AE317" s="198" t="str">
        <f t="shared" si="47"/>
        <v/>
      </c>
      <c r="AF317" s="198" t="str">
        <f t="shared" si="47"/>
        <v/>
      </c>
      <c r="AG317" s="198" t="str">
        <f t="shared" si="43"/>
        <v/>
      </c>
      <c r="AH317" s="198" t="str">
        <f t="shared" si="43"/>
        <v/>
      </c>
      <c r="AI317" s="200" t="str">
        <f t="shared" si="48"/>
        <v/>
      </c>
      <c r="AJ317" s="208" t="str">
        <f t="shared" si="49"/>
        <v/>
      </c>
      <c r="AK317" s="4"/>
      <c r="AL317" s="162">
        <v>1310</v>
      </c>
      <c r="AM317" s="209">
        <v>1.7891922823799014E-3</v>
      </c>
      <c r="AN317" s="183">
        <v>1.4960592304750517E-3</v>
      </c>
      <c r="AO317" s="183">
        <v>1.5142366375100319E-3</v>
      </c>
      <c r="AP317" s="165">
        <v>1.6178079140921283E-3</v>
      </c>
      <c r="AR317" s="210">
        <v>96.166463626568927</v>
      </c>
      <c r="AS317" s="211">
        <v>96.286330083383476</v>
      </c>
      <c r="AT317" s="211">
        <v>96.204141627382796</v>
      </c>
      <c r="AU317" s="211">
        <v>96.078271897551232</v>
      </c>
      <c r="AV317" s="211"/>
      <c r="AW317" s="212"/>
      <c r="AX317" s="210">
        <v>95.065516056662702</v>
      </c>
      <c r="AY317" s="211">
        <v>96.006358942632843</v>
      </c>
      <c r="AZ317" s="213">
        <v>98.84223876826232</v>
      </c>
    </row>
    <row r="318" spans="12:52" x14ac:dyDescent="0.25">
      <c r="L318" s="189">
        <v>1305</v>
      </c>
      <c r="M318" s="196">
        <f t="shared" si="51"/>
        <v>0</v>
      </c>
      <c r="N318" s="197">
        <f t="shared" si="51"/>
        <v>0</v>
      </c>
      <c r="O318" s="152">
        <f ca="1"/>
        <v>96.189534325529209</v>
      </c>
      <c r="Q318" s="198">
        <v>0</v>
      </c>
      <c r="R318" s="200">
        <v>0</v>
      </c>
      <c r="S318" s="200">
        <v>0</v>
      </c>
      <c r="T318" s="200">
        <v>0</v>
      </c>
      <c r="U318" s="200">
        <f t="array" ref="U318">IF(U$77&gt;" ",(U$628:U$1078),"")</f>
        <v>0</v>
      </c>
      <c r="V318" s="200">
        <f t="array" ref="V318">IF(V$77&gt;" ",(V$628:V$1078),"")</f>
        <v>0</v>
      </c>
      <c r="W318" s="200">
        <f t="array" ref="W318">IF(W$77&gt;" ",(W$628:W$1078),"")</f>
        <v>0</v>
      </c>
      <c r="X318" s="200">
        <f t="array" ref="X318">IF(X$77&gt;" ",(X$628:X$1078),"")</f>
        <v>0</v>
      </c>
      <c r="Y318" s="204">
        <v>0</v>
      </c>
      <c r="Z318" s="198" t="str">
        <f t="shared" si="46"/>
        <v/>
      </c>
      <c r="AA318" s="198" t="str">
        <f t="shared" si="46"/>
        <v/>
      </c>
      <c r="AB318" s="198" t="str">
        <f t="shared" si="46"/>
        <v/>
      </c>
      <c r="AC318" s="198" t="str">
        <f t="shared" si="46"/>
        <v/>
      </c>
      <c r="AD318" s="198" t="str">
        <f t="shared" si="47"/>
        <v/>
      </c>
      <c r="AE318" s="198" t="str">
        <f t="shared" si="47"/>
        <v/>
      </c>
      <c r="AF318" s="198" t="str">
        <f t="shared" si="47"/>
        <v/>
      </c>
      <c r="AG318" s="198" t="str">
        <f t="shared" si="43"/>
        <v/>
      </c>
      <c r="AH318" s="198" t="str">
        <f t="shared" si="43"/>
        <v/>
      </c>
      <c r="AI318" s="200" t="str">
        <f t="shared" si="48"/>
        <v/>
      </c>
      <c r="AJ318" s="208" t="str">
        <f t="shared" si="49"/>
        <v/>
      </c>
      <c r="AK318" s="4"/>
      <c r="AL318" s="162">
        <v>1305</v>
      </c>
      <c r="AM318" s="209">
        <v>1.9458944237159841E-3</v>
      </c>
      <c r="AN318" s="183">
        <v>1.6362566303750536E-3</v>
      </c>
      <c r="AO318" s="183">
        <v>1.9299804284024055E-3</v>
      </c>
      <c r="AP318" s="165">
        <v>2.0585245781116215E-3</v>
      </c>
      <c r="AR318" s="210">
        <v>96.152997710857818</v>
      </c>
      <c r="AS318" s="211">
        <v>96.271725131128434</v>
      </c>
      <c r="AT318" s="211">
        <v>96.189534325529209</v>
      </c>
      <c r="AU318" s="211">
        <v>96.058605930486308</v>
      </c>
      <c r="AV318" s="211"/>
      <c r="AW318" s="212"/>
      <c r="AX318" s="210">
        <v>95.057008262607212</v>
      </c>
      <c r="AY318" s="211">
        <v>96.003258134983525</v>
      </c>
      <c r="AZ318" s="213">
        <v>98.823081445046554</v>
      </c>
    </row>
    <row r="319" spans="12:52" x14ac:dyDescent="0.25">
      <c r="L319" s="189">
        <v>1300</v>
      </c>
      <c r="M319" s="196">
        <f t="shared" ref="M319:N334" si="52">M868</f>
        <v>0</v>
      </c>
      <c r="N319" s="197">
        <f t="shared" si="52"/>
        <v>0</v>
      </c>
      <c r="O319" s="152">
        <f ca="1"/>
        <v>96.176118159093093</v>
      </c>
      <c r="Q319" s="198">
        <v>0</v>
      </c>
      <c r="R319" s="200">
        <v>0</v>
      </c>
      <c r="S319" s="200">
        <v>0</v>
      </c>
      <c r="T319" s="200">
        <v>0</v>
      </c>
      <c r="U319" s="200">
        <f t="array" ref="U319">IF(U$77&gt;" ",(U$628:U$1078),"")</f>
        <v>0</v>
      </c>
      <c r="V319" s="200">
        <f t="array" ref="V319">IF(V$77&gt;" ",(V$628:V$1078),"")</f>
        <v>0</v>
      </c>
      <c r="W319" s="200">
        <f t="array" ref="W319">IF(W$77&gt;" ",(W$628:W$1078),"")</f>
        <v>0</v>
      </c>
      <c r="X319" s="200">
        <f t="array" ref="X319">IF(X$77&gt;" ",(X$628:X$1078),"")</f>
        <v>0</v>
      </c>
      <c r="Y319" s="204">
        <v>0</v>
      </c>
      <c r="Z319" s="198" t="str">
        <f t="shared" si="46"/>
        <v/>
      </c>
      <c r="AA319" s="198" t="str">
        <f t="shared" si="46"/>
        <v/>
      </c>
      <c r="AB319" s="198" t="str">
        <f t="shared" si="46"/>
        <v/>
      </c>
      <c r="AC319" s="198" t="str">
        <f t="shared" si="46"/>
        <v/>
      </c>
      <c r="AD319" s="198" t="str">
        <f t="shared" si="47"/>
        <v/>
      </c>
      <c r="AE319" s="198" t="str">
        <f t="shared" si="47"/>
        <v/>
      </c>
      <c r="AF319" s="198" t="str">
        <f t="shared" si="47"/>
        <v/>
      </c>
      <c r="AG319" s="198" t="str">
        <f t="shared" si="43"/>
        <v/>
      </c>
      <c r="AH319" s="198" t="str">
        <f t="shared" si="43"/>
        <v/>
      </c>
      <c r="AI319" s="200" t="str">
        <f t="shared" si="48"/>
        <v/>
      </c>
      <c r="AJ319" s="208" t="str">
        <f t="shared" si="49"/>
        <v/>
      </c>
      <c r="AK319" s="4"/>
      <c r="AL319" s="162">
        <v>1300</v>
      </c>
      <c r="AM319" s="209">
        <v>2.1025965650520667E-3</v>
      </c>
      <c r="AN319" s="183">
        <v>1.7764540302750557E-3</v>
      </c>
      <c r="AO319" s="183">
        <v>1.7756101528775402E-3</v>
      </c>
      <c r="AP319" s="165">
        <v>1.8946619251276118E-3</v>
      </c>
      <c r="AR319" s="210">
        <v>96.138332389966038</v>
      </c>
      <c r="AS319" s="211">
        <v>96.259976050225944</v>
      </c>
      <c r="AT319" s="211">
        <v>96.176118159093093</v>
      </c>
      <c r="AU319" s="211">
        <v>96.047911707353236</v>
      </c>
      <c r="AV319" s="211"/>
      <c r="AW319" s="212"/>
      <c r="AX319" s="210">
        <v>95.046064309649523</v>
      </c>
      <c r="AY319" s="211">
        <v>95.983657092818063</v>
      </c>
      <c r="AZ319" s="213">
        <v>98.93266794551711</v>
      </c>
    </row>
    <row r="320" spans="12:52" x14ac:dyDescent="0.25">
      <c r="L320" s="189">
        <v>1295</v>
      </c>
      <c r="M320" s="196">
        <f t="shared" si="52"/>
        <v>0</v>
      </c>
      <c r="N320" s="197">
        <f t="shared" si="52"/>
        <v>0</v>
      </c>
      <c r="O320" s="152">
        <f ca="1"/>
        <v>96.180371189212693</v>
      </c>
      <c r="Q320" s="198">
        <v>0</v>
      </c>
      <c r="R320" s="200">
        <v>0</v>
      </c>
      <c r="S320" s="200">
        <v>0</v>
      </c>
      <c r="T320" s="200">
        <v>0</v>
      </c>
      <c r="U320" s="200">
        <f t="array" ref="U320">IF(U$77&gt;" ",(U$628:U$1078),"")</f>
        <v>0</v>
      </c>
      <c r="V320" s="200">
        <f t="array" ref="V320">IF(V$77&gt;" ",(V$628:V$1078),"")</f>
        <v>0</v>
      </c>
      <c r="W320" s="200">
        <f t="array" ref="W320">IF(W$77&gt;" ",(W$628:W$1078),"")</f>
        <v>0</v>
      </c>
      <c r="X320" s="200">
        <f t="array" ref="X320">IF(X$77&gt;" ",(X$628:X$1078),"")</f>
        <v>0</v>
      </c>
      <c r="Y320" s="204">
        <v>0</v>
      </c>
      <c r="Z320" s="198" t="str">
        <f t="shared" si="46"/>
        <v/>
      </c>
      <c r="AA320" s="198" t="str">
        <f t="shared" si="46"/>
        <v/>
      </c>
      <c r="AB320" s="198" t="str">
        <f t="shared" si="46"/>
        <v/>
      </c>
      <c r="AC320" s="198" t="str">
        <f t="shared" si="46"/>
        <v/>
      </c>
      <c r="AD320" s="198" t="str">
        <f t="shared" si="47"/>
        <v/>
      </c>
      <c r="AE320" s="198" t="str">
        <f t="shared" si="47"/>
        <v/>
      </c>
      <c r="AF320" s="198" t="str">
        <f t="shared" si="47"/>
        <v/>
      </c>
      <c r="AG320" s="198" t="str">
        <f t="shared" si="43"/>
        <v/>
      </c>
      <c r="AH320" s="198" t="str">
        <f t="shared" si="43"/>
        <v/>
      </c>
      <c r="AI320" s="200" t="str">
        <f t="shared" si="48"/>
        <v/>
      </c>
      <c r="AJ320" s="208" t="str">
        <f t="shared" si="49"/>
        <v/>
      </c>
      <c r="AK320" s="4"/>
      <c r="AL320" s="162">
        <v>1295</v>
      </c>
      <c r="AM320" s="209">
        <v>2.2592326430907902E-3</v>
      </c>
      <c r="AN320" s="183">
        <v>1.8326810614202789E-3</v>
      </c>
      <c r="AO320" s="183">
        <v>2.0371848021545273E-3</v>
      </c>
      <c r="AP320" s="165">
        <v>2.1714599721422679E-3</v>
      </c>
      <c r="AR320" s="210">
        <v>96.131970476580264</v>
      </c>
      <c r="AS320" s="211">
        <v>96.258077538808877</v>
      </c>
      <c r="AT320" s="211">
        <v>96.180371189212693</v>
      </c>
      <c r="AU320" s="211">
        <v>96.047932252934217</v>
      </c>
      <c r="AV320" s="211"/>
      <c r="AW320" s="212"/>
      <c r="AX320" s="210">
        <v>95.026869691077238</v>
      </c>
      <c r="AY320" s="211">
        <v>95.978334469420517</v>
      </c>
      <c r="AZ320" s="213">
        <v>98.852791532241369</v>
      </c>
    </row>
    <row r="321" spans="12:52" x14ac:dyDescent="0.25">
      <c r="L321" s="189">
        <v>1290</v>
      </c>
      <c r="M321" s="196">
        <f t="shared" si="52"/>
        <v>0</v>
      </c>
      <c r="N321" s="197">
        <f t="shared" si="52"/>
        <v>0</v>
      </c>
      <c r="O321" s="152">
        <f ca="1"/>
        <v>96.154802693863019</v>
      </c>
      <c r="Q321" s="198">
        <v>0</v>
      </c>
      <c r="R321" s="200">
        <v>0</v>
      </c>
      <c r="S321" s="200">
        <v>0</v>
      </c>
      <c r="T321" s="200">
        <v>0</v>
      </c>
      <c r="U321" s="200">
        <f t="array" ref="U321">IF(U$77&gt;" ",(U$628:U$1078),"")</f>
        <v>0</v>
      </c>
      <c r="V321" s="200">
        <f t="array" ref="V321">IF(V$77&gt;" ",(V$628:V$1078),"")</f>
        <v>0</v>
      </c>
      <c r="W321" s="200">
        <f t="array" ref="W321">IF(W$77&gt;" ",(W$628:W$1078),"")</f>
        <v>0</v>
      </c>
      <c r="X321" s="200">
        <f t="array" ref="X321">IF(X$77&gt;" ",(X$628:X$1078),"")</f>
        <v>0</v>
      </c>
      <c r="Y321" s="204">
        <v>0</v>
      </c>
      <c r="Z321" s="198" t="str">
        <f t="shared" si="46"/>
        <v/>
      </c>
      <c r="AA321" s="198" t="str">
        <f t="shared" si="46"/>
        <v/>
      </c>
      <c r="AB321" s="198" t="str">
        <f t="shared" si="46"/>
        <v/>
      </c>
      <c r="AC321" s="198" t="str">
        <f t="shared" si="46"/>
        <v/>
      </c>
      <c r="AD321" s="198" t="str">
        <f t="shared" si="47"/>
        <v/>
      </c>
      <c r="AE321" s="198" t="str">
        <f t="shared" si="47"/>
        <v/>
      </c>
      <c r="AF321" s="198" t="str">
        <f t="shared" si="47"/>
        <v/>
      </c>
      <c r="AG321" s="198" t="str">
        <f t="shared" si="43"/>
        <v/>
      </c>
      <c r="AH321" s="198" t="str">
        <f t="shared" si="43"/>
        <v/>
      </c>
      <c r="AI321" s="200" t="str">
        <f t="shared" si="48"/>
        <v/>
      </c>
      <c r="AJ321" s="208" t="str">
        <f t="shared" si="49"/>
        <v/>
      </c>
      <c r="AK321" s="4"/>
      <c r="AL321" s="162">
        <v>1290</v>
      </c>
      <c r="AM321" s="209">
        <v>2.4159347844268726E-3</v>
      </c>
      <c r="AN321" s="183">
        <v>1.888908092565502E-3</v>
      </c>
      <c r="AO321" s="183">
        <v>2.0759533632065375E-3</v>
      </c>
      <c r="AP321" s="165">
        <v>2.2118100311591636E-3</v>
      </c>
      <c r="AR321" s="210">
        <v>96.108869108396235</v>
      </c>
      <c r="AS321" s="211">
        <v>96.23748977592625</v>
      </c>
      <c r="AT321" s="211">
        <v>96.154802693863019</v>
      </c>
      <c r="AU321" s="211">
        <v>96.025154651766286</v>
      </c>
      <c r="AV321" s="211"/>
      <c r="AW321" s="212"/>
      <c r="AX321" s="210">
        <v>94.992881070511473</v>
      </c>
      <c r="AY321" s="211">
        <v>95.967241525116108</v>
      </c>
      <c r="AZ321" s="213">
        <v>98.815397611163192</v>
      </c>
    </row>
    <row r="322" spans="12:52" x14ac:dyDescent="0.25">
      <c r="L322" s="189">
        <v>1285</v>
      </c>
      <c r="M322" s="196">
        <f t="shared" si="52"/>
        <v>0</v>
      </c>
      <c r="N322" s="197">
        <f t="shared" si="52"/>
        <v>0</v>
      </c>
      <c r="O322" s="152">
        <f ca="1"/>
        <v>96.152537090948087</v>
      </c>
      <c r="Q322" s="198">
        <v>0</v>
      </c>
      <c r="R322" s="200">
        <v>0</v>
      </c>
      <c r="S322" s="200">
        <v>0</v>
      </c>
      <c r="T322" s="200">
        <v>0</v>
      </c>
      <c r="U322" s="200">
        <f t="array" ref="U322">IF(U$77&gt;" ",(U$628:U$1078),"")</f>
        <v>0</v>
      </c>
      <c r="V322" s="200">
        <f t="array" ref="V322">IF(V$77&gt;" ",(V$628:V$1078),"")</f>
        <v>0</v>
      </c>
      <c r="W322" s="200">
        <f t="array" ref="W322">IF(W$77&gt;" ",(W$628:W$1078),"")</f>
        <v>0</v>
      </c>
      <c r="X322" s="200">
        <f t="array" ref="X322">IF(X$77&gt;" ",(X$628:X$1078),"")</f>
        <v>0</v>
      </c>
      <c r="Y322" s="204">
        <v>0</v>
      </c>
      <c r="Z322" s="198" t="str">
        <f t="shared" si="46"/>
        <v/>
      </c>
      <c r="AA322" s="198" t="str">
        <f t="shared" si="46"/>
        <v/>
      </c>
      <c r="AB322" s="198" t="str">
        <f t="shared" si="46"/>
        <v/>
      </c>
      <c r="AC322" s="198" t="str">
        <f t="shared" si="46"/>
        <v/>
      </c>
      <c r="AD322" s="198" t="str">
        <f t="shared" si="47"/>
        <v/>
      </c>
      <c r="AE322" s="198" t="str">
        <f t="shared" si="47"/>
        <v/>
      </c>
      <c r="AF322" s="198" t="str">
        <f t="shared" si="47"/>
        <v/>
      </c>
      <c r="AG322" s="198" t="str">
        <f t="shared" si="43"/>
        <v/>
      </c>
      <c r="AH322" s="198" t="str">
        <f t="shared" si="43"/>
        <v/>
      </c>
      <c r="AI322" s="200" t="str">
        <f t="shared" si="48"/>
        <v/>
      </c>
      <c r="AJ322" s="208" t="str">
        <f t="shared" si="49"/>
        <v/>
      </c>
      <c r="AK322" s="4"/>
      <c r="AL322" s="162">
        <v>1285</v>
      </c>
      <c r="AM322" s="209">
        <v>2.450684078837825E-3</v>
      </c>
      <c r="AN322" s="183">
        <v>1.9451351237107248E-3</v>
      </c>
      <c r="AO322" s="183">
        <v>2.1319691569963418E-3</v>
      </c>
      <c r="AP322" s="165">
        <v>2.2708520731325689E-3</v>
      </c>
      <c r="AR322" s="210">
        <v>96.105143652481445</v>
      </c>
      <c r="AS322" s="211">
        <v>96.233835066163962</v>
      </c>
      <c r="AT322" s="211">
        <v>96.152537090948087</v>
      </c>
      <c r="AU322" s="211">
        <v>96.024409095764838</v>
      </c>
      <c r="AV322" s="211"/>
      <c r="AW322" s="212"/>
      <c r="AX322" s="210">
        <v>94.935542587548412</v>
      </c>
      <c r="AY322" s="211">
        <v>95.924461913928326</v>
      </c>
      <c r="AZ322" s="213">
        <v>98.940884032232873</v>
      </c>
    </row>
    <row r="323" spans="12:52" x14ac:dyDescent="0.25">
      <c r="L323" s="189">
        <v>1280</v>
      </c>
      <c r="M323" s="196">
        <f t="shared" si="52"/>
        <v>0</v>
      </c>
      <c r="N323" s="197">
        <f t="shared" si="52"/>
        <v>0</v>
      </c>
      <c r="O323" s="151">
        <f ca="1"/>
        <v>96.124370894768802</v>
      </c>
      <c r="Q323" s="198">
        <v>0</v>
      </c>
      <c r="R323" s="200">
        <v>0</v>
      </c>
      <c r="S323" s="200">
        <v>0</v>
      </c>
      <c r="T323" s="200">
        <v>0</v>
      </c>
      <c r="U323" s="200">
        <f t="array" ref="U323">IF(U$77&gt;" ",(U$628:U$1078),"")</f>
        <v>0</v>
      </c>
      <c r="V323" s="200">
        <f t="array" ref="V323">IF(V$77&gt;" ",(V$628:V$1078),"")</f>
        <v>0</v>
      </c>
      <c r="W323" s="200">
        <f t="array" ref="W323">IF(W$77&gt;" ",(W$628:W$1078),"")</f>
        <v>0</v>
      </c>
      <c r="X323" s="200">
        <f t="array" ref="X323">IF(X$77&gt;" ",(X$628:X$1078),"")</f>
        <v>0</v>
      </c>
      <c r="Y323" s="204">
        <v>0</v>
      </c>
      <c r="Z323" s="198" t="str">
        <f t="shared" si="46"/>
        <v/>
      </c>
      <c r="AA323" s="198" t="str">
        <f t="shared" si="46"/>
        <v/>
      </c>
      <c r="AB323" s="198" t="str">
        <f t="shared" si="46"/>
        <v/>
      </c>
      <c r="AC323" s="198" t="str">
        <f t="shared" si="46"/>
        <v/>
      </c>
      <c r="AD323" s="198" t="str">
        <f t="shared" si="47"/>
        <v/>
      </c>
      <c r="AE323" s="198" t="str">
        <f t="shared" si="47"/>
        <v/>
      </c>
      <c r="AF323" s="198" t="str">
        <f t="shared" si="47"/>
        <v/>
      </c>
      <c r="AG323" s="198" t="str">
        <f t="shared" si="43"/>
        <v/>
      </c>
      <c r="AH323" s="198" t="str">
        <f t="shared" si="43"/>
        <v/>
      </c>
      <c r="AI323" s="200" t="str">
        <f t="shared" si="48"/>
        <v/>
      </c>
      <c r="AJ323" s="208" t="str">
        <f t="shared" si="49"/>
        <v/>
      </c>
      <c r="AK323" s="4"/>
      <c r="AL323" s="162">
        <v>1280</v>
      </c>
      <c r="AM323" s="209">
        <v>2.4854994365461373E-3</v>
      </c>
      <c r="AN323" s="183">
        <v>2.001362154855948E-3</v>
      </c>
      <c r="AO323" s="183">
        <v>2.1221638789092577E-3</v>
      </c>
      <c r="AP323" s="165">
        <v>2.2602189091752729E-3</v>
      </c>
      <c r="AR323" s="210">
        <v>96.082984765765957</v>
      </c>
      <c r="AS323" s="211">
        <v>96.206778663247633</v>
      </c>
      <c r="AT323" s="211">
        <v>96.124370894768802</v>
      </c>
      <c r="AU323" s="211">
        <v>95.992525092284993</v>
      </c>
      <c r="AV323" s="211"/>
      <c r="AW323" s="212"/>
      <c r="AX323" s="210">
        <v>94.93718880387695</v>
      </c>
      <c r="AY323" s="211">
        <v>95.925309808819975</v>
      </c>
      <c r="AZ323" s="213">
        <v>98.838086013957707</v>
      </c>
    </row>
    <row r="324" spans="12:52" x14ac:dyDescent="0.25">
      <c r="L324" s="189">
        <v>1275</v>
      </c>
      <c r="M324" s="196">
        <f t="shared" si="52"/>
        <v>0</v>
      </c>
      <c r="N324" s="197">
        <f t="shared" si="52"/>
        <v>0</v>
      </c>
      <c r="O324" s="151">
        <f ca="1"/>
        <v>96.115608532777898</v>
      </c>
      <c r="Q324" s="198">
        <v>0</v>
      </c>
      <c r="R324" s="200">
        <v>0</v>
      </c>
      <c r="S324" s="200">
        <v>0</v>
      </c>
      <c r="T324" s="200">
        <v>0</v>
      </c>
      <c r="U324" s="200">
        <f t="array" ref="U324">IF(U$77&gt;" ",(U$628:U$1078),"")</f>
        <v>0</v>
      </c>
      <c r="V324" s="200">
        <f t="array" ref="V324">IF(V$77&gt;" ",(V$628:V$1078),"")</f>
        <v>0</v>
      </c>
      <c r="W324" s="200">
        <f t="array" ref="W324">IF(W$77&gt;" ",(W$628:W$1078),"")</f>
        <v>0</v>
      </c>
      <c r="X324" s="200">
        <f t="array" ref="X324">IF(X$77&gt;" ",(X$628:X$1078),"")</f>
        <v>0</v>
      </c>
      <c r="Y324" s="204">
        <v>0</v>
      </c>
      <c r="Z324" s="198" t="str">
        <f t="shared" si="46"/>
        <v/>
      </c>
      <c r="AA324" s="198" t="str">
        <f t="shared" si="46"/>
        <v/>
      </c>
      <c r="AB324" s="198" t="str">
        <f t="shared" si="46"/>
        <v/>
      </c>
      <c r="AC324" s="198" t="str">
        <f t="shared" si="46"/>
        <v/>
      </c>
      <c r="AD324" s="198" t="str">
        <f t="shared" si="47"/>
        <v/>
      </c>
      <c r="AE324" s="198" t="str">
        <f t="shared" si="47"/>
        <v/>
      </c>
      <c r="AF324" s="198" t="str">
        <f t="shared" si="47"/>
        <v/>
      </c>
      <c r="AG324" s="198" t="str">
        <f t="shared" si="43"/>
        <v/>
      </c>
      <c r="AH324" s="198" t="str">
        <f t="shared" si="43"/>
        <v/>
      </c>
      <c r="AI324" s="200" t="str">
        <f t="shared" si="48"/>
        <v/>
      </c>
      <c r="AJ324" s="208" t="str">
        <f t="shared" si="49"/>
        <v/>
      </c>
      <c r="AK324" s="4"/>
      <c r="AL324" s="162">
        <v>1275</v>
      </c>
      <c r="AM324" s="209">
        <v>2.5202487309570897E-3</v>
      </c>
      <c r="AN324" s="183">
        <v>2.0575891860011714E-3</v>
      </c>
      <c r="AO324" s="183">
        <v>2.0733386223833147E-3</v>
      </c>
      <c r="AP324" s="165">
        <v>2.2080604417636959E-3</v>
      </c>
      <c r="AR324" s="210">
        <v>96.06918739662035</v>
      </c>
      <c r="AS324" s="211">
        <v>96.199869024746931</v>
      </c>
      <c r="AT324" s="211">
        <v>96.115608532777898</v>
      </c>
      <c r="AU324" s="211">
        <v>95.983170787437643</v>
      </c>
      <c r="AV324" s="211"/>
      <c r="AW324" s="212"/>
      <c r="AX324" s="210">
        <v>94.919361853976923</v>
      </c>
      <c r="AY324" s="211">
        <v>95.919582749470422</v>
      </c>
      <c r="AZ324" s="213">
        <v>98.941906813767304</v>
      </c>
    </row>
    <row r="325" spans="12:52" x14ac:dyDescent="0.25">
      <c r="L325" s="189">
        <v>1270</v>
      </c>
      <c r="M325" s="196">
        <f t="shared" si="52"/>
        <v>0</v>
      </c>
      <c r="N325" s="197">
        <f t="shared" si="52"/>
        <v>0</v>
      </c>
      <c r="O325" s="151">
        <f ca="1"/>
        <v>96.109296569288105</v>
      </c>
      <c r="Q325" s="198">
        <v>0</v>
      </c>
      <c r="R325" s="200">
        <v>0</v>
      </c>
      <c r="S325" s="200">
        <v>0</v>
      </c>
      <c r="T325" s="200">
        <v>0</v>
      </c>
      <c r="U325" s="200">
        <f t="array" ref="U325">IF(U$77&gt;" ",(U$628:U$1078),"")</f>
        <v>0</v>
      </c>
      <c r="V325" s="200">
        <f t="array" ref="V325">IF(V$77&gt;" ",(V$628:V$1078),"")</f>
        <v>0</v>
      </c>
      <c r="W325" s="200">
        <f t="array" ref="W325">IF(W$77&gt;" ",(W$628:W$1078),"")</f>
        <v>0</v>
      </c>
      <c r="X325" s="200">
        <f t="array" ref="X325">IF(X$77&gt;" ",(X$628:X$1078),"")</f>
        <v>0</v>
      </c>
      <c r="Y325" s="204">
        <v>0</v>
      </c>
      <c r="Z325" s="198" t="str">
        <f t="shared" si="46"/>
        <v/>
      </c>
      <c r="AA325" s="198" t="str">
        <f t="shared" si="46"/>
        <v/>
      </c>
      <c r="AB325" s="198" t="str">
        <f t="shared" si="46"/>
        <v/>
      </c>
      <c r="AC325" s="198" t="str">
        <f t="shared" si="46"/>
        <v/>
      </c>
      <c r="AD325" s="198" t="str">
        <f t="shared" si="47"/>
        <v/>
      </c>
      <c r="AE325" s="198" t="str">
        <f t="shared" si="47"/>
        <v/>
      </c>
      <c r="AF325" s="198" t="str">
        <f t="shared" si="47"/>
        <v/>
      </c>
      <c r="AG325" s="198" t="str">
        <f t="shared" si="43"/>
        <v/>
      </c>
      <c r="AH325" s="198" t="str">
        <f t="shared" si="43"/>
        <v/>
      </c>
      <c r="AI325" s="200" t="str">
        <f t="shared" si="48"/>
        <v/>
      </c>
      <c r="AJ325" s="208" t="str">
        <f t="shared" si="49"/>
        <v/>
      </c>
      <c r="AK325" s="4"/>
      <c r="AL325" s="162">
        <v>1270</v>
      </c>
      <c r="AM325" s="209">
        <v>2.554998025368042E-3</v>
      </c>
      <c r="AN325" s="183">
        <v>2.1138162171463943E-3</v>
      </c>
      <c r="AO325" s="183">
        <v>1.9481830472102236E-3</v>
      </c>
      <c r="AP325" s="165">
        <v>2.0755376404432944E-3</v>
      </c>
      <c r="AR325" s="210">
        <v>96.059274237939718</v>
      </c>
      <c r="AS325" s="211">
        <v>96.193970131491085</v>
      </c>
      <c r="AT325" s="211">
        <v>96.109296569288105</v>
      </c>
      <c r="AU325" s="211">
        <v>95.973341835610086</v>
      </c>
      <c r="AV325" s="211"/>
      <c r="AW325" s="212"/>
      <c r="AX325" s="210">
        <v>94.882398750966388</v>
      </c>
      <c r="AY325" s="211">
        <v>95.899798378607571</v>
      </c>
      <c r="AZ325" s="213">
        <v>98.927457535053975</v>
      </c>
    </row>
    <row r="326" spans="12:52" x14ac:dyDescent="0.25">
      <c r="L326" s="189">
        <v>1265</v>
      </c>
      <c r="M326" s="196">
        <f t="shared" si="52"/>
        <v>0</v>
      </c>
      <c r="N326" s="197">
        <f t="shared" si="52"/>
        <v>0</v>
      </c>
      <c r="O326" s="151">
        <f ca="1"/>
        <v>96.076859213605118</v>
      </c>
      <c r="Q326" s="198">
        <v>0</v>
      </c>
      <c r="R326" s="200">
        <v>0</v>
      </c>
      <c r="S326" s="200">
        <v>0</v>
      </c>
      <c r="T326" s="200">
        <v>0</v>
      </c>
      <c r="U326" s="200">
        <f t="array" ref="U326">IF(U$77&gt;" ",(U$628:U$1078),"")</f>
        <v>0</v>
      </c>
      <c r="V326" s="200">
        <f t="array" ref="V326">IF(V$77&gt;" ",(V$628:V$1078),"")</f>
        <v>0</v>
      </c>
      <c r="W326" s="200">
        <f t="array" ref="W326">IF(W$77&gt;" ",(W$628:W$1078),"")</f>
        <v>0</v>
      </c>
      <c r="X326" s="200">
        <f t="array" ref="X326">IF(X$77&gt;" ",(X$628:X$1078),"")</f>
        <v>0</v>
      </c>
      <c r="Y326" s="204">
        <v>0</v>
      </c>
      <c r="Z326" s="198" t="str">
        <f t="shared" si="46"/>
        <v/>
      </c>
      <c r="AA326" s="198" t="str">
        <f t="shared" si="46"/>
        <v/>
      </c>
      <c r="AB326" s="198" t="str">
        <f t="shared" si="46"/>
        <v/>
      </c>
      <c r="AC326" s="198" t="str">
        <f t="shared" si="46"/>
        <v/>
      </c>
      <c r="AD326" s="198" t="str">
        <f t="shared" si="47"/>
        <v/>
      </c>
      <c r="AE326" s="198" t="str">
        <f t="shared" si="47"/>
        <v/>
      </c>
      <c r="AF326" s="198" t="str">
        <f t="shared" si="47"/>
        <v/>
      </c>
      <c r="AG326" s="198" t="str">
        <f t="shared" si="43"/>
        <v/>
      </c>
      <c r="AH326" s="198" t="str">
        <f t="shared" si="43"/>
        <v/>
      </c>
      <c r="AI326" s="200" t="str">
        <f t="shared" si="48"/>
        <v/>
      </c>
      <c r="AJ326" s="208" t="str">
        <f t="shared" si="49"/>
        <v/>
      </c>
      <c r="AK326" s="4"/>
      <c r="AL326" s="162">
        <v>1265</v>
      </c>
      <c r="AM326" s="209">
        <v>2.5898133830763539E-3</v>
      </c>
      <c r="AN326" s="183">
        <v>2.1700432482916173E-3</v>
      </c>
      <c r="AO326" s="183">
        <v>1.9897171995175655E-3</v>
      </c>
      <c r="AP326" s="165">
        <v>2.1194134327723463E-3</v>
      </c>
      <c r="AR326" s="210">
        <v>96.038742569611202</v>
      </c>
      <c r="AS326" s="211">
        <v>96.160709207169475</v>
      </c>
      <c r="AT326" s="211">
        <v>96.076859213605118</v>
      </c>
      <c r="AU326" s="211">
        <v>95.939725397116149</v>
      </c>
      <c r="AV326" s="211"/>
      <c r="AW326" s="212"/>
      <c r="AX326" s="210">
        <v>94.893562317844797</v>
      </c>
      <c r="AY326" s="211">
        <v>95.89608747813061</v>
      </c>
      <c r="AZ326" s="213">
        <v>98.843833497499958</v>
      </c>
    </row>
    <row r="327" spans="12:52" x14ac:dyDescent="0.25">
      <c r="L327" s="189">
        <v>1260</v>
      </c>
      <c r="M327" s="196">
        <f t="shared" si="52"/>
        <v>0</v>
      </c>
      <c r="N327" s="197">
        <f t="shared" si="52"/>
        <v>0</v>
      </c>
      <c r="O327" s="152">
        <f ca="1"/>
        <v>96.078500882067956</v>
      </c>
      <c r="Q327" s="198">
        <v>0</v>
      </c>
      <c r="R327" s="200">
        <v>0</v>
      </c>
      <c r="S327" s="200">
        <v>0</v>
      </c>
      <c r="T327" s="200">
        <v>0</v>
      </c>
      <c r="U327" s="200">
        <f t="array" ref="U327">IF(U$77&gt;" ",(U$628:U$1078),"")</f>
        <v>0</v>
      </c>
      <c r="V327" s="200">
        <f t="array" ref="V327">IF(V$77&gt;" ",(V$628:V$1078),"")</f>
        <v>0</v>
      </c>
      <c r="W327" s="200">
        <f t="array" ref="W327">IF(W$77&gt;" ",(W$628:W$1078),"")</f>
        <v>0</v>
      </c>
      <c r="X327" s="200">
        <f t="array" ref="X327">IF(X$77&gt;" ",(X$628:X$1078),"")</f>
        <v>0</v>
      </c>
      <c r="Y327" s="204">
        <v>0</v>
      </c>
      <c r="Z327" s="198" t="str">
        <f t="shared" si="46"/>
        <v/>
      </c>
      <c r="AA327" s="198" t="str">
        <f t="shared" si="46"/>
        <v/>
      </c>
      <c r="AB327" s="198" t="str">
        <f t="shared" si="46"/>
        <v/>
      </c>
      <c r="AC327" s="198" t="str">
        <f t="shared" si="46"/>
        <v/>
      </c>
      <c r="AD327" s="198" t="str">
        <f t="shared" si="47"/>
        <v/>
      </c>
      <c r="AE327" s="198" t="str">
        <f t="shared" si="47"/>
        <v/>
      </c>
      <c r="AF327" s="198" t="str">
        <f t="shared" si="47"/>
        <v/>
      </c>
      <c r="AG327" s="198" t="str">
        <f t="shared" si="43"/>
        <v/>
      </c>
      <c r="AH327" s="198" t="str">
        <f t="shared" si="43"/>
        <v/>
      </c>
      <c r="AI327" s="200" t="str">
        <f t="shared" si="48"/>
        <v/>
      </c>
      <c r="AJ327" s="208" t="str">
        <f t="shared" si="49"/>
        <v/>
      </c>
      <c r="AK327" s="4"/>
      <c r="AL327" s="162">
        <v>1260</v>
      </c>
      <c r="AM327" s="209">
        <v>2.6245626774873063E-3</v>
      </c>
      <c r="AN327" s="183">
        <v>2.2262702794368411E-3</v>
      </c>
      <c r="AO327" s="183">
        <v>2.1677207094061724E-3</v>
      </c>
      <c r="AP327" s="165">
        <v>2.3076763988373085E-3</v>
      </c>
      <c r="AR327" s="210">
        <v>96.027898739056468</v>
      </c>
      <c r="AS327" s="211">
        <v>96.167882546981559</v>
      </c>
      <c r="AT327" s="211">
        <v>96.078500882067956</v>
      </c>
      <c r="AU327" s="211">
        <v>95.948551399622218</v>
      </c>
      <c r="AV327" s="211"/>
      <c r="AW327" s="212"/>
      <c r="AX327" s="210">
        <v>94.842778003359925</v>
      </c>
      <c r="AY327" s="211">
        <v>95.858862495047163</v>
      </c>
      <c r="AZ327" s="213">
        <v>98.95142305275202</v>
      </c>
    </row>
    <row r="328" spans="12:52" x14ac:dyDescent="0.25">
      <c r="L328" s="189">
        <v>1255</v>
      </c>
      <c r="M328" s="196">
        <f t="shared" si="52"/>
        <v>0</v>
      </c>
      <c r="N328" s="197">
        <f t="shared" si="52"/>
        <v>0</v>
      </c>
      <c r="O328" s="152">
        <f ca="1"/>
        <v>96.074050604729393</v>
      </c>
      <c r="Q328" s="198">
        <v>0</v>
      </c>
      <c r="R328" s="200">
        <v>0</v>
      </c>
      <c r="S328" s="200">
        <v>0</v>
      </c>
      <c r="T328" s="200">
        <v>0</v>
      </c>
      <c r="U328" s="200">
        <f t="array" ref="U328">IF(U$77&gt;" ",(U$628:U$1078),"")</f>
        <v>0</v>
      </c>
      <c r="V328" s="200">
        <f t="array" ref="V328">IF(V$77&gt;" ",(V$628:V$1078),"")</f>
        <v>0</v>
      </c>
      <c r="W328" s="200">
        <f t="array" ref="W328">IF(W$77&gt;" ",(W$628:W$1078),"")</f>
        <v>0</v>
      </c>
      <c r="X328" s="200">
        <f t="array" ref="X328">IF(X$77&gt;" ",(X$628:X$1078),"")</f>
        <v>0</v>
      </c>
      <c r="Y328" s="204">
        <v>0</v>
      </c>
      <c r="Z328" s="198" t="str">
        <f t="shared" si="46"/>
        <v/>
      </c>
      <c r="AA328" s="198" t="str">
        <f t="shared" si="46"/>
        <v/>
      </c>
      <c r="AB328" s="198" t="str">
        <f t="shared" si="46"/>
        <v/>
      </c>
      <c r="AC328" s="198" t="str">
        <f t="shared" si="46"/>
        <v/>
      </c>
      <c r="AD328" s="198" t="str">
        <f t="shared" si="47"/>
        <v/>
      </c>
      <c r="AE328" s="198" t="str">
        <f t="shared" si="47"/>
        <v/>
      </c>
      <c r="AF328" s="198" t="str">
        <f t="shared" si="47"/>
        <v/>
      </c>
      <c r="AG328" s="198" t="str">
        <f t="shared" si="43"/>
        <v/>
      </c>
      <c r="AH328" s="198" t="str">
        <f t="shared" si="43"/>
        <v/>
      </c>
      <c r="AI328" s="200" t="str">
        <f t="shared" si="48"/>
        <v/>
      </c>
      <c r="AJ328" s="208" t="str">
        <f t="shared" si="49"/>
        <v/>
      </c>
      <c r="AK328" s="4"/>
      <c r="AL328" s="162">
        <v>1255</v>
      </c>
      <c r="AM328" s="209">
        <v>2.6593780351956186E-3</v>
      </c>
      <c r="AN328" s="183">
        <v>2.2824973105820636E-3</v>
      </c>
      <c r="AO328" s="183">
        <v>2.2662763250507118E-3</v>
      </c>
      <c r="AP328" s="165">
        <v>2.4113777294313553E-3</v>
      </c>
      <c r="AR328" s="210">
        <v>96.023331998661902</v>
      </c>
      <c r="AS328" s="211">
        <v>96.159067171557922</v>
      </c>
      <c r="AT328" s="211">
        <v>96.074050604729393</v>
      </c>
      <c r="AU328" s="211">
        <v>95.943148928234066</v>
      </c>
      <c r="AV328" s="211"/>
      <c r="AW328" s="212"/>
      <c r="AX328" s="210">
        <v>94.820528821914479</v>
      </c>
      <c r="AY328" s="211">
        <v>95.855099939848444</v>
      </c>
      <c r="AZ328" s="213">
        <v>98.843249435180667</v>
      </c>
    </row>
    <row r="329" spans="12:52" x14ac:dyDescent="0.25">
      <c r="L329" s="189">
        <v>1250</v>
      </c>
      <c r="M329" s="196">
        <f t="shared" si="52"/>
        <v>0</v>
      </c>
      <c r="N329" s="197">
        <f t="shared" si="52"/>
        <v>0</v>
      </c>
      <c r="O329" s="152">
        <f ca="1"/>
        <v>96.044775109906141</v>
      </c>
      <c r="Q329" s="198">
        <v>0</v>
      </c>
      <c r="R329" s="200">
        <v>0</v>
      </c>
      <c r="S329" s="200">
        <v>0</v>
      </c>
      <c r="T329" s="200">
        <v>0</v>
      </c>
      <c r="U329" s="200">
        <f t="array" ref="U329">IF(U$77&gt;" ",(U$628:U$1078),"")</f>
        <v>0</v>
      </c>
      <c r="V329" s="200">
        <f t="array" ref="V329">IF(V$77&gt;" ",(V$628:V$1078),"")</f>
        <v>0</v>
      </c>
      <c r="W329" s="200">
        <f t="array" ref="W329">IF(W$77&gt;" ",(W$628:W$1078),"")</f>
        <v>0</v>
      </c>
      <c r="X329" s="200">
        <f t="array" ref="X329">IF(X$77&gt;" ",(X$628:X$1078),"")</f>
        <v>0</v>
      </c>
      <c r="Y329" s="204">
        <v>0</v>
      </c>
      <c r="Z329" s="198" t="str">
        <f t="shared" si="46"/>
        <v/>
      </c>
      <c r="AA329" s="198" t="str">
        <f t="shared" si="46"/>
        <v/>
      </c>
      <c r="AB329" s="198" t="str">
        <f t="shared" si="46"/>
        <v/>
      </c>
      <c r="AC329" s="198" t="str">
        <f t="shared" si="46"/>
        <v/>
      </c>
      <c r="AD329" s="198" t="str">
        <f t="shared" si="47"/>
        <v/>
      </c>
      <c r="AE329" s="198" t="str">
        <f t="shared" si="47"/>
        <v/>
      </c>
      <c r="AF329" s="198" t="str">
        <f t="shared" si="47"/>
        <v/>
      </c>
      <c r="AG329" s="198" t="str">
        <f t="shared" si="43"/>
        <v/>
      </c>
      <c r="AH329" s="198" t="str">
        <f t="shared" si="43"/>
        <v/>
      </c>
      <c r="AI329" s="200" t="str">
        <f t="shared" si="48"/>
        <v/>
      </c>
      <c r="AJ329" s="208" t="str">
        <f t="shared" si="49"/>
        <v/>
      </c>
      <c r="AK329" s="4"/>
      <c r="AL329" s="162">
        <v>1250</v>
      </c>
      <c r="AM329" s="209">
        <v>2.6941273296065709E-3</v>
      </c>
      <c r="AN329" s="183">
        <v>2.338724341727287E-3</v>
      </c>
      <c r="AO329" s="183">
        <v>2.2982063331804478E-3</v>
      </c>
      <c r="AP329" s="165">
        <v>2.4447322858447674E-3</v>
      </c>
      <c r="AR329" s="210">
        <v>96.006648037933061</v>
      </c>
      <c r="AS329" s="211">
        <v>96.128972393846652</v>
      </c>
      <c r="AT329" s="211">
        <v>96.044775109906141</v>
      </c>
      <c r="AU329" s="211">
        <v>95.915566699330725</v>
      </c>
      <c r="AV329" s="211"/>
      <c r="AW329" s="212"/>
      <c r="AX329" s="210">
        <v>94.818037539826022</v>
      </c>
      <c r="AY329" s="211">
        <v>95.863572789262676</v>
      </c>
      <c r="AZ329" s="213">
        <v>98.945108253421679</v>
      </c>
    </row>
    <row r="330" spans="12:52" x14ac:dyDescent="0.25">
      <c r="L330" s="189">
        <v>1245</v>
      </c>
      <c r="M330" s="196">
        <f t="shared" si="52"/>
        <v>0</v>
      </c>
      <c r="N330" s="197">
        <f t="shared" si="52"/>
        <v>0</v>
      </c>
      <c r="O330" s="152">
        <f ca="1"/>
        <v>96.066910756972902</v>
      </c>
      <c r="Q330" s="198">
        <v>0</v>
      </c>
      <c r="R330" s="200">
        <v>0</v>
      </c>
      <c r="S330" s="200">
        <v>0</v>
      </c>
      <c r="T330" s="200">
        <v>0</v>
      </c>
      <c r="U330" s="200">
        <f t="array" ref="U330">IF(U$77&gt;" ",(U$628:U$1078),"")</f>
        <v>0</v>
      </c>
      <c r="V330" s="200">
        <f t="array" ref="V330">IF(V$77&gt;" ",(V$628:V$1078),"")</f>
        <v>0</v>
      </c>
      <c r="W330" s="200">
        <f t="array" ref="W330">IF(W$77&gt;" ",(W$628:W$1078),"")</f>
        <v>0</v>
      </c>
      <c r="X330" s="200">
        <f t="array" ref="X330">IF(X$77&gt;" ",(X$628:X$1078),"")</f>
        <v>0</v>
      </c>
      <c r="Y330" s="204">
        <v>0</v>
      </c>
      <c r="Z330" s="198" t="str">
        <f t="shared" si="46"/>
        <v/>
      </c>
      <c r="AA330" s="198" t="str">
        <f t="shared" si="46"/>
        <v/>
      </c>
      <c r="AB330" s="198" t="str">
        <f t="shared" si="46"/>
        <v/>
      </c>
      <c r="AC330" s="198" t="str">
        <f t="shared" si="46"/>
        <v/>
      </c>
      <c r="AD330" s="198" t="str">
        <f t="shared" si="47"/>
        <v/>
      </c>
      <c r="AE330" s="198" t="str">
        <f t="shared" si="47"/>
        <v/>
      </c>
      <c r="AF330" s="198" t="str">
        <f t="shared" si="47"/>
        <v/>
      </c>
      <c r="AG330" s="198" t="str">
        <f t="shared" si="47"/>
        <v/>
      </c>
      <c r="AH330" s="198" t="str">
        <f t="shared" si="47"/>
        <v/>
      </c>
      <c r="AI330" s="200" t="str">
        <f t="shared" si="48"/>
        <v/>
      </c>
      <c r="AJ330" s="208" t="str">
        <f t="shared" si="49"/>
        <v/>
      </c>
      <c r="AK330" s="4"/>
      <c r="AL330" s="162">
        <v>1245</v>
      </c>
      <c r="AM330" s="209">
        <v>2.7288766240175233E-3</v>
      </c>
      <c r="AN330" s="183">
        <v>2.3304703736321251E-3</v>
      </c>
      <c r="AO330" s="183">
        <v>2.2956921593119649E-3</v>
      </c>
      <c r="AP330" s="165">
        <v>2.4412625165534394E-3</v>
      </c>
      <c r="AR330" s="210">
        <v>96.012852821049577</v>
      </c>
      <c r="AS330" s="211">
        <v>96.148080419486064</v>
      </c>
      <c r="AT330" s="211">
        <v>96.066910756972902</v>
      </c>
      <c r="AU330" s="211">
        <v>95.932709365525781</v>
      </c>
      <c r="AV330" s="211"/>
      <c r="AW330" s="212"/>
      <c r="AX330" s="210">
        <v>94.768247508467326</v>
      </c>
      <c r="AY330" s="211">
        <v>95.80026830658251</v>
      </c>
      <c r="AZ330" s="213">
        <v>98.936691015585538</v>
      </c>
    </row>
    <row r="331" spans="12:52" x14ac:dyDescent="0.25">
      <c r="L331" s="189">
        <v>1240</v>
      </c>
      <c r="M331" s="196">
        <f t="shared" si="52"/>
        <v>0</v>
      </c>
      <c r="N331" s="197">
        <f t="shared" si="52"/>
        <v>0</v>
      </c>
      <c r="O331" s="152">
        <f ca="1"/>
        <v>96.058063456147977</v>
      </c>
      <c r="Q331" s="198">
        <v>0</v>
      </c>
      <c r="R331" s="200">
        <v>0</v>
      </c>
      <c r="S331" s="200">
        <v>0</v>
      </c>
      <c r="T331" s="200">
        <v>0</v>
      </c>
      <c r="U331" s="200">
        <f t="array" ref="U331">IF(U$77&gt;" ",(U$628:U$1078),"")</f>
        <v>0</v>
      </c>
      <c r="V331" s="200">
        <f t="array" ref="V331">IF(V$77&gt;" ",(V$628:V$1078),"")</f>
        <v>0</v>
      </c>
      <c r="W331" s="200">
        <f t="array" ref="W331">IF(W$77&gt;" ",(W$628:W$1078),"")</f>
        <v>0</v>
      </c>
      <c r="X331" s="200">
        <f t="array" ref="X331">IF(X$77&gt;" ",(X$628:X$1078),"")</f>
        <v>0</v>
      </c>
      <c r="Y331" s="204">
        <v>0</v>
      </c>
      <c r="Z331" s="198" t="str">
        <f t="shared" si="46"/>
        <v/>
      </c>
      <c r="AA331" s="198" t="str">
        <f t="shared" si="46"/>
        <v/>
      </c>
      <c r="AB331" s="198" t="str">
        <f t="shared" si="46"/>
        <v/>
      </c>
      <c r="AC331" s="198" t="str">
        <f t="shared" si="46"/>
        <v/>
      </c>
      <c r="AD331" s="198" t="str">
        <f t="shared" si="47"/>
        <v/>
      </c>
      <c r="AE331" s="198" t="str">
        <f t="shared" si="47"/>
        <v/>
      </c>
      <c r="AF331" s="198" t="str">
        <f t="shared" si="47"/>
        <v/>
      </c>
      <c r="AG331" s="198" t="str">
        <f t="shared" si="47"/>
        <v/>
      </c>
      <c r="AH331" s="198" t="str">
        <f t="shared" si="47"/>
        <v/>
      </c>
      <c r="AI331" s="200" t="str">
        <f t="shared" si="48"/>
        <v/>
      </c>
      <c r="AJ331" s="208" t="str">
        <f t="shared" si="49"/>
        <v/>
      </c>
      <c r="AK331" s="4"/>
      <c r="AL331" s="162">
        <v>1240</v>
      </c>
      <c r="AM331" s="209">
        <v>2.7636919817258352E-3</v>
      </c>
      <c r="AN331" s="183">
        <v>2.3222164055369636E-3</v>
      </c>
      <c r="AO331" s="183">
        <v>2.3169117867619625E-3</v>
      </c>
      <c r="AP331" s="165">
        <v>2.4630325206554814E-3</v>
      </c>
      <c r="AR331" s="210">
        <v>96.012361863252863</v>
      </c>
      <c r="AS331" s="211">
        <v>96.143741532907924</v>
      </c>
      <c r="AT331" s="211">
        <v>96.058063456147977</v>
      </c>
      <c r="AU331" s="211">
        <v>95.926518320914013</v>
      </c>
      <c r="AV331" s="211"/>
      <c r="AW331" s="212"/>
      <c r="AX331" s="210">
        <v>94.816436930775708</v>
      </c>
      <c r="AY331" s="211">
        <v>95.832101904954015</v>
      </c>
      <c r="AZ331" s="213">
        <v>98.842134909797295</v>
      </c>
    </row>
    <row r="332" spans="12:52" x14ac:dyDescent="0.25">
      <c r="L332" s="189">
        <v>1235</v>
      </c>
      <c r="M332" s="196">
        <f t="shared" si="52"/>
        <v>0</v>
      </c>
      <c r="N332" s="197">
        <f t="shared" si="52"/>
        <v>0</v>
      </c>
      <c r="O332" s="152">
        <f ca="1"/>
        <v>96.041725040131269</v>
      </c>
      <c r="Q332" s="198">
        <v>0</v>
      </c>
      <c r="R332" s="200">
        <v>0</v>
      </c>
      <c r="S332" s="200">
        <v>0</v>
      </c>
      <c r="T332" s="200">
        <v>0</v>
      </c>
      <c r="U332" s="200">
        <f t="array" ref="U332">IF(U$77&gt;" ",(U$628:U$1078),"")</f>
        <v>0</v>
      </c>
      <c r="V332" s="200">
        <f t="array" ref="V332">IF(V$77&gt;" ",(V$628:V$1078),"")</f>
        <v>0</v>
      </c>
      <c r="W332" s="200">
        <f t="array" ref="W332">IF(W$77&gt;" ",(W$628:W$1078),"")</f>
        <v>0</v>
      </c>
      <c r="X332" s="200">
        <f t="array" ref="X332">IF(X$77&gt;" ",(X$628:X$1078),"")</f>
        <v>0</v>
      </c>
      <c r="Y332" s="204">
        <v>0</v>
      </c>
      <c r="Z332" s="198" t="str">
        <f t="shared" si="46"/>
        <v/>
      </c>
      <c r="AA332" s="198" t="str">
        <f t="shared" si="46"/>
        <v/>
      </c>
      <c r="AB332" s="198" t="str">
        <f t="shared" si="46"/>
        <v/>
      </c>
      <c r="AC332" s="198" t="str">
        <f t="shared" si="46"/>
        <v/>
      </c>
      <c r="AD332" s="198" t="str">
        <f t="shared" si="47"/>
        <v/>
      </c>
      <c r="AE332" s="198" t="str">
        <f t="shared" si="47"/>
        <v/>
      </c>
      <c r="AF332" s="198" t="str">
        <f t="shared" si="47"/>
        <v/>
      </c>
      <c r="AG332" s="198" t="str">
        <f t="shared" si="47"/>
        <v/>
      </c>
      <c r="AH332" s="198" t="str">
        <f t="shared" si="47"/>
        <v/>
      </c>
      <c r="AI332" s="200" t="str">
        <f t="shared" si="48"/>
        <v/>
      </c>
      <c r="AJ332" s="208" t="str">
        <f t="shared" si="49"/>
        <v/>
      </c>
      <c r="AK332" s="4"/>
      <c r="AL332" s="162">
        <v>1235</v>
      </c>
      <c r="AM332" s="209">
        <v>2.798441276136788E-3</v>
      </c>
      <c r="AN332" s="183">
        <v>2.3139624374418017E-3</v>
      </c>
      <c r="AO332" s="183">
        <v>2.3383828315988084E-3</v>
      </c>
      <c r="AP332" s="165">
        <v>2.4853062009449747E-3</v>
      </c>
      <c r="AR332" s="210">
        <v>96.001852118209598</v>
      </c>
      <c r="AS332" s="211">
        <v>96.129677095291257</v>
      </c>
      <c r="AT332" s="211">
        <v>96.041725040131269</v>
      </c>
      <c r="AU332" s="211">
        <v>95.917275198349202</v>
      </c>
      <c r="AV332" s="211"/>
      <c r="AW332" s="212"/>
      <c r="AX332" s="210">
        <v>94.772489776869563</v>
      </c>
      <c r="AY332" s="211">
        <v>95.825400246778827</v>
      </c>
      <c r="AZ332" s="213">
        <v>98.848185658917345</v>
      </c>
    </row>
    <row r="333" spans="12:52" x14ac:dyDescent="0.25">
      <c r="L333" s="189">
        <v>1230</v>
      </c>
      <c r="M333" s="196">
        <f t="shared" si="52"/>
        <v>0</v>
      </c>
      <c r="N333" s="197">
        <f t="shared" si="52"/>
        <v>0</v>
      </c>
      <c r="O333" s="152">
        <f ca="1"/>
        <v>96.032317244095282</v>
      </c>
      <c r="Q333" s="198">
        <v>0</v>
      </c>
      <c r="R333" s="200">
        <v>0</v>
      </c>
      <c r="S333" s="200">
        <v>0</v>
      </c>
      <c r="T333" s="200">
        <v>0</v>
      </c>
      <c r="U333" s="200">
        <f t="array" ref="U333">IF(U$77&gt;" ",(U$628:U$1078),"")</f>
        <v>0</v>
      </c>
      <c r="V333" s="200">
        <f t="array" ref="V333">IF(V$77&gt;" ",(V$628:V$1078),"")</f>
        <v>0</v>
      </c>
      <c r="W333" s="200">
        <f t="array" ref="W333">IF(W$77&gt;" ",(W$628:W$1078),"")</f>
        <v>0</v>
      </c>
      <c r="X333" s="200">
        <f t="array" ref="X333">IF(X$77&gt;" ",(X$628:X$1078),"")</f>
        <v>0</v>
      </c>
      <c r="Y333" s="204">
        <v>0</v>
      </c>
      <c r="Z333" s="198" t="str">
        <f t="shared" si="46"/>
        <v/>
      </c>
      <c r="AA333" s="198" t="str">
        <f t="shared" si="46"/>
        <v/>
      </c>
      <c r="AB333" s="198" t="str">
        <f t="shared" si="46"/>
        <v/>
      </c>
      <c r="AC333" s="198" t="str">
        <f t="shared" si="46"/>
        <v/>
      </c>
      <c r="AD333" s="198" t="str">
        <f t="shared" si="47"/>
        <v/>
      </c>
      <c r="AE333" s="198" t="str">
        <f t="shared" si="47"/>
        <v/>
      </c>
      <c r="AF333" s="198" t="str">
        <f t="shared" si="47"/>
        <v/>
      </c>
      <c r="AG333" s="198" t="str">
        <f t="shared" si="47"/>
        <v/>
      </c>
      <c r="AH333" s="198" t="str">
        <f t="shared" si="47"/>
        <v/>
      </c>
      <c r="AI333" s="200" t="str">
        <f t="shared" si="48"/>
        <v/>
      </c>
      <c r="AJ333" s="208" t="str">
        <f t="shared" si="49"/>
        <v/>
      </c>
      <c r="AK333" s="4"/>
      <c r="AL333" s="162">
        <v>1230</v>
      </c>
      <c r="AM333" s="209">
        <v>2.7527915376615629E-3</v>
      </c>
      <c r="AN333" s="183">
        <v>2.3057084693466397E-3</v>
      </c>
      <c r="AO333" s="183">
        <v>2.3131908094366073E-3</v>
      </c>
      <c r="AP333" s="165">
        <v>2.4583875069267682E-3</v>
      </c>
      <c r="AR333" s="210">
        <v>95.993686543236393</v>
      </c>
      <c r="AS333" s="211">
        <v>96.116458085692031</v>
      </c>
      <c r="AT333" s="211">
        <v>96.032317244095282</v>
      </c>
      <c r="AU333" s="211">
        <v>95.899821877964541</v>
      </c>
      <c r="AV333" s="211"/>
      <c r="AW333" s="212"/>
      <c r="AX333" s="210">
        <v>94.783530317797101</v>
      </c>
      <c r="AY333" s="211">
        <v>95.850850734085839</v>
      </c>
      <c r="AZ333" s="213">
        <v>98.842525568525957</v>
      </c>
    </row>
    <row r="334" spans="12:52" x14ac:dyDescent="0.25">
      <c r="L334" s="189">
        <v>1225</v>
      </c>
      <c r="M334" s="196">
        <f t="shared" si="52"/>
        <v>0</v>
      </c>
      <c r="N334" s="197">
        <f t="shared" si="52"/>
        <v>0</v>
      </c>
      <c r="O334" s="152">
        <f ca="1"/>
        <v>96.026586975432096</v>
      </c>
      <c r="Q334" s="198">
        <v>0</v>
      </c>
      <c r="R334" s="200">
        <v>0</v>
      </c>
      <c r="S334" s="200">
        <v>0</v>
      </c>
      <c r="T334" s="200">
        <v>0</v>
      </c>
      <c r="U334" s="200">
        <f t="array" ref="U334">IF(U$77&gt;" ",(U$628:U$1078),"")</f>
        <v>0</v>
      </c>
      <c r="V334" s="200">
        <f t="array" ref="V334">IF(V$77&gt;" ",(V$628:V$1078),"")</f>
        <v>0</v>
      </c>
      <c r="W334" s="200">
        <f t="array" ref="W334">IF(W$77&gt;" ",(W$628:W$1078),"")</f>
        <v>0</v>
      </c>
      <c r="X334" s="200">
        <f t="array" ref="X334">IF(X$77&gt;" ",(X$628:X$1078),"")</f>
        <v>0</v>
      </c>
      <c r="Y334" s="204">
        <v>0</v>
      </c>
      <c r="Z334" s="198" t="str">
        <f t="shared" si="46"/>
        <v/>
      </c>
      <c r="AA334" s="198" t="str">
        <f t="shared" si="46"/>
        <v/>
      </c>
      <c r="AB334" s="198" t="str">
        <f t="shared" si="46"/>
        <v/>
      </c>
      <c r="AC334" s="198" t="str">
        <f t="shared" si="46"/>
        <v/>
      </c>
      <c r="AD334" s="198" t="str">
        <f t="shared" si="47"/>
        <v/>
      </c>
      <c r="AE334" s="198" t="str">
        <f t="shared" si="47"/>
        <v/>
      </c>
      <c r="AF334" s="198" t="str">
        <f t="shared" si="47"/>
        <v/>
      </c>
      <c r="AG334" s="198" t="str">
        <f t="shared" si="47"/>
        <v/>
      </c>
      <c r="AH334" s="198" t="str">
        <f t="shared" si="47"/>
        <v/>
      </c>
      <c r="AI334" s="200" t="str">
        <f t="shared" si="48"/>
        <v/>
      </c>
      <c r="AJ334" s="208" t="str">
        <f t="shared" si="49"/>
        <v/>
      </c>
      <c r="AK334" s="4"/>
      <c r="AL334" s="162">
        <v>1225</v>
      </c>
      <c r="AM334" s="209">
        <v>2.7070757358889789E-3</v>
      </c>
      <c r="AN334" s="183">
        <v>2.2974545012514782E-3</v>
      </c>
      <c r="AO334" s="183">
        <v>2.3249068596637389E-3</v>
      </c>
      <c r="AP334" s="165">
        <v>2.4703078433631048E-3</v>
      </c>
      <c r="AR334" s="210">
        <v>95.985152632246312</v>
      </c>
      <c r="AS334" s="211">
        <v>96.113952924910791</v>
      </c>
      <c r="AT334" s="211">
        <v>96.026586975432096</v>
      </c>
      <c r="AU334" s="211">
        <v>95.897422933545684</v>
      </c>
      <c r="AV334" s="211"/>
      <c r="AW334" s="212"/>
      <c r="AX334" s="210">
        <v>94.734170020468881</v>
      </c>
      <c r="AY334" s="211">
        <v>95.817090791095822</v>
      </c>
      <c r="AZ334" s="213">
        <v>98.855284284054363</v>
      </c>
    </row>
    <row r="335" spans="12:52" x14ac:dyDescent="0.25">
      <c r="L335" s="189">
        <v>1220</v>
      </c>
      <c r="M335" s="196">
        <f t="shared" ref="M335:N350" si="53">M884</f>
        <v>0</v>
      </c>
      <c r="N335" s="197">
        <f t="shared" si="53"/>
        <v>0</v>
      </c>
      <c r="O335" s="152">
        <f ca="1"/>
        <v>96.031965939492963</v>
      </c>
      <c r="Q335" s="198">
        <v>0</v>
      </c>
      <c r="R335" s="200">
        <v>0</v>
      </c>
      <c r="S335" s="200">
        <v>0</v>
      </c>
      <c r="T335" s="200">
        <v>0</v>
      </c>
      <c r="U335" s="200">
        <f t="array" ref="U335">IF(U$77&gt;" ",(U$628:U$1078),"")</f>
        <v>0</v>
      </c>
      <c r="V335" s="200">
        <f t="array" ref="V335">IF(V$77&gt;" ",(V$628:V$1078),"")</f>
        <v>0</v>
      </c>
      <c r="W335" s="200">
        <f t="array" ref="W335">IF(W$77&gt;" ",(W$628:W$1078),"")</f>
        <v>0</v>
      </c>
      <c r="X335" s="200">
        <f t="array" ref="X335">IF(X$77&gt;" ",(X$628:X$1078),"")</f>
        <v>0</v>
      </c>
      <c r="Y335" s="204">
        <v>0</v>
      </c>
      <c r="Z335" s="198" t="str">
        <f t="shared" si="46"/>
        <v/>
      </c>
      <c r="AA335" s="198" t="str">
        <f t="shared" si="46"/>
        <v/>
      </c>
      <c r="AB335" s="198" t="str">
        <f t="shared" si="46"/>
        <v/>
      </c>
      <c r="AC335" s="198" t="str">
        <f t="shared" ref="AC335:AG398" si="54">IF(AND(T335&gt;0,T335&lt;999),(T335-$M335)/($N335-$M335)*$O335,"")</f>
        <v/>
      </c>
      <c r="AD335" s="198" t="str">
        <f t="shared" si="47"/>
        <v/>
      </c>
      <c r="AE335" s="198" t="str">
        <f t="shared" si="47"/>
        <v/>
      </c>
      <c r="AF335" s="198" t="str">
        <f t="shared" si="47"/>
        <v/>
      </c>
      <c r="AG335" s="198" t="str">
        <f t="shared" si="47"/>
        <v/>
      </c>
      <c r="AH335" s="198" t="str">
        <f t="shared" si="47"/>
        <v/>
      </c>
      <c r="AI335" s="200" t="str">
        <f t="shared" si="48"/>
        <v/>
      </c>
      <c r="AJ335" s="208" t="str">
        <f t="shared" si="49"/>
        <v/>
      </c>
      <c r="AK335" s="4"/>
      <c r="AL335" s="162">
        <v>1220</v>
      </c>
      <c r="AM335" s="209">
        <v>2.6614259974137543E-3</v>
      </c>
      <c r="AN335" s="183">
        <v>2.2892005331563163E-3</v>
      </c>
      <c r="AO335" s="183">
        <v>2.3032346809174144E-3</v>
      </c>
      <c r="AP335" s="165">
        <v>2.4469708466778825E-3</v>
      </c>
      <c r="AR335" s="210">
        <v>95.985159196820163</v>
      </c>
      <c r="AS335" s="211">
        <v>96.115067741102749</v>
      </c>
      <c r="AT335" s="211">
        <v>96.031965939492963</v>
      </c>
      <c r="AU335" s="211">
        <v>95.890719321243736</v>
      </c>
      <c r="AV335" s="211"/>
      <c r="AW335" s="212"/>
      <c r="AX335" s="210">
        <v>94.704461627968229</v>
      </c>
      <c r="AY335" s="211">
        <v>95.782613191116909</v>
      </c>
      <c r="AZ335" s="213">
        <v>98.83838782818637</v>
      </c>
    </row>
    <row r="336" spans="12:52" x14ac:dyDescent="0.25">
      <c r="L336" s="189">
        <v>1215</v>
      </c>
      <c r="M336" s="196">
        <f t="shared" si="53"/>
        <v>0</v>
      </c>
      <c r="N336" s="197">
        <f t="shared" si="53"/>
        <v>0</v>
      </c>
      <c r="O336" s="152">
        <f ca="1"/>
        <v>96.018576909367766</v>
      </c>
      <c r="Q336" s="198">
        <v>0</v>
      </c>
      <c r="R336" s="200">
        <v>0</v>
      </c>
      <c r="S336" s="200">
        <v>0</v>
      </c>
      <c r="T336" s="200">
        <v>0</v>
      </c>
      <c r="U336" s="200">
        <f t="array" ref="U336">IF(U$77&gt;" ",(U$628:U$1078),"")</f>
        <v>0</v>
      </c>
      <c r="V336" s="200">
        <f t="array" ref="V336">IF(V$77&gt;" ",(V$628:V$1078),"")</f>
        <v>0</v>
      </c>
      <c r="W336" s="200">
        <f t="array" ref="W336">IF(W$77&gt;" ",(W$628:W$1078),"")</f>
        <v>0</v>
      </c>
      <c r="X336" s="200">
        <f t="array" ref="X336">IF(X$77&gt;" ",(X$628:X$1078),"")</f>
        <v>0</v>
      </c>
      <c r="Y336" s="204">
        <v>0</v>
      </c>
      <c r="Z336" s="198" t="str">
        <f t="shared" ref="Z336:Z367" si="55">IF(AND(Q336&gt;0,Q336&lt;999),(Q336-$M336)/($N336-$M336)*$O336,"")</f>
        <v/>
      </c>
      <c r="AA336" s="198" t="str">
        <f t="shared" ref="AA336:AA367" si="56">IF(AND(R336&gt;0,R336&lt;999),(R336-$M336)/($N336-$M336)*$O336,"")</f>
        <v/>
      </c>
      <c r="AB336" s="198" t="str">
        <f t="shared" ref="AB336:AB367" si="57">IF(AND(S336&gt;0,S336&lt;999),(S336-$M336)/($N336-$M336)*$O336,"")</f>
        <v/>
      </c>
      <c r="AC336" s="198" t="str">
        <f t="shared" si="54"/>
        <v/>
      </c>
      <c r="AD336" s="198" t="str">
        <f t="shared" si="54"/>
        <v/>
      </c>
      <c r="AE336" s="198" t="str">
        <f t="shared" si="54"/>
        <v/>
      </c>
      <c r="AF336" s="198" t="str">
        <f t="shared" si="54"/>
        <v/>
      </c>
      <c r="AG336" s="198" t="str">
        <f t="shared" si="54"/>
        <v/>
      </c>
      <c r="AH336" s="198" t="str">
        <f t="shared" ref="AH336:AH399" si="58">IF(AND(Y336&gt;0,Y336&lt;999),(Y336-$M336)/($N336-$M336)*$O336,"")</f>
        <v/>
      </c>
      <c r="AI336" s="200" t="str">
        <f t="shared" ref="AI336:AI399" si="59">IFERROR(AVERAGE(Z336:AA336),"")</f>
        <v/>
      </c>
      <c r="AJ336" s="208" t="str">
        <f t="shared" ref="AJ336:AJ399" si="60">IFERROR(AI336/100,"")</f>
        <v/>
      </c>
      <c r="AK336" s="4"/>
      <c r="AL336" s="162">
        <v>1215</v>
      </c>
      <c r="AM336" s="209">
        <v>2.6157101956411702E-3</v>
      </c>
      <c r="AN336" s="183">
        <v>2.2809465650611544E-3</v>
      </c>
      <c r="AO336" s="183">
        <v>2.1511271618741838E-3</v>
      </c>
      <c r="AP336" s="165">
        <v>2.2861862148394053E-3</v>
      </c>
      <c r="AR336" s="210">
        <v>95.973546406826941</v>
      </c>
      <c r="AS336" s="211">
        <v>96.099882901116089</v>
      </c>
      <c r="AT336" s="211">
        <v>96.018576909367766</v>
      </c>
      <c r="AU336" s="211">
        <v>95.879454791833339</v>
      </c>
      <c r="AV336" s="211"/>
      <c r="AW336" s="212"/>
      <c r="AX336" s="210">
        <v>94.747173451238723</v>
      </c>
      <c r="AY336" s="211">
        <v>95.802330728417658</v>
      </c>
      <c r="AZ336" s="213">
        <v>98.8442425647346</v>
      </c>
    </row>
    <row r="337" spans="12:52" x14ac:dyDescent="0.25">
      <c r="L337" s="189">
        <v>1210</v>
      </c>
      <c r="M337" s="196">
        <f t="shared" si="53"/>
        <v>0</v>
      </c>
      <c r="N337" s="197">
        <f t="shared" si="53"/>
        <v>0</v>
      </c>
      <c r="O337" s="152">
        <f ca="1"/>
        <v>96.014100291972611</v>
      </c>
      <c r="Q337" s="198">
        <v>0</v>
      </c>
      <c r="R337" s="200">
        <v>0</v>
      </c>
      <c r="S337" s="200">
        <v>0</v>
      </c>
      <c r="T337" s="200">
        <v>0</v>
      </c>
      <c r="U337" s="200">
        <f t="array" ref="U337">IF(U$77&gt;" ",(U$628:U$1078),"")</f>
        <v>0</v>
      </c>
      <c r="V337" s="200">
        <f t="array" ref="V337">IF(V$77&gt;" ",(V$628:V$1078),"")</f>
        <v>0</v>
      </c>
      <c r="W337" s="200">
        <f t="array" ref="W337">IF(W$77&gt;" ",(W$628:W$1078),"")</f>
        <v>0</v>
      </c>
      <c r="X337" s="200">
        <f t="array" ref="X337">IF(X$77&gt;" ",(X$628:X$1078),"")</f>
        <v>0</v>
      </c>
      <c r="Y337" s="204">
        <v>0</v>
      </c>
      <c r="Z337" s="198" t="str">
        <f t="shared" si="55"/>
        <v/>
      </c>
      <c r="AA337" s="198" t="str">
        <f t="shared" si="56"/>
        <v/>
      </c>
      <c r="AB337" s="198" t="str">
        <f t="shared" si="57"/>
        <v/>
      </c>
      <c r="AC337" s="198" t="str">
        <f t="shared" si="54"/>
        <v/>
      </c>
      <c r="AD337" s="198" t="str">
        <f t="shared" si="54"/>
        <v/>
      </c>
      <c r="AE337" s="198" t="str">
        <f t="shared" si="54"/>
        <v/>
      </c>
      <c r="AF337" s="198" t="str">
        <f t="shared" si="54"/>
        <v/>
      </c>
      <c r="AG337" s="198" t="str">
        <f t="shared" si="54"/>
        <v/>
      </c>
      <c r="AH337" s="198" t="str">
        <f t="shared" si="58"/>
        <v/>
      </c>
      <c r="AI337" s="200" t="str">
        <f t="shared" si="59"/>
        <v/>
      </c>
      <c r="AJ337" s="208" t="str">
        <f t="shared" si="60"/>
        <v/>
      </c>
      <c r="AK337" s="4"/>
      <c r="AL337" s="162">
        <v>1210</v>
      </c>
      <c r="AM337" s="209">
        <v>2.5700604571659456E-3</v>
      </c>
      <c r="AN337" s="183">
        <v>2.2726925969659929E-3</v>
      </c>
      <c r="AO337" s="183">
        <v>2.2796517300310423E-3</v>
      </c>
      <c r="AP337" s="165">
        <v>2.4213952891595446E-3</v>
      </c>
      <c r="AR337" s="210">
        <v>95.965674420803055</v>
      </c>
      <c r="AS337" s="211">
        <v>96.091198507054287</v>
      </c>
      <c r="AT337" s="211">
        <v>96.014100291972611</v>
      </c>
      <c r="AU337" s="211">
        <v>95.872125943891604</v>
      </c>
      <c r="AV337" s="211"/>
      <c r="AW337" s="212"/>
      <c r="AX337" s="210">
        <v>94.731990745141843</v>
      </c>
      <c r="AY337" s="211">
        <v>95.794054668872391</v>
      </c>
      <c r="AZ337" s="213">
        <v>98.844797551337052</v>
      </c>
    </row>
    <row r="338" spans="12:52" x14ac:dyDescent="0.25">
      <c r="L338" s="189">
        <v>1205</v>
      </c>
      <c r="M338" s="196">
        <f t="shared" si="53"/>
        <v>0</v>
      </c>
      <c r="N338" s="197">
        <f t="shared" si="53"/>
        <v>0</v>
      </c>
      <c r="O338" s="152">
        <f ca="1"/>
        <v>96.000910468019526</v>
      </c>
      <c r="Q338" s="198">
        <v>0</v>
      </c>
      <c r="R338" s="200">
        <v>0</v>
      </c>
      <c r="S338" s="200">
        <v>0</v>
      </c>
      <c r="T338" s="200">
        <v>0</v>
      </c>
      <c r="U338" s="200">
        <f t="array" ref="U338">IF(U$77&gt;" ",(U$628:U$1078),"")</f>
        <v>0</v>
      </c>
      <c r="V338" s="200">
        <f t="array" ref="V338">IF(V$77&gt;" ",(V$628:V$1078),"")</f>
        <v>0</v>
      </c>
      <c r="W338" s="200">
        <f t="array" ref="W338">IF(W$77&gt;" ",(W$628:W$1078),"")</f>
        <v>0</v>
      </c>
      <c r="X338" s="200">
        <f t="array" ref="X338">IF(X$77&gt;" ",(X$628:X$1078),"")</f>
        <v>0</v>
      </c>
      <c r="Y338" s="204">
        <v>0</v>
      </c>
      <c r="Z338" s="198" t="str">
        <f t="shared" si="55"/>
        <v/>
      </c>
      <c r="AA338" s="198" t="str">
        <f t="shared" si="56"/>
        <v/>
      </c>
      <c r="AB338" s="198" t="str">
        <f t="shared" si="57"/>
        <v/>
      </c>
      <c r="AC338" s="198" t="str">
        <f t="shared" si="54"/>
        <v/>
      </c>
      <c r="AD338" s="198" t="str">
        <f t="shared" si="54"/>
        <v/>
      </c>
      <c r="AE338" s="198" t="str">
        <f t="shared" si="54"/>
        <v/>
      </c>
      <c r="AF338" s="198" t="str">
        <f t="shared" si="54"/>
        <v/>
      </c>
      <c r="AG338" s="198" t="str">
        <f t="shared" ref="AG338:AH401" si="61">IF(AND(X338&gt;0,X338&lt;999),(X338-$M338)/($N338-$M338)*$O338,"")</f>
        <v/>
      </c>
      <c r="AH338" s="198" t="str">
        <f t="shared" si="58"/>
        <v/>
      </c>
      <c r="AI338" s="200" t="str">
        <f t="shared" si="59"/>
        <v/>
      </c>
      <c r="AJ338" s="208" t="str">
        <f t="shared" si="60"/>
        <v/>
      </c>
      <c r="AK338" s="4"/>
      <c r="AL338" s="162">
        <v>1205</v>
      </c>
      <c r="AM338" s="209">
        <v>2.524344655393362E-3</v>
      </c>
      <c r="AN338" s="183">
        <v>2.2644386288708314E-3</v>
      </c>
      <c r="AO338" s="183">
        <v>2.1969856932353162E-3</v>
      </c>
      <c r="AP338" s="165">
        <v>2.3344831648138592E-3</v>
      </c>
      <c r="AR338" s="210">
        <v>95.956369330446506</v>
      </c>
      <c r="AS338" s="211">
        <v>96.07440829769898</v>
      </c>
      <c r="AT338" s="211">
        <v>96.000910468019526</v>
      </c>
      <c r="AU338" s="211">
        <v>95.851801663512632</v>
      </c>
      <c r="AV338" s="211"/>
      <c r="AW338" s="212"/>
      <c r="AX338" s="210">
        <v>94.722986635499623</v>
      </c>
      <c r="AY338" s="211">
        <v>95.782475099065849</v>
      </c>
      <c r="AZ338" s="213">
        <v>98.828736535687455</v>
      </c>
    </row>
    <row r="339" spans="12:52" x14ac:dyDescent="0.25">
      <c r="L339" s="189">
        <v>1200</v>
      </c>
      <c r="M339" s="196">
        <f t="shared" si="53"/>
        <v>0</v>
      </c>
      <c r="N339" s="197">
        <f t="shared" si="53"/>
        <v>0</v>
      </c>
      <c r="O339" s="152">
        <f ca="1"/>
        <v>95.999001497293577</v>
      </c>
      <c r="Q339" s="198">
        <v>0</v>
      </c>
      <c r="R339" s="200">
        <v>0</v>
      </c>
      <c r="S339" s="200">
        <v>0</v>
      </c>
      <c r="T339" s="200">
        <v>0</v>
      </c>
      <c r="U339" s="200">
        <f t="array" ref="U339">IF(U$77&gt;" ",(U$628:U$1078),"")</f>
        <v>0</v>
      </c>
      <c r="V339" s="200">
        <f t="array" ref="V339">IF(V$77&gt;" ",(V$628:V$1078),"")</f>
        <v>0</v>
      </c>
      <c r="W339" s="200">
        <f t="array" ref="W339">IF(W$77&gt;" ",(W$628:W$1078),"")</f>
        <v>0</v>
      </c>
      <c r="X339" s="200">
        <f t="array" ref="X339">IF(X$77&gt;" ",(X$628:X$1078),"")</f>
        <v>0</v>
      </c>
      <c r="Y339" s="204">
        <v>0</v>
      </c>
      <c r="Z339" s="198" t="str">
        <f t="shared" si="55"/>
        <v/>
      </c>
      <c r="AA339" s="198" t="str">
        <f t="shared" si="56"/>
        <v/>
      </c>
      <c r="AB339" s="198" t="str">
        <f t="shared" si="57"/>
        <v/>
      </c>
      <c r="AC339" s="198" t="str">
        <f t="shared" si="54"/>
        <v/>
      </c>
      <c r="AD339" s="198" t="str">
        <f t="shared" si="54"/>
        <v/>
      </c>
      <c r="AE339" s="198" t="str">
        <f t="shared" si="54"/>
        <v/>
      </c>
      <c r="AF339" s="198" t="str">
        <f t="shared" si="54"/>
        <v/>
      </c>
      <c r="AG339" s="198" t="str">
        <f t="shared" si="61"/>
        <v/>
      </c>
      <c r="AH339" s="198" t="str">
        <f t="shared" si="58"/>
        <v/>
      </c>
      <c r="AI339" s="200" t="str">
        <f t="shared" si="59"/>
        <v/>
      </c>
      <c r="AJ339" s="208" t="str">
        <f t="shared" si="60"/>
        <v/>
      </c>
      <c r="AK339" s="4"/>
      <c r="AL339" s="162">
        <v>1200</v>
      </c>
      <c r="AM339" s="209">
        <v>2.4786949169181369E-3</v>
      </c>
      <c r="AN339" s="183">
        <v>2.2561846607756695E-3</v>
      </c>
      <c r="AO339" s="183">
        <v>2.2539568730951445E-3</v>
      </c>
      <c r="AP339" s="165">
        <v>2.3946444872038216E-3</v>
      </c>
      <c r="AR339" s="210">
        <v>95.951094624203392</v>
      </c>
      <c r="AS339" s="211">
        <v>96.084150929202281</v>
      </c>
      <c r="AT339" s="211">
        <v>95.999001497293577</v>
      </c>
      <c r="AU339" s="211">
        <v>95.861752102782319</v>
      </c>
      <c r="AV339" s="211"/>
      <c r="AW339" s="212"/>
      <c r="AX339" s="210">
        <v>94.706454355706981</v>
      </c>
      <c r="AY339" s="211">
        <v>95.771062923602656</v>
      </c>
      <c r="AZ339" s="213">
        <v>98.862963402174699</v>
      </c>
    </row>
    <row r="340" spans="12:52" x14ac:dyDescent="0.25">
      <c r="L340" s="189">
        <v>1195</v>
      </c>
      <c r="M340" s="196">
        <f t="shared" si="53"/>
        <v>0</v>
      </c>
      <c r="N340" s="197">
        <f t="shared" si="53"/>
        <v>0</v>
      </c>
      <c r="O340" s="152">
        <f ca="1"/>
        <v>95.989478604741109</v>
      </c>
      <c r="Q340" s="198">
        <v>0</v>
      </c>
      <c r="R340" s="200">
        <v>0</v>
      </c>
      <c r="S340" s="200">
        <v>0</v>
      </c>
      <c r="T340" s="200">
        <v>0</v>
      </c>
      <c r="U340" s="200">
        <f t="array" ref="U340">IF(U$77&gt;" ",(U$628:U$1078),"")</f>
        <v>0</v>
      </c>
      <c r="V340" s="200">
        <f t="array" ref="V340">IF(V$77&gt;" ",(V$628:V$1078),"")</f>
        <v>0</v>
      </c>
      <c r="W340" s="200">
        <f t="array" ref="W340">IF(W$77&gt;" ",(W$628:W$1078),"")</f>
        <v>0</v>
      </c>
      <c r="X340" s="200">
        <f t="array" ref="X340">IF(X$77&gt;" ",(X$628:X$1078),"")</f>
        <v>0</v>
      </c>
      <c r="Y340" s="204">
        <v>0</v>
      </c>
      <c r="Z340" s="198" t="str">
        <f t="shared" si="55"/>
        <v/>
      </c>
      <c r="AA340" s="198" t="str">
        <f t="shared" si="56"/>
        <v/>
      </c>
      <c r="AB340" s="198" t="str">
        <f t="shared" si="57"/>
        <v/>
      </c>
      <c r="AC340" s="198" t="str">
        <f t="shared" si="54"/>
        <v/>
      </c>
      <c r="AD340" s="198" t="str">
        <f t="shared" si="54"/>
        <v/>
      </c>
      <c r="AE340" s="198" t="str">
        <f t="shared" si="54"/>
        <v/>
      </c>
      <c r="AF340" s="198" t="str">
        <f t="shared" si="54"/>
        <v/>
      </c>
      <c r="AG340" s="198" t="str">
        <f t="shared" si="61"/>
        <v/>
      </c>
      <c r="AH340" s="198" t="str">
        <f t="shared" si="58"/>
        <v/>
      </c>
      <c r="AI340" s="200" t="str">
        <f t="shared" si="59"/>
        <v/>
      </c>
      <c r="AJ340" s="208" t="str">
        <f t="shared" si="60"/>
        <v/>
      </c>
      <c r="AK340" s="4"/>
      <c r="AL340" s="162">
        <v>1195</v>
      </c>
      <c r="AM340" s="209">
        <v>2.5308849218319252E-3</v>
      </c>
      <c r="AN340" s="183">
        <v>2.1629098188954352E-3</v>
      </c>
      <c r="AO340" s="183">
        <v>2.247470304514458E-3</v>
      </c>
      <c r="AP340" s="165">
        <v>2.388040732746133E-3</v>
      </c>
      <c r="AR340" s="210">
        <v>95.939193205362983</v>
      </c>
      <c r="AS340" s="211">
        <v>96.072187025911262</v>
      </c>
      <c r="AT340" s="211">
        <v>95.989478604741109</v>
      </c>
      <c r="AU340" s="211">
        <v>95.848890797418719</v>
      </c>
      <c r="AV340" s="211"/>
      <c r="AW340" s="212"/>
      <c r="AX340" s="210">
        <v>94.721321137841997</v>
      </c>
      <c r="AY340" s="211">
        <v>95.772898117542937</v>
      </c>
      <c r="AZ340" s="213">
        <v>98.953761146671042</v>
      </c>
    </row>
    <row r="341" spans="12:52" x14ac:dyDescent="0.25">
      <c r="L341" s="189">
        <v>1190</v>
      </c>
      <c r="M341" s="196">
        <f t="shared" si="53"/>
        <v>0</v>
      </c>
      <c r="N341" s="197">
        <f t="shared" si="53"/>
        <v>0</v>
      </c>
      <c r="O341" s="152">
        <f ca="1"/>
        <v>95.983069568751432</v>
      </c>
      <c r="Q341" s="198">
        <v>0</v>
      </c>
      <c r="R341" s="200">
        <v>0</v>
      </c>
      <c r="S341" s="200">
        <v>0</v>
      </c>
      <c r="T341" s="200">
        <v>0</v>
      </c>
      <c r="U341" s="200">
        <f t="array" ref="U341">IF(U$77&gt;" ",(U$628:U$1078),"")</f>
        <v>0</v>
      </c>
      <c r="V341" s="200">
        <f t="array" ref="V341">IF(V$77&gt;" ",(V$628:V$1078),"")</f>
        <v>0</v>
      </c>
      <c r="W341" s="200">
        <f t="array" ref="W341">IF(W$77&gt;" ",(W$628:W$1078),"")</f>
        <v>0</v>
      </c>
      <c r="X341" s="200">
        <f t="array" ref="X341">IF(X$77&gt;" ",(X$628:X$1078),"")</f>
        <v>0</v>
      </c>
      <c r="Y341" s="204">
        <v>0</v>
      </c>
      <c r="Z341" s="198" t="str">
        <f t="shared" si="55"/>
        <v/>
      </c>
      <c r="AA341" s="198" t="str">
        <f t="shared" si="56"/>
        <v/>
      </c>
      <c r="AB341" s="198" t="str">
        <f t="shared" si="57"/>
        <v/>
      </c>
      <c r="AC341" s="198" t="str">
        <f t="shared" si="54"/>
        <v/>
      </c>
      <c r="AD341" s="198" t="str">
        <f t="shared" si="54"/>
        <v/>
      </c>
      <c r="AE341" s="198" t="str">
        <f t="shared" si="54"/>
        <v/>
      </c>
      <c r="AF341" s="198" t="str">
        <f t="shared" si="54"/>
        <v/>
      </c>
      <c r="AG341" s="198" t="str">
        <f t="shared" si="61"/>
        <v/>
      </c>
      <c r="AH341" s="198" t="str">
        <f t="shared" si="58"/>
        <v/>
      </c>
      <c r="AI341" s="200" t="str">
        <f t="shared" si="59"/>
        <v/>
      </c>
      <c r="AJ341" s="208" t="str">
        <f t="shared" si="60"/>
        <v/>
      </c>
      <c r="AK341" s="4"/>
      <c r="AL341" s="162">
        <v>1190</v>
      </c>
      <c r="AM341" s="209">
        <v>2.583074926745713E-3</v>
      </c>
      <c r="AN341" s="183">
        <v>2.0696349770152013E-3</v>
      </c>
      <c r="AO341" s="183">
        <v>2.3250577100958482E-3</v>
      </c>
      <c r="AP341" s="165">
        <v>2.4693564550090311E-3</v>
      </c>
      <c r="AR341" s="210">
        <v>95.927270532294912</v>
      </c>
      <c r="AS341" s="211">
        <v>96.05691734567317</v>
      </c>
      <c r="AT341" s="211">
        <v>95.983069568751432</v>
      </c>
      <c r="AU341" s="211">
        <v>95.835803746823828</v>
      </c>
      <c r="AV341" s="211"/>
      <c r="AW341" s="212"/>
      <c r="AX341" s="210">
        <v>94.673213932763133</v>
      </c>
      <c r="AY341" s="211">
        <v>95.749616590632101</v>
      </c>
      <c r="AZ341" s="213">
        <v>98.840470463673711</v>
      </c>
    </row>
    <row r="342" spans="12:52" x14ac:dyDescent="0.25">
      <c r="L342" s="189">
        <v>1185</v>
      </c>
      <c r="M342" s="196">
        <f t="shared" si="53"/>
        <v>0</v>
      </c>
      <c r="N342" s="197">
        <f t="shared" si="53"/>
        <v>0</v>
      </c>
      <c r="O342" s="152">
        <f ca="1"/>
        <v>95.975344465294043</v>
      </c>
      <c r="Q342" s="198">
        <v>0</v>
      </c>
      <c r="R342" s="200">
        <v>0</v>
      </c>
      <c r="S342" s="200">
        <v>0</v>
      </c>
      <c r="T342" s="200">
        <v>0</v>
      </c>
      <c r="U342" s="200">
        <f t="array" ref="U342">IF(U$77&gt;" ",(U$628:U$1078),"")</f>
        <v>0</v>
      </c>
      <c r="V342" s="200">
        <f t="array" ref="V342">IF(V$77&gt;" ",(V$628:V$1078),"")</f>
        <v>0</v>
      </c>
      <c r="W342" s="200">
        <f t="array" ref="W342">IF(W$77&gt;" ",(W$628:W$1078),"")</f>
        <v>0</v>
      </c>
      <c r="X342" s="200">
        <f t="array" ref="X342">IF(X$77&gt;" ",(X$628:X$1078),"")</f>
        <v>0</v>
      </c>
      <c r="Y342" s="204">
        <v>0</v>
      </c>
      <c r="Z342" s="198" t="str">
        <f t="shared" si="55"/>
        <v/>
      </c>
      <c r="AA342" s="198" t="str">
        <f t="shared" si="56"/>
        <v/>
      </c>
      <c r="AB342" s="198" t="str">
        <f t="shared" si="57"/>
        <v/>
      </c>
      <c r="AC342" s="198" t="str">
        <f t="shared" si="54"/>
        <v/>
      </c>
      <c r="AD342" s="198" t="str">
        <f t="shared" si="54"/>
        <v/>
      </c>
      <c r="AE342" s="198" t="str">
        <f t="shared" si="54"/>
        <v/>
      </c>
      <c r="AF342" s="198" t="str">
        <f t="shared" si="54"/>
        <v/>
      </c>
      <c r="AG342" s="198" t="str">
        <f t="shared" si="61"/>
        <v/>
      </c>
      <c r="AH342" s="198" t="str">
        <f t="shared" si="58"/>
        <v/>
      </c>
      <c r="AI342" s="200" t="str">
        <f t="shared" si="59"/>
        <v/>
      </c>
      <c r="AJ342" s="208" t="str">
        <f t="shared" si="60"/>
        <v/>
      </c>
      <c r="AK342" s="4"/>
      <c r="AL342" s="162">
        <v>1185</v>
      </c>
      <c r="AM342" s="209">
        <v>2.6352649316595009E-3</v>
      </c>
      <c r="AN342" s="183">
        <v>1.9763601351349669E-3</v>
      </c>
      <c r="AO342" s="183">
        <v>2.0485991515174409E-3</v>
      </c>
      <c r="AP342" s="165">
        <v>2.1774481223708498E-3</v>
      </c>
      <c r="AR342" s="210">
        <v>95.920910311948489</v>
      </c>
      <c r="AS342" s="211">
        <v>96.058796946895484</v>
      </c>
      <c r="AT342" s="211">
        <v>95.975344465294043</v>
      </c>
      <c r="AU342" s="211">
        <v>95.841357787903107</v>
      </c>
      <c r="AV342" s="211"/>
      <c r="AW342" s="212"/>
      <c r="AX342" s="210">
        <v>94.669861000376287</v>
      </c>
      <c r="AY342" s="211">
        <v>95.744381040319539</v>
      </c>
      <c r="AZ342" s="213">
        <v>98.731860358625653</v>
      </c>
    </row>
    <row r="343" spans="12:52" x14ac:dyDescent="0.25">
      <c r="L343" s="189">
        <v>1180</v>
      </c>
      <c r="M343" s="196">
        <f t="shared" si="53"/>
        <v>0</v>
      </c>
      <c r="N343" s="197">
        <f t="shared" si="53"/>
        <v>0</v>
      </c>
      <c r="O343" s="152">
        <f ca="1"/>
        <v>95.957620830461224</v>
      </c>
      <c r="Q343" s="198">
        <v>0</v>
      </c>
      <c r="R343" s="200">
        <v>0</v>
      </c>
      <c r="S343" s="200">
        <v>0</v>
      </c>
      <c r="T343" s="200">
        <v>0</v>
      </c>
      <c r="U343" s="200">
        <f t="array" ref="U343">IF(U$77&gt;" ",(U$628:U$1078),"")</f>
        <v>0</v>
      </c>
      <c r="V343" s="200">
        <f t="array" ref="V343">IF(V$77&gt;" ",(V$628:V$1078),"")</f>
        <v>0</v>
      </c>
      <c r="W343" s="200">
        <f t="array" ref="W343">IF(W$77&gt;" ",(W$628:W$1078),"")</f>
        <v>0</v>
      </c>
      <c r="X343" s="200">
        <f t="array" ref="X343">IF(X$77&gt;" ",(X$628:X$1078),"")</f>
        <v>0</v>
      </c>
      <c r="Y343" s="204">
        <v>0</v>
      </c>
      <c r="Z343" s="198" t="str">
        <f t="shared" si="55"/>
        <v/>
      </c>
      <c r="AA343" s="198" t="str">
        <f t="shared" si="56"/>
        <v/>
      </c>
      <c r="AB343" s="198" t="str">
        <f t="shared" si="57"/>
        <v/>
      </c>
      <c r="AC343" s="198" t="str">
        <f t="shared" si="54"/>
        <v/>
      </c>
      <c r="AD343" s="198" t="str">
        <f t="shared" si="54"/>
        <v/>
      </c>
      <c r="AE343" s="198" t="str">
        <f t="shared" si="54"/>
        <v/>
      </c>
      <c r="AF343" s="198" t="str">
        <f t="shared" si="54"/>
        <v/>
      </c>
      <c r="AG343" s="198" t="str">
        <f t="shared" si="61"/>
        <v/>
      </c>
      <c r="AH343" s="198" t="str">
        <f t="shared" si="58"/>
        <v/>
      </c>
      <c r="AI343" s="200" t="str">
        <f t="shared" si="59"/>
        <v/>
      </c>
      <c r="AJ343" s="208" t="str">
        <f t="shared" si="60"/>
        <v/>
      </c>
      <c r="AK343" s="4"/>
      <c r="AL343" s="162">
        <v>1180</v>
      </c>
      <c r="AM343" s="209">
        <v>2.6874549365732891E-3</v>
      </c>
      <c r="AN343" s="183">
        <v>1.8830852932547335E-3</v>
      </c>
      <c r="AO343" s="183">
        <v>2.2159425642036793E-3</v>
      </c>
      <c r="AP343" s="165">
        <v>2.3533990038536799E-3</v>
      </c>
      <c r="AR343" s="210">
        <v>95.918473830910472</v>
      </c>
      <c r="AS343" s="211">
        <v>96.041365677601448</v>
      </c>
      <c r="AT343" s="211">
        <v>95.957620830461224</v>
      </c>
      <c r="AU343" s="211">
        <v>95.817583589030278</v>
      </c>
      <c r="AV343" s="211"/>
      <c r="AW343" s="212"/>
      <c r="AX343" s="210">
        <v>94.600644794132791</v>
      </c>
      <c r="AY343" s="211">
        <v>95.684271529297007</v>
      </c>
      <c r="AZ343" s="213">
        <v>98.841721187936898</v>
      </c>
    </row>
    <row r="344" spans="12:52" x14ac:dyDescent="0.25">
      <c r="L344" s="189">
        <v>1175</v>
      </c>
      <c r="M344" s="196">
        <f t="shared" si="53"/>
        <v>0</v>
      </c>
      <c r="N344" s="197">
        <f t="shared" si="53"/>
        <v>0</v>
      </c>
      <c r="O344" s="152">
        <f ca="1"/>
        <v>95.940186815651558</v>
      </c>
      <c r="Q344" s="198">
        <v>0</v>
      </c>
      <c r="R344" s="200">
        <v>0</v>
      </c>
      <c r="S344" s="200">
        <v>0</v>
      </c>
      <c r="T344" s="200">
        <v>0</v>
      </c>
      <c r="U344" s="200">
        <f t="array" ref="U344">IF(U$77&gt;" ",(U$628:U$1078),"")</f>
        <v>0</v>
      </c>
      <c r="V344" s="200">
        <f t="array" ref="V344">IF(V$77&gt;" ",(V$628:V$1078),"")</f>
        <v>0</v>
      </c>
      <c r="W344" s="200">
        <f t="array" ref="W344">IF(W$77&gt;" ",(W$628:W$1078),"")</f>
        <v>0</v>
      </c>
      <c r="X344" s="200">
        <f t="array" ref="X344">IF(X$77&gt;" ",(X$628:X$1078),"")</f>
        <v>0</v>
      </c>
      <c r="Y344" s="204">
        <v>0</v>
      </c>
      <c r="Z344" s="198" t="str">
        <f t="shared" si="55"/>
        <v/>
      </c>
      <c r="AA344" s="198" t="str">
        <f t="shared" si="56"/>
        <v/>
      </c>
      <c r="AB344" s="198" t="str">
        <f t="shared" si="57"/>
        <v/>
      </c>
      <c r="AC344" s="198" t="str">
        <f t="shared" si="54"/>
        <v/>
      </c>
      <c r="AD344" s="198" t="str">
        <f t="shared" si="54"/>
        <v/>
      </c>
      <c r="AE344" s="198" t="str">
        <f t="shared" si="54"/>
        <v/>
      </c>
      <c r="AF344" s="198" t="str">
        <f t="shared" si="54"/>
        <v/>
      </c>
      <c r="AG344" s="198" t="str">
        <f t="shared" si="61"/>
        <v/>
      </c>
      <c r="AH344" s="198" t="str">
        <f t="shared" si="58"/>
        <v/>
      </c>
      <c r="AI344" s="200" t="str">
        <f t="shared" si="59"/>
        <v/>
      </c>
      <c r="AJ344" s="208" t="str">
        <f t="shared" si="60"/>
        <v/>
      </c>
      <c r="AK344" s="4"/>
      <c r="AL344" s="162">
        <v>1175</v>
      </c>
      <c r="AM344" s="209">
        <v>2.505054172564468E-3</v>
      </c>
      <c r="AN344" s="183">
        <v>1.7898104513744996E-3</v>
      </c>
      <c r="AO344" s="183">
        <v>2.2748245162035547E-3</v>
      </c>
      <c r="AP344" s="165">
        <v>2.414399786556061E-3</v>
      </c>
      <c r="AR344" s="210">
        <v>95.896335750530852</v>
      </c>
      <c r="AS344" s="211">
        <v>96.022110379329646</v>
      </c>
      <c r="AT344" s="211">
        <v>95.940186815651558</v>
      </c>
      <c r="AU344" s="211">
        <v>95.804473052363804</v>
      </c>
      <c r="AV344" s="211"/>
      <c r="AW344" s="212"/>
      <c r="AX344" s="210">
        <v>94.668209456238628</v>
      </c>
      <c r="AY344" s="211">
        <v>95.732431572952692</v>
      </c>
      <c r="AZ344" s="213">
        <v>98.85040289629859</v>
      </c>
    </row>
    <row r="345" spans="12:52" x14ac:dyDescent="0.25">
      <c r="L345" s="189">
        <v>1170</v>
      </c>
      <c r="M345" s="196">
        <f t="shared" si="53"/>
        <v>0</v>
      </c>
      <c r="N345" s="197">
        <f t="shared" si="53"/>
        <v>0</v>
      </c>
      <c r="O345" s="152">
        <f ca="1"/>
        <v>95.962605912397066</v>
      </c>
      <c r="Q345" s="198">
        <v>0</v>
      </c>
      <c r="R345" s="200">
        <v>0</v>
      </c>
      <c r="S345" s="200">
        <v>0</v>
      </c>
      <c r="T345" s="200">
        <v>0</v>
      </c>
      <c r="U345" s="200">
        <f t="array" ref="U345">IF(U$77&gt;" ",(U$628:U$1078),"")</f>
        <v>0</v>
      </c>
      <c r="V345" s="200">
        <f t="array" ref="V345">IF(V$77&gt;" ",(V$628:V$1078),"")</f>
        <v>0</v>
      </c>
      <c r="W345" s="200">
        <f t="array" ref="W345">IF(W$77&gt;" ",(W$628:W$1078),"")</f>
        <v>0</v>
      </c>
      <c r="X345" s="200">
        <f t="array" ref="X345">IF(X$77&gt;" ",(X$628:X$1078),"")</f>
        <v>0</v>
      </c>
      <c r="Y345" s="204">
        <v>0</v>
      </c>
      <c r="Z345" s="198" t="str">
        <f t="shared" si="55"/>
        <v/>
      </c>
      <c r="AA345" s="198" t="str">
        <f t="shared" si="56"/>
        <v/>
      </c>
      <c r="AB345" s="198" t="str">
        <f t="shared" si="57"/>
        <v/>
      </c>
      <c r="AC345" s="198" t="str">
        <f t="shared" si="54"/>
        <v/>
      </c>
      <c r="AD345" s="198" t="str">
        <f t="shared" si="54"/>
        <v/>
      </c>
      <c r="AE345" s="198" t="str">
        <f t="shared" si="54"/>
        <v/>
      </c>
      <c r="AF345" s="198" t="str">
        <f t="shared" si="54"/>
        <v/>
      </c>
      <c r="AG345" s="198" t="str">
        <f t="shared" si="61"/>
        <v/>
      </c>
      <c r="AH345" s="198" t="str">
        <f t="shared" si="58"/>
        <v/>
      </c>
      <c r="AI345" s="200" t="str">
        <f t="shared" si="59"/>
        <v/>
      </c>
      <c r="AJ345" s="208" t="str">
        <f t="shared" si="60"/>
        <v/>
      </c>
      <c r="AK345" s="4"/>
      <c r="AL345" s="162">
        <v>1170</v>
      </c>
      <c r="AM345" s="209">
        <v>2.3227194718530055E-3</v>
      </c>
      <c r="AN345" s="183">
        <v>1.6965356094942653E-3</v>
      </c>
      <c r="AO345" s="183">
        <v>2.3066539573785515E-3</v>
      </c>
      <c r="AP345" s="165">
        <v>2.4473625948236771E-3</v>
      </c>
      <c r="AR345" s="210">
        <v>95.900439104640583</v>
      </c>
      <c r="AS345" s="211">
        <v>96.041544222193011</v>
      </c>
      <c r="AT345" s="211">
        <v>95.962605912397066</v>
      </c>
      <c r="AU345" s="211">
        <v>95.827080290601884</v>
      </c>
      <c r="AV345" s="211"/>
      <c r="AW345" s="212"/>
      <c r="AX345" s="210">
        <v>94.603686139727245</v>
      </c>
      <c r="AY345" s="211">
        <v>95.680843409281934</v>
      </c>
      <c r="AZ345" s="213">
        <v>98.847162070242206</v>
      </c>
    </row>
    <row r="346" spans="12:52" x14ac:dyDescent="0.25">
      <c r="L346" s="189">
        <v>1165</v>
      </c>
      <c r="M346" s="196">
        <f t="shared" si="53"/>
        <v>0</v>
      </c>
      <c r="N346" s="197">
        <f t="shared" si="53"/>
        <v>0</v>
      </c>
      <c r="O346" s="152">
        <f ca="1"/>
        <v>95.950433680413411</v>
      </c>
      <c r="Q346" s="198">
        <v>0</v>
      </c>
      <c r="R346" s="200">
        <v>0</v>
      </c>
      <c r="S346" s="200">
        <v>0</v>
      </c>
      <c r="T346" s="200">
        <v>0</v>
      </c>
      <c r="U346" s="200">
        <f t="array" ref="U346">IF(U$77&gt;" ",(U$628:U$1078),"")</f>
        <v>0</v>
      </c>
      <c r="V346" s="200">
        <f t="array" ref="V346">IF(V$77&gt;" ",(V$628:V$1078),"")</f>
        <v>0</v>
      </c>
      <c r="W346" s="200">
        <f t="array" ref="W346">IF(W$77&gt;" ",(W$628:W$1078),"")</f>
        <v>0</v>
      </c>
      <c r="X346" s="200">
        <f t="array" ref="X346">IF(X$77&gt;" ",(X$628:X$1078),"")</f>
        <v>0</v>
      </c>
      <c r="Y346" s="204">
        <v>0</v>
      </c>
      <c r="Z346" s="198" t="str">
        <f t="shared" si="55"/>
        <v/>
      </c>
      <c r="AA346" s="198" t="str">
        <f t="shared" si="56"/>
        <v/>
      </c>
      <c r="AB346" s="198" t="str">
        <f t="shared" si="57"/>
        <v/>
      </c>
      <c r="AC346" s="198" t="str">
        <f t="shared" si="54"/>
        <v/>
      </c>
      <c r="AD346" s="198" t="str">
        <f t="shared" si="54"/>
        <v/>
      </c>
      <c r="AE346" s="198" t="str">
        <f t="shared" si="54"/>
        <v/>
      </c>
      <c r="AF346" s="198" t="str">
        <f t="shared" si="54"/>
        <v/>
      </c>
      <c r="AG346" s="198" t="str">
        <f t="shared" si="61"/>
        <v/>
      </c>
      <c r="AH346" s="198" t="str">
        <f t="shared" si="58"/>
        <v/>
      </c>
      <c r="AI346" s="200" t="str">
        <f t="shared" si="59"/>
        <v/>
      </c>
      <c r="AJ346" s="208" t="str">
        <f t="shared" si="60"/>
        <v/>
      </c>
      <c r="AK346" s="4"/>
      <c r="AL346" s="162">
        <v>1165</v>
      </c>
      <c r="AM346" s="209">
        <v>2.1403187078441847E-3</v>
      </c>
      <c r="AN346" s="183">
        <v>1.6032607676140314E-3</v>
      </c>
      <c r="AO346" s="183">
        <v>1.9540159305851046E-3</v>
      </c>
      <c r="AP346" s="165">
        <v>2.0751458922974994E-3</v>
      </c>
      <c r="AR346" s="210">
        <v>95.893395950593046</v>
      </c>
      <c r="AS346" s="211">
        <v>96.027375201368997</v>
      </c>
      <c r="AT346" s="211">
        <v>95.950433680413411</v>
      </c>
      <c r="AU346" s="211">
        <v>95.813978833725116</v>
      </c>
      <c r="AV346" s="211"/>
      <c r="AW346" s="212"/>
      <c r="AX346" s="210">
        <v>94.602295179802766</v>
      </c>
      <c r="AY346" s="211">
        <v>95.681305552321234</v>
      </c>
      <c r="AZ346" s="213">
        <v>98.731795613428488</v>
      </c>
    </row>
    <row r="347" spans="12:52" x14ac:dyDescent="0.25">
      <c r="L347" s="189">
        <v>1160</v>
      </c>
      <c r="M347" s="196">
        <f t="shared" si="53"/>
        <v>0</v>
      </c>
      <c r="N347" s="197">
        <f t="shared" si="53"/>
        <v>0</v>
      </c>
      <c r="O347" s="152">
        <f ca="1"/>
        <v>95.927286096831082</v>
      </c>
      <c r="Q347" s="198">
        <v>0</v>
      </c>
      <c r="R347" s="200">
        <v>0</v>
      </c>
      <c r="S347" s="200">
        <v>0</v>
      </c>
      <c r="T347" s="200">
        <v>0</v>
      </c>
      <c r="U347" s="200">
        <f t="array" ref="U347">IF(U$77&gt;" ",(U$628:U$1078),"")</f>
        <v>0</v>
      </c>
      <c r="V347" s="200">
        <f t="array" ref="V347">IF(V$77&gt;" ",(V$628:V$1078),"")</f>
        <v>0</v>
      </c>
      <c r="W347" s="200">
        <f t="array" ref="W347">IF(W$77&gt;" ",(W$628:W$1078),"")</f>
        <v>0</v>
      </c>
      <c r="X347" s="200">
        <f t="array" ref="X347">IF(X$77&gt;" ",(X$628:X$1078),"")</f>
        <v>0</v>
      </c>
      <c r="Y347" s="204">
        <v>0</v>
      </c>
      <c r="Z347" s="198" t="str">
        <f t="shared" si="55"/>
        <v/>
      </c>
      <c r="AA347" s="198" t="str">
        <f t="shared" si="56"/>
        <v/>
      </c>
      <c r="AB347" s="198" t="str">
        <f t="shared" si="57"/>
        <v/>
      </c>
      <c r="AC347" s="198" t="str">
        <f t="shared" si="54"/>
        <v/>
      </c>
      <c r="AD347" s="198" t="str">
        <f t="shared" si="54"/>
        <v/>
      </c>
      <c r="AE347" s="198" t="str">
        <f t="shared" si="54"/>
        <v/>
      </c>
      <c r="AF347" s="198" t="str">
        <f t="shared" si="54"/>
        <v/>
      </c>
      <c r="AG347" s="198" t="str">
        <f t="shared" si="61"/>
        <v/>
      </c>
      <c r="AH347" s="198" t="str">
        <f t="shared" si="58"/>
        <v/>
      </c>
      <c r="AI347" s="200" t="str">
        <f t="shared" si="59"/>
        <v/>
      </c>
      <c r="AJ347" s="208" t="str">
        <f t="shared" si="60"/>
        <v/>
      </c>
      <c r="AK347" s="4"/>
      <c r="AL347" s="162">
        <v>1160</v>
      </c>
      <c r="AM347" s="209">
        <v>1.9440446513899257E-3</v>
      </c>
      <c r="AN347" s="183">
        <v>1.5099859257337975E-3</v>
      </c>
      <c r="AO347" s="183">
        <v>1.440521059686106E-3</v>
      </c>
      <c r="AP347" s="165">
        <v>1.5317912140796889E-3</v>
      </c>
      <c r="AR347" s="210">
        <v>95.876110623675871</v>
      </c>
      <c r="AS347" s="211">
        <v>96.00432976531421</v>
      </c>
      <c r="AT347" s="211">
        <v>95.927286096831082</v>
      </c>
      <c r="AU347" s="211">
        <v>95.789861309151249</v>
      </c>
      <c r="AV347" s="211"/>
      <c r="AW347" s="212"/>
      <c r="AX347" s="210">
        <v>94.62670672280602</v>
      </c>
      <c r="AY347" s="211">
        <v>95.689831191769528</v>
      </c>
      <c r="AZ347" s="213">
        <v>98.831287025322808</v>
      </c>
    </row>
    <row r="348" spans="12:52" x14ac:dyDescent="0.25">
      <c r="L348" s="189">
        <v>1155</v>
      </c>
      <c r="M348" s="196">
        <f t="shared" si="53"/>
        <v>0</v>
      </c>
      <c r="N348" s="197">
        <f t="shared" si="53"/>
        <v>0</v>
      </c>
      <c r="O348" s="152">
        <f ca="1"/>
        <v>95.928587350555347</v>
      </c>
      <c r="Q348" s="198">
        <v>0</v>
      </c>
      <c r="R348" s="200">
        <v>0</v>
      </c>
      <c r="S348" s="200">
        <v>0</v>
      </c>
      <c r="T348" s="200">
        <v>0</v>
      </c>
      <c r="U348" s="200">
        <f t="array" ref="U348">IF(U$77&gt;" ",(U$628:U$1078),"")</f>
        <v>0</v>
      </c>
      <c r="V348" s="200">
        <f t="array" ref="V348">IF(V$77&gt;" ",(V$628:V$1078),"")</f>
        <v>0</v>
      </c>
      <c r="W348" s="200">
        <f t="array" ref="W348">IF(W$77&gt;" ",(W$628:W$1078),"")</f>
        <v>0</v>
      </c>
      <c r="X348" s="200">
        <f t="array" ref="X348">IF(X$77&gt;" ",(X$628:X$1078),"")</f>
        <v>0</v>
      </c>
      <c r="Y348" s="204">
        <v>0</v>
      </c>
      <c r="Z348" s="198" t="str">
        <f t="shared" si="55"/>
        <v/>
      </c>
      <c r="AA348" s="198" t="str">
        <f t="shared" si="56"/>
        <v/>
      </c>
      <c r="AB348" s="198" t="str">
        <f t="shared" si="57"/>
        <v/>
      </c>
      <c r="AC348" s="198" t="str">
        <f t="shared" si="54"/>
        <v/>
      </c>
      <c r="AD348" s="198" t="str">
        <f t="shared" si="54"/>
        <v/>
      </c>
      <c r="AE348" s="198" t="str">
        <f t="shared" si="54"/>
        <v/>
      </c>
      <c r="AF348" s="198" t="str">
        <f t="shared" si="54"/>
        <v/>
      </c>
      <c r="AG348" s="198" t="str">
        <f t="shared" si="61"/>
        <v/>
      </c>
      <c r="AH348" s="198" t="str">
        <f t="shared" si="58"/>
        <v/>
      </c>
      <c r="AI348" s="200" t="str">
        <f t="shared" si="59"/>
        <v/>
      </c>
      <c r="AJ348" s="208" t="str">
        <f t="shared" si="60"/>
        <v/>
      </c>
      <c r="AK348" s="4"/>
      <c r="AL348" s="162">
        <v>1155</v>
      </c>
      <c r="AM348" s="209">
        <v>1.6918810453697625E-3</v>
      </c>
      <c r="AN348" s="183">
        <v>1.4167110838535634E-3</v>
      </c>
      <c r="AO348" s="183">
        <v>1.5746773773083669E-3</v>
      </c>
      <c r="AP348" s="165">
        <v>1.6734921148158612E-3</v>
      </c>
      <c r="AR348" s="210">
        <v>95.872325758171101</v>
      </c>
      <c r="AS348" s="211">
        <v>96.007802089656749</v>
      </c>
      <c r="AT348" s="211">
        <v>95.928587350555347</v>
      </c>
      <c r="AU348" s="211">
        <v>95.780744021916078</v>
      </c>
      <c r="AV348" s="211"/>
      <c r="AW348" s="212"/>
      <c r="AX348" s="210">
        <v>94.608450192679584</v>
      </c>
      <c r="AY348" s="211">
        <v>95.684407678583582</v>
      </c>
      <c r="AZ348" s="213">
        <v>98.852330831308336</v>
      </c>
    </row>
    <row r="349" spans="12:52" x14ac:dyDescent="0.25">
      <c r="L349" s="189">
        <v>1150</v>
      </c>
      <c r="M349" s="196">
        <f t="shared" si="53"/>
        <v>0</v>
      </c>
      <c r="N349" s="197">
        <f t="shared" si="53"/>
        <v>0</v>
      </c>
      <c r="O349" s="152">
        <f ca="1"/>
        <v>95.930128866971174</v>
      </c>
      <c r="Q349" s="198">
        <v>0</v>
      </c>
      <c r="R349" s="200">
        <v>0</v>
      </c>
      <c r="S349" s="200">
        <v>0</v>
      </c>
      <c r="T349" s="200">
        <v>0</v>
      </c>
      <c r="U349" s="200">
        <f t="array" ref="U349">IF(U$77&gt;" ",(U$628:U$1078),"")</f>
        <v>0</v>
      </c>
      <c r="V349" s="200">
        <f t="array" ref="V349">IF(V$77&gt;" ",(V$628:V$1078),"")</f>
        <v>0</v>
      </c>
      <c r="W349" s="200">
        <f t="array" ref="W349">IF(W$77&gt;" ",(W$628:W$1078),"")</f>
        <v>0</v>
      </c>
      <c r="X349" s="200">
        <f t="array" ref="X349">IF(X$77&gt;" ",(X$628:X$1078),"")</f>
        <v>0</v>
      </c>
      <c r="Y349" s="204">
        <v>0</v>
      </c>
      <c r="Z349" s="198" t="str">
        <f t="shared" si="55"/>
        <v/>
      </c>
      <c r="AA349" s="198" t="str">
        <f t="shared" si="56"/>
        <v/>
      </c>
      <c r="AB349" s="198" t="str">
        <f t="shared" si="57"/>
        <v/>
      </c>
      <c r="AC349" s="198" t="str">
        <f t="shared" si="54"/>
        <v/>
      </c>
      <c r="AD349" s="198" t="str">
        <f t="shared" si="54"/>
        <v/>
      </c>
      <c r="AE349" s="198" t="str">
        <f t="shared" si="54"/>
        <v/>
      </c>
      <c r="AF349" s="198" t="str">
        <f t="shared" si="54"/>
        <v/>
      </c>
      <c r="AG349" s="198" t="str">
        <f t="shared" si="61"/>
        <v/>
      </c>
      <c r="AH349" s="198" t="str">
        <f t="shared" si="58"/>
        <v/>
      </c>
      <c r="AI349" s="200" t="str">
        <f t="shared" si="59"/>
        <v/>
      </c>
      <c r="AJ349" s="208" t="str">
        <f t="shared" si="60"/>
        <v/>
      </c>
      <c r="AK349" s="4"/>
      <c r="AL349" s="162">
        <v>1150</v>
      </c>
      <c r="AM349" s="209">
        <v>1.4397174393495991E-3</v>
      </c>
      <c r="AN349" s="183">
        <v>1.3234362419733295E-3</v>
      </c>
      <c r="AO349" s="183">
        <v>6.1164821872458088E-4</v>
      </c>
      <c r="AP349" s="165">
        <v>6.5186891460305486E-4</v>
      </c>
      <c r="AR349" s="210">
        <v>95.862110898805099</v>
      </c>
      <c r="AS349" s="211">
        <v>96.00467497750121</v>
      </c>
      <c r="AT349" s="211">
        <v>95.930128866971174</v>
      </c>
      <c r="AU349" s="211">
        <v>95.781069616327059</v>
      </c>
      <c r="AV349" s="211"/>
      <c r="AW349" s="212"/>
      <c r="AX349" s="210">
        <v>94.561804130428001</v>
      </c>
      <c r="AY349" s="211">
        <v>95.645989648926275</v>
      </c>
      <c r="AZ349" s="213">
        <v>98.76528134201871</v>
      </c>
    </row>
    <row r="350" spans="12:52" x14ac:dyDescent="0.25">
      <c r="L350" s="189">
        <v>1145</v>
      </c>
      <c r="M350" s="196">
        <f t="shared" si="53"/>
        <v>0</v>
      </c>
      <c r="N350" s="197">
        <f t="shared" si="53"/>
        <v>0</v>
      </c>
      <c r="O350" s="152">
        <f ca="1"/>
        <v>95.9240641784301</v>
      </c>
      <c r="Q350" s="198">
        <v>0</v>
      </c>
      <c r="R350" s="200">
        <v>0</v>
      </c>
      <c r="S350" s="200">
        <v>0</v>
      </c>
      <c r="T350" s="200">
        <v>0</v>
      </c>
      <c r="U350" s="200">
        <f t="array" ref="U350">IF(U$77&gt;" ",(U$628:U$1078),"")</f>
        <v>0</v>
      </c>
      <c r="V350" s="200">
        <f t="array" ref="V350">IF(V$77&gt;" ",(V$628:V$1078),"")</f>
        <v>0</v>
      </c>
      <c r="W350" s="200">
        <f t="array" ref="W350">IF(W$77&gt;" ",(W$628:W$1078),"")</f>
        <v>0</v>
      </c>
      <c r="X350" s="200">
        <f t="array" ref="X350">IF(X$77&gt;" ",(X$628:X$1078),"")</f>
        <v>0</v>
      </c>
      <c r="Y350" s="204">
        <v>0</v>
      </c>
      <c r="Z350" s="198" t="str">
        <f t="shared" si="55"/>
        <v/>
      </c>
      <c r="AA350" s="198" t="str">
        <f t="shared" si="56"/>
        <v/>
      </c>
      <c r="AB350" s="198" t="str">
        <f t="shared" si="57"/>
        <v/>
      </c>
      <c r="AC350" s="198" t="str">
        <f t="shared" si="54"/>
        <v/>
      </c>
      <c r="AD350" s="198" t="str">
        <f t="shared" si="54"/>
        <v/>
      </c>
      <c r="AE350" s="198" t="str">
        <f t="shared" si="54"/>
        <v/>
      </c>
      <c r="AF350" s="198" t="str">
        <f t="shared" si="54"/>
        <v/>
      </c>
      <c r="AG350" s="198" t="str">
        <f t="shared" si="61"/>
        <v/>
      </c>
      <c r="AH350" s="198" t="str">
        <f t="shared" si="58"/>
        <v/>
      </c>
      <c r="AI350" s="200" t="str">
        <f t="shared" si="59"/>
        <v/>
      </c>
      <c r="AJ350" s="208" t="str">
        <f t="shared" si="60"/>
        <v/>
      </c>
      <c r="AK350" s="4"/>
      <c r="AL350" s="162">
        <v>1145</v>
      </c>
      <c r="AM350" s="209">
        <v>1.1876198966267949E-3</v>
      </c>
      <c r="AN350" s="183">
        <v>1.3797933356461127E-3</v>
      </c>
      <c r="AO350" s="183">
        <v>7.3433990350655861E-4</v>
      </c>
      <c r="AP350" s="165">
        <v>7.8215315509034124E-4</v>
      </c>
      <c r="AR350" s="210">
        <v>95.86622952360571</v>
      </c>
      <c r="AS350" s="211">
        <v>96.005461100034779</v>
      </c>
      <c r="AT350" s="211">
        <v>95.9240641784301</v>
      </c>
      <c r="AU350" s="211">
        <v>95.781537180073727</v>
      </c>
      <c r="AV350" s="211"/>
      <c r="AW350" s="212"/>
      <c r="AX350" s="210">
        <v>94.625347969903871</v>
      </c>
      <c r="AY350" s="211">
        <v>95.700768219426095</v>
      </c>
      <c r="AZ350" s="213">
        <v>98.865277768493314</v>
      </c>
    </row>
    <row r="351" spans="12:52" x14ac:dyDescent="0.25">
      <c r="L351" s="189">
        <v>1140</v>
      </c>
      <c r="M351" s="196">
        <f t="shared" ref="M351:N366" si="62">M900</f>
        <v>0</v>
      </c>
      <c r="N351" s="197">
        <f t="shared" si="62"/>
        <v>0</v>
      </c>
      <c r="O351" s="152">
        <f ca="1"/>
        <v>95.896751072093949</v>
      </c>
      <c r="Q351" s="198">
        <v>0</v>
      </c>
      <c r="R351" s="200">
        <v>0</v>
      </c>
      <c r="S351" s="200">
        <v>0</v>
      </c>
      <c r="T351" s="200">
        <v>0</v>
      </c>
      <c r="U351" s="200">
        <f t="array" ref="U351">IF(U$77&gt;" ",(U$628:U$1078),"")</f>
        <v>0</v>
      </c>
      <c r="V351" s="200">
        <f t="array" ref="V351">IF(V$77&gt;" ",(V$628:V$1078),"")</f>
        <v>0</v>
      </c>
      <c r="W351" s="200">
        <f t="array" ref="W351">IF(W$77&gt;" ",(W$628:W$1078),"")</f>
        <v>0</v>
      </c>
      <c r="X351" s="200">
        <f t="array" ref="X351">IF(X$77&gt;" ",(X$628:X$1078),"")</f>
        <v>0</v>
      </c>
      <c r="Y351" s="204">
        <v>0</v>
      </c>
      <c r="Z351" s="198" t="str">
        <f t="shared" si="55"/>
        <v/>
      </c>
      <c r="AA351" s="198" t="str">
        <f t="shared" si="56"/>
        <v/>
      </c>
      <c r="AB351" s="198" t="str">
        <f t="shared" si="57"/>
        <v/>
      </c>
      <c r="AC351" s="198" t="str">
        <f t="shared" si="54"/>
        <v/>
      </c>
      <c r="AD351" s="198" t="str">
        <f t="shared" si="54"/>
        <v/>
      </c>
      <c r="AE351" s="198" t="str">
        <f t="shared" si="54"/>
        <v/>
      </c>
      <c r="AF351" s="198" t="str">
        <f t="shared" si="54"/>
        <v/>
      </c>
      <c r="AG351" s="198" t="str">
        <f t="shared" si="61"/>
        <v/>
      </c>
      <c r="AH351" s="198" t="str">
        <f t="shared" si="58"/>
        <v/>
      </c>
      <c r="AI351" s="200" t="str">
        <f t="shared" si="59"/>
        <v/>
      </c>
      <c r="AJ351" s="208" t="str">
        <f t="shared" si="60"/>
        <v/>
      </c>
      <c r="AK351" s="4"/>
      <c r="AL351" s="162">
        <v>1140</v>
      </c>
      <c r="AM351" s="209">
        <v>9.3545629060663162E-4</v>
      </c>
      <c r="AN351" s="183">
        <v>1.4361504293188959E-3</v>
      </c>
      <c r="AO351" s="183">
        <v>1.2872067371860034E-3</v>
      </c>
      <c r="AP351" s="165">
        <v>1.3681524171789907E-3</v>
      </c>
      <c r="AR351" s="210">
        <v>95.849299098209755</v>
      </c>
      <c r="AS351" s="211">
        <v>95.979273380597633</v>
      </c>
      <c r="AT351" s="211">
        <v>95.896751072093949</v>
      </c>
      <c r="AU351" s="211">
        <v>95.760948198881991</v>
      </c>
      <c r="AV351" s="211"/>
      <c r="AW351" s="212"/>
      <c r="AX351" s="210">
        <v>94.604151082658618</v>
      </c>
      <c r="AY351" s="211">
        <v>95.68896123972128</v>
      </c>
      <c r="AZ351" s="213">
        <v>98.86968459778366</v>
      </c>
    </row>
    <row r="352" spans="12:52" x14ac:dyDescent="0.25">
      <c r="L352" s="189">
        <v>1135</v>
      </c>
      <c r="M352" s="196">
        <f t="shared" si="62"/>
        <v>0</v>
      </c>
      <c r="N352" s="197">
        <f t="shared" si="62"/>
        <v>0</v>
      </c>
      <c r="O352" s="152">
        <f ca="1"/>
        <v>95.901826852394166</v>
      </c>
      <c r="Q352" s="198">
        <v>0</v>
      </c>
      <c r="R352" s="200">
        <v>0</v>
      </c>
      <c r="S352" s="200">
        <v>0</v>
      </c>
      <c r="T352" s="200">
        <v>0</v>
      </c>
      <c r="U352" s="200">
        <f t="array" ref="U352">IF(U$77&gt;" ",(U$628:U$1078),"")</f>
        <v>0</v>
      </c>
      <c r="V352" s="200">
        <f t="array" ref="V352">IF(V$77&gt;" ",(V$628:V$1078),"")</f>
        <v>0</v>
      </c>
      <c r="W352" s="200">
        <f t="array" ref="W352">IF(W$77&gt;" ",(W$628:W$1078),"")</f>
        <v>0</v>
      </c>
      <c r="X352" s="200">
        <f t="array" ref="X352">IF(X$77&gt;" ",(X$628:X$1078),"")</f>
        <v>0</v>
      </c>
      <c r="Y352" s="204">
        <v>0</v>
      </c>
      <c r="Z352" s="198" t="str">
        <f t="shared" si="55"/>
        <v/>
      </c>
      <c r="AA352" s="198" t="str">
        <f t="shared" si="56"/>
        <v/>
      </c>
      <c r="AB352" s="198" t="str">
        <f t="shared" si="57"/>
        <v/>
      </c>
      <c r="AC352" s="198" t="str">
        <f t="shared" si="54"/>
        <v/>
      </c>
      <c r="AD352" s="198" t="str">
        <f t="shared" si="54"/>
        <v/>
      </c>
      <c r="AE352" s="198" t="str">
        <f t="shared" si="54"/>
        <v/>
      </c>
      <c r="AF352" s="198" t="str">
        <f t="shared" si="54"/>
        <v/>
      </c>
      <c r="AG352" s="198" t="str">
        <f t="shared" si="61"/>
        <v/>
      </c>
      <c r="AH352" s="198" t="str">
        <f t="shared" si="58"/>
        <v/>
      </c>
      <c r="AI352" s="200" t="str">
        <f t="shared" si="59"/>
        <v/>
      </c>
      <c r="AJ352" s="208" t="str">
        <f t="shared" si="60"/>
        <v/>
      </c>
      <c r="AK352" s="4"/>
      <c r="AL352" s="162">
        <v>1135</v>
      </c>
      <c r="AM352" s="209">
        <v>8.800291841222416E-4</v>
      </c>
      <c r="AN352" s="183">
        <v>1.4925075229916792E-3</v>
      </c>
      <c r="AO352" s="183">
        <v>7.7748312708972948E-5</v>
      </c>
      <c r="AP352" s="165">
        <v>8.2933082464823748E-5</v>
      </c>
      <c r="AR352" s="210">
        <v>95.850216331743468</v>
      </c>
      <c r="AS352" s="211">
        <v>95.975062444516496</v>
      </c>
      <c r="AT352" s="211">
        <v>95.901826852394166</v>
      </c>
      <c r="AU352" s="211">
        <v>95.757429305139951</v>
      </c>
      <c r="AV352" s="211"/>
      <c r="AW352" s="212"/>
      <c r="AX352" s="210">
        <v>94.590006486877812</v>
      </c>
      <c r="AY352" s="211">
        <v>95.685926067648779</v>
      </c>
      <c r="AZ352" s="213">
        <v>98.868948345623835</v>
      </c>
    </row>
    <row r="353" spans="12:52" x14ac:dyDescent="0.25">
      <c r="L353" s="189">
        <v>1130</v>
      </c>
      <c r="M353" s="196">
        <f t="shared" si="62"/>
        <v>0</v>
      </c>
      <c r="N353" s="197">
        <f t="shared" si="62"/>
        <v>0</v>
      </c>
      <c r="O353" s="152">
        <f ca="1"/>
        <v>95.888675169591011</v>
      </c>
      <c r="Q353" s="198">
        <v>0</v>
      </c>
      <c r="R353" s="200">
        <v>0</v>
      </c>
      <c r="S353" s="200">
        <v>0</v>
      </c>
      <c r="T353" s="200">
        <v>0</v>
      </c>
      <c r="U353" s="200">
        <f t="array" ref="U353">IF(U$77&gt;" ",(U$628:U$1078),"")</f>
        <v>0</v>
      </c>
      <c r="V353" s="200">
        <f t="array" ref="V353">IF(V$77&gt;" ",(V$628:V$1078),"")</f>
        <v>0</v>
      </c>
      <c r="W353" s="200">
        <f t="array" ref="W353">IF(W$77&gt;" ",(W$628:W$1078),"")</f>
        <v>0</v>
      </c>
      <c r="X353" s="200">
        <f t="array" ref="X353">IF(X$77&gt;" ",(X$628:X$1078),"")</f>
        <v>0</v>
      </c>
      <c r="Y353" s="204">
        <v>0</v>
      </c>
      <c r="Z353" s="198" t="str">
        <f t="shared" si="55"/>
        <v/>
      </c>
      <c r="AA353" s="198" t="str">
        <f t="shared" si="56"/>
        <v/>
      </c>
      <c r="AB353" s="198" t="str">
        <f t="shared" si="57"/>
        <v/>
      </c>
      <c r="AC353" s="198" t="str">
        <f t="shared" si="54"/>
        <v/>
      </c>
      <c r="AD353" s="198" t="str">
        <f t="shared" si="54"/>
        <v/>
      </c>
      <c r="AE353" s="198" t="str">
        <f t="shared" si="54"/>
        <v/>
      </c>
      <c r="AF353" s="198" t="str">
        <f t="shared" si="54"/>
        <v/>
      </c>
      <c r="AG353" s="198" t="str">
        <f t="shared" si="61"/>
        <v/>
      </c>
      <c r="AH353" s="198" t="str">
        <f t="shared" si="58"/>
        <v/>
      </c>
      <c r="AI353" s="200" t="str">
        <f t="shared" si="59"/>
        <v/>
      </c>
      <c r="AJ353" s="208" t="str">
        <f t="shared" si="60"/>
        <v/>
      </c>
      <c r="AK353" s="4"/>
      <c r="AL353" s="162">
        <v>1130</v>
      </c>
      <c r="AM353" s="209">
        <v>1.1197728902388705E-3</v>
      </c>
      <c r="AN353" s="183">
        <v>1.5488646166644624E-3</v>
      </c>
      <c r="AO353" s="183">
        <v>3.548706131886597E-4</v>
      </c>
      <c r="AP353" s="165">
        <v>3.7813769592976657E-4</v>
      </c>
      <c r="AR353" s="210">
        <v>95.846560707396122</v>
      </c>
      <c r="AS353" s="211">
        <v>95.971127390106929</v>
      </c>
      <c r="AT353" s="211">
        <v>95.888675169591011</v>
      </c>
      <c r="AU353" s="211">
        <v>95.746473055836077</v>
      </c>
      <c r="AV353" s="211"/>
      <c r="AW353" s="212"/>
      <c r="AX353" s="210">
        <v>94.600158248342339</v>
      </c>
      <c r="AY353" s="211">
        <v>95.683791794092713</v>
      </c>
      <c r="AZ353" s="213">
        <v>98.767562090992442</v>
      </c>
    </row>
    <row r="354" spans="12:52" x14ac:dyDescent="0.25">
      <c r="L354" s="189">
        <v>1125</v>
      </c>
      <c r="M354" s="196">
        <f t="shared" si="62"/>
        <v>0</v>
      </c>
      <c r="N354" s="197">
        <f t="shared" si="62"/>
        <v>0</v>
      </c>
      <c r="O354" s="152">
        <f ca="1"/>
        <v>95.870771871796322</v>
      </c>
      <c r="Q354" s="198">
        <v>0</v>
      </c>
      <c r="R354" s="200">
        <v>0</v>
      </c>
      <c r="S354" s="200">
        <v>0</v>
      </c>
      <c r="T354" s="200">
        <v>0</v>
      </c>
      <c r="U354" s="200">
        <f t="array" ref="U354">IF(U$77&gt;" ",(U$628:U$1078),"")</f>
        <v>0</v>
      </c>
      <c r="V354" s="200">
        <f t="array" ref="V354">IF(V$77&gt;" ",(V$628:V$1078),"")</f>
        <v>0</v>
      </c>
      <c r="W354" s="200">
        <f t="array" ref="W354">IF(W$77&gt;" ",(W$628:W$1078),"")</f>
        <v>0</v>
      </c>
      <c r="X354" s="200">
        <f t="array" ref="X354">IF(X$77&gt;" ",(X$628:X$1078),"")</f>
        <v>0</v>
      </c>
      <c r="Y354" s="204">
        <v>0</v>
      </c>
      <c r="Z354" s="198" t="str">
        <f t="shared" si="55"/>
        <v/>
      </c>
      <c r="AA354" s="198" t="str">
        <f t="shared" si="56"/>
        <v/>
      </c>
      <c r="AB354" s="198" t="str">
        <f t="shared" si="57"/>
        <v/>
      </c>
      <c r="AC354" s="198" t="str">
        <f t="shared" si="54"/>
        <v/>
      </c>
      <c r="AD354" s="198" t="str">
        <f t="shared" si="54"/>
        <v/>
      </c>
      <c r="AE354" s="198" t="str">
        <f t="shared" si="54"/>
        <v/>
      </c>
      <c r="AF354" s="198" t="str">
        <f t="shared" si="54"/>
        <v/>
      </c>
      <c r="AG354" s="198" t="str">
        <f t="shared" si="61"/>
        <v/>
      </c>
      <c r="AH354" s="198" t="str">
        <f t="shared" si="58"/>
        <v/>
      </c>
      <c r="AI354" s="200" t="str">
        <f t="shared" si="59"/>
        <v/>
      </c>
      <c r="AJ354" s="208" t="str">
        <f t="shared" si="60"/>
        <v/>
      </c>
      <c r="AK354" s="4"/>
      <c r="AL354" s="162">
        <v>1125</v>
      </c>
      <c r="AM354" s="209">
        <v>8.8392691866643594E-4</v>
      </c>
      <c r="AN354" s="183">
        <v>1.6052217103372456E-3</v>
      </c>
      <c r="AO354" s="183">
        <v>7.2549001148949791E-4</v>
      </c>
      <c r="AP354" s="165">
        <v>7.7196770329966864E-4</v>
      </c>
      <c r="AR354" s="210">
        <v>95.828546570011582</v>
      </c>
      <c r="AS354" s="211">
        <v>95.95015807001154</v>
      </c>
      <c r="AT354" s="211">
        <v>95.870771871796322</v>
      </c>
      <c r="AU354" s="211">
        <v>95.724397402759053</v>
      </c>
      <c r="AV354" s="211"/>
      <c r="AW354" s="212"/>
      <c r="AX354" s="210">
        <v>94.60335921636873</v>
      </c>
      <c r="AY354" s="211">
        <v>95.689532656347396</v>
      </c>
      <c r="AZ354" s="213">
        <v>98.841462340003119</v>
      </c>
    </row>
    <row r="355" spans="12:52" x14ac:dyDescent="0.25">
      <c r="L355" s="189">
        <v>1120</v>
      </c>
      <c r="M355" s="196">
        <f t="shared" si="62"/>
        <v>0</v>
      </c>
      <c r="N355" s="197">
        <f t="shared" si="62"/>
        <v>0</v>
      </c>
      <c r="O355" s="152">
        <f ca="1"/>
        <v>95.868343606999403</v>
      </c>
      <c r="Q355" s="198">
        <v>0</v>
      </c>
      <c r="R355" s="200">
        <v>0</v>
      </c>
      <c r="S355" s="200">
        <v>0</v>
      </c>
      <c r="T355" s="200">
        <v>0</v>
      </c>
      <c r="U355" s="200">
        <f t="array" ref="U355">IF(U$77&gt;" ",(U$628:U$1078),"")</f>
        <v>0</v>
      </c>
      <c r="V355" s="200">
        <f t="array" ref="V355">IF(V$77&gt;" ",(V$628:V$1078),"")</f>
        <v>0</v>
      </c>
      <c r="W355" s="200">
        <f t="array" ref="W355">IF(W$77&gt;" ",(W$628:W$1078),"")</f>
        <v>0</v>
      </c>
      <c r="X355" s="200">
        <f t="array" ref="X355">IF(X$77&gt;" ",(X$628:X$1078),"")</f>
        <v>0</v>
      </c>
      <c r="Y355" s="204">
        <v>0</v>
      </c>
      <c r="Z355" s="198" t="str">
        <f t="shared" si="55"/>
        <v/>
      </c>
      <c r="AA355" s="198" t="str">
        <f t="shared" si="56"/>
        <v/>
      </c>
      <c r="AB355" s="198" t="str">
        <f t="shared" si="57"/>
        <v/>
      </c>
      <c r="AC355" s="198" t="str">
        <f t="shared" si="54"/>
        <v/>
      </c>
      <c r="AD355" s="198" t="str">
        <f t="shared" si="54"/>
        <v/>
      </c>
      <c r="AE355" s="198" t="str">
        <f t="shared" si="54"/>
        <v/>
      </c>
      <c r="AF355" s="198" t="str">
        <f t="shared" si="54"/>
        <v/>
      </c>
      <c r="AG355" s="198" t="str">
        <f t="shared" si="61"/>
        <v/>
      </c>
      <c r="AH355" s="198" t="str">
        <f t="shared" si="58"/>
        <v/>
      </c>
      <c r="AI355" s="200" t="str">
        <f t="shared" si="59"/>
        <v/>
      </c>
      <c r="AJ355" s="208" t="str">
        <f t="shared" si="60"/>
        <v/>
      </c>
      <c r="AK355" s="4"/>
      <c r="AL355" s="162">
        <v>1120</v>
      </c>
      <c r="AM355" s="209">
        <v>6.4808094709400109E-4</v>
      </c>
      <c r="AN355" s="183">
        <v>1.6615788040100288E-3</v>
      </c>
      <c r="AO355" s="183">
        <v>7.134722603981484E-4</v>
      </c>
      <c r="AP355" s="165">
        <v>7.5898405046760209E-4</v>
      </c>
      <c r="AR355" s="210">
        <v>95.825480540293697</v>
      </c>
      <c r="AS355" s="211">
        <v>95.949599359220585</v>
      </c>
      <c r="AT355" s="211">
        <v>95.868343606999403</v>
      </c>
      <c r="AU355" s="211">
        <v>95.728348360757423</v>
      </c>
      <c r="AV355" s="211"/>
      <c r="AW355" s="212"/>
      <c r="AX355" s="210">
        <v>94.521185062137832</v>
      </c>
      <c r="AY355" s="211">
        <v>95.624665830330613</v>
      </c>
      <c r="AZ355" s="213">
        <v>98.736785758152536</v>
      </c>
    </row>
    <row r="356" spans="12:52" x14ac:dyDescent="0.25">
      <c r="L356" s="189">
        <v>1115</v>
      </c>
      <c r="M356" s="196">
        <f t="shared" si="62"/>
        <v>0</v>
      </c>
      <c r="N356" s="197">
        <f t="shared" si="62"/>
        <v>0</v>
      </c>
      <c r="O356" s="152">
        <f ca="1"/>
        <v>95.858582397245371</v>
      </c>
      <c r="Q356" s="198">
        <v>0</v>
      </c>
      <c r="R356" s="200">
        <v>0</v>
      </c>
      <c r="S356" s="200">
        <v>0</v>
      </c>
      <c r="T356" s="200">
        <v>0</v>
      </c>
      <c r="U356" s="200">
        <f t="array" ref="U356">IF(U$77&gt;" ",(U$628:U$1078),"")</f>
        <v>0</v>
      </c>
      <c r="V356" s="200">
        <f t="array" ref="V356">IF(V$77&gt;" ",(V$628:V$1078),"")</f>
        <v>0</v>
      </c>
      <c r="W356" s="200">
        <f t="array" ref="W356">IF(W$77&gt;" ",(W$628:W$1078),"")</f>
        <v>0</v>
      </c>
      <c r="X356" s="200">
        <f t="array" ref="X356">IF(X$77&gt;" ",(X$628:X$1078),"")</f>
        <v>0</v>
      </c>
      <c r="Y356" s="204">
        <v>0</v>
      </c>
      <c r="Z356" s="198" t="str">
        <f t="shared" si="55"/>
        <v/>
      </c>
      <c r="AA356" s="198" t="str">
        <f t="shared" si="56"/>
        <v/>
      </c>
      <c r="AB356" s="198" t="str">
        <f t="shared" si="57"/>
        <v/>
      </c>
      <c r="AC356" s="198" t="str">
        <f t="shared" si="54"/>
        <v/>
      </c>
      <c r="AD356" s="198" t="str">
        <f t="shared" si="54"/>
        <v/>
      </c>
      <c r="AE356" s="198" t="str">
        <f t="shared" si="54"/>
        <v/>
      </c>
      <c r="AF356" s="198" t="str">
        <f t="shared" si="54"/>
        <v/>
      </c>
      <c r="AG356" s="198" t="str">
        <f t="shared" si="61"/>
        <v/>
      </c>
      <c r="AH356" s="198" t="str">
        <f t="shared" si="58"/>
        <v/>
      </c>
      <c r="AI356" s="200" t="str">
        <f t="shared" si="59"/>
        <v/>
      </c>
      <c r="AJ356" s="208" t="str">
        <f t="shared" si="60"/>
        <v/>
      </c>
      <c r="AK356" s="4"/>
      <c r="AL356" s="162">
        <v>1115</v>
      </c>
      <c r="AM356" s="209">
        <v>1.090903229292889E-3</v>
      </c>
      <c r="AN356" s="183">
        <v>1.7179358976828116E-3</v>
      </c>
      <c r="AO356" s="183">
        <v>1.2564332490357696E-3</v>
      </c>
      <c r="AP356" s="165">
        <v>1.3337905083906768E-3</v>
      </c>
      <c r="AR356" s="210">
        <v>95.813942008835255</v>
      </c>
      <c r="AS356" s="211">
        <v>95.941063644705153</v>
      </c>
      <c r="AT356" s="211">
        <v>95.858582397245371</v>
      </c>
      <c r="AU356" s="211">
        <v>95.714051338375199</v>
      </c>
      <c r="AV356" s="211"/>
      <c r="AW356" s="212"/>
      <c r="AX356" s="210">
        <v>94.547591826360417</v>
      </c>
      <c r="AY356" s="211">
        <v>95.647445644955269</v>
      </c>
      <c r="AZ356" s="213">
        <v>98.754502961253948</v>
      </c>
    </row>
    <row r="357" spans="12:52" x14ac:dyDescent="0.25">
      <c r="L357" s="189">
        <v>1110</v>
      </c>
      <c r="M357" s="196">
        <f t="shared" si="62"/>
        <v>0</v>
      </c>
      <c r="N357" s="197">
        <f t="shared" si="62"/>
        <v>0</v>
      </c>
      <c r="O357" s="152">
        <f ca="1"/>
        <v>95.86369362430122</v>
      </c>
      <c r="Q357" s="198">
        <v>0</v>
      </c>
      <c r="R357" s="200">
        <v>0</v>
      </c>
      <c r="S357" s="200">
        <v>0</v>
      </c>
      <c r="T357" s="200">
        <v>0</v>
      </c>
      <c r="U357" s="200">
        <f t="array" ref="U357">IF(U$77&gt;" ",(U$628:U$1078),"")</f>
        <v>0</v>
      </c>
      <c r="V357" s="200">
        <f t="array" ref="V357">IF(V$77&gt;" ",(V$628:V$1078),"")</f>
        <v>0</v>
      </c>
      <c r="W357" s="200">
        <f t="array" ref="W357">IF(W$77&gt;" ",(W$628:W$1078),"")</f>
        <v>0</v>
      </c>
      <c r="X357" s="200">
        <f t="array" ref="X357">IF(X$77&gt;" ",(X$628:X$1078),"")</f>
        <v>0</v>
      </c>
      <c r="Y357" s="204">
        <v>0</v>
      </c>
      <c r="Z357" s="198" t="str">
        <f t="shared" si="55"/>
        <v/>
      </c>
      <c r="AA357" s="198" t="str">
        <f t="shared" si="56"/>
        <v/>
      </c>
      <c r="AB357" s="198" t="str">
        <f t="shared" si="57"/>
        <v/>
      </c>
      <c r="AC357" s="198" t="str">
        <f t="shared" si="54"/>
        <v/>
      </c>
      <c r="AD357" s="198" t="str">
        <f t="shared" si="54"/>
        <v/>
      </c>
      <c r="AE357" s="198" t="str">
        <f t="shared" si="54"/>
        <v/>
      </c>
      <c r="AF357" s="198" t="str">
        <f t="shared" si="54"/>
        <v/>
      </c>
      <c r="AG357" s="198" t="str">
        <f t="shared" si="61"/>
        <v/>
      </c>
      <c r="AH357" s="198" t="str">
        <f t="shared" si="58"/>
        <v/>
      </c>
      <c r="AI357" s="200" t="str">
        <f t="shared" si="59"/>
        <v/>
      </c>
      <c r="AJ357" s="208" t="str">
        <f t="shared" si="60"/>
        <v/>
      </c>
      <c r="AK357" s="4"/>
      <c r="AL357" s="162">
        <v>1110</v>
      </c>
      <c r="AM357" s="209">
        <v>1.5336594481944177E-3</v>
      </c>
      <c r="AN357" s="183">
        <v>1.7742929913555955E-3</v>
      </c>
      <c r="AO357" s="183">
        <v>2.4085282825294886E-3</v>
      </c>
      <c r="AP357" s="165">
        <v>2.5461390915848714E-3</v>
      </c>
      <c r="AR357" s="210">
        <v>95.81135222831449</v>
      </c>
      <c r="AS357" s="211">
        <v>95.935145868759875</v>
      </c>
      <c r="AT357" s="211">
        <v>95.86369362430122</v>
      </c>
      <c r="AU357" s="211">
        <v>95.715108419257334</v>
      </c>
      <c r="AV357" s="211"/>
      <c r="AW357" s="212"/>
      <c r="AX357" s="210">
        <v>94.556946234407746</v>
      </c>
      <c r="AY357" s="211">
        <v>95.655772323071687</v>
      </c>
      <c r="AZ357" s="213">
        <v>98.751015790409383</v>
      </c>
    </row>
    <row r="358" spans="12:52" x14ac:dyDescent="0.25">
      <c r="L358" s="189">
        <v>1105</v>
      </c>
      <c r="M358" s="196">
        <f t="shared" si="62"/>
        <v>0</v>
      </c>
      <c r="N358" s="197">
        <f t="shared" si="62"/>
        <v>0</v>
      </c>
      <c r="O358" s="152">
        <f ca="1"/>
        <v>95.863951906604441</v>
      </c>
      <c r="Q358" s="198">
        <v>0</v>
      </c>
      <c r="R358" s="200">
        <v>0</v>
      </c>
      <c r="S358" s="200">
        <v>0</v>
      </c>
      <c r="T358" s="200">
        <v>0</v>
      </c>
      <c r="U358" s="200">
        <f t="array" ref="U358">IF(U$77&gt;" ",(U$628:U$1078),"")</f>
        <v>0</v>
      </c>
      <c r="V358" s="200">
        <f t="array" ref="V358">IF(V$77&gt;" ",(V$628:V$1078),"")</f>
        <v>0</v>
      </c>
      <c r="W358" s="200">
        <f t="array" ref="W358">IF(W$77&gt;" ",(W$628:W$1078),"")</f>
        <v>0</v>
      </c>
      <c r="X358" s="200">
        <f t="array" ref="X358">IF(X$77&gt;" ",(X$628:X$1078),"")</f>
        <v>0</v>
      </c>
      <c r="Y358" s="204">
        <v>0</v>
      </c>
      <c r="Z358" s="198" t="str">
        <f t="shared" si="55"/>
        <v/>
      </c>
      <c r="AA358" s="198" t="str">
        <f t="shared" si="56"/>
        <v/>
      </c>
      <c r="AB358" s="198" t="str">
        <f t="shared" si="57"/>
        <v/>
      </c>
      <c r="AC358" s="198" t="str">
        <f t="shared" si="54"/>
        <v/>
      </c>
      <c r="AD358" s="198" t="str">
        <f t="shared" si="54"/>
        <v/>
      </c>
      <c r="AE358" s="198" t="str">
        <f t="shared" si="54"/>
        <v/>
      </c>
      <c r="AF358" s="198" t="str">
        <f t="shared" si="54"/>
        <v/>
      </c>
      <c r="AG358" s="198" t="str">
        <f t="shared" si="61"/>
        <v/>
      </c>
      <c r="AH358" s="198" t="str">
        <f t="shared" si="58"/>
        <v/>
      </c>
      <c r="AI358" s="200" t="str">
        <f t="shared" si="59"/>
        <v/>
      </c>
      <c r="AJ358" s="208" t="str">
        <f t="shared" si="60"/>
        <v/>
      </c>
      <c r="AK358" s="4"/>
      <c r="AL358" s="162">
        <v>1105</v>
      </c>
      <c r="AM358" s="209">
        <v>1.9764156670959462E-3</v>
      </c>
      <c r="AN358" s="183">
        <v>1.8306500850283783E-3</v>
      </c>
      <c r="AO358" s="183">
        <v>2.5465564279092134E-3</v>
      </c>
      <c r="AP358" s="165">
        <v>2.6899106610916751E-3</v>
      </c>
      <c r="AR358" s="210">
        <v>95.802315220196832</v>
      </c>
      <c r="AS358" s="211">
        <v>95.942556732986858</v>
      </c>
      <c r="AT358" s="211">
        <v>95.863951906604441</v>
      </c>
      <c r="AU358" s="211">
        <v>95.719640665851401</v>
      </c>
      <c r="AV358" s="211"/>
      <c r="AW358" s="212"/>
      <c r="AX358" s="210">
        <v>94.566145918745931</v>
      </c>
      <c r="AY358" s="211">
        <v>95.661355558065921</v>
      </c>
      <c r="AZ358" s="213">
        <v>98.76232612518416</v>
      </c>
    </row>
    <row r="359" spans="12:52" x14ac:dyDescent="0.25">
      <c r="L359" s="189">
        <v>1100</v>
      </c>
      <c r="M359" s="196">
        <f t="shared" si="62"/>
        <v>0</v>
      </c>
      <c r="N359" s="197">
        <f t="shared" si="62"/>
        <v>0</v>
      </c>
      <c r="O359" s="152">
        <f ca="1"/>
        <v>95.843274442997838</v>
      </c>
      <c r="Q359" s="198">
        <v>0</v>
      </c>
      <c r="R359" s="200">
        <v>0</v>
      </c>
      <c r="S359" s="200">
        <v>0</v>
      </c>
      <c r="T359" s="200">
        <v>0</v>
      </c>
      <c r="U359" s="200">
        <f t="array" ref="U359">IF(U$77&gt;" ",(U$628:U$1078),"")</f>
        <v>0</v>
      </c>
      <c r="V359" s="200">
        <f t="array" ref="V359">IF(V$77&gt;" ",(V$628:V$1078),"")</f>
        <v>0</v>
      </c>
      <c r="W359" s="200">
        <f t="array" ref="W359">IF(W$77&gt;" ",(W$628:W$1078),"")</f>
        <v>0</v>
      </c>
      <c r="X359" s="200">
        <f t="array" ref="X359">IF(X$77&gt;" ",(X$628:X$1078),"")</f>
        <v>0</v>
      </c>
      <c r="Y359" s="204">
        <v>0</v>
      </c>
      <c r="Z359" s="198" t="str">
        <f t="shared" si="55"/>
        <v/>
      </c>
      <c r="AA359" s="198" t="str">
        <f t="shared" si="56"/>
        <v/>
      </c>
      <c r="AB359" s="198" t="str">
        <f t="shared" si="57"/>
        <v/>
      </c>
      <c r="AC359" s="198" t="str">
        <f t="shared" si="54"/>
        <v/>
      </c>
      <c r="AD359" s="198" t="str">
        <f t="shared" si="54"/>
        <v/>
      </c>
      <c r="AE359" s="198" t="str">
        <f t="shared" si="54"/>
        <v/>
      </c>
      <c r="AF359" s="198" t="str">
        <f t="shared" si="54"/>
        <v/>
      </c>
      <c r="AG359" s="198" t="str">
        <f t="shared" si="61"/>
        <v/>
      </c>
      <c r="AH359" s="198" t="str">
        <f t="shared" si="58"/>
        <v/>
      </c>
      <c r="AI359" s="200" t="str">
        <f t="shared" si="59"/>
        <v/>
      </c>
      <c r="AJ359" s="208" t="str">
        <f t="shared" si="60"/>
        <v/>
      </c>
      <c r="AK359" s="4"/>
      <c r="AL359" s="162">
        <v>1100</v>
      </c>
      <c r="AM359" s="209">
        <v>2.419237949294834E-3</v>
      </c>
      <c r="AN359" s="183">
        <v>1.8870071787011615E-3</v>
      </c>
      <c r="AO359" s="183">
        <v>2.44262048018612E-3</v>
      </c>
      <c r="AP359" s="165">
        <v>2.5806688924356683E-3</v>
      </c>
      <c r="AR359" s="210">
        <v>95.788503765330901</v>
      </c>
      <c r="AS359" s="211">
        <v>95.922577136769476</v>
      </c>
      <c r="AT359" s="211">
        <v>95.843274442997838</v>
      </c>
      <c r="AU359" s="211">
        <v>95.6961807368085</v>
      </c>
      <c r="AV359" s="211"/>
      <c r="AW359" s="212"/>
      <c r="AX359" s="210">
        <v>94.503192325579207</v>
      </c>
      <c r="AY359" s="211">
        <v>95.632945974788541</v>
      </c>
      <c r="AZ359" s="213">
        <v>98.749949338841006</v>
      </c>
    </row>
    <row r="360" spans="12:52" x14ac:dyDescent="0.25">
      <c r="L360" s="189">
        <v>1095</v>
      </c>
      <c r="M360" s="196">
        <f t="shared" si="62"/>
        <v>0</v>
      </c>
      <c r="N360" s="197">
        <f t="shared" si="62"/>
        <v>0</v>
      </c>
      <c r="O360" s="152">
        <f ca="1"/>
        <v>95.841782085877313</v>
      </c>
      <c r="Q360" s="198">
        <v>0</v>
      </c>
      <c r="R360" s="200">
        <v>0</v>
      </c>
      <c r="S360" s="200">
        <v>0</v>
      </c>
      <c r="T360" s="200">
        <v>0</v>
      </c>
      <c r="U360" s="200">
        <f t="array" ref="U360">IF(U$77&gt;" ",(U$628:U$1078),"")</f>
        <v>0</v>
      </c>
      <c r="V360" s="200">
        <f t="array" ref="V360">IF(V$77&gt;" ",(V$628:V$1078),"")</f>
        <v>0</v>
      </c>
      <c r="W360" s="200">
        <f t="array" ref="W360">IF(W$77&gt;" ",(W$628:W$1078),"")</f>
        <v>0</v>
      </c>
      <c r="X360" s="200">
        <f t="array" ref="X360">IF(X$77&gt;" ",(X$628:X$1078),"")</f>
        <v>0</v>
      </c>
      <c r="Y360" s="204">
        <v>0</v>
      </c>
      <c r="Z360" s="198" t="str">
        <f t="shared" si="55"/>
        <v/>
      </c>
      <c r="AA360" s="198" t="str">
        <f t="shared" si="56"/>
        <v/>
      </c>
      <c r="AB360" s="198" t="str">
        <f t="shared" si="57"/>
        <v/>
      </c>
      <c r="AC360" s="198" t="str">
        <f t="shared" si="54"/>
        <v/>
      </c>
      <c r="AD360" s="198" t="str">
        <f t="shared" si="54"/>
        <v/>
      </c>
      <c r="AE360" s="198" t="str">
        <f t="shared" si="54"/>
        <v/>
      </c>
      <c r="AF360" s="198" t="str">
        <f t="shared" si="54"/>
        <v/>
      </c>
      <c r="AG360" s="198" t="str">
        <f t="shared" si="61"/>
        <v/>
      </c>
      <c r="AH360" s="198" t="str">
        <f t="shared" si="58"/>
        <v/>
      </c>
      <c r="AI360" s="200" t="str">
        <f t="shared" si="59"/>
        <v/>
      </c>
      <c r="AJ360" s="208" t="str">
        <f t="shared" si="60"/>
        <v/>
      </c>
      <c r="AK360" s="4"/>
      <c r="AL360" s="162">
        <v>1095</v>
      </c>
      <c r="AM360" s="209">
        <v>2.610293005257714E-3</v>
      </c>
      <c r="AN360" s="183">
        <v>2.039570523529188E-3</v>
      </c>
      <c r="AO360" s="183">
        <v>2.6181098162062436E-3</v>
      </c>
      <c r="AP360" s="165">
        <v>2.7625519601262535E-3</v>
      </c>
      <c r="AR360" s="210">
        <v>95.790519963103819</v>
      </c>
      <c r="AS360" s="211">
        <v>95.920051874357569</v>
      </c>
      <c r="AT360" s="211">
        <v>95.841782085877313</v>
      </c>
      <c r="AU360" s="211">
        <v>95.695042620623511</v>
      </c>
      <c r="AV360" s="211"/>
      <c r="AW360" s="212"/>
      <c r="AX360" s="210">
        <v>94.533318347712807</v>
      </c>
      <c r="AY360" s="211">
        <v>95.637168493796196</v>
      </c>
      <c r="AZ360" s="213">
        <v>98.746476742121985</v>
      </c>
    </row>
    <row r="361" spans="12:52" x14ac:dyDescent="0.25">
      <c r="L361" s="189">
        <v>1090</v>
      </c>
      <c r="M361" s="196">
        <f t="shared" si="62"/>
        <v>0</v>
      </c>
      <c r="N361" s="197">
        <f t="shared" si="62"/>
        <v>0</v>
      </c>
      <c r="O361" s="152">
        <f ca="1"/>
        <v>95.807770322828262</v>
      </c>
      <c r="Q361" s="198">
        <v>0</v>
      </c>
      <c r="R361" s="200">
        <v>0</v>
      </c>
      <c r="S361" s="200">
        <v>0</v>
      </c>
      <c r="T361" s="200">
        <v>0</v>
      </c>
      <c r="U361" s="200">
        <f t="array" ref="U361">IF(U$77&gt;" ",(U$628:U$1078),"")</f>
        <v>0</v>
      </c>
      <c r="V361" s="200">
        <f t="array" ref="V361">IF(V$77&gt;" ",(V$628:V$1078),"")</f>
        <v>0</v>
      </c>
      <c r="W361" s="200">
        <f t="array" ref="W361">IF(W$77&gt;" ",(W$628:W$1078),"")</f>
        <v>0</v>
      </c>
      <c r="X361" s="200">
        <f t="array" ref="X361">IF(X$77&gt;" ",(X$628:X$1078),"")</f>
        <v>0</v>
      </c>
      <c r="Y361" s="204">
        <v>0</v>
      </c>
      <c r="Z361" s="198" t="str">
        <f t="shared" si="55"/>
        <v/>
      </c>
      <c r="AA361" s="198" t="str">
        <f t="shared" si="56"/>
        <v/>
      </c>
      <c r="AB361" s="198" t="str">
        <f t="shared" si="57"/>
        <v/>
      </c>
      <c r="AC361" s="198" t="str">
        <f t="shared" si="54"/>
        <v/>
      </c>
      <c r="AD361" s="198" t="str">
        <f t="shared" si="54"/>
        <v/>
      </c>
      <c r="AE361" s="198" t="str">
        <f t="shared" si="54"/>
        <v/>
      </c>
      <c r="AF361" s="198" t="str">
        <f t="shared" si="54"/>
        <v/>
      </c>
      <c r="AG361" s="198" t="str">
        <f t="shared" si="61"/>
        <v/>
      </c>
      <c r="AH361" s="198" t="str">
        <f t="shared" si="58"/>
        <v/>
      </c>
      <c r="AI361" s="200" t="str">
        <f t="shared" si="59"/>
        <v/>
      </c>
      <c r="AJ361" s="208" t="str">
        <f t="shared" si="60"/>
        <v/>
      </c>
      <c r="AK361" s="4"/>
      <c r="AL361" s="162">
        <v>1090</v>
      </c>
      <c r="AM361" s="209">
        <v>2.8012819979232341E-3</v>
      </c>
      <c r="AN361" s="183">
        <v>2.192133868357214E-3</v>
      </c>
      <c r="AO361" s="183">
        <v>2.794403687864282E-3</v>
      </c>
      <c r="AP361" s="165">
        <v>2.9468414807124364E-3</v>
      </c>
      <c r="AR361" s="210">
        <v>95.764544015344612</v>
      </c>
      <c r="AS361" s="211">
        <v>95.88885239656274</v>
      </c>
      <c r="AT361" s="211">
        <v>95.807770322828262</v>
      </c>
      <c r="AU361" s="211">
        <v>95.65775538753843</v>
      </c>
      <c r="AV361" s="211"/>
      <c r="AW361" s="212"/>
      <c r="AX361" s="210">
        <v>94.568025012864453</v>
      </c>
      <c r="AY361" s="211">
        <v>95.653998396608529</v>
      </c>
      <c r="AZ361" s="213">
        <v>98.656047021536281</v>
      </c>
    </row>
    <row r="362" spans="12:52" x14ac:dyDescent="0.25">
      <c r="L362" s="189">
        <v>1085</v>
      </c>
      <c r="M362" s="196">
        <f t="shared" si="62"/>
        <v>0</v>
      </c>
      <c r="N362" s="197">
        <f t="shared" si="62"/>
        <v>0</v>
      </c>
      <c r="O362" s="152">
        <f ca="1"/>
        <v>95.815661046480315</v>
      </c>
      <c r="Q362" s="198">
        <v>0</v>
      </c>
      <c r="R362" s="200">
        <v>0</v>
      </c>
      <c r="S362" s="200">
        <v>0</v>
      </c>
      <c r="T362" s="200">
        <v>0</v>
      </c>
      <c r="U362" s="200">
        <f t="array" ref="U362">IF(U$77&gt;" ",(U$628:U$1078),"")</f>
        <v>0</v>
      </c>
      <c r="V362" s="200">
        <f t="array" ref="V362">IF(V$77&gt;" ",(V$628:V$1078),"")</f>
        <v>0</v>
      </c>
      <c r="W362" s="200">
        <f t="array" ref="W362">IF(W$77&gt;" ",(W$628:W$1078),"")</f>
        <v>0</v>
      </c>
      <c r="X362" s="200">
        <f t="array" ref="X362">IF(X$77&gt;" ",(X$628:X$1078),"")</f>
        <v>0</v>
      </c>
      <c r="Y362" s="204">
        <v>0</v>
      </c>
      <c r="Z362" s="198" t="str">
        <f t="shared" si="55"/>
        <v/>
      </c>
      <c r="AA362" s="198" t="str">
        <f t="shared" si="56"/>
        <v/>
      </c>
      <c r="AB362" s="198" t="str">
        <f t="shared" si="57"/>
        <v/>
      </c>
      <c r="AC362" s="198" t="str">
        <f t="shared" si="54"/>
        <v/>
      </c>
      <c r="AD362" s="198" t="str">
        <f t="shared" si="54"/>
        <v/>
      </c>
      <c r="AE362" s="198" t="str">
        <f t="shared" si="54"/>
        <v/>
      </c>
      <c r="AF362" s="198" t="str">
        <f t="shared" si="54"/>
        <v/>
      </c>
      <c r="AG362" s="198" t="str">
        <f t="shared" si="61"/>
        <v/>
      </c>
      <c r="AH362" s="198" t="str">
        <f t="shared" si="58"/>
        <v/>
      </c>
      <c r="AI362" s="200" t="str">
        <f t="shared" si="59"/>
        <v/>
      </c>
      <c r="AJ362" s="208" t="str">
        <f t="shared" si="60"/>
        <v/>
      </c>
      <c r="AK362" s="4"/>
      <c r="AL362" s="162">
        <v>1085</v>
      </c>
      <c r="AM362" s="209">
        <v>2.9923370538861142E-3</v>
      </c>
      <c r="AN362" s="183">
        <v>2.34469721318524E-3</v>
      </c>
      <c r="AO362" s="183">
        <v>2.9833187123421067E-3</v>
      </c>
      <c r="AP362" s="165">
        <v>3.1431073017557836E-3</v>
      </c>
      <c r="AR362" s="210">
        <v>95.767714220296057</v>
      </c>
      <c r="AS362" s="211">
        <v>95.898692512712032</v>
      </c>
      <c r="AT362" s="211">
        <v>95.815661046480315</v>
      </c>
      <c r="AU362" s="211">
        <v>95.668187736728569</v>
      </c>
      <c r="AV362" s="211"/>
      <c r="AW362" s="212"/>
      <c r="AX362" s="210">
        <v>94.584804612176754</v>
      </c>
      <c r="AY362" s="211">
        <v>95.636500308977404</v>
      </c>
      <c r="AZ362" s="213">
        <v>98.755687408453781</v>
      </c>
    </row>
    <row r="363" spans="12:52" x14ac:dyDescent="0.25">
      <c r="L363" s="189">
        <v>1080</v>
      </c>
      <c r="M363" s="196">
        <f t="shared" si="62"/>
        <v>0</v>
      </c>
      <c r="N363" s="197">
        <f t="shared" si="62"/>
        <v>0</v>
      </c>
      <c r="O363" s="152">
        <f ca="1"/>
        <v>95.799456112987812</v>
      </c>
      <c r="Q363" s="198">
        <v>0</v>
      </c>
      <c r="R363" s="200">
        <v>0</v>
      </c>
      <c r="S363" s="200">
        <v>0</v>
      </c>
      <c r="T363" s="200">
        <v>0</v>
      </c>
      <c r="U363" s="200">
        <f t="array" ref="U363">IF(U$77&gt;" ",(U$628:U$1078),"")</f>
        <v>0</v>
      </c>
      <c r="V363" s="200">
        <f t="array" ref="V363">IF(V$77&gt;" ",(V$628:V$1078),"")</f>
        <v>0</v>
      </c>
      <c r="W363" s="200">
        <f t="array" ref="W363">IF(W$77&gt;" ",(W$628:W$1078),"")</f>
        <v>0</v>
      </c>
      <c r="X363" s="200">
        <f t="array" ref="X363">IF(X$77&gt;" ",(X$628:X$1078),"")</f>
        <v>0</v>
      </c>
      <c r="Y363" s="204">
        <v>0</v>
      </c>
      <c r="Z363" s="198" t="str">
        <f t="shared" si="55"/>
        <v/>
      </c>
      <c r="AA363" s="198" t="str">
        <f t="shared" si="56"/>
        <v/>
      </c>
      <c r="AB363" s="198" t="str">
        <f t="shared" si="57"/>
        <v/>
      </c>
      <c r="AC363" s="198" t="str">
        <f t="shared" si="54"/>
        <v/>
      </c>
      <c r="AD363" s="198" t="str">
        <f t="shared" si="54"/>
        <v/>
      </c>
      <c r="AE363" s="198" t="str">
        <f t="shared" si="54"/>
        <v/>
      </c>
      <c r="AF363" s="198" t="str">
        <f t="shared" si="54"/>
        <v/>
      </c>
      <c r="AG363" s="198" t="str">
        <f t="shared" si="61"/>
        <v/>
      </c>
      <c r="AH363" s="198" t="str">
        <f t="shared" si="58"/>
        <v/>
      </c>
      <c r="AI363" s="200" t="str">
        <f t="shared" si="59"/>
        <v/>
      </c>
      <c r="AJ363" s="208" t="str">
        <f t="shared" si="60"/>
        <v/>
      </c>
      <c r="AK363" s="4"/>
      <c r="AL363" s="162">
        <v>1080</v>
      </c>
      <c r="AM363" s="209">
        <v>3.1833921098489942E-3</v>
      </c>
      <c r="AN363" s="183">
        <v>2.4972605580132661E-3</v>
      </c>
      <c r="AO363" s="183">
        <v>3.0030298354710139E-3</v>
      </c>
      <c r="AP363" s="165">
        <v>3.1630304931705064E-3</v>
      </c>
      <c r="AR363" s="210">
        <v>95.746184922251388</v>
      </c>
      <c r="AS363" s="211">
        <v>95.880131390794304</v>
      </c>
      <c r="AT363" s="211">
        <v>95.799456112987812</v>
      </c>
      <c r="AU363" s="211">
        <v>95.652428934626258</v>
      </c>
      <c r="AV363" s="211"/>
      <c r="AW363" s="212"/>
      <c r="AX363" s="210">
        <v>94.550393738136066</v>
      </c>
      <c r="AY363" s="211">
        <v>95.638998053217435</v>
      </c>
      <c r="AZ363" s="213">
        <v>98.767990092076616</v>
      </c>
    </row>
    <row r="364" spans="12:52" x14ac:dyDescent="0.25">
      <c r="L364" s="189">
        <v>1075</v>
      </c>
      <c r="M364" s="196">
        <f t="shared" si="62"/>
        <v>0</v>
      </c>
      <c r="N364" s="197">
        <f t="shared" si="62"/>
        <v>0</v>
      </c>
      <c r="O364" s="152">
        <f ca="1"/>
        <v>95.789840079053121</v>
      </c>
      <c r="Q364" s="198">
        <v>0</v>
      </c>
      <c r="R364" s="200">
        <v>0</v>
      </c>
      <c r="S364" s="200">
        <v>0</v>
      </c>
      <c r="T364" s="200">
        <v>0</v>
      </c>
      <c r="U364" s="200">
        <f t="array" ref="U364">IF(U$77&gt;" ",(U$628:U$1078),"")</f>
        <v>0</v>
      </c>
      <c r="V364" s="200">
        <f t="array" ref="V364">IF(V$77&gt;" ",(V$628:V$1078),"")</f>
        <v>0</v>
      </c>
      <c r="W364" s="200">
        <f t="array" ref="W364">IF(W$77&gt;" ",(W$628:W$1078),"")</f>
        <v>0</v>
      </c>
      <c r="X364" s="200">
        <f t="array" ref="X364">IF(X$77&gt;" ",(X$628:X$1078),"")</f>
        <v>0</v>
      </c>
      <c r="Y364" s="204">
        <v>0</v>
      </c>
      <c r="Z364" s="198" t="str">
        <f t="shared" si="55"/>
        <v/>
      </c>
      <c r="AA364" s="198" t="str">
        <f t="shared" si="56"/>
        <v/>
      </c>
      <c r="AB364" s="198" t="str">
        <f t="shared" si="57"/>
        <v/>
      </c>
      <c r="AC364" s="198" t="str">
        <f t="shared" si="54"/>
        <v/>
      </c>
      <c r="AD364" s="198" t="str">
        <f t="shared" si="54"/>
        <v/>
      </c>
      <c r="AE364" s="198" t="str">
        <f t="shared" si="54"/>
        <v/>
      </c>
      <c r="AF364" s="198" t="str">
        <f t="shared" si="54"/>
        <v/>
      </c>
      <c r="AG364" s="198" t="str">
        <f t="shared" si="61"/>
        <v/>
      </c>
      <c r="AH364" s="198" t="str">
        <f t="shared" si="58"/>
        <v/>
      </c>
      <c r="AI364" s="200" t="str">
        <f t="shared" si="59"/>
        <v/>
      </c>
      <c r="AJ364" s="208" t="str">
        <f t="shared" si="60"/>
        <v/>
      </c>
      <c r="AK364" s="4"/>
      <c r="AL364" s="162">
        <v>1075</v>
      </c>
      <c r="AM364" s="209">
        <v>3.3743811025145148E-3</v>
      </c>
      <c r="AN364" s="183">
        <v>2.6498239028412925E-3</v>
      </c>
      <c r="AO364" s="183">
        <v>2.9793966011072729E-3</v>
      </c>
      <c r="AP364" s="165">
        <v>3.1370072234855459E-3</v>
      </c>
      <c r="AR364" s="210">
        <v>95.746152692219795</v>
      </c>
      <c r="AS364" s="211">
        <v>95.865941742429982</v>
      </c>
      <c r="AT364" s="211">
        <v>95.789840079053121</v>
      </c>
      <c r="AU364" s="211">
        <v>95.643812456197338</v>
      </c>
      <c r="AV364" s="211"/>
      <c r="AW364" s="212"/>
      <c r="AX364" s="210">
        <v>94.497530452951466</v>
      </c>
      <c r="AY364" s="211">
        <v>95.616231664810883</v>
      </c>
      <c r="AZ364" s="213">
        <v>98.670590420924583</v>
      </c>
    </row>
    <row r="365" spans="12:52" x14ac:dyDescent="0.25">
      <c r="L365" s="189">
        <v>1070</v>
      </c>
      <c r="M365" s="196">
        <f t="shared" si="62"/>
        <v>0</v>
      </c>
      <c r="N365" s="197">
        <f t="shared" si="62"/>
        <v>0</v>
      </c>
      <c r="O365" s="152">
        <f ca="1"/>
        <v>95.777359245659298</v>
      </c>
      <c r="Q365" s="198">
        <v>0</v>
      </c>
      <c r="R365" s="200">
        <v>0</v>
      </c>
      <c r="S365" s="200">
        <v>0</v>
      </c>
      <c r="T365" s="200">
        <v>0</v>
      </c>
      <c r="U365" s="200">
        <f t="array" ref="U365">IF(U$77&gt;" ",(U$628:U$1078),"")</f>
        <v>0</v>
      </c>
      <c r="V365" s="200">
        <f t="array" ref="V365">IF(V$77&gt;" ",(V$628:V$1078),"")</f>
        <v>0</v>
      </c>
      <c r="W365" s="200">
        <f t="array" ref="W365">IF(W$77&gt;" ",(W$628:W$1078),"")</f>
        <v>0</v>
      </c>
      <c r="X365" s="200">
        <f t="array" ref="X365">IF(X$77&gt;" ",(X$628:X$1078),"")</f>
        <v>0</v>
      </c>
      <c r="Y365" s="204">
        <v>0</v>
      </c>
      <c r="Z365" s="198" t="str">
        <f t="shared" si="55"/>
        <v/>
      </c>
      <c r="AA365" s="198" t="str">
        <f t="shared" si="56"/>
        <v/>
      </c>
      <c r="AB365" s="198" t="str">
        <f t="shared" si="57"/>
        <v/>
      </c>
      <c r="AC365" s="198" t="str">
        <f t="shared" si="54"/>
        <v/>
      </c>
      <c r="AD365" s="198" t="str">
        <f t="shared" si="54"/>
        <v/>
      </c>
      <c r="AE365" s="198" t="str">
        <f t="shared" si="54"/>
        <v/>
      </c>
      <c r="AF365" s="198" t="str">
        <f t="shared" si="54"/>
        <v/>
      </c>
      <c r="AG365" s="198" t="str">
        <f t="shared" si="61"/>
        <v/>
      </c>
      <c r="AH365" s="198" t="str">
        <f t="shared" si="58"/>
        <v/>
      </c>
      <c r="AI365" s="200" t="str">
        <f t="shared" si="59"/>
        <v/>
      </c>
      <c r="AJ365" s="208" t="str">
        <f t="shared" si="60"/>
        <v/>
      </c>
      <c r="AK365" s="4"/>
      <c r="AL365" s="162">
        <v>1070</v>
      </c>
      <c r="AM365" s="209">
        <v>3.5654361584773948E-3</v>
      </c>
      <c r="AN365" s="183">
        <v>2.8023872476693186E-3</v>
      </c>
      <c r="AO365" s="183">
        <v>3.0405915930661522E-3</v>
      </c>
      <c r="AP365" s="165">
        <v>3.1999107828960737E-3</v>
      </c>
      <c r="AR365" s="210">
        <v>95.725317085831435</v>
      </c>
      <c r="AS365" s="211">
        <v>95.855846919577857</v>
      </c>
      <c r="AT365" s="211">
        <v>95.777359245659298</v>
      </c>
      <c r="AU365" s="211">
        <v>95.625346512812044</v>
      </c>
      <c r="AV365" s="211"/>
      <c r="AW365" s="212"/>
      <c r="AX365" s="210">
        <v>94.48996345303037</v>
      </c>
      <c r="AY365" s="211">
        <v>95.603696942367193</v>
      </c>
      <c r="AZ365" s="213">
        <v>98.589162773984924</v>
      </c>
    </row>
    <row r="366" spans="12:52" x14ac:dyDescent="0.25">
      <c r="L366" s="189">
        <v>1065</v>
      </c>
      <c r="M366" s="196">
        <f t="shared" si="62"/>
        <v>0</v>
      </c>
      <c r="N366" s="197">
        <f t="shared" si="62"/>
        <v>0</v>
      </c>
      <c r="O366" s="152">
        <f ca="1"/>
        <v>95.748310087436877</v>
      </c>
      <c r="Q366" s="198">
        <v>0</v>
      </c>
      <c r="R366" s="200">
        <v>0</v>
      </c>
      <c r="S366" s="200">
        <v>0</v>
      </c>
      <c r="T366" s="200">
        <v>0</v>
      </c>
      <c r="U366" s="200">
        <f t="array" ref="U366">IF(U$77&gt;" ",(U$628:U$1078),"")</f>
        <v>0</v>
      </c>
      <c r="V366" s="200">
        <f t="array" ref="V366">IF(V$77&gt;" ",(V$628:V$1078),"")</f>
        <v>0</v>
      </c>
      <c r="W366" s="200">
        <f t="array" ref="W366">IF(W$77&gt;" ",(W$628:W$1078),"")</f>
        <v>0</v>
      </c>
      <c r="X366" s="200">
        <f t="array" ref="X366">IF(X$77&gt;" ",(X$628:X$1078),"")</f>
        <v>0</v>
      </c>
      <c r="Y366" s="204">
        <v>0</v>
      </c>
      <c r="Z366" s="198" t="str">
        <f t="shared" si="55"/>
        <v/>
      </c>
      <c r="AA366" s="198" t="str">
        <f t="shared" si="56"/>
        <v/>
      </c>
      <c r="AB366" s="198" t="str">
        <f t="shared" si="57"/>
        <v/>
      </c>
      <c r="AC366" s="198" t="str">
        <f t="shared" si="54"/>
        <v/>
      </c>
      <c r="AD366" s="198" t="str">
        <f t="shared" si="54"/>
        <v/>
      </c>
      <c r="AE366" s="198" t="str">
        <f t="shared" si="54"/>
        <v/>
      </c>
      <c r="AF366" s="198" t="str">
        <f t="shared" si="54"/>
        <v/>
      </c>
      <c r="AG366" s="198" t="str">
        <f t="shared" si="61"/>
        <v/>
      </c>
      <c r="AH366" s="198" t="str">
        <f t="shared" si="58"/>
        <v/>
      </c>
      <c r="AI366" s="200" t="str">
        <f t="shared" si="59"/>
        <v/>
      </c>
      <c r="AJ366" s="208" t="str">
        <f t="shared" si="60"/>
        <v/>
      </c>
      <c r="AK366" s="4"/>
      <c r="AL366" s="162">
        <v>1065</v>
      </c>
      <c r="AM366" s="209">
        <v>3.613001732576037E-3</v>
      </c>
      <c r="AN366" s="183">
        <v>2.9549505924973446E-3</v>
      </c>
      <c r="AO366" s="183">
        <v>3.1634844117576087E-3</v>
      </c>
      <c r="AP366" s="165">
        <v>3.3276766424461062E-3</v>
      </c>
      <c r="AR366" s="210">
        <v>95.703528015416921</v>
      </c>
      <c r="AS366" s="211">
        <v>95.831318370969868</v>
      </c>
      <c r="AT366" s="211">
        <v>95.748310087436877</v>
      </c>
      <c r="AU366" s="211">
        <v>95.600656453034617</v>
      </c>
      <c r="AV366" s="211"/>
      <c r="AW366" s="212"/>
      <c r="AX366" s="210">
        <v>94.529245507380736</v>
      </c>
      <c r="AY366" s="211">
        <v>95.620954050779076</v>
      </c>
      <c r="AZ366" s="213">
        <v>98.674084489214493</v>
      </c>
    </row>
    <row r="367" spans="12:52" x14ac:dyDescent="0.25">
      <c r="L367" s="189">
        <v>1060</v>
      </c>
      <c r="M367" s="196">
        <f t="shared" ref="M367:N382" si="63">M916</f>
        <v>0</v>
      </c>
      <c r="N367" s="197">
        <f t="shared" si="63"/>
        <v>0</v>
      </c>
      <c r="O367" s="152">
        <f ca="1"/>
        <v>95.767334357266279</v>
      </c>
      <c r="Q367" s="198">
        <v>0</v>
      </c>
      <c r="R367" s="200">
        <v>0</v>
      </c>
      <c r="S367" s="200">
        <v>0</v>
      </c>
      <c r="T367" s="200">
        <v>0</v>
      </c>
      <c r="U367" s="200">
        <f t="array" ref="U367">IF(U$77&gt;" ",(U$628:U$1078),"")</f>
        <v>0</v>
      </c>
      <c r="V367" s="200">
        <f t="array" ref="V367">IF(V$77&gt;" ",(V$628:V$1078),"")</f>
        <v>0</v>
      </c>
      <c r="W367" s="200">
        <f t="array" ref="W367">IF(W$77&gt;" ",(W$628:W$1078),"")</f>
        <v>0</v>
      </c>
      <c r="X367" s="200">
        <f t="array" ref="X367">IF(X$77&gt;" ",(X$628:X$1078),"")</f>
        <v>0</v>
      </c>
      <c r="Y367" s="204">
        <v>0</v>
      </c>
      <c r="Z367" s="198" t="str">
        <f t="shared" si="55"/>
        <v/>
      </c>
      <c r="AA367" s="198" t="str">
        <f t="shared" si="56"/>
        <v/>
      </c>
      <c r="AB367" s="198" t="str">
        <f t="shared" si="57"/>
        <v/>
      </c>
      <c r="AC367" s="198" t="str">
        <f t="shared" si="54"/>
        <v/>
      </c>
      <c r="AD367" s="198" t="str">
        <f t="shared" si="54"/>
        <v/>
      </c>
      <c r="AE367" s="198" t="str">
        <f t="shared" si="54"/>
        <v/>
      </c>
      <c r="AF367" s="198" t="str">
        <f t="shared" si="54"/>
        <v/>
      </c>
      <c r="AG367" s="198" t="str">
        <f t="shared" si="61"/>
        <v/>
      </c>
      <c r="AH367" s="198" t="str">
        <f t="shared" si="58"/>
        <v/>
      </c>
      <c r="AI367" s="200" t="str">
        <f t="shared" si="59"/>
        <v/>
      </c>
      <c r="AJ367" s="208" t="str">
        <f t="shared" si="60"/>
        <v/>
      </c>
      <c r="AK367" s="4"/>
      <c r="AL367" s="162">
        <v>1060</v>
      </c>
      <c r="AM367" s="209">
        <v>3.6605673066746796E-3</v>
      </c>
      <c r="AN367" s="183">
        <v>3.1075139373253715E-3</v>
      </c>
      <c r="AO367" s="183">
        <v>3.1972749085500225E-3</v>
      </c>
      <c r="AP367" s="165">
        <v>3.3619266231927638E-3</v>
      </c>
      <c r="AR367" s="210">
        <v>95.714368583336153</v>
      </c>
      <c r="AS367" s="211">
        <v>95.844224363851637</v>
      </c>
      <c r="AT367" s="211">
        <v>95.767334357266279</v>
      </c>
      <c r="AU367" s="211">
        <v>95.620985849607038</v>
      </c>
      <c r="AV367" s="211"/>
      <c r="AW367" s="212"/>
      <c r="AX367" s="210">
        <v>94.525415123949529</v>
      </c>
      <c r="AY367" s="211">
        <v>95.623553296474824</v>
      </c>
      <c r="AZ367" s="213">
        <v>98.675687800595654</v>
      </c>
    </row>
    <row r="368" spans="12:52" x14ac:dyDescent="0.25">
      <c r="L368" s="189">
        <v>1055</v>
      </c>
      <c r="M368" s="196">
        <f t="shared" si="63"/>
        <v>0</v>
      </c>
      <c r="N368" s="197">
        <f t="shared" si="63"/>
        <v>0</v>
      </c>
      <c r="O368" s="152">
        <f ca="1"/>
        <v>95.730430397765716</v>
      </c>
      <c r="Q368" s="198">
        <v>0</v>
      </c>
      <c r="R368" s="200">
        <v>0</v>
      </c>
      <c r="S368" s="200">
        <v>0</v>
      </c>
      <c r="T368" s="200">
        <v>0</v>
      </c>
      <c r="U368" s="200">
        <f t="array" ref="U368">IF(U$77&gt;" ",(U$628:U$1078),"")</f>
        <v>0</v>
      </c>
      <c r="V368" s="200">
        <f t="array" ref="V368">IF(V$77&gt;" ",(V$628:V$1078),"")</f>
        <v>0</v>
      </c>
      <c r="W368" s="200">
        <f t="array" ref="W368">IF(W$77&gt;" ",(W$628:W$1078),"")</f>
        <v>0</v>
      </c>
      <c r="X368" s="200">
        <f t="array" ref="X368">IF(X$77&gt;" ",(X$628:X$1078),"")</f>
        <v>0</v>
      </c>
      <c r="Y368" s="204">
        <v>0</v>
      </c>
      <c r="Z368" s="198" t="str">
        <f t="shared" ref="Z368:Z399" si="64">IF(AND(Q368&gt;0,Q368&lt;999),(Q368-$M368)/($N368-$M368)*$O368,"")</f>
        <v/>
      </c>
      <c r="AA368" s="198" t="str">
        <f t="shared" ref="AA368:AA399" si="65">IF(AND(R368&gt;0,R368&lt;999),(R368-$M368)/($N368-$M368)*$O368,"")</f>
        <v/>
      </c>
      <c r="AB368" s="198" t="str">
        <f t="shared" ref="AB368:AB399" si="66">IF(AND(S368&gt;0,S368&lt;999),(S368-$M368)/($N368-$M368)*$O368,"")</f>
        <v/>
      </c>
      <c r="AC368" s="198" t="str">
        <f t="shared" si="54"/>
        <v/>
      </c>
      <c r="AD368" s="198" t="str">
        <f t="shared" si="54"/>
        <v/>
      </c>
      <c r="AE368" s="198" t="str">
        <f t="shared" si="54"/>
        <v/>
      </c>
      <c r="AF368" s="198" t="str">
        <f t="shared" si="54"/>
        <v/>
      </c>
      <c r="AG368" s="198" t="str">
        <f t="shared" si="61"/>
        <v/>
      </c>
      <c r="AH368" s="198" t="str">
        <f t="shared" si="58"/>
        <v/>
      </c>
      <c r="AI368" s="200" t="str">
        <f t="shared" si="59"/>
        <v/>
      </c>
      <c r="AJ368" s="208" t="str">
        <f t="shared" si="60"/>
        <v/>
      </c>
      <c r="AK368" s="4"/>
      <c r="AL368" s="162">
        <v>1055</v>
      </c>
      <c r="AM368" s="209">
        <v>3.7081328807733213E-3</v>
      </c>
      <c r="AN368" s="183">
        <v>3.2600772821533975E-3</v>
      </c>
      <c r="AO368" s="183">
        <v>3.2607326569905372E-3</v>
      </c>
      <c r="AP368" s="165">
        <v>3.4273485635405465E-3</v>
      </c>
      <c r="AR368" s="210">
        <v>95.676752015601338</v>
      </c>
      <c r="AS368" s="211">
        <v>95.80754627851006</v>
      </c>
      <c r="AT368" s="211">
        <v>95.730430397765716</v>
      </c>
      <c r="AU368" s="211">
        <v>95.581374417213453</v>
      </c>
      <c r="AV368" s="211"/>
      <c r="AW368" s="212"/>
      <c r="AX368" s="210">
        <v>94.545374937709497</v>
      </c>
      <c r="AY368" s="211">
        <v>95.634417872805841</v>
      </c>
      <c r="AZ368" s="213">
        <v>98.586034319207485</v>
      </c>
    </row>
    <row r="369" spans="12:52" x14ac:dyDescent="0.25">
      <c r="L369" s="189">
        <v>1050</v>
      </c>
      <c r="M369" s="196">
        <f t="shared" si="63"/>
        <v>0</v>
      </c>
      <c r="N369" s="197">
        <f t="shared" si="63"/>
        <v>0</v>
      </c>
      <c r="O369" s="152">
        <f ca="1"/>
        <v>95.718591181413998</v>
      </c>
      <c r="Q369" s="198">
        <v>0</v>
      </c>
      <c r="R369" s="200">
        <v>0</v>
      </c>
      <c r="S369" s="200">
        <v>0</v>
      </c>
      <c r="T369" s="200">
        <v>0</v>
      </c>
      <c r="U369" s="200">
        <f t="array" ref="U369">IF(U$77&gt;" ",(U$628:U$1078),"")</f>
        <v>0</v>
      </c>
      <c r="V369" s="200">
        <f t="array" ref="V369">IF(V$77&gt;" ",(V$628:V$1078),"")</f>
        <v>0</v>
      </c>
      <c r="W369" s="200">
        <f t="array" ref="W369">IF(W$77&gt;" ",(W$628:W$1078),"")</f>
        <v>0</v>
      </c>
      <c r="X369" s="200">
        <f t="array" ref="X369">IF(X$77&gt;" ",(X$628:X$1078),"")</f>
        <v>0</v>
      </c>
      <c r="Y369" s="204">
        <v>0</v>
      </c>
      <c r="Z369" s="198" t="str">
        <f t="shared" si="64"/>
        <v/>
      </c>
      <c r="AA369" s="198" t="str">
        <f t="shared" si="65"/>
        <v/>
      </c>
      <c r="AB369" s="198" t="str">
        <f t="shared" si="66"/>
        <v/>
      </c>
      <c r="AC369" s="198" t="str">
        <f t="shared" si="54"/>
        <v/>
      </c>
      <c r="AD369" s="198" t="str">
        <f t="shared" si="54"/>
        <v/>
      </c>
      <c r="AE369" s="198" t="str">
        <f t="shared" si="54"/>
        <v/>
      </c>
      <c r="AF369" s="198" t="str">
        <f t="shared" si="54"/>
        <v/>
      </c>
      <c r="AG369" s="198" t="str">
        <f t="shared" si="61"/>
        <v/>
      </c>
      <c r="AH369" s="198" t="str">
        <f t="shared" si="58"/>
        <v/>
      </c>
      <c r="AI369" s="200" t="str">
        <f t="shared" si="59"/>
        <v/>
      </c>
      <c r="AJ369" s="208" t="str">
        <f t="shared" si="60"/>
        <v/>
      </c>
      <c r="AK369" s="4"/>
      <c r="AL369" s="162">
        <v>1050</v>
      </c>
      <c r="AM369" s="209">
        <v>3.7556984548719639E-3</v>
      </c>
      <c r="AN369" s="183">
        <v>3.4126406269814231E-3</v>
      </c>
      <c r="AO369" s="183">
        <v>3.29170727905025E-3</v>
      </c>
      <c r="AP369" s="165">
        <v>3.458688415204155E-3</v>
      </c>
      <c r="AR369" s="210">
        <v>95.667147685435324</v>
      </c>
      <c r="AS369" s="211">
        <v>95.796959591849273</v>
      </c>
      <c r="AT369" s="211">
        <v>95.718591181413998</v>
      </c>
      <c r="AU369" s="211">
        <v>95.572845448811961</v>
      </c>
      <c r="AV369" s="211"/>
      <c r="AW369" s="212"/>
      <c r="AX369" s="210">
        <v>94.519918537524589</v>
      </c>
      <c r="AY369" s="211">
        <v>95.643594210947086</v>
      </c>
      <c r="AZ369" s="213">
        <v>98.68012450434145</v>
      </c>
    </row>
    <row r="370" spans="12:52" x14ac:dyDescent="0.25">
      <c r="L370" s="189">
        <v>1045</v>
      </c>
      <c r="M370" s="196">
        <f t="shared" si="63"/>
        <v>0</v>
      </c>
      <c r="N370" s="197">
        <f t="shared" si="63"/>
        <v>0</v>
      </c>
      <c r="O370" s="152">
        <f ca="1"/>
        <v>95.690407932403673</v>
      </c>
      <c r="Q370" s="198">
        <v>0</v>
      </c>
      <c r="R370" s="200">
        <v>0</v>
      </c>
      <c r="S370" s="200">
        <v>0</v>
      </c>
      <c r="T370" s="200">
        <v>0</v>
      </c>
      <c r="U370" s="200">
        <f t="array" ref="U370">IF(U$77&gt;" ",(U$628:U$1078),"")</f>
        <v>0</v>
      </c>
      <c r="V370" s="200">
        <f t="array" ref="V370">IF(V$77&gt;" ",(V$628:V$1078),"")</f>
        <v>0</v>
      </c>
      <c r="W370" s="200">
        <f t="array" ref="W370">IF(W$77&gt;" ",(W$628:W$1078),"")</f>
        <v>0</v>
      </c>
      <c r="X370" s="200">
        <f t="array" ref="X370">IF(X$77&gt;" ",(X$628:X$1078),"")</f>
        <v>0</v>
      </c>
      <c r="Y370" s="204">
        <v>0</v>
      </c>
      <c r="Z370" s="198" t="str">
        <f t="shared" si="64"/>
        <v/>
      </c>
      <c r="AA370" s="198" t="str">
        <f t="shared" si="65"/>
        <v/>
      </c>
      <c r="AB370" s="198" t="str">
        <f t="shared" si="66"/>
        <v/>
      </c>
      <c r="AC370" s="198" t="str">
        <f t="shared" si="54"/>
        <v/>
      </c>
      <c r="AD370" s="198" t="str">
        <f t="shared" si="54"/>
        <v/>
      </c>
      <c r="AE370" s="198" t="str">
        <f t="shared" si="54"/>
        <v/>
      </c>
      <c r="AF370" s="198" t="str">
        <f t="shared" si="54"/>
        <v/>
      </c>
      <c r="AG370" s="198" t="str">
        <f t="shared" si="61"/>
        <v/>
      </c>
      <c r="AH370" s="198" t="str">
        <f t="shared" si="58"/>
        <v/>
      </c>
      <c r="AI370" s="200" t="str">
        <f t="shared" si="59"/>
        <v/>
      </c>
      <c r="AJ370" s="208" t="str">
        <f t="shared" si="60"/>
        <v/>
      </c>
      <c r="AK370" s="4"/>
      <c r="AL370" s="162">
        <v>1045</v>
      </c>
      <c r="AM370" s="209">
        <v>3.8032640289706065E-3</v>
      </c>
      <c r="AN370" s="183">
        <v>3.4325201840784978E-3</v>
      </c>
      <c r="AO370" s="183">
        <v>3.3414376381688464E-3</v>
      </c>
      <c r="AP370" s="165">
        <v>3.5096156741575187E-3</v>
      </c>
      <c r="AR370" s="210">
        <v>95.633861917438651</v>
      </c>
      <c r="AS370" s="211">
        <v>95.772417517577011</v>
      </c>
      <c r="AT370" s="211">
        <v>95.690407932403673</v>
      </c>
      <c r="AU370" s="211">
        <v>95.544349673186105</v>
      </c>
      <c r="AV370" s="211"/>
      <c r="AW370" s="212"/>
      <c r="AX370" s="210">
        <v>94.485979602159077</v>
      </c>
      <c r="AY370" s="211">
        <v>95.624226941011628</v>
      </c>
      <c r="AZ370" s="213">
        <v>98.547156539901778</v>
      </c>
    </row>
    <row r="371" spans="12:52" x14ac:dyDescent="0.25">
      <c r="L371" s="189">
        <v>1040</v>
      </c>
      <c r="M371" s="196">
        <f t="shared" si="63"/>
        <v>0</v>
      </c>
      <c r="N371" s="197">
        <f t="shared" si="63"/>
        <v>0</v>
      </c>
      <c r="O371" s="152">
        <f ca="1"/>
        <v>95.672572243193983</v>
      </c>
      <c r="Q371" s="198">
        <v>0</v>
      </c>
      <c r="R371" s="200">
        <v>0</v>
      </c>
      <c r="S371" s="200">
        <v>0</v>
      </c>
      <c r="T371" s="200">
        <v>0</v>
      </c>
      <c r="U371" s="200">
        <f t="array" ref="U371">IF(U$77&gt;" ",(U$628:U$1078),"")</f>
        <v>0</v>
      </c>
      <c r="V371" s="200">
        <f t="array" ref="V371">IF(V$77&gt;" ",(V$628:V$1078),"")</f>
        <v>0</v>
      </c>
      <c r="W371" s="200">
        <f t="array" ref="W371">IF(W$77&gt;" ",(W$628:W$1078),"")</f>
        <v>0</v>
      </c>
      <c r="X371" s="200">
        <f t="array" ref="X371">IF(X$77&gt;" ",(X$628:X$1078),"")</f>
        <v>0</v>
      </c>
      <c r="Y371" s="204">
        <v>0</v>
      </c>
      <c r="Z371" s="198" t="str">
        <f t="shared" si="64"/>
        <v/>
      </c>
      <c r="AA371" s="198" t="str">
        <f t="shared" si="65"/>
        <v/>
      </c>
      <c r="AB371" s="198" t="str">
        <f t="shared" si="66"/>
        <v/>
      </c>
      <c r="AC371" s="198" t="str">
        <f t="shared" si="54"/>
        <v/>
      </c>
      <c r="AD371" s="198" t="str">
        <f t="shared" si="54"/>
        <v/>
      </c>
      <c r="AE371" s="198" t="str">
        <f t="shared" si="54"/>
        <v/>
      </c>
      <c r="AF371" s="198" t="str">
        <f t="shared" si="54"/>
        <v/>
      </c>
      <c r="AG371" s="198" t="str">
        <f t="shared" si="61"/>
        <v/>
      </c>
      <c r="AH371" s="198" t="str">
        <f t="shared" si="58"/>
        <v/>
      </c>
      <c r="AI371" s="200" t="str">
        <f t="shared" si="59"/>
        <v/>
      </c>
      <c r="AJ371" s="208" t="str">
        <f t="shared" si="60"/>
        <v/>
      </c>
      <c r="AK371" s="4"/>
      <c r="AL371" s="162">
        <v>1040</v>
      </c>
      <c r="AM371" s="209">
        <v>3.8508296030692482E-3</v>
      </c>
      <c r="AN371" s="183">
        <v>3.452399741175572E-3</v>
      </c>
      <c r="AO371" s="183">
        <v>3.377541174920264E-3</v>
      </c>
      <c r="AP371" s="165">
        <v>3.5462161437789471E-3</v>
      </c>
      <c r="AR371" s="210">
        <v>95.616063063051399</v>
      </c>
      <c r="AS371" s="211">
        <v>95.7510427981681</v>
      </c>
      <c r="AT371" s="211">
        <v>95.672572243193983</v>
      </c>
      <c r="AU371" s="211">
        <v>95.520172628779576</v>
      </c>
      <c r="AV371" s="211"/>
      <c r="AW371" s="212"/>
      <c r="AX371" s="210">
        <v>94.525067027599292</v>
      </c>
      <c r="AY371" s="211">
        <v>95.630134296566766</v>
      </c>
      <c r="AZ371" s="213">
        <v>98.57476705002091</v>
      </c>
    </row>
    <row r="372" spans="12:52" x14ac:dyDescent="0.25">
      <c r="L372" s="189">
        <v>1035</v>
      </c>
      <c r="M372" s="196">
        <f t="shared" si="63"/>
        <v>0</v>
      </c>
      <c r="N372" s="197">
        <f t="shared" si="63"/>
        <v>0</v>
      </c>
      <c r="O372" s="152">
        <f ca="1"/>
        <v>95.637971201057795</v>
      </c>
      <c r="Q372" s="198">
        <v>0</v>
      </c>
      <c r="R372" s="200">
        <v>0</v>
      </c>
      <c r="S372" s="200">
        <v>0</v>
      </c>
      <c r="T372" s="200">
        <v>0</v>
      </c>
      <c r="U372" s="200">
        <f t="array" ref="U372">IF(U$77&gt;" ",(U$628:U$1078),"")</f>
        <v>0</v>
      </c>
      <c r="V372" s="200">
        <f t="array" ref="V372">IF(V$77&gt;" ",(V$628:V$1078),"")</f>
        <v>0</v>
      </c>
      <c r="W372" s="200">
        <f t="array" ref="W372">IF(W$77&gt;" ",(W$628:W$1078),"")</f>
        <v>0</v>
      </c>
      <c r="X372" s="200">
        <f t="array" ref="X372">IF(X$77&gt;" ",(X$628:X$1078),"")</f>
        <v>0</v>
      </c>
      <c r="Y372" s="204">
        <v>0</v>
      </c>
      <c r="Z372" s="198" t="str">
        <f t="shared" si="64"/>
        <v/>
      </c>
      <c r="AA372" s="198" t="str">
        <f t="shared" si="65"/>
        <v/>
      </c>
      <c r="AB372" s="198" t="str">
        <f t="shared" si="66"/>
        <v/>
      </c>
      <c r="AC372" s="198" t="str">
        <f t="shared" si="54"/>
        <v/>
      </c>
      <c r="AD372" s="198" t="str">
        <f t="shared" si="54"/>
        <v/>
      </c>
      <c r="AE372" s="198" t="str">
        <f t="shared" si="54"/>
        <v/>
      </c>
      <c r="AF372" s="198" t="str">
        <f t="shared" si="54"/>
        <v/>
      </c>
      <c r="AG372" s="198" t="str">
        <f t="shared" si="61"/>
        <v/>
      </c>
      <c r="AH372" s="198" t="str">
        <f t="shared" si="58"/>
        <v/>
      </c>
      <c r="AI372" s="200" t="str">
        <f t="shared" si="59"/>
        <v/>
      </c>
      <c r="AJ372" s="208" t="str">
        <f t="shared" si="60"/>
        <v/>
      </c>
      <c r="AK372" s="4"/>
      <c r="AL372" s="162">
        <v>1035</v>
      </c>
      <c r="AM372" s="209">
        <v>3.8843897581277349E-3</v>
      </c>
      <c r="AN372" s="183">
        <v>3.4722792982726462E-3</v>
      </c>
      <c r="AO372" s="183">
        <v>3.4310427948415854E-3</v>
      </c>
      <c r="AP372" s="165">
        <v>3.6011728122319177E-3</v>
      </c>
      <c r="AR372" s="210">
        <v>95.587215906693416</v>
      </c>
      <c r="AS372" s="211">
        <v>95.713990777237242</v>
      </c>
      <c r="AT372" s="211">
        <v>95.637971201057795</v>
      </c>
      <c r="AU372" s="211">
        <v>95.483146499678256</v>
      </c>
      <c r="AV372" s="211"/>
      <c r="AW372" s="212"/>
      <c r="AX372" s="210">
        <v>94.489030924619541</v>
      </c>
      <c r="AY372" s="211">
        <v>95.612505497766733</v>
      </c>
      <c r="AZ372" s="213">
        <v>98.590382345567377</v>
      </c>
    </row>
    <row r="373" spans="12:52" x14ac:dyDescent="0.25">
      <c r="L373" s="189">
        <v>1030</v>
      </c>
      <c r="M373" s="196">
        <f t="shared" si="63"/>
        <v>0</v>
      </c>
      <c r="N373" s="197">
        <f t="shared" si="63"/>
        <v>0</v>
      </c>
      <c r="O373" s="152">
        <f ca="1"/>
        <v>95.612249523161722</v>
      </c>
      <c r="Q373" s="198">
        <v>0</v>
      </c>
      <c r="R373" s="200">
        <v>0</v>
      </c>
      <c r="S373" s="200">
        <v>0</v>
      </c>
      <c r="T373" s="200">
        <v>0</v>
      </c>
      <c r="U373" s="200">
        <f t="array" ref="U373">IF(U$77&gt;" ",(U$628:U$1078),"")</f>
        <v>0</v>
      </c>
      <c r="V373" s="200">
        <f t="array" ref="V373">IF(V$77&gt;" ",(V$628:V$1078),"")</f>
        <v>0</v>
      </c>
      <c r="W373" s="200">
        <f t="array" ref="W373">IF(W$77&gt;" ",(W$628:W$1078),"")</f>
        <v>0</v>
      </c>
      <c r="X373" s="200">
        <f t="array" ref="X373">IF(X$77&gt;" ",(X$628:X$1078),"")</f>
        <v>0</v>
      </c>
      <c r="Y373" s="204">
        <v>0</v>
      </c>
      <c r="Z373" s="198" t="str">
        <f t="shared" si="64"/>
        <v/>
      </c>
      <c r="AA373" s="198" t="str">
        <f t="shared" si="65"/>
        <v/>
      </c>
      <c r="AB373" s="198" t="str">
        <f t="shared" si="66"/>
        <v/>
      </c>
      <c r="AC373" s="198" t="str">
        <f t="shared" si="54"/>
        <v/>
      </c>
      <c r="AD373" s="198" t="str">
        <f t="shared" si="54"/>
        <v/>
      </c>
      <c r="AE373" s="198" t="str">
        <f t="shared" si="54"/>
        <v/>
      </c>
      <c r="AF373" s="198" t="str">
        <f t="shared" si="54"/>
        <v/>
      </c>
      <c r="AG373" s="198" t="str">
        <f t="shared" si="61"/>
        <v/>
      </c>
      <c r="AH373" s="198" t="str">
        <f t="shared" si="58"/>
        <v/>
      </c>
      <c r="AI373" s="200" t="str">
        <f t="shared" si="59"/>
        <v/>
      </c>
      <c r="AJ373" s="208" t="str">
        <f t="shared" si="60"/>
        <v/>
      </c>
      <c r="AK373" s="4"/>
      <c r="AL373" s="162">
        <v>1030</v>
      </c>
      <c r="AM373" s="209">
        <v>3.917883849888862E-3</v>
      </c>
      <c r="AN373" s="183">
        <v>3.4921588553697212E-3</v>
      </c>
      <c r="AO373" s="183">
        <v>3.4723255297620793E-3</v>
      </c>
      <c r="AP373" s="165">
        <v>3.6428100437278549E-3</v>
      </c>
      <c r="AR373" s="210">
        <v>95.567511858729191</v>
      </c>
      <c r="AS373" s="211">
        <v>95.691049921251121</v>
      </c>
      <c r="AT373" s="211">
        <v>95.612249523161722</v>
      </c>
      <c r="AU373" s="211">
        <v>95.458207037241451</v>
      </c>
      <c r="AV373" s="211"/>
      <c r="AW373" s="212"/>
      <c r="AX373" s="210">
        <v>94.492789969820436</v>
      </c>
      <c r="AY373" s="211">
        <v>95.604696099335015</v>
      </c>
      <c r="AZ373" s="213">
        <v>98.578168769099364</v>
      </c>
    </row>
    <row r="374" spans="12:52" x14ac:dyDescent="0.25">
      <c r="L374" s="189">
        <v>1025</v>
      </c>
      <c r="M374" s="196">
        <f t="shared" si="63"/>
        <v>0</v>
      </c>
      <c r="N374" s="197">
        <f t="shared" si="63"/>
        <v>0</v>
      </c>
      <c r="O374" s="152">
        <f ca="1"/>
        <v>95.585444058713236</v>
      </c>
      <c r="Q374" s="198">
        <v>0</v>
      </c>
      <c r="R374" s="200">
        <v>0</v>
      </c>
      <c r="S374" s="200">
        <v>0</v>
      </c>
      <c r="T374" s="200">
        <v>0</v>
      </c>
      <c r="U374" s="200">
        <f t="array" ref="U374">IF(U$77&gt;" ",(U$628:U$1078),"")</f>
        <v>0</v>
      </c>
      <c r="V374" s="200">
        <f t="array" ref="V374">IF(V$77&gt;" ",(V$628:V$1078),"")</f>
        <v>0</v>
      </c>
      <c r="W374" s="200">
        <f t="array" ref="W374">IF(W$77&gt;" ",(W$628:W$1078),"")</f>
        <v>0</v>
      </c>
      <c r="X374" s="200">
        <f t="array" ref="X374">IF(X$77&gt;" ",(X$628:X$1078),"")</f>
        <v>0</v>
      </c>
      <c r="Y374" s="204">
        <v>0</v>
      </c>
      <c r="Z374" s="198" t="str">
        <f t="shared" si="64"/>
        <v/>
      </c>
      <c r="AA374" s="198" t="str">
        <f t="shared" si="65"/>
        <v/>
      </c>
      <c r="AB374" s="198" t="str">
        <f t="shared" si="66"/>
        <v/>
      </c>
      <c r="AC374" s="198" t="str">
        <f t="shared" si="54"/>
        <v/>
      </c>
      <c r="AD374" s="198" t="str">
        <f t="shared" si="54"/>
        <v/>
      </c>
      <c r="AE374" s="198" t="str">
        <f t="shared" si="54"/>
        <v/>
      </c>
      <c r="AF374" s="198" t="str">
        <f t="shared" si="54"/>
        <v/>
      </c>
      <c r="AG374" s="198" t="str">
        <f t="shared" si="61"/>
        <v/>
      </c>
      <c r="AH374" s="198" t="str">
        <f t="shared" si="58"/>
        <v/>
      </c>
      <c r="AI374" s="200" t="str">
        <f t="shared" si="59"/>
        <v/>
      </c>
      <c r="AJ374" s="208" t="str">
        <f t="shared" si="60"/>
        <v/>
      </c>
      <c r="AK374" s="4"/>
      <c r="AL374" s="162">
        <v>1025</v>
      </c>
      <c r="AM374" s="209">
        <v>3.9514440049473491E-3</v>
      </c>
      <c r="AN374" s="183">
        <v>3.512038412466795E-3</v>
      </c>
      <c r="AO374" s="183">
        <v>3.507423396966104E-3</v>
      </c>
      <c r="AP374" s="165">
        <v>3.6783471969535535E-3</v>
      </c>
      <c r="AR374" s="210">
        <v>95.544392996612245</v>
      </c>
      <c r="AS374" s="211">
        <v>95.67116358571252</v>
      </c>
      <c r="AT374" s="211">
        <v>95.585444058713236</v>
      </c>
      <c r="AU374" s="211">
        <v>95.434126807774462</v>
      </c>
      <c r="AV374" s="211"/>
      <c r="AW374" s="212"/>
      <c r="AX374" s="210">
        <v>94.543296295688052</v>
      </c>
      <c r="AY374" s="211">
        <v>95.639934959924901</v>
      </c>
      <c r="AZ374" s="213">
        <v>98.478399729551796</v>
      </c>
    </row>
    <row r="375" spans="12:52" x14ac:dyDescent="0.25">
      <c r="L375" s="189">
        <v>1020</v>
      </c>
      <c r="M375" s="196">
        <f t="shared" si="63"/>
        <v>0</v>
      </c>
      <c r="N375" s="197">
        <f t="shared" si="63"/>
        <v>0</v>
      </c>
      <c r="O375" s="152">
        <f ca="1"/>
        <v>95.572042615685845</v>
      </c>
      <c r="Q375" s="198">
        <v>0</v>
      </c>
      <c r="R375" s="200">
        <v>0</v>
      </c>
      <c r="S375" s="200">
        <v>0</v>
      </c>
      <c r="T375" s="200">
        <v>0</v>
      </c>
      <c r="U375" s="200">
        <f t="array" ref="U375">IF(U$77&gt;" ",(U$628:U$1078),"")</f>
        <v>0</v>
      </c>
      <c r="V375" s="200">
        <f t="array" ref="V375">IF(V$77&gt;" ",(V$628:V$1078),"")</f>
        <v>0</v>
      </c>
      <c r="W375" s="200">
        <f t="array" ref="W375">IF(W$77&gt;" ",(W$628:W$1078),"")</f>
        <v>0</v>
      </c>
      <c r="X375" s="200">
        <f t="array" ref="X375">IF(X$77&gt;" ",(X$628:X$1078),"")</f>
        <v>0</v>
      </c>
      <c r="Y375" s="204">
        <v>0</v>
      </c>
      <c r="Z375" s="198" t="str">
        <f t="shared" si="64"/>
        <v/>
      </c>
      <c r="AA375" s="198" t="str">
        <f t="shared" si="65"/>
        <v/>
      </c>
      <c r="AB375" s="198" t="str">
        <f t="shared" si="66"/>
        <v/>
      </c>
      <c r="AC375" s="198" t="str">
        <f t="shared" si="54"/>
        <v/>
      </c>
      <c r="AD375" s="198" t="str">
        <f t="shared" si="54"/>
        <v/>
      </c>
      <c r="AE375" s="198" t="str">
        <f t="shared" si="54"/>
        <v/>
      </c>
      <c r="AF375" s="198" t="str">
        <f t="shared" si="54"/>
        <v/>
      </c>
      <c r="AG375" s="198" t="str">
        <f t="shared" si="61"/>
        <v/>
      </c>
      <c r="AH375" s="198" t="str">
        <f t="shared" si="58"/>
        <v/>
      </c>
      <c r="AI375" s="200" t="str">
        <f t="shared" si="59"/>
        <v/>
      </c>
      <c r="AJ375" s="208" t="str">
        <f t="shared" si="60"/>
        <v/>
      </c>
      <c r="AK375" s="4"/>
      <c r="AL375" s="162">
        <v>1020</v>
      </c>
      <c r="AM375" s="209">
        <v>3.9849380967084767E-3</v>
      </c>
      <c r="AN375" s="183">
        <v>3.5319179695638692E-3</v>
      </c>
      <c r="AO375" s="183">
        <v>3.5146139342299657E-3</v>
      </c>
      <c r="AP375" s="165">
        <v>3.6846151672862747E-3</v>
      </c>
      <c r="AR375" s="210">
        <v>95.529829955449998</v>
      </c>
      <c r="AS375" s="211">
        <v>95.65092127644742</v>
      </c>
      <c r="AT375" s="211">
        <v>95.572042615685845</v>
      </c>
      <c r="AU375" s="211">
        <v>95.415446222939252</v>
      </c>
      <c r="AV375" s="211"/>
      <c r="AW375" s="212"/>
      <c r="AX375" s="210">
        <v>94.550819185093431</v>
      </c>
      <c r="AY375" s="211">
        <v>95.631531408068511</v>
      </c>
      <c r="AZ375" s="213">
        <v>98.535357023921335</v>
      </c>
    </row>
    <row r="376" spans="12:52" x14ac:dyDescent="0.25">
      <c r="L376" s="189">
        <v>1015</v>
      </c>
      <c r="M376" s="196">
        <f t="shared" si="63"/>
        <v>0</v>
      </c>
      <c r="N376" s="197">
        <f t="shared" si="63"/>
        <v>0</v>
      </c>
      <c r="O376" s="152">
        <f ca="1"/>
        <v>95.571284738672546</v>
      </c>
      <c r="Q376" s="198">
        <v>0</v>
      </c>
      <c r="R376" s="200">
        <v>0</v>
      </c>
      <c r="S376" s="200">
        <v>0</v>
      </c>
      <c r="T376" s="200">
        <v>0</v>
      </c>
      <c r="U376" s="200">
        <f t="array" ref="U376">IF(U$77&gt;" ",(U$628:U$1078),"")</f>
        <v>0</v>
      </c>
      <c r="V376" s="200">
        <f t="array" ref="V376">IF(V$77&gt;" ",(V$628:V$1078),"")</f>
        <v>0</v>
      </c>
      <c r="W376" s="200">
        <f t="array" ref="W376">IF(W$77&gt;" ",(W$628:W$1078),"")</f>
        <v>0</v>
      </c>
      <c r="X376" s="200">
        <f t="array" ref="X376">IF(X$77&gt;" ",(X$628:X$1078),"")</f>
        <v>0</v>
      </c>
      <c r="Y376" s="204">
        <v>0</v>
      </c>
      <c r="Z376" s="198" t="str">
        <f t="shared" si="64"/>
        <v/>
      </c>
      <c r="AA376" s="198" t="str">
        <f t="shared" si="65"/>
        <v/>
      </c>
      <c r="AB376" s="198" t="str">
        <f t="shared" si="66"/>
        <v/>
      </c>
      <c r="AC376" s="198" t="str">
        <f t="shared" si="54"/>
        <v/>
      </c>
      <c r="AD376" s="198" t="str">
        <f t="shared" si="54"/>
        <v/>
      </c>
      <c r="AE376" s="198" t="str">
        <f t="shared" si="54"/>
        <v/>
      </c>
      <c r="AF376" s="198" t="str">
        <f t="shared" si="54"/>
        <v/>
      </c>
      <c r="AG376" s="198" t="str">
        <f t="shared" si="61"/>
        <v/>
      </c>
      <c r="AH376" s="198" t="str">
        <f t="shared" si="58"/>
        <v/>
      </c>
      <c r="AI376" s="200" t="str">
        <f t="shared" si="59"/>
        <v/>
      </c>
      <c r="AJ376" s="208" t="str">
        <f t="shared" si="60"/>
        <v/>
      </c>
      <c r="AK376" s="4"/>
      <c r="AL376" s="162">
        <v>1015</v>
      </c>
      <c r="AM376" s="209">
        <v>4.018498251766962E-3</v>
      </c>
      <c r="AN376" s="183">
        <v>3.5517975266609434E-3</v>
      </c>
      <c r="AO376" s="183">
        <v>3.560925016887425E-3</v>
      </c>
      <c r="AP376" s="165">
        <v>3.7314570527192041E-3</v>
      </c>
      <c r="AR376" s="210">
        <v>95.520303373036825</v>
      </c>
      <c r="AS376" s="211">
        <v>95.648255972955113</v>
      </c>
      <c r="AT376" s="211">
        <v>95.571284738672546</v>
      </c>
      <c r="AU376" s="211">
        <v>95.412221589667624</v>
      </c>
      <c r="AV376" s="211"/>
      <c r="AW376" s="212"/>
      <c r="AX376" s="210">
        <v>94.552658212830622</v>
      </c>
      <c r="AY376" s="211">
        <v>95.643193266426366</v>
      </c>
      <c r="AZ376" s="213">
        <v>98.446827120708008</v>
      </c>
    </row>
    <row r="377" spans="12:52" x14ac:dyDescent="0.25">
      <c r="L377" s="189">
        <v>1010</v>
      </c>
      <c r="M377" s="196">
        <f t="shared" si="63"/>
        <v>0</v>
      </c>
      <c r="N377" s="197">
        <f t="shared" si="63"/>
        <v>0</v>
      </c>
      <c r="O377" s="152">
        <f ca="1"/>
        <v>95.562272651033894</v>
      </c>
      <c r="Q377" s="198">
        <v>0</v>
      </c>
      <c r="R377" s="200">
        <v>0</v>
      </c>
      <c r="S377" s="200">
        <v>0</v>
      </c>
      <c r="T377" s="200">
        <v>0</v>
      </c>
      <c r="U377" s="200">
        <f t="array" ref="U377">IF(U$77&gt;" ",(U$628:U$1078),"")</f>
        <v>0</v>
      </c>
      <c r="V377" s="200">
        <f t="array" ref="V377">IF(V$77&gt;" ",(V$628:V$1078),"")</f>
        <v>0</v>
      </c>
      <c r="W377" s="200">
        <f t="array" ref="W377">IF(W$77&gt;" ",(W$628:W$1078),"")</f>
        <v>0</v>
      </c>
      <c r="X377" s="200">
        <f t="array" ref="X377">IF(X$77&gt;" ",(X$628:X$1078),"")</f>
        <v>0</v>
      </c>
      <c r="Y377" s="204">
        <v>0</v>
      </c>
      <c r="Z377" s="198" t="str">
        <f t="shared" si="64"/>
        <v/>
      </c>
      <c r="AA377" s="198" t="str">
        <f t="shared" si="65"/>
        <v/>
      </c>
      <c r="AB377" s="198" t="str">
        <f t="shared" si="66"/>
        <v/>
      </c>
      <c r="AC377" s="198" t="str">
        <f t="shared" si="54"/>
        <v/>
      </c>
      <c r="AD377" s="198" t="str">
        <f t="shared" si="54"/>
        <v/>
      </c>
      <c r="AE377" s="198" t="str">
        <f t="shared" si="54"/>
        <v/>
      </c>
      <c r="AF377" s="198" t="str">
        <f t="shared" si="54"/>
        <v/>
      </c>
      <c r="AG377" s="198" t="str">
        <f t="shared" si="61"/>
        <v/>
      </c>
      <c r="AH377" s="198" t="str">
        <f t="shared" si="58"/>
        <v/>
      </c>
      <c r="AI377" s="200" t="str">
        <f t="shared" si="59"/>
        <v/>
      </c>
      <c r="AJ377" s="208" t="str">
        <f t="shared" si="60"/>
        <v/>
      </c>
      <c r="AK377" s="4"/>
      <c r="AL377" s="162">
        <v>1010</v>
      </c>
      <c r="AM377" s="209">
        <v>4.0519923435280896E-3</v>
      </c>
      <c r="AN377" s="183">
        <v>3.5716770837580184E-3</v>
      </c>
      <c r="AO377" s="183">
        <v>3.6160859915619456E-3</v>
      </c>
      <c r="AP377" s="165">
        <v>3.7884843899428059E-3</v>
      </c>
      <c r="AR377" s="210">
        <v>95.51098323850016</v>
      </c>
      <c r="AS377" s="211">
        <v>95.638386782361422</v>
      </c>
      <c r="AT377" s="211">
        <v>95.562272651033894</v>
      </c>
      <c r="AU377" s="211">
        <v>95.402905673907071</v>
      </c>
      <c r="AV377" s="211"/>
      <c r="AW377" s="212"/>
      <c r="AX377" s="210">
        <v>94.539174098095486</v>
      </c>
      <c r="AY377" s="211">
        <v>95.65473058392422</v>
      </c>
      <c r="AZ377" s="213">
        <v>98.572776940098322</v>
      </c>
    </row>
    <row r="378" spans="12:52" x14ac:dyDescent="0.25">
      <c r="L378" s="189">
        <v>1005</v>
      </c>
      <c r="M378" s="196">
        <f t="shared" si="63"/>
        <v>0</v>
      </c>
      <c r="N378" s="197">
        <f t="shared" si="63"/>
        <v>0</v>
      </c>
      <c r="O378" s="152">
        <f ca="1"/>
        <v>95.558730322414632</v>
      </c>
      <c r="Q378" s="198">
        <v>0</v>
      </c>
      <c r="R378" s="200">
        <v>0</v>
      </c>
      <c r="S378" s="200">
        <v>0</v>
      </c>
      <c r="T378" s="200">
        <v>0</v>
      </c>
      <c r="U378" s="200">
        <f t="array" ref="U378">IF(U$77&gt;" ",(U$628:U$1078),"")</f>
        <v>0</v>
      </c>
      <c r="V378" s="200">
        <f t="array" ref="V378">IF(V$77&gt;" ",(V$628:V$1078),"")</f>
        <v>0</v>
      </c>
      <c r="W378" s="200">
        <f t="array" ref="W378">IF(W$77&gt;" ",(W$628:W$1078),"")</f>
        <v>0</v>
      </c>
      <c r="X378" s="200">
        <f t="array" ref="X378">IF(X$77&gt;" ",(X$628:X$1078),"")</f>
        <v>0</v>
      </c>
      <c r="Y378" s="204">
        <v>0</v>
      </c>
      <c r="Z378" s="198" t="str">
        <f t="shared" si="64"/>
        <v/>
      </c>
      <c r="AA378" s="198" t="str">
        <f t="shared" si="65"/>
        <v/>
      </c>
      <c r="AB378" s="198" t="str">
        <f t="shared" si="66"/>
        <v/>
      </c>
      <c r="AC378" s="198" t="str">
        <f t="shared" si="54"/>
        <v/>
      </c>
      <c r="AD378" s="198" t="str">
        <f t="shared" si="54"/>
        <v/>
      </c>
      <c r="AE378" s="198" t="str">
        <f t="shared" si="54"/>
        <v/>
      </c>
      <c r="AF378" s="198" t="str">
        <f t="shared" si="54"/>
        <v/>
      </c>
      <c r="AG378" s="198" t="str">
        <f t="shared" si="61"/>
        <v/>
      </c>
      <c r="AH378" s="198" t="str">
        <f t="shared" si="58"/>
        <v/>
      </c>
      <c r="AI378" s="200" t="str">
        <f t="shared" si="59"/>
        <v/>
      </c>
      <c r="AJ378" s="208" t="str">
        <f t="shared" si="60"/>
        <v/>
      </c>
      <c r="AK378" s="4"/>
      <c r="AL378" s="162">
        <v>1005</v>
      </c>
      <c r="AM378" s="209">
        <v>4.0855524985865758E-3</v>
      </c>
      <c r="AN378" s="183">
        <v>3.5915566408550926E-3</v>
      </c>
      <c r="AO378" s="183">
        <v>3.4280257861994063E-3</v>
      </c>
      <c r="AP378" s="165">
        <v>3.58953229589972E-3</v>
      </c>
      <c r="AR378" s="210">
        <v>95.511855544155779</v>
      </c>
      <c r="AS378" s="211">
        <v>95.636972674891908</v>
      </c>
      <c r="AT378" s="211">
        <v>95.558730322414632</v>
      </c>
      <c r="AU378" s="211">
        <v>95.404204084222954</v>
      </c>
      <c r="AV378" s="211"/>
      <c r="AW378" s="212"/>
      <c r="AX378" s="210">
        <v>94.534585797960787</v>
      </c>
      <c r="AY378" s="211">
        <v>95.646500213705053</v>
      </c>
      <c r="AZ378" s="213">
        <v>98.578144857424547</v>
      </c>
    </row>
    <row r="379" spans="12:52" x14ac:dyDescent="0.25">
      <c r="L379" s="189">
        <v>1000</v>
      </c>
      <c r="M379" s="196">
        <f t="shared" si="63"/>
        <v>0</v>
      </c>
      <c r="N379" s="197">
        <f t="shared" si="63"/>
        <v>0</v>
      </c>
      <c r="O379" s="152">
        <f ca="1"/>
        <v>95.561444906385603</v>
      </c>
      <c r="Q379" s="198">
        <v>0</v>
      </c>
      <c r="R379" s="200">
        <v>0</v>
      </c>
      <c r="S379" s="200">
        <v>0</v>
      </c>
      <c r="T379" s="200">
        <v>0</v>
      </c>
      <c r="U379" s="200">
        <f t="array" ref="U379">IF(U$77&gt;" ",(U$628:U$1078),"")</f>
        <v>0</v>
      </c>
      <c r="V379" s="200">
        <f t="array" ref="V379">IF(V$77&gt;" ",(V$628:V$1078),"")</f>
        <v>0</v>
      </c>
      <c r="W379" s="200">
        <f t="array" ref="W379">IF(W$77&gt;" ",(W$628:W$1078),"")</f>
        <v>0</v>
      </c>
      <c r="X379" s="200">
        <f t="array" ref="X379">IF(X$77&gt;" ",(X$628:X$1078),"")</f>
        <v>0</v>
      </c>
      <c r="Y379" s="204">
        <v>0</v>
      </c>
      <c r="Z379" s="198" t="str">
        <f t="shared" si="64"/>
        <v/>
      </c>
      <c r="AA379" s="198" t="str">
        <f t="shared" si="65"/>
        <v/>
      </c>
      <c r="AB379" s="198" t="str">
        <f t="shared" si="66"/>
        <v/>
      </c>
      <c r="AC379" s="198" t="str">
        <f t="shared" si="54"/>
        <v/>
      </c>
      <c r="AD379" s="198" t="str">
        <f t="shared" si="54"/>
        <v/>
      </c>
      <c r="AE379" s="198" t="str">
        <f t="shared" si="54"/>
        <v/>
      </c>
      <c r="AF379" s="198" t="str">
        <f t="shared" si="54"/>
        <v/>
      </c>
      <c r="AG379" s="198" t="str">
        <f t="shared" si="61"/>
        <v/>
      </c>
      <c r="AH379" s="198" t="str">
        <f t="shared" si="58"/>
        <v/>
      </c>
      <c r="AI379" s="200" t="str">
        <f t="shared" si="59"/>
        <v/>
      </c>
      <c r="AJ379" s="208" t="str">
        <f t="shared" si="60"/>
        <v/>
      </c>
      <c r="AK379" s="4"/>
      <c r="AL379" s="162">
        <v>1000</v>
      </c>
      <c r="AM379" s="209">
        <v>4.1190465903477034E-3</v>
      </c>
      <c r="AN379" s="183">
        <v>3.6114361979521672E-3</v>
      </c>
      <c r="AO379" s="183">
        <v>3.6974446579460603E-3</v>
      </c>
      <c r="AP379" s="165">
        <v>3.8704157164348107E-3</v>
      </c>
      <c r="AR379" s="210">
        <v>95.513071538042908</v>
      </c>
      <c r="AS379" s="211">
        <v>95.640400245171563</v>
      </c>
      <c r="AT379" s="211">
        <v>95.561444906385603</v>
      </c>
      <c r="AU379" s="211">
        <v>95.408631223887554</v>
      </c>
      <c r="AV379" s="211"/>
      <c r="AW379" s="212"/>
      <c r="AX379" s="210">
        <v>94.514478708032144</v>
      </c>
      <c r="AY379" s="211">
        <v>95.640477534559068</v>
      </c>
      <c r="AZ379" s="213">
        <v>98.608645734640135</v>
      </c>
    </row>
    <row r="380" spans="12:52" x14ac:dyDescent="0.25">
      <c r="L380" s="189">
        <v>995</v>
      </c>
      <c r="M380" s="196">
        <f t="shared" si="63"/>
        <v>0</v>
      </c>
      <c r="N380" s="197">
        <f t="shared" si="63"/>
        <v>0</v>
      </c>
      <c r="O380" s="152">
        <f ca="1"/>
        <v>95.565869633761395</v>
      </c>
      <c r="Q380" s="198">
        <v>0</v>
      </c>
      <c r="R380" s="200">
        <v>0</v>
      </c>
      <c r="S380" s="200">
        <v>0</v>
      </c>
      <c r="T380" s="200">
        <v>0</v>
      </c>
      <c r="U380" s="200">
        <f t="array" ref="U380">IF(U$77&gt;" ",(U$628:U$1078),"")</f>
        <v>0</v>
      </c>
      <c r="V380" s="200">
        <f t="array" ref="V380">IF(V$77&gt;" ",(V$628:V$1078),"")</f>
        <v>0</v>
      </c>
      <c r="W380" s="200">
        <f t="array" ref="W380">IF(W$77&gt;" ",(W$628:W$1078),"")</f>
        <v>0</v>
      </c>
      <c r="X380" s="200">
        <f t="array" ref="X380">IF(X$77&gt;" ",(X$628:X$1078),"")</f>
        <v>0</v>
      </c>
      <c r="Y380" s="204">
        <v>0</v>
      </c>
      <c r="Z380" s="198" t="str">
        <f t="shared" si="64"/>
        <v/>
      </c>
      <c r="AA380" s="198" t="str">
        <f t="shared" si="65"/>
        <v/>
      </c>
      <c r="AB380" s="198" t="str">
        <f t="shared" si="66"/>
        <v/>
      </c>
      <c r="AC380" s="198" t="str">
        <f t="shared" si="54"/>
        <v/>
      </c>
      <c r="AD380" s="198" t="str">
        <f t="shared" si="54"/>
        <v/>
      </c>
      <c r="AE380" s="198" t="str">
        <f t="shared" si="54"/>
        <v/>
      </c>
      <c r="AF380" s="198" t="str">
        <f t="shared" si="54"/>
        <v/>
      </c>
      <c r="AG380" s="198" t="str">
        <f t="shared" si="61"/>
        <v/>
      </c>
      <c r="AH380" s="198" t="str">
        <f t="shared" si="58"/>
        <v/>
      </c>
      <c r="AI380" s="200" t="str">
        <f t="shared" si="59"/>
        <v/>
      </c>
      <c r="AJ380" s="208" t="str">
        <f t="shared" si="60"/>
        <v/>
      </c>
      <c r="AK380" s="4"/>
      <c r="AL380" s="162">
        <v>995</v>
      </c>
      <c r="AM380" s="209">
        <v>4.1526067454061904E-3</v>
      </c>
      <c r="AN380" s="183">
        <v>3.4642354311835433E-3</v>
      </c>
      <c r="AO380" s="183">
        <v>3.7801106947417864E-3</v>
      </c>
      <c r="AP380" s="165">
        <v>3.9551452439682087E-3</v>
      </c>
      <c r="AR380" s="210">
        <v>95.515653824603504</v>
      </c>
      <c r="AS380" s="211">
        <v>95.651194902859501</v>
      </c>
      <c r="AT380" s="211">
        <v>95.565869633761395</v>
      </c>
      <c r="AU380" s="211">
        <v>95.412597798160917</v>
      </c>
      <c r="AV380" s="211"/>
      <c r="AW380" s="212"/>
      <c r="AX380" s="210">
        <v>94.549344539021106</v>
      </c>
      <c r="AY380" s="211">
        <v>95.646196209558525</v>
      </c>
      <c r="AZ380" s="213">
        <v>98.600040064994346</v>
      </c>
    </row>
    <row r="381" spans="12:52" x14ac:dyDescent="0.25">
      <c r="L381" s="189">
        <v>990</v>
      </c>
      <c r="M381" s="196">
        <f t="shared" si="63"/>
        <v>0</v>
      </c>
      <c r="N381" s="197">
        <f t="shared" si="63"/>
        <v>0</v>
      </c>
      <c r="O381" s="152">
        <f ca="1"/>
        <v>95.554215864863224</v>
      </c>
      <c r="Q381" s="198">
        <v>0</v>
      </c>
      <c r="R381" s="200">
        <v>0</v>
      </c>
      <c r="S381" s="200">
        <v>0</v>
      </c>
      <c r="T381" s="200">
        <v>0</v>
      </c>
      <c r="U381" s="200">
        <f t="array" ref="U381">IF(U$77&gt;" ",(U$628:U$1078),"")</f>
        <v>0</v>
      </c>
      <c r="V381" s="200">
        <f t="array" ref="V381">IF(V$77&gt;" ",(V$628:V$1078),"")</f>
        <v>0</v>
      </c>
      <c r="W381" s="200">
        <f t="array" ref="W381">IF(W$77&gt;" ",(W$628:W$1078),"")</f>
        <v>0</v>
      </c>
      <c r="X381" s="200">
        <f t="array" ref="X381">IF(X$77&gt;" ",(X$628:X$1078),"")</f>
        <v>0</v>
      </c>
      <c r="Y381" s="204">
        <v>0</v>
      </c>
      <c r="Z381" s="198" t="str">
        <f t="shared" si="64"/>
        <v/>
      </c>
      <c r="AA381" s="198" t="str">
        <f t="shared" si="65"/>
        <v/>
      </c>
      <c r="AB381" s="198" t="str">
        <f t="shared" si="66"/>
        <v/>
      </c>
      <c r="AC381" s="198" t="str">
        <f t="shared" si="54"/>
        <v/>
      </c>
      <c r="AD381" s="198" t="str">
        <f t="shared" si="54"/>
        <v/>
      </c>
      <c r="AE381" s="198" t="str">
        <f t="shared" si="54"/>
        <v/>
      </c>
      <c r="AF381" s="198" t="str">
        <f t="shared" si="54"/>
        <v/>
      </c>
      <c r="AG381" s="198" t="str">
        <f t="shared" si="61"/>
        <v/>
      </c>
      <c r="AH381" s="198" t="str">
        <f t="shared" si="58"/>
        <v/>
      </c>
      <c r="AI381" s="200" t="str">
        <f t="shared" si="59"/>
        <v/>
      </c>
      <c r="AJ381" s="208" t="str">
        <f t="shared" si="60"/>
        <v/>
      </c>
      <c r="AK381" s="4"/>
      <c r="AL381" s="162">
        <v>990</v>
      </c>
      <c r="AM381" s="209">
        <v>4.0249724549081666E-3</v>
      </c>
      <c r="AN381" s="183">
        <v>3.3170346644149189E-3</v>
      </c>
      <c r="AO381" s="183">
        <v>3.6821081973483129E-3</v>
      </c>
      <c r="AP381" s="165">
        <v>3.8527310858532029E-3</v>
      </c>
      <c r="AR381" s="210">
        <v>95.508184375773794</v>
      </c>
      <c r="AS381" s="211">
        <v>95.637206710563646</v>
      </c>
      <c r="AT381" s="211">
        <v>95.554215864863224</v>
      </c>
      <c r="AU381" s="211">
        <v>95.402640975391122</v>
      </c>
      <c r="AV381" s="211"/>
      <c r="AW381" s="212"/>
      <c r="AX381" s="210">
        <v>94.57567915005977</v>
      </c>
      <c r="AY381" s="211">
        <v>95.661675391047524</v>
      </c>
      <c r="AZ381" s="213">
        <v>98.573553792310804</v>
      </c>
    </row>
    <row r="382" spans="12:52" x14ac:dyDescent="0.25">
      <c r="L382" s="189">
        <v>985</v>
      </c>
      <c r="M382" s="196">
        <f t="shared" si="63"/>
        <v>0</v>
      </c>
      <c r="N382" s="197">
        <f t="shared" si="63"/>
        <v>0</v>
      </c>
      <c r="O382" s="152">
        <f ca="1"/>
        <v>95.546018925290511</v>
      </c>
      <c r="Q382" s="198">
        <v>0</v>
      </c>
      <c r="R382" s="200">
        <v>0</v>
      </c>
      <c r="S382" s="200">
        <v>0</v>
      </c>
      <c r="T382" s="200">
        <v>0</v>
      </c>
      <c r="U382" s="200">
        <f t="array" ref="U382">IF(U$77&gt;" ",(U$628:U$1078),"")</f>
        <v>0</v>
      </c>
      <c r="V382" s="200">
        <f t="array" ref="V382">IF(V$77&gt;" ",(V$628:V$1078),"")</f>
        <v>0</v>
      </c>
      <c r="W382" s="200">
        <f t="array" ref="W382">IF(W$77&gt;" ",(W$628:W$1078),"")</f>
        <v>0</v>
      </c>
      <c r="X382" s="200">
        <f t="array" ref="X382">IF(X$77&gt;" ",(X$628:X$1078),"")</f>
        <v>0</v>
      </c>
      <c r="Y382" s="204">
        <v>0</v>
      </c>
      <c r="Z382" s="198" t="str">
        <f t="shared" si="64"/>
        <v/>
      </c>
      <c r="AA382" s="198" t="str">
        <f t="shared" si="65"/>
        <v/>
      </c>
      <c r="AB382" s="198" t="str">
        <f t="shared" si="66"/>
        <v/>
      </c>
      <c r="AC382" s="198" t="str">
        <f t="shared" si="54"/>
        <v/>
      </c>
      <c r="AD382" s="198" t="str">
        <f t="shared" si="54"/>
        <v/>
      </c>
      <c r="AE382" s="198" t="str">
        <f t="shared" si="54"/>
        <v/>
      </c>
      <c r="AF382" s="198" t="str">
        <f t="shared" si="54"/>
        <v/>
      </c>
      <c r="AG382" s="198" t="str">
        <f t="shared" si="61"/>
        <v/>
      </c>
      <c r="AH382" s="198" t="str">
        <f t="shared" si="58"/>
        <v/>
      </c>
      <c r="AI382" s="200" t="str">
        <f t="shared" si="59"/>
        <v/>
      </c>
      <c r="AJ382" s="208" t="str">
        <f t="shared" si="60"/>
        <v/>
      </c>
      <c r="AK382" s="4"/>
      <c r="AL382" s="162">
        <v>985</v>
      </c>
      <c r="AM382" s="209">
        <v>3.8282359553723933E-3</v>
      </c>
      <c r="AN382" s="183">
        <v>3.1698338976462945E-3</v>
      </c>
      <c r="AO382" s="183">
        <v>3.4603580621480989E-3</v>
      </c>
      <c r="AP382" s="165">
        <v>3.6227749242714767E-3</v>
      </c>
      <c r="AR382" s="210">
        <v>95.502853880046601</v>
      </c>
      <c r="AS382" s="211">
        <v>95.633974877896094</v>
      </c>
      <c r="AT382" s="211">
        <v>95.546018925290511</v>
      </c>
      <c r="AU382" s="211">
        <v>95.390828792168392</v>
      </c>
      <c r="AV382" s="211"/>
      <c r="AW382" s="212"/>
      <c r="AX382" s="210">
        <v>94.563996047557666</v>
      </c>
      <c r="AY382" s="211">
        <v>95.656889528295892</v>
      </c>
      <c r="AZ382" s="213">
        <v>98.57772068411569</v>
      </c>
    </row>
    <row r="383" spans="12:52" x14ac:dyDescent="0.25">
      <c r="L383" s="189">
        <v>980</v>
      </c>
      <c r="M383" s="196">
        <f t="shared" ref="M383:N398" si="67">M932</f>
        <v>0</v>
      </c>
      <c r="N383" s="197">
        <f t="shared" si="67"/>
        <v>0</v>
      </c>
      <c r="O383" s="152">
        <f ca="1"/>
        <v>95.550108646785404</v>
      </c>
      <c r="Q383" s="198">
        <v>0</v>
      </c>
      <c r="R383" s="200">
        <v>0</v>
      </c>
      <c r="S383" s="200">
        <v>0</v>
      </c>
      <c r="T383" s="200">
        <v>0</v>
      </c>
      <c r="U383" s="200">
        <f t="array" ref="U383">IF(U$77&gt;" ",(U$628:U$1078),"")</f>
        <v>0</v>
      </c>
      <c r="V383" s="200">
        <f t="array" ref="V383">IF(V$77&gt;" ",(V$628:V$1078),"")</f>
        <v>0</v>
      </c>
      <c r="W383" s="200">
        <f t="array" ref="W383">IF(W$77&gt;" ",(W$628:W$1078),"")</f>
        <v>0</v>
      </c>
      <c r="X383" s="200">
        <f t="array" ref="X383">IF(X$77&gt;" ",(X$628:X$1078),"")</f>
        <v>0</v>
      </c>
      <c r="Y383" s="204">
        <v>0</v>
      </c>
      <c r="Z383" s="198" t="str">
        <f t="shared" si="64"/>
        <v/>
      </c>
      <c r="AA383" s="198" t="str">
        <f t="shared" si="65"/>
        <v/>
      </c>
      <c r="AB383" s="198" t="str">
        <f t="shared" si="66"/>
        <v/>
      </c>
      <c r="AC383" s="198" t="str">
        <f t="shared" si="54"/>
        <v/>
      </c>
      <c r="AD383" s="198" t="str">
        <f t="shared" si="54"/>
        <v/>
      </c>
      <c r="AE383" s="198" t="str">
        <f t="shared" si="54"/>
        <v/>
      </c>
      <c r="AF383" s="198" t="str">
        <f t="shared" si="54"/>
        <v/>
      </c>
      <c r="AG383" s="198" t="str">
        <f t="shared" si="61"/>
        <v/>
      </c>
      <c r="AH383" s="198" t="str">
        <f t="shared" si="58"/>
        <v/>
      </c>
      <c r="AI383" s="200" t="str">
        <f t="shared" si="59"/>
        <v/>
      </c>
      <c r="AJ383" s="208" t="str">
        <f t="shared" si="60"/>
        <v/>
      </c>
      <c r="AK383" s="4"/>
      <c r="AL383" s="162">
        <v>980</v>
      </c>
      <c r="AM383" s="209">
        <v>3.6314994558366205E-3</v>
      </c>
      <c r="AN383" s="183">
        <v>3.0226331308776709E-3</v>
      </c>
      <c r="AO383" s="183">
        <v>3.0405413095887829E-3</v>
      </c>
      <c r="AP383" s="165">
        <v>3.1866473099598685E-3</v>
      </c>
      <c r="AR383" s="210">
        <v>95.506488135911255</v>
      </c>
      <c r="AS383" s="211">
        <v>95.635886106534983</v>
      </c>
      <c r="AT383" s="211">
        <v>95.550108646785404</v>
      </c>
      <c r="AU383" s="211">
        <v>95.392234850317479</v>
      </c>
      <c r="AV383" s="211"/>
      <c r="AW383" s="212"/>
      <c r="AX383" s="210">
        <v>94.564886125301157</v>
      </c>
      <c r="AY383" s="211">
        <v>95.644562052283803</v>
      </c>
      <c r="AZ383" s="213">
        <v>98.696227055736102</v>
      </c>
    </row>
    <row r="384" spans="12:52" x14ac:dyDescent="0.25">
      <c r="L384" s="189">
        <v>975</v>
      </c>
      <c r="M384" s="196">
        <f t="shared" si="67"/>
        <v>0</v>
      </c>
      <c r="N384" s="197">
        <f t="shared" si="67"/>
        <v>0</v>
      </c>
      <c r="O384" s="152">
        <f ca="1"/>
        <v>95.545436424360801</v>
      </c>
      <c r="Q384" s="198">
        <v>0</v>
      </c>
      <c r="R384" s="200">
        <v>0</v>
      </c>
      <c r="S384" s="200">
        <v>0</v>
      </c>
      <c r="T384" s="200">
        <v>0</v>
      </c>
      <c r="U384" s="200">
        <f t="array" ref="U384">IF(U$77&gt;" ",(U$628:U$1078),"")</f>
        <v>0</v>
      </c>
      <c r="V384" s="200">
        <f t="array" ref="V384">IF(V$77&gt;" ",(V$628:V$1078),"")</f>
        <v>0</v>
      </c>
      <c r="W384" s="200">
        <f t="array" ref="W384">IF(W$77&gt;" ",(W$628:W$1078),"")</f>
        <v>0</v>
      </c>
      <c r="X384" s="200">
        <f t="array" ref="X384">IF(X$77&gt;" ",(X$628:X$1078),"")</f>
        <v>0</v>
      </c>
      <c r="Y384" s="204">
        <v>0</v>
      </c>
      <c r="Z384" s="198" t="str">
        <f t="shared" si="64"/>
        <v/>
      </c>
      <c r="AA384" s="198" t="str">
        <f t="shared" si="65"/>
        <v/>
      </c>
      <c r="AB384" s="198" t="str">
        <f t="shared" si="66"/>
        <v/>
      </c>
      <c r="AC384" s="198" t="str">
        <f t="shared" si="54"/>
        <v/>
      </c>
      <c r="AD384" s="198" t="str">
        <f t="shared" si="54"/>
        <v/>
      </c>
      <c r="AE384" s="198" t="str">
        <f t="shared" si="54"/>
        <v/>
      </c>
      <c r="AF384" s="198" t="str">
        <f t="shared" si="54"/>
        <v/>
      </c>
      <c r="AG384" s="198" t="str">
        <f t="shared" si="61"/>
        <v/>
      </c>
      <c r="AH384" s="198" t="str">
        <f t="shared" si="58"/>
        <v/>
      </c>
      <c r="AI384" s="200" t="str">
        <f t="shared" si="59"/>
        <v/>
      </c>
      <c r="AJ384" s="208" t="str">
        <f t="shared" si="60"/>
        <v/>
      </c>
      <c r="AK384" s="4"/>
      <c r="AL384" s="162">
        <v>975</v>
      </c>
      <c r="AM384" s="209">
        <v>3.4146136506062832E-3</v>
      </c>
      <c r="AN384" s="183">
        <v>2.8754323641090465E-3</v>
      </c>
      <c r="AO384" s="183">
        <v>2.9660714796043118E-3</v>
      </c>
      <c r="AP384" s="165">
        <v>3.1080178606967082E-3</v>
      </c>
      <c r="AR384" s="210">
        <v>95.499753729137751</v>
      </c>
      <c r="AS384" s="211">
        <v>95.626516065500255</v>
      </c>
      <c r="AT384" s="211">
        <v>95.545436424360801</v>
      </c>
      <c r="AU384" s="211">
        <v>95.390229546705839</v>
      </c>
      <c r="AV384" s="211"/>
      <c r="AW384" s="212"/>
      <c r="AX384" s="210">
        <v>94.555994055629796</v>
      </c>
      <c r="AY384" s="211">
        <v>95.644676430230604</v>
      </c>
      <c r="AZ384" s="213">
        <v>98.69733798368064</v>
      </c>
    </row>
    <row r="385" spans="12:52" x14ac:dyDescent="0.25">
      <c r="L385" s="189">
        <v>970</v>
      </c>
      <c r="M385" s="196">
        <f t="shared" si="67"/>
        <v>0</v>
      </c>
      <c r="N385" s="197">
        <f t="shared" si="67"/>
        <v>0</v>
      </c>
      <c r="O385" s="152">
        <f ca="1"/>
        <v>95.551162019065984</v>
      </c>
      <c r="Q385" s="198">
        <v>0</v>
      </c>
      <c r="R385" s="200">
        <v>0</v>
      </c>
      <c r="S385" s="200">
        <v>0</v>
      </c>
      <c r="T385" s="200">
        <v>0</v>
      </c>
      <c r="U385" s="200">
        <f t="array" ref="U385">IF(U$77&gt;" ",(U$628:U$1078),"")</f>
        <v>0</v>
      </c>
      <c r="V385" s="200">
        <f t="array" ref="V385">IF(V$77&gt;" ",(V$628:V$1078),"")</f>
        <v>0</v>
      </c>
      <c r="W385" s="200">
        <f t="array" ref="W385">IF(W$77&gt;" ",(W$628:W$1078),"")</f>
        <v>0</v>
      </c>
      <c r="X385" s="200">
        <f t="array" ref="X385">IF(X$77&gt;" ",(X$628:X$1078),"")</f>
        <v>0</v>
      </c>
      <c r="Y385" s="204">
        <v>0</v>
      </c>
      <c r="Z385" s="198" t="str">
        <f t="shared" si="64"/>
        <v/>
      </c>
      <c r="AA385" s="198" t="str">
        <f t="shared" si="65"/>
        <v/>
      </c>
      <c r="AB385" s="198" t="str">
        <f t="shared" si="66"/>
        <v/>
      </c>
      <c r="AC385" s="198" t="str">
        <f t="shared" si="54"/>
        <v/>
      </c>
      <c r="AD385" s="198" t="str">
        <f t="shared" si="54"/>
        <v/>
      </c>
      <c r="AE385" s="198" t="str">
        <f t="shared" si="54"/>
        <v/>
      </c>
      <c r="AF385" s="198" t="str">
        <f t="shared" si="54"/>
        <v/>
      </c>
      <c r="AG385" s="198" t="str">
        <f t="shared" si="61"/>
        <v/>
      </c>
      <c r="AH385" s="198" t="str">
        <f t="shared" si="58"/>
        <v/>
      </c>
      <c r="AI385" s="200" t="str">
        <f t="shared" si="59"/>
        <v/>
      </c>
      <c r="AJ385" s="208" t="str">
        <f t="shared" si="60"/>
        <v/>
      </c>
      <c r="AK385" s="4"/>
      <c r="AL385" s="162">
        <v>970</v>
      </c>
      <c r="AM385" s="209">
        <v>3.1976617820785869E-3</v>
      </c>
      <c r="AN385" s="183">
        <v>2.7282315973404226E-3</v>
      </c>
      <c r="AO385" s="183">
        <v>3.1910397573561844E-3</v>
      </c>
      <c r="AP385" s="165">
        <v>3.3404364391948615E-3</v>
      </c>
      <c r="AR385" s="210">
        <v>95.504850831388012</v>
      </c>
      <c r="AS385" s="211">
        <v>95.634724887119646</v>
      </c>
      <c r="AT385" s="211">
        <v>95.551162019065984</v>
      </c>
      <c r="AU385" s="211">
        <v>95.399114344063094</v>
      </c>
      <c r="AV385" s="211"/>
      <c r="AW385" s="212"/>
      <c r="AX385" s="210">
        <v>94.593222007006929</v>
      </c>
      <c r="AY385" s="211">
        <v>95.653717220050467</v>
      </c>
      <c r="AZ385" s="213">
        <v>98.583995700889574</v>
      </c>
    </row>
    <row r="386" spans="12:52" x14ac:dyDescent="0.25">
      <c r="L386" s="189">
        <v>965</v>
      </c>
      <c r="M386" s="196">
        <f t="shared" si="67"/>
        <v>0</v>
      </c>
      <c r="N386" s="197">
        <f t="shared" si="67"/>
        <v>0</v>
      </c>
      <c r="O386" s="152">
        <f ca="1"/>
        <v>95.553238293545363</v>
      </c>
      <c r="Q386" s="198">
        <v>0</v>
      </c>
      <c r="R386" s="200">
        <v>0</v>
      </c>
      <c r="S386" s="200">
        <v>0</v>
      </c>
      <c r="T386" s="200">
        <v>0</v>
      </c>
      <c r="U386" s="200">
        <f t="array" ref="U386">IF(U$77&gt;" ",(U$628:U$1078),"")</f>
        <v>0</v>
      </c>
      <c r="V386" s="200">
        <f t="array" ref="V386">IF(V$77&gt;" ",(V$628:V$1078),"")</f>
        <v>0</v>
      </c>
      <c r="W386" s="200">
        <f t="array" ref="W386">IF(W$77&gt;" ",(W$628:W$1078),"")</f>
        <v>0</v>
      </c>
      <c r="X386" s="200">
        <f t="array" ref="X386">IF(X$77&gt;" ",(X$628:X$1078),"")</f>
        <v>0</v>
      </c>
      <c r="Y386" s="204">
        <v>0</v>
      </c>
      <c r="Z386" s="198" t="str">
        <f t="shared" si="64"/>
        <v/>
      </c>
      <c r="AA386" s="198" t="str">
        <f t="shared" si="65"/>
        <v/>
      </c>
      <c r="AB386" s="198" t="str">
        <f t="shared" si="66"/>
        <v/>
      </c>
      <c r="AC386" s="198" t="str">
        <f t="shared" si="54"/>
        <v/>
      </c>
      <c r="AD386" s="198" t="str">
        <f t="shared" si="54"/>
        <v/>
      </c>
      <c r="AE386" s="198" t="str">
        <f t="shared" si="54"/>
        <v/>
      </c>
      <c r="AF386" s="198" t="str">
        <f t="shared" si="54"/>
        <v/>
      </c>
      <c r="AG386" s="198" t="str">
        <f t="shared" si="61"/>
        <v/>
      </c>
      <c r="AH386" s="198" t="str">
        <f t="shared" si="58"/>
        <v/>
      </c>
      <c r="AI386" s="200" t="str">
        <f t="shared" si="59"/>
        <v/>
      </c>
      <c r="AJ386" s="208" t="str">
        <f t="shared" si="60"/>
        <v/>
      </c>
      <c r="AK386" s="4"/>
      <c r="AL386" s="162">
        <v>965</v>
      </c>
      <c r="AM386" s="209">
        <v>2.98077597684825E-3</v>
      </c>
      <c r="AN386" s="183">
        <v>2.5810308305717982E-3</v>
      </c>
      <c r="AO386" s="183">
        <v>2.5329798890194044E-3</v>
      </c>
      <c r="AP386" s="165">
        <v>2.6565561046782635E-3</v>
      </c>
      <c r="AR386" s="210">
        <v>95.508967547752519</v>
      </c>
      <c r="AS386" s="211">
        <v>95.628571239990876</v>
      </c>
      <c r="AT386" s="211">
        <v>95.553238293545363</v>
      </c>
      <c r="AU386" s="211">
        <v>95.396947709183181</v>
      </c>
      <c r="AV386" s="211"/>
      <c r="AW386" s="212"/>
      <c r="AX386" s="210">
        <v>94.579298377333032</v>
      </c>
      <c r="AY386" s="211">
        <v>95.651990061019163</v>
      </c>
      <c r="AZ386" s="213">
        <v>98.577066152485145</v>
      </c>
    </row>
    <row r="387" spans="12:52" x14ac:dyDescent="0.25">
      <c r="L387" s="189">
        <v>960</v>
      </c>
      <c r="M387" s="196">
        <f t="shared" si="67"/>
        <v>0</v>
      </c>
      <c r="N387" s="197">
        <f t="shared" si="67"/>
        <v>0</v>
      </c>
      <c r="O387" s="152">
        <f ca="1"/>
        <v>95.550502809965067</v>
      </c>
      <c r="Q387" s="198">
        <v>0</v>
      </c>
      <c r="R387" s="200">
        <v>0</v>
      </c>
      <c r="S387" s="200">
        <v>0</v>
      </c>
      <c r="T387" s="200">
        <v>0</v>
      </c>
      <c r="U387" s="200">
        <f t="array" ref="U387">IF(U$77&gt;" ",(U$628:U$1078),"")</f>
        <v>0</v>
      </c>
      <c r="V387" s="200">
        <f t="array" ref="V387">IF(V$77&gt;" ",(V$628:V$1078),"")</f>
        <v>0</v>
      </c>
      <c r="W387" s="200">
        <f t="array" ref="W387">IF(W$77&gt;" ",(W$628:W$1078),"")</f>
        <v>0</v>
      </c>
      <c r="X387" s="200">
        <f t="array" ref="X387">IF(X$77&gt;" ",(X$628:X$1078),"")</f>
        <v>0</v>
      </c>
      <c r="Y387" s="204">
        <v>0</v>
      </c>
      <c r="Z387" s="198" t="str">
        <f t="shared" si="64"/>
        <v/>
      </c>
      <c r="AA387" s="198" t="str">
        <f t="shared" si="65"/>
        <v/>
      </c>
      <c r="AB387" s="198" t="str">
        <f t="shared" si="66"/>
        <v/>
      </c>
      <c r="AC387" s="198" t="str">
        <f t="shared" si="54"/>
        <v/>
      </c>
      <c r="AD387" s="198" t="str">
        <f t="shared" si="54"/>
        <v/>
      </c>
      <c r="AE387" s="198" t="str">
        <f t="shared" si="54"/>
        <v/>
      </c>
      <c r="AF387" s="198" t="str">
        <f t="shared" si="54"/>
        <v/>
      </c>
      <c r="AG387" s="198" t="str">
        <f t="shared" si="61"/>
        <v/>
      </c>
      <c r="AH387" s="198" t="str">
        <f t="shared" si="58"/>
        <v/>
      </c>
      <c r="AI387" s="200" t="str">
        <f t="shared" si="59"/>
        <v/>
      </c>
      <c r="AJ387" s="208" t="str">
        <f t="shared" si="60"/>
        <v/>
      </c>
      <c r="AK387" s="4"/>
      <c r="AL387" s="162">
        <v>960</v>
      </c>
      <c r="AM387" s="209">
        <v>2.6314332604126661E-3</v>
      </c>
      <c r="AN387" s="183">
        <v>2.4338300638031747E-3</v>
      </c>
      <c r="AO387" s="183">
        <v>2.1152247590322439E-3</v>
      </c>
      <c r="AP387" s="165">
        <v>2.2209321665541066E-3</v>
      </c>
      <c r="AR387" s="210">
        <v>95.509498041518626</v>
      </c>
      <c r="AS387" s="211">
        <v>95.626996716974702</v>
      </c>
      <c r="AT387" s="211">
        <v>95.550502809965067</v>
      </c>
      <c r="AU387" s="211">
        <v>95.394930529371948</v>
      </c>
      <c r="AV387" s="211"/>
      <c r="AW387" s="212"/>
      <c r="AX387" s="210">
        <v>94.602714096696914</v>
      </c>
      <c r="AY387" s="211">
        <v>95.666914207129651</v>
      </c>
      <c r="AZ387" s="213">
        <v>98.684825637093482</v>
      </c>
    </row>
    <row r="388" spans="12:52" x14ac:dyDescent="0.25">
      <c r="L388" s="189">
        <v>955</v>
      </c>
      <c r="M388" s="196">
        <f t="shared" si="67"/>
        <v>0</v>
      </c>
      <c r="N388" s="197">
        <f t="shared" si="67"/>
        <v>0</v>
      </c>
      <c r="O388" s="152">
        <f ca="1"/>
        <v>95.560058579695507</v>
      </c>
      <c r="Q388" s="198">
        <v>0</v>
      </c>
      <c r="R388" s="200">
        <v>0</v>
      </c>
      <c r="S388" s="200">
        <v>0</v>
      </c>
      <c r="T388" s="200">
        <v>0</v>
      </c>
      <c r="U388" s="200">
        <f t="array" ref="U388">IF(U$77&gt;" ",(U$628:U$1078),"")</f>
        <v>0</v>
      </c>
      <c r="V388" s="200">
        <f t="array" ref="V388">IF(V$77&gt;" ",(V$628:V$1078),"")</f>
        <v>0</v>
      </c>
      <c r="W388" s="200">
        <f t="array" ref="W388">IF(W$77&gt;" ",(W$628:W$1078),"")</f>
        <v>0</v>
      </c>
      <c r="X388" s="200">
        <f t="array" ref="X388">IF(X$77&gt;" ",(X$628:X$1078),"")</f>
        <v>0</v>
      </c>
      <c r="Y388" s="204">
        <v>0</v>
      </c>
      <c r="Z388" s="198" t="str">
        <f t="shared" si="64"/>
        <v/>
      </c>
      <c r="AA388" s="198" t="str">
        <f t="shared" si="65"/>
        <v/>
      </c>
      <c r="AB388" s="198" t="str">
        <f t="shared" si="66"/>
        <v/>
      </c>
      <c r="AC388" s="198" t="str">
        <f t="shared" si="54"/>
        <v/>
      </c>
      <c r="AD388" s="198" t="str">
        <f t="shared" si="54"/>
        <v/>
      </c>
      <c r="AE388" s="198" t="str">
        <f t="shared" si="54"/>
        <v/>
      </c>
      <c r="AF388" s="198" t="str">
        <f t="shared" si="54"/>
        <v/>
      </c>
      <c r="AG388" s="198" t="str">
        <f t="shared" si="61"/>
        <v/>
      </c>
      <c r="AH388" s="198" t="str">
        <f t="shared" si="58"/>
        <v/>
      </c>
      <c r="AI388" s="200" t="str">
        <f t="shared" si="59"/>
        <v/>
      </c>
      <c r="AJ388" s="208" t="str">
        <f t="shared" si="60"/>
        <v/>
      </c>
      <c r="AK388" s="4"/>
      <c r="AL388" s="162">
        <v>955</v>
      </c>
      <c r="AM388" s="209">
        <v>2.2820905439770822E-3</v>
      </c>
      <c r="AN388" s="183">
        <v>2.2866292970345507E-3</v>
      </c>
      <c r="AO388" s="183">
        <v>1.7155213974207927E-3</v>
      </c>
      <c r="AP388" s="165">
        <v>1.8022653267407947E-3</v>
      </c>
      <c r="AR388" s="210">
        <v>95.512029446425842</v>
      </c>
      <c r="AS388" s="211">
        <v>95.640903429675589</v>
      </c>
      <c r="AT388" s="211">
        <v>95.560058579695507</v>
      </c>
      <c r="AU388" s="211">
        <v>95.402109368517458</v>
      </c>
      <c r="AV388" s="211"/>
      <c r="AW388" s="212"/>
      <c r="AX388" s="210">
        <v>94.617265726496143</v>
      </c>
      <c r="AY388" s="211">
        <v>95.672799644428281</v>
      </c>
      <c r="AZ388" s="213">
        <v>98.593017412867539</v>
      </c>
    </row>
    <row r="389" spans="12:52" x14ac:dyDescent="0.25">
      <c r="L389" s="189">
        <v>950</v>
      </c>
      <c r="M389" s="196">
        <f t="shared" si="67"/>
        <v>0</v>
      </c>
      <c r="N389" s="197">
        <f t="shared" si="67"/>
        <v>0</v>
      </c>
      <c r="O389" s="152">
        <f ca="1"/>
        <v>95.567784857739483</v>
      </c>
      <c r="Q389" s="198">
        <v>0</v>
      </c>
      <c r="R389" s="200">
        <v>0</v>
      </c>
      <c r="S389" s="200">
        <v>0</v>
      </c>
      <c r="T389" s="200">
        <v>0</v>
      </c>
      <c r="U389" s="200">
        <f t="array" ref="U389">IF(U$77&gt;" ",(U$628:U$1078),"")</f>
        <v>0</v>
      </c>
      <c r="V389" s="200">
        <f t="array" ref="V389">IF(V$77&gt;" ",(V$628:V$1078),"")</f>
        <v>0</v>
      </c>
      <c r="W389" s="200">
        <f t="array" ref="W389">IF(W$77&gt;" ",(W$628:W$1078),"")</f>
        <v>0</v>
      </c>
      <c r="X389" s="200">
        <f t="array" ref="X389">IF(X$77&gt;" ",(X$628:X$1078),"")</f>
        <v>0</v>
      </c>
      <c r="Y389" s="204">
        <v>0</v>
      </c>
      <c r="Z389" s="198" t="str">
        <f t="shared" si="64"/>
        <v/>
      </c>
      <c r="AA389" s="198" t="str">
        <f t="shared" si="65"/>
        <v/>
      </c>
      <c r="AB389" s="198" t="str">
        <f t="shared" si="66"/>
        <v/>
      </c>
      <c r="AC389" s="198" t="str">
        <f t="shared" si="54"/>
        <v/>
      </c>
      <c r="AD389" s="198" t="str">
        <f t="shared" si="54"/>
        <v/>
      </c>
      <c r="AE389" s="198" t="str">
        <f t="shared" si="54"/>
        <v/>
      </c>
      <c r="AF389" s="198" t="str">
        <f t="shared" si="54"/>
        <v/>
      </c>
      <c r="AG389" s="198" t="str">
        <f t="shared" si="61"/>
        <v/>
      </c>
      <c r="AH389" s="198" t="str">
        <f t="shared" si="58"/>
        <v/>
      </c>
      <c r="AI389" s="200" t="str">
        <f t="shared" si="59"/>
        <v/>
      </c>
      <c r="AJ389" s="208" t="str">
        <f t="shared" si="60"/>
        <v/>
      </c>
      <c r="AK389" s="4"/>
      <c r="AL389" s="162">
        <v>950</v>
      </c>
      <c r="AM389" s="209">
        <v>1.932681764244139E-3</v>
      </c>
      <c r="AN389" s="183">
        <v>2.1394285302659267E-3</v>
      </c>
      <c r="AO389" s="183">
        <v>7.4047448774565753E-4</v>
      </c>
      <c r="AP389" s="165">
        <v>7.8036230642384934E-4</v>
      </c>
      <c r="AR389" s="210">
        <v>95.514815204960584</v>
      </c>
      <c r="AS389" s="211">
        <v>95.64742739484673</v>
      </c>
      <c r="AT389" s="211">
        <v>95.567784857739483</v>
      </c>
      <c r="AU389" s="211">
        <v>95.406650547126233</v>
      </c>
      <c r="AV389" s="211"/>
      <c r="AW389" s="212"/>
      <c r="AX389" s="210">
        <v>94.622095881778534</v>
      </c>
      <c r="AY389" s="211">
        <v>95.666614959683884</v>
      </c>
      <c r="AZ389" s="213">
        <v>98.577323220160693</v>
      </c>
    </row>
    <row r="390" spans="12:52" x14ac:dyDescent="0.25">
      <c r="L390" s="189">
        <v>945</v>
      </c>
      <c r="M390" s="196">
        <f t="shared" si="67"/>
        <v>0</v>
      </c>
      <c r="N390" s="197">
        <f t="shared" si="67"/>
        <v>0</v>
      </c>
      <c r="O390" s="152">
        <f ca="1"/>
        <v>95.586774204486687</v>
      </c>
      <c r="Q390" s="198">
        <v>0</v>
      </c>
      <c r="R390" s="200">
        <v>0</v>
      </c>
      <c r="S390" s="200">
        <v>0</v>
      </c>
      <c r="T390" s="200">
        <v>0</v>
      </c>
      <c r="U390" s="200">
        <f t="array" ref="U390">IF(U$77&gt;" ",(U$628:U$1078),"")</f>
        <v>0</v>
      </c>
      <c r="V390" s="200">
        <f t="array" ref="V390">IF(V$77&gt;" ",(V$628:V$1078),"")</f>
        <v>0</v>
      </c>
      <c r="W390" s="200">
        <f t="array" ref="W390">IF(W$77&gt;" ",(W$628:W$1078),"")</f>
        <v>0</v>
      </c>
      <c r="X390" s="200">
        <f t="array" ref="X390">IF(X$77&gt;" ",(X$628:X$1078),"")</f>
        <v>0</v>
      </c>
      <c r="Y390" s="204">
        <v>0</v>
      </c>
      <c r="Z390" s="198" t="str">
        <f t="shared" si="64"/>
        <v/>
      </c>
      <c r="AA390" s="198" t="str">
        <f t="shared" si="65"/>
        <v/>
      </c>
      <c r="AB390" s="198" t="str">
        <f t="shared" si="66"/>
        <v/>
      </c>
      <c r="AC390" s="198" t="str">
        <f t="shared" si="54"/>
        <v/>
      </c>
      <c r="AD390" s="198" t="str">
        <f t="shared" si="54"/>
        <v/>
      </c>
      <c r="AE390" s="198" t="str">
        <f t="shared" si="54"/>
        <v/>
      </c>
      <c r="AF390" s="198" t="str">
        <f t="shared" si="54"/>
        <v/>
      </c>
      <c r="AG390" s="198" t="str">
        <f t="shared" si="61"/>
        <v/>
      </c>
      <c r="AH390" s="198" t="str">
        <f t="shared" si="58"/>
        <v/>
      </c>
      <c r="AI390" s="200" t="str">
        <f t="shared" si="59"/>
        <v/>
      </c>
      <c r="AJ390" s="208" t="str">
        <f t="shared" si="60"/>
        <v/>
      </c>
      <c r="AK390" s="4"/>
      <c r="AL390" s="162">
        <v>945</v>
      </c>
      <c r="AM390" s="209">
        <v>1.707934426628054E-3</v>
      </c>
      <c r="AN390" s="183">
        <v>2.3286494982462831E-3</v>
      </c>
      <c r="AO390" s="183">
        <v>1.8514879202283616E-3</v>
      </c>
      <c r="AP390" s="165">
        <v>1.943574479331172E-3</v>
      </c>
      <c r="AR390" s="210">
        <v>95.527485632045398</v>
      </c>
      <c r="AS390" s="211">
        <v>95.668409286836024</v>
      </c>
      <c r="AT390" s="211">
        <v>95.586774204486687</v>
      </c>
      <c r="AU390" s="211">
        <v>95.426379394909077</v>
      </c>
      <c r="AV390" s="211"/>
      <c r="AW390" s="212"/>
      <c r="AX390" s="210">
        <v>94.678335714681964</v>
      </c>
      <c r="AY390" s="211">
        <v>95.687625216307495</v>
      </c>
      <c r="AZ390" s="213">
        <v>98.544691131272259</v>
      </c>
    </row>
    <row r="391" spans="12:52" x14ac:dyDescent="0.25">
      <c r="L391" s="189">
        <v>940</v>
      </c>
      <c r="M391" s="196">
        <f t="shared" si="67"/>
        <v>0</v>
      </c>
      <c r="N391" s="197">
        <f t="shared" si="67"/>
        <v>0</v>
      </c>
      <c r="O391" s="152">
        <f ca="1"/>
        <v>95.584285649042329</v>
      </c>
      <c r="Q391" s="198">
        <v>0</v>
      </c>
      <c r="R391" s="200">
        <v>0</v>
      </c>
      <c r="S391" s="200">
        <v>0</v>
      </c>
      <c r="T391" s="200">
        <v>0</v>
      </c>
      <c r="U391" s="200">
        <f t="array" ref="U391">IF(U$77&gt;" ",(U$628:U$1078),"")</f>
        <v>0</v>
      </c>
      <c r="V391" s="200">
        <f t="array" ref="V391">IF(V$77&gt;" ",(V$628:V$1078),"")</f>
        <v>0</v>
      </c>
      <c r="W391" s="200">
        <f t="array" ref="W391">IF(W$77&gt;" ",(W$628:W$1078),"")</f>
        <v>0</v>
      </c>
      <c r="X391" s="200">
        <f t="array" ref="X391">IF(X$77&gt;" ",(X$628:X$1078),"")</f>
        <v>0</v>
      </c>
      <c r="Y391" s="204">
        <v>0</v>
      </c>
      <c r="Z391" s="198" t="str">
        <f t="shared" si="64"/>
        <v/>
      </c>
      <c r="AA391" s="198" t="str">
        <f t="shared" si="65"/>
        <v/>
      </c>
      <c r="AB391" s="198" t="str">
        <f t="shared" si="66"/>
        <v/>
      </c>
      <c r="AC391" s="198" t="str">
        <f t="shared" si="54"/>
        <v/>
      </c>
      <c r="AD391" s="198" t="str">
        <f t="shared" si="54"/>
        <v/>
      </c>
      <c r="AE391" s="198" t="str">
        <f t="shared" si="54"/>
        <v/>
      </c>
      <c r="AF391" s="198" t="str">
        <f t="shared" si="54"/>
        <v/>
      </c>
      <c r="AG391" s="198" t="str">
        <f t="shared" si="61"/>
        <v/>
      </c>
      <c r="AH391" s="198" t="str">
        <f t="shared" si="58"/>
        <v/>
      </c>
      <c r="AI391" s="200" t="str">
        <f t="shared" si="59"/>
        <v/>
      </c>
      <c r="AJ391" s="208" t="str">
        <f t="shared" si="60"/>
        <v/>
      </c>
      <c r="AK391" s="4"/>
      <c r="AL391" s="162">
        <v>940</v>
      </c>
      <c r="AM391" s="209">
        <v>1.5661625904951565E-3</v>
      </c>
      <c r="AN391" s="183">
        <v>2.5178704662266399E-3</v>
      </c>
      <c r="AO391" s="183">
        <v>2.3724247457780705E-3</v>
      </c>
      <c r="AP391" s="165">
        <v>2.4854181289866305E-3</v>
      </c>
      <c r="AR391" s="210">
        <v>95.527250530762046</v>
      </c>
      <c r="AS391" s="211">
        <v>95.665866738488589</v>
      </c>
      <c r="AT391" s="211">
        <v>95.584285649042329</v>
      </c>
      <c r="AU391" s="211">
        <v>95.421403817536245</v>
      </c>
      <c r="AV391" s="211"/>
      <c r="AW391" s="212"/>
      <c r="AX391" s="210">
        <v>94.645140427526528</v>
      </c>
      <c r="AY391" s="211">
        <v>95.701102689865778</v>
      </c>
      <c r="AZ391" s="213">
        <v>98.580553545781441</v>
      </c>
    </row>
    <row r="392" spans="12:52" x14ac:dyDescent="0.25">
      <c r="L392" s="189">
        <v>935</v>
      </c>
      <c r="M392" s="196">
        <f t="shared" si="67"/>
        <v>0</v>
      </c>
      <c r="N392" s="197">
        <f t="shared" si="67"/>
        <v>0</v>
      </c>
      <c r="O392" s="152">
        <f ca="1"/>
        <v>95.588700992257841</v>
      </c>
      <c r="Q392" s="198">
        <v>0</v>
      </c>
      <c r="R392" s="200">
        <v>0</v>
      </c>
      <c r="S392" s="200">
        <v>0</v>
      </c>
      <c r="T392" s="200">
        <v>0</v>
      </c>
      <c r="U392" s="200">
        <f t="array" ref="U392">IF(U$77&gt;" ",(U$628:U$1078),"")</f>
        <v>0</v>
      </c>
      <c r="V392" s="200">
        <f t="array" ref="V392">IF(V$77&gt;" ",(V$628:V$1078),"")</f>
        <v>0</v>
      </c>
      <c r="W392" s="200">
        <f t="array" ref="W392">IF(W$77&gt;" ",(W$628:W$1078),"")</f>
        <v>0</v>
      </c>
      <c r="X392" s="200">
        <f t="array" ref="X392">IF(X$77&gt;" ",(X$628:X$1078),"")</f>
        <v>0</v>
      </c>
      <c r="Y392" s="204">
        <v>0</v>
      </c>
      <c r="Z392" s="198" t="str">
        <f t="shared" si="64"/>
        <v/>
      </c>
      <c r="AA392" s="198" t="str">
        <f t="shared" si="65"/>
        <v/>
      </c>
      <c r="AB392" s="198" t="str">
        <f t="shared" si="66"/>
        <v/>
      </c>
      <c r="AC392" s="198" t="str">
        <f t="shared" si="54"/>
        <v/>
      </c>
      <c r="AD392" s="198" t="str">
        <f t="shared" si="54"/>
        <v/>
      </c>
      <c r="AE392" s="198" t="str">
        <f t="shared" si="54"/>
        <v/>
      </c>
      <c r="AF392" s="198" t="str">
        <f t="shared" si="54"/>
        <v/>
      </c>
      <c r="AG392" s="198" t="str">
        <f t="shared" si="61"/>
        <v/>
      </c>
      <c r="AH392" s="198" t="str">
        <f t="shared" si="58"/>
        <v/>
      </c>
      <c r="AI392" s="200" t="str">
        <f t="shared" si="59"/>
        <v/>
      </c>
      <c r="AJ392" s="208" t="str">
        <f t="shared" si="60"/>
        <v/>
      </c>
      <c r="AK392" s="4"/>
      <c r="AL392" s="162">
        <v>935</v>
      </c>
      <c r="AM392" s="209">
        <v>1.7150031994454915E-3</v>
      </c>
      <c r="AN392" s="183">
        <v>2.7070914342069968E-3</v>
      </c>
      <c r="AO392" s="183">
        <v>1.261310746340627E-3</v>
      </c>
      <c r="AP392" s="165">
        <v>1.3257876534122914E-3</v>
      </c>
      <c r="AR392" s="210">
        <v>95.538868346846712</v>
      </c>
      <c r="AS392" s="211">
        <v>95.667781208994413</v>
      </c>
      <c r="AT392" s="211">
        <v>95.588700992257841</v>
      </c>
      <c r="AU392" s="211">
        <v>95.424082496326449</v>
      </c>
      <c r="AV392" s="211"/>
      <c r="AW392" s="212"/>
      <c r="AX392" s="210">
        <v>94.694275877208327</v>
      </c>
      <c r="AY392" s="211">
        <v>95.731892042160666</v>
      </c>
      <c r="AZ392" s="213">
        <v>98.479486405511352</v>
      </c>
    </row>
    <row r="393" spans="12:52" x14ac:dyDescent="0.25">
      <c r="L393" s="189">
        <v>930</v>
      </c>
      <c r="M393" s="196">
        <f t="shared" si="67"/>
        <v>0</v>
      </c>
      <c r="N393" s="197">
        <f t="shared" si="67"/>
        <v>0</v>
      </c>
      <c r="O393" s="152">
        <f ca="1"/>
        <v>95.578307782625117</v>
      </c>
      <c r="Q393" s="198">
        <v>0</v>
      </c>
      <c r="R393" s="200">
        <v>0</v>
      </c>
      <c r="S393" s="200">
        <v>0</v>
      </c>
      <c r="T393" s="200">
        <v>0</v>
      </c>
      <c r="U393" s="200">
        <f t="array" ref="U393">IF(U$77&gt;" ",(U$628:U$1078),"")</f>
        <v>0</v>
      </c>
      <c r="V393" s="200">
        <f t="array" ref="V393">IF(V$77&gt;" ",(V$628:V$1078),"")</f>
        <v>0</v>
      </c>
      <c r="W393" s="200">
        <f t="array" ref="W393">IF(W$77&gt;" ",(W$628:W$1078),"")</f>
        <v>0</v>
      </c>
      <c r="X393" s="200">
        <f t="array" ref="X393">IF(X$77&gt;" ",(X$628:X$1078),"")</f>
        <v>0</v>
      </c>
      <c r="Y393" s="204">
        <v>0</v>
      </c>
      <c r="Z393" s="198" t="str">
        <f t="shared" si="64"/>
        <v/>
      </c>
      <c r="AA393" s="198" t="str">
        <f t="shared" si="65"/>
        <v/>
      </c>
      <c r="AB393" s="198" t="str">
        <f t="shared" si="66"/>
        <v/>
      </c>
      <c r="AC393" s="198" t="str">
        <f t="shared" si="54"/>
        <v/>
      </c>
      <c r="AD393" s="198" t="str">
        <f t="shared" si="54"/>
        <v/>
      </c>
      <c r="AE393" s="198" t="str">
        <f t="shared" si="54"/>
        <v/>
      </c>
      <c r="AF393" s="198" t="str">
        <f t="shared" si="54"/>
        <v/>
      </c>
      <c r="AG393" s="198" t="str">
        <f t="shared" si="61"/>
        <v/>
      </c>
      <c r="AH393" s="198" t="str">
        <f t="shared" si="58"/>
        <v/>
      </c>
      <c r="AI393" s="200" t="str">
        <f t="shared" si="59"/>
        <v/>
      </c>
      <c r="AJ393" s="208" t="str">
        <f t="shared" si="60"/>
        <v/>
      </c>
      <c r="AK393" s="4"/>
      <c r="AL393" s="162">
        <v>930</v>
      </c>
      <c r="AM393" s="209">
        <v>2.2996633810746362E-3</v>
      </c>
      <c r="AN393" s="183">
        <v>2.8963124021873527E-3</v>
      </c>
      <c r="AO393" s="183">
        <v>2.1727490571431386E-3</v>
      </c>
      <c r="AP393" s="165">
        <v>2.2765604032570115E-3</v>
      </c>
      <c r="AR393" s="210">
        <v>95.530575131447577</v>
      </c>
      <c r="AS393" s="211">
        <v>95.658924301723388</v>
      </c>
      <c r="AT393" s="211">
        <v>95.578307782625117</v>
      </c>
      <c r="AU393" s="211">
        <v>95.411877670288689</v>
      </c>
      <c r="AV393" s="211"/>
      <c r="AW393" s="212"/>
      <c r="AX393" s="210">
        <v>94.730625489746501</v>
      </c>
      <c r="AY393" s="211">
        <v>95.732826888105635</v>
      </c>
      <c r="AZ393" s="213">
        <v>98.358099427267234</v>
      </c>
    </row>
    <row r="394" spans="12:52" x14ac:dyDescent="0.25">
      <c r="L394" s="189">
        <v>925</v>
      </c>
      <c r="M394" s="196">
        <f t="shared" si="67"/>
        <v>0</v>
      </c>
      <c r="N394" s="197">
        <f t="shared" si="67"/>
        <v>0</v>
      </c>
      <c r="O394" s="152">
        <f ca="1"/>
        <v>95.590998430072645</v>
      </c>
      <c r="Q394" s="198">
        <v>0</v>
      </c>
      <c r="R394" s="200">
        <v>0</v>
      </c>
      <c r="S394" s="200">
        <v>0</v>
      </c>
      <c r="T394" s="200">
        <v>0</v>
      </c>
      <c r="U394" s="200">
        <f t="array" ref="U394">IF(U$77&gt;" ",(U$628:U$1078),"")</f>
        <v>0</v>
      </c>
      <c r="V394" s="200">
        <f t="array" ref="V394">IF(V$77&gt;" ",(V$628:V$1078),"")</f>
        <v>0</v>
      </c>
      <c r="W394" s="200">
        <f t="array" ref="W394">IF(W$77&gt;" ",(W$628:W$1078),"")</f>
        <v>0</v>
      </c>
      <c r="X394" s="200">
        <f t="array" ref="X394">IF(X$77&gt;" ",(X$628:X$1078),"")</f>
        <v>0</v>
      </c>
      <c r="Y394" s="204">
        <v>0</v>
      </c>
      <c r="Z394" s="198" t="str">
        <f t="shared" si="64"/>
        <v/>
      </c>
      <c r="AA394" s="198" t="str">
        <f t="shared" si="65"/>
        <v/>
      </c>
      <c r="AB394" s="198" t="str">
        <f t="shared" si="66"/>
        <v/>
      </c>
      <c r="AC394" s="198" t="str">
        <f t="shared" si="54"/>
        <v/>
      </c>
      <c r="AD394" s="198" t="str">
        <f t="shared" si="54"/>
        <v/>
      </c>
      <c r="AE394" s="198" t="str">
        <f t="shared" si="54"/>
        <v/>
      </c>
      <c r="AF394" s="198" t="str">
        <f t="shared" si="54"/>
        <v/>
      </c>
      <c r="AG394" s="198" t="str">
        <f t="shared" si="61"/>
        <v/>
      </c>
      <c r="AH394" s="198" t="str">
        <f t="shared" si="58"/>
        <v/>
      </c>
      <c r="AI394" s="200" t="str">
        <f t="shared" si="59"/>
        <v/>
      </c>
      <c r="AJ394" s="208" t="str">
        <f t="shared" si="60"/>
        <v/>
      </c>
      <c r="AK394" s="4"/>
      <c r="AL394" s="162">
        <v>925</v>
      </c>
      <c r="AM394" s="209">
        <v>3.873951757144977E-3</v>
      </c>
      <c r="AN394" s="183">
        <v>3.0855333701677095E-3</v>
      </c>
      <c r="AO394" s="183">
        <v>3.5756580757567366E-3</v>
      </c>
      <c r="AP394" s="165">
        <v>3.7283790315736707E-3</v>
      </c>
      <c r="AR394" s="210">
        <v>95.549020929255533</v>
      </c>
      <c r="AS394" s="211">
        <v>95.674460303943917</v>
      </c>
      <c r="AT394" s="211">
        <v>95.590998430072645</v>
      </c>
      <c r="AU394" s="211">
        <v>95.425677347559485</v>
      </c>
      <c r="AV394" s="211"/>
      <c r="AW394" s="212"/>
      <c r="AX394" s="210">
        <v>94.709840155397856</v>
      </c>
      <c r="AY394" s="211">
        <v>95.731621080856655</v>
      </c>
      <c r="AZ394" s="213">
        <v>98.381832601062683</v>
      </c>
    </row>
    <row r="395" spans="12:52" x14ac:dyDescent="0.25">
      <c r="L395" s="189">
        <v>920</v>
      </c>
      <c r="M395" s="196">
        <f t="shared" si="67"/>
        <v>0</v>
      </c>
      <c r="N395" s="197">
        <f t="shared" si="67"/>
        <v>0</v>
      </c>
      <c r="O395" s="152">
        <f ca="1"/>
        <v>95.582813428197483</v>
      </c>
      <c r="Q395" s="198">
        <v>0</v>
      </c>
      <c r="R395" s="200">
        <v>0</v>
      </c>
      <c r="S395" s="200">
        <v>0</v>
      </c>
      <c r="T395" s="200">
        <v>0</v>
      </c>
      <c r="U395" s="200">
        <f t="array" ref="U395">IF(U$77&gt;" ",(U$628:U$1078),"")</f>
        <v>0</v>
      </c>
      <c r="V395" s="200">
        <f t="array" ref="V395">IF(V$77&gt;" ",(V$628:V$1078),"")</f>
        <v>0</v>
      </c>
      <c r="W395" s="200">
        <f t="array" ref="W395">IF(W$77&gt;" ",(W$628:W$1078),"")</f>
        <v>0</v>
      </c>
      <c r="X395" s="200">
        <f t="array" ref="X395">IF(X$77&gt;" ",(X$628:X$1078),"")</f>
        <v>0</v>
      </c>
      <c r="Y395" s="204">
        <v>0</v>
      </c>
      <c r="Z395" s="198" t="str">
        <f t="shared" si="64"/>
        <v/>
      </c>
      <c r="AA395" s="198" t="str">
        <f t="shared" si="65"/>
        <v/>
      </c>
      <c r="AB395" s="198" t="str">
        <f t="shared" si="66"/>
        <v/>
      </c>
      <c r="AC395" s="198" t="str">
        <f t="shared" si="54"/>
        <v/>
      </c>
      <c r="AD395" s="198" t="str">
        <f t="shared" si="54"/>
        <v/>
      </c>
      <c r="AE395" s="198" t="str">
        <f t="shared" si="54"/>
        <v/>
      </c>
      <c r="AF395" s="198" t="str">
        <f t="shared" si="54"/>
        <v/>
      </c>
      <c r="AG395" s="198" t="str">
        <f t="shared" si="61"/>
        <v/>
      </c>
      <c r="AH395" s="198" t="str">
        <f t="shared" si="58"/>
        <v/>
      </c>
      <c r="AI395" s="200" t="str">
        <f t="shared" si="59"/>
        <v/>
      </c>
      <c r="AJ395" s="208" t="str">
        <f t="shared" si="60"/>
        <v/>
      </c>
      <c r="AK395" s="4"/>
      <c r="AL395" s="162">
        <v>920</v>
      </c>
      <c r="AM395" s="209">
        <v>3.803924661944198E-3</v>
      </c>
      <c r="AN395" s="183">
        <v>3.2747543381480664E-3</v>
      </c>
      <c r="AO395" s="183">
        <v>3.7417946849861035E-3</v>
      </c>
      <c r="AP395" s="165">
        <v>3.8982857988070908E-3</v>
      </c>
      <c r="AR395" s="210">
        <v>95.541185970450755</v>
      </c>
      <c r="AS395" s="211">
        <v>95.666713016709096</v>
      </c>
      <c r="AT395" s="211">
        <v>95.582813428197483</v>
      </c>
      <c r="AU395" s="211">
        <v>95.420386526325899</v>
      </c>
      <c r="AV395" s="211"/>
      <c r="AW395" s="212"/>
      <c r="AX395" s="210">
        <v>94.724230789522551</v>
      </c>
      <c r="AY395" s="211">
        <v>95.740556842329013</v>
      </c>
      <c r="AZ395" s="213">
        <v>98.423556997438112</v>
      </c>
    </row>
    <row r="396" spans="12:52" x14ac:dyDescent="0.25">
      <c r="L396" s="189">
        <v>915</v>
      </c>
      <c r="M396" s="196">
        <f t="shared" si="67"/>
        <v>0</v>
      </c>
      <c r="N396" s="197">
        <f t="shared" si="67"/>
        <v>0</v>
      </c>
      <c r="O396" s="152">
        <f ca="1"/>
        <v>95.596833837359284</v>
      </c>
      <c r="Q396" s="198">
        <v>0</v>
      </c>
      <c r="R396" s="200">
        <v>0</v>
      </c>
      <c r="S396" s="200">
        <v>0</v>
      </c>
      <c r="T396" s="200">
        <v>0</v>
      </c>
      <c r="U396" s="200">
        <f t="array" ref="U396">IF(U$77&gt;" ",(U$628:U$1078),"")</f>
        <v>0</v>
      </c>
      <c r="V396" s="200">
        <f t="array" ref="V396">IF(V$77&gt;" ",(V$628:V$1078),"")</f>
        <v>0</v>
      </c>
      <c r="W396" s="200">
        <f t="array" ref="W396">IF(W$77&gt;" ",(W$628:W$1078),"")</f>
        <v>0</v>
      </c>
      <c r="X396" s="200">
        <f t="array" ref="X396">IF(X$77&gt;" ",(X$628:X$1078),"")</f>
        <v>0</v>
      </c>
      <c r="Y396" s="204">
        <v>0</v>
      </c>
      <c r="Z396" s="198" t="str">
        <f t="shared" si="64"/>
        <v/>
      </c>
      <c r="AA396" s="198" t="str">
        <f t="shared" si="65"/>
        <v/>
      </c>
      <c r="AB396" s="198" t="str">
        <f t="shared" si="66"/>
        <v/>
      </c>
      <c r="AC396" s="198" t="str">
        <f t="shared" si="54"/>
        <v/>
      </c>
      <c r="AD396" s="198" t="str">
        <f t="shared" si="54"/>
        <v/>
      </c>
      <c r="AE396" s="198" t="str">
        <f t="shared" si="54"/>
        <v/>
      </c>
      <c r="AF396" s="198" t="str">
        <f t="shared" si="54"/>
        <v/>
      </c>
      <c r="AG396" s="198" t="str">
        <f t="shared" si="61"/>
        <v/>
      </c>
      <c r="AH396" s="198" t="str">
        <f t="shared" si="58"/>
        <v/>
      </c>
      <c r="AI396" s="200" t="str">
        <f t="shared" si="59"/>
        <v/>
      </c>
      <c r="AJ396" s="208" t="str">
        <f t="shared" si="60"/>
        <v/>
      </c>
      <c r="AK396" s="4"/>
      <c r="AL396" s="162">
        <v>915</v>
      </c>
      <c r="AM396" s="209">
        <v>3.7338975667434199E-3</v>
      </c>
      <c r="AN396" s="183">
        <v>3.4639753061284227E-3</v>
      </c>
      <c r="AO396" s="183">
        <v>3.4110299708484597E-3</v>
      </c>
      <c r="AP396" s="165">
        <v>3.5565135236112753E-3</v>
      </c>
      <c r="AR396" s="210">
        <v>95.555549493562353</v>
      </c>
      <c r="AS396" s="211">
        <v>95.683194568383385</v>
      </c>
      <c r="AT396" s="211">
        <v>95.596833837359284</v>
      </c>
      <c r="AU396" s="211">
        <v>95.429280563534533</v>
      </c>
      <c r="AV396" s="211"/>
      <c r="AW396" s="212"/>
      <c r="AX396" s="210">
        <v>94.769367301416494</v>
      </c>
      <c r="AY396" s="211">
        <v>95.764628962632585</v>
      </c>
      <c r="AZ396" s="213">
        <v>98.359667611340313</v>
      </c>
    </row>
    <row r="397" spans="12:52" x14ac:dyDescent="0.25">
      <c r="L397" s="189">
        <v>910</v>
      </c>
      <c r="M397" s="196">
        <f t="shared" si="67"/>
        <v>0</v>
      </c>
      <c r="N397" s="197">
        <f t="shared" si="67"/>
        <v>0</v>
      </c>
      <c r="O397" s="152">
        <f ca="1"/>
        <v>95.619483777725904</v>
      </c>
      <c r="Q397" s="198">
        <v>0</v>
      </c>
      <c r="R397" s="200">
        <v>0</v>
      </c>
      <c r="S397" s="200">
        <v>0</v>
      </c>
      <c r="T397" s="200">
        <v>0</v>
      </c>
      <c r="U397" s="200">
        <f t="array" ref="U397">IF(U$77&gt;" ",(U$628:U$1078),"")</f>
        <v>0</v>
      </c>
      <c r="V397" s="200">
        <f t="array" ref="V397">IF(V$77&gt;" ",(V$628:V$1078),"")</f>
        <v>0</v>
      </c>
      <c r="W397" s="200">
        <f t="array" ref="W397">IF(W$77&gt;" ",(W$628:W$1078),"")</f>
        <v>0</v>
      </c>
      <c r="X397" s="200">
        <f t="array" ref="X397">IF(X$77&gt;" ",(X$628:X$1078),"")</f>
        <v>0</v>
      </c>
      <c r="Y397" s="204">
        <v>0</v>
      </c>
      <c r="Z397" s="198" t="str">
        <f t="shared" si="64"/>
        <v/>
      </c>
      <c r="AA397" s="198" t="str">
        <f t="shared" si="65"/>
        <v/>
      </c>
      <c r="AB397" s="198" t="str">
        <f t="shared" si="66"/>
        <v/>
      </c>
      <c r="AC397" s="198" t="str">
        <f t="shared" si="54"/>
        <v/>
      </c>
      <c r="AD397" s="198" t="str">
        <f t="shared" si="54"/>
        <v/>
      </c>
      <c r="AE397" s="198" t="str">
        <f t="shared" si="54"/>
        <v/>
      </c>
      <c r="AF397" s="198" t="str">
        <f t="shared" si="54"/>
        <v/>
      </c>
      <c r="AG397" s="198" t="str">
        <f t="shared" si="61"/>
        <v/>
      </c>
      <c r="AH397" s="198" t="str">
        <f t="shared" si="58"/>
        <v/>
      </c>
      <c r="AI397" s="200" t="str">
        <f t="shared" si="59"/>
        <v/>
      </c>
      <c r="AJ397" s="208" t="str">
        <f t="shared" si="60"/>
        <v/>
      </c>
      <c r="AK397" s="4"/>
      <c r="AL397" s="162">
        <v>910</v>
      </c>
      <c r="AM397" s="209">
        <v>3.9492639161344944E-3</v>
      </c>
      <c r="AN397" s="183">
        <v>3.65319627410878E-3</v>
      </c>
      <c r="AO397" s="183">
        <v>3.1410579808507388E-3</v>
      </c>
      <c r="AP397" s="165">
        <v>3.2768613115343984E-3</v>
      </c>
      <c r="AR397" s="210">
        <v>95.57912083181354</v>
      </c>
      <c r="AS397" s="211">
        <v>95.703377780022194</v>
      </c>
      <c r="AT397" s="211">
        <v>95.619483777725904</v>
      </c>
      <c r="AU397" s="211">
        <v>95.446791294422454</v>
      </c>
      <c r="AV397" s="211"/>
      <c r="AW397" s="212"/>
      <c r="AX397" s="210">
        <v>94.783175821127259</v>
      </c>
      <c r="AY397" s="211">
        <v>95.779666590203945</v>
      </c>
      <c r="AZ397" s="213">
        <v>98.29129522824509</v>
      </c>
    </row>
    <row r="398" spans="12:52" x14ac:dyDescent="0.25">
      <c r="L398" s="189">
        <v>905</v>
      </c>
      <c r="M398" s="196">
        <f t="shared" si="67"/>
        <v>0</v>
      </c>
      <c r="N398" s="197">
        <f t="shared" si="67"/>
        <v>0</v>
      </c>
      <c r="O398" s="152">
        <f ca="1"/>
        <v>95.604860816054995</v>
      </c>
      <c r="Q398" s="198">
        <v>0</v>
      </c>
      <c r="R398" s="200">
        <v>0</v>
      </c>
      <c r="S398" s="200">
        <v>0</v>
      </c>
      <c r="T398" s="200">
        <v>0</v>
      </c>
      <c r="U398" s="200">
        <f t="array" ref="U398">IF(U$77&gt;" ",(U$628:U$1078),"")</f>
        <v>0</v>
      </c>
      <c r="V398" s="200">
        <f t="array" ref="V398">IF(V$77&gt;" ",(V$628:V$1078),"")</f>
        <v>0</v>
      </c>
      <c r="W398" s="200">
        <f t="array" ref="W398">IF(W$77&gt;" ",(W$628:W$1078),"")</f>
        <v>0</v>
      </c>
      <c r="X398" s="200">
        <f t="array" ref="X398">IF(X$77&gt;" ",(X$628:X$1078),"")</f>
        <v>0</v>
      </c>
      <c r="Y398" s="204">
        <v>0</v>
      </c>
      <c r="Z398" s="198" t="str">
        <f t="shared" si="64"/>
        <v/>
      </c>
      <c r="AA398" s="198" t="str">
        <f t="shared" si="65"/>
        <v/>
      </c>
      <c r="AB398" s="198" t="str">
        <f t="shared" si="66"/>
        <v/>
      </c>
      <c r="AC398" s="198" t="str">
        <f t="shared" si="54"/>
        <v/>
      </c>
      <c r="AD398" s="198" t="str">
        <f t="shared" si="54"/>
        <v/>
      </c>
      <c r="AE398" s="198" t="str">
        <f t="shared" si="54"/>
        <v/>
      </c>
      <c r="AF398" s="198" t="str">
        <f t="shared" si="54"/>
        <v/>
      </c>
      <c r="AG398" s="198" t="str">
        <f t="shared" si="61"/>
        <v/>
      </c>
      <c r="AH398" s="198" t="str">
        <f t="shared" si="58"/>
        <v/>
      </c>
      <c r="AI398" s="200" t="str">
        <f t="shared" si="59"/>
        <v/>
      </c>
      <c r="AJ398" s="208" t="str">
        <f t="shared" si="60"/>
        <v/>
      </c>
      <c r="AK398" s="4"/>
      <c r="AL398" s="162">
        <v>905</v>
      </c>
      <c r="AM398" s="209">
        <v>4.1646302655255693E-3</v>
      </c>
      <c r="AN398" s="183">
        <v>3.8424172420891368E-3</v>
      </c>
      <c r="AO398" s="183">
        <v>4.1086126523977948E-3</v>
      </c>
      <c r="AP398" s="165">
        <v>4.2721254579372774E-3</v>
      </c>
      <c r="AR398" s="210">
        <v>95.569410219552097</v>
      </c>
      <c r="AS398" s="211">
        <v>95.688468424744883</v>
      </c>
      <c r="AT398" s="211">
        <v>95.604860816054995</v>
      </c>
      <c r="AU398" s="211">
        <v>95.436948110463433</v>
      </c>
      <c r="AV398" s="211"/>
      <c r="AW398" s="212"/>
      <c r="AX398" s="210">
        <v>94.801784283593918</v>
      </c>
      <c r="AY398" s="211">
        <v>95.795073662491106</v>
      </c>
      <c r="AZ398" s="213">
        <v>98.144836022245229</v>
      </c>
    </row>
    <row r="399" spans="12:52" x14ac:dyDescent="0.25">
      <c r="L399" s="189">
        <v>900</v>
      </c>
      <c r="M399" s="196">
        <f t="shared" ref="M399:N414" si="68">M948</f>
        <v>0</v>
      </c>
      <c r="N399" s="197">
        <f t="shared" si="68"/>
        <v>0</v>
      </c>
      <c r="O399" s="152">
        <f ca="1"/>
        <v>95.612209997924182</v>
      </c>
      <c r="Q399" s="198">
        <v>0</v>
      </c>
      <c r="R399" s="200">
        <v>0</v>
      </c>
      <c r="S399" s="200">
        <v>0</v>
      </c>
      <c r="T399" s="200">
        <v>0</v>
      </c>
      <c r="U399" s="200">
        <f t="array" ref="U399">IF(U$77&gt;" ",(U$628:U$1078),"")</f>
        <v>0</v>
      </c>
      <c r="V399" s="200">
        <f t="array" ref="V399">IF(V$77&gt;" ",(V$628:V$1078),"")</f>
        <v>0</v>
      </c>
      <c r="W399" s="200">
        <f t="array" ref="W399">IF(W$77&gt;" ",(W$628:W$1078),"")</f>
        <v>0</v>
      </c>
      <c r="X399" s="200">
        <f t="array" ref="X399">IF(X$77&gt;" ",(X$628:X$1078),"")</f>
        <v>0</v>
      </c>
      <c r="Y399" s="204">
        <v>0</v>
      </c>
      <c r="Z399" s="198" t="str">
        <f t="shared" si="64"/>
        <v/>
      </c>
      <c r="AA399" s="198" t="str">
        <f t="shared" si="65"/>
        <v/>
      </c>
      <c r="AB399" s="198" t="str">
        <f t="shared" si="66"/>
        <v/>
      </c>
      <c r="AC399" s="198" t="str">
        <f>IF(AND(T399&gt;0,T399&lt;999),(T399-$M399)/($N399-$M399)*$O399,"")</f>
        <v/>
      </c>
      <c r="AD399" s="198" t="str">
        <f>IF(AND(U399&gt;0,U399&lt;999),(U399-$M399)/($N399-$M399)*$O399,"")</f>
        <v/>
      </c>
      <c r="AE399" s="198" t="str">
        <f>IF(AND(V399&gt;0,V399&lt;999),(V399-$M399)/($N399-$M399)*$O399,"")</f>
        <v/>
      </c>
      <c r="AF399" s="198" t="str">
        <f>IF(AND(W399&gt;0,W399&lt;999),(W399-$M399)/($N399-$M399)*$O399,"")</f>
        <v/>
      </c>
      <c r="AG399" s="198" t="str">
        <f t="shared" si="61"/>
        <v/>
      </c>
      <c r="AH399" s="198" t="str">
        <f t="shared" si="58"/>
        <v/>
      </c>
      <c r="AI399" s="200" t="str">
        <f t="shared" si="59"/>
        <v/>
      </c>
      <c r="AJ399" s="208" t="str">
        <f t="shared" si="60"/>
        <v/>
      </c>
      <c r="AK399" s="4"/>
      <c r="AL399" s="162">
        <v>900</v>
      </c>
      <c r="AM399" s="209">
        <v>4.3600454991141579E-3</v>
      </c>
      <c r="AN399" s="183">
        <v>4.0316382100694928E-3</v>
      </c>
      <c r="AO399" s="183">
        <v>3.7340510294711755E-3</v>
      </c>
      <c r="AP399" s="165">
        <v>3.8855260020583355E-3</v>
      </c>
      <c r="AR399" s="210">
        <v>95.579660749324262</v>
      </c>
      <c r="AS399" s="211">
        <v>95.696119424509661</v>
      </c>
      <c r="AT399" s="211">
        <v>95.612209997924182</v>
      </c>
      <c r="AU399" s="211">
        <v>95.438382517228703</v>
      </c>
      <c r="AV399" s="211"/>
      <c r="AW399" s="212"/>
      <c r="AX399" s="210">
        <v>94.801730422528593</v>
      </c>
      <c r="AY399" s="211">
        <v>95.794336935630668</v>
      </c>
      <c r="AZ399" s="213">
        <v>98.099461853915869</v>
      </c>
    </row>
    <row r="400" spans="12:52" x14ac:dyDescent="0.25">
      <c r="L400" s="189">
        <v>895</v>
      </c>
      <c r="M400" s="196">
        <f t="shared" si="68"/>
        <v>0</v>
      </c>
      <c r="N400" s="197">
        <f t="shared" si="68"/>
        <v>0</v>
      </c>
      <c r="O400" s="152">
        <f ca="1"/>
        <v>95.617127071858476</v>
      </c>
      <c r="Q400" s="198">
        <v>0</v>
      </c>
      <c r="R400" s="200">
        <v>0</v>
      </c>
      <c r="S400" s="200">
        <v>0</v>
      </c>
      <c r="T400" s="200">
        <v>0</v>
      </c>
      <c r="U400" s="200">
        <f t="array" ref="U400">IF(U$77&gt;" ",(U$628:U$1078),"")</f>
        <v>0</v>
      </c>
      <c r="V400" s="200">
        <f t="array" ref="V400">IF(V$77&gt;" ",(V$628:V$1078),"")</f>
        <v>0</v>
      </c>
      <c r="W400" s="200">
        <f t="array" ref="W400">IF(W$77&gt;" ",(W$628:W$1078),"")</f>
        <v>0</v>
      </c>
      <c r="X400" s="200">
        <f t="array" ref="X400">IF(X$77&gt;" ",(X$628:X$1078),"")</f>
        <v>0</v>
      </c>
      <c r="Y400" s="204">
        <v>0</v>
      </c>
      <c r="Z400" s="198" t="str">
        <f t="shared" ref="Z400:AC463" si="69">IF(AND(Q400&gt;0,Q400&lt;999),(Q400-$M400)/($N400-$M400)*$O400,"")</f>
        <v/>
      </c>
      <c r="AA400" s="198" t="str">
        <f t="shared" si="69"/>
        <v/>
      </c>
      <c r="AB400" s="198" t="str">
        <f t="shared" si="69"/>
        <v/>
      </c>
      <c r="AC400" s="198" t="str">
        <f t="shared" si="69"/>
        <v/>
      </c>
      <c r="AD400" s="198" t="str">
        <f t="shared" ref="AD400:AH463" si="70">IF(AND(U400&gt;0,U400&lt;999),(U400-$M400)/($N400-$M400)*$O400,"")</f>
        <v/>
      </c>
      <c r="AE400" s="198" t="str">
        <f t="shared" si="70"/>
        <v/>
      </c>
      <c r="AF400" s="198" t="str">
        <f t="shared" si="70"/>
        <v/>
      </c>
      <c r="AG400" s="198" t="str">
        <f t="shared" si="61"/>
        <v/>
      </c>
      <c r="AH400" s="198" t="str">
        <f t="shared" si="61"/>
        <v/>
      </c>
      <c r="AI400" s="200" t="str">
        <f t="shared" ref="AI400:AI463" si="71">IFERROR(AVERAGE(Z400:AA400),"")</f>
        <v/>
      </c>
      <c r="AJ400" s="208" t="str">
        <f t="shared" ref="AJ400:AJ463" si="72">IFERROR(AI400/100,"")</f>
        <v/>
      </c>
      <c r="AK400" s="4"/>
      <c r="AL400" s="162">
        <v>895</v>
      </c>
      <c r="AM400" s="209">
        <v>4.5554607327027465E-3</v>
      </c>
      <c r="AN400" s="183">
        <v>4.1111064144087293E-3</v>
      </c>
      <c r="AO400" s="183">
        <v>4.0909128683636739E-3</v>
      </c>
      <c r="AP400" s="165">
        <v>4.2508031660018581E-3</v>
      </c>
      <c r="AR400" s="210">
        <v>95.585198716320377</v>
      </c>
      <c r="AS400" s="211">
        <v>95.703051026781125</v>
      </c>
      <c r="AT400" s="211">
        <v>95.617127071858476</v>
      </c>
      <c r="AU400" s="211">
        <v>95.440318541802455</v>
      </c>
      <c r="AV400" s="211"/>
      <c r="AW400" s="212"/>
      <c r="AX400" s="210">
        <v>94.847464791074415</v>
      </c>
      <c r="AY400" s="211">
        <v>95.834708276425673</v>
      </c>
      <c r="AZ400" s="213">
        <v>98.013816950384069</v>
      </c>
    </row>
    <row r="401" spans="12:52" x14ac:dyDescent="0.25">
      <c r="L401" s="189">
        <v>890</v>
      </c>
      <c r="M401" s="196">
        <f t="shared" si="68"/>
        <v>0</v>
      </c>
      <c r="N401" s="197">
        <f t="shared" si="68"/>
        <v>0</v>
      </c>
      <c r="O401" s="152">
        <f ca="1"/>
        <v>95.612715952763878</v>
      </c>
      <c r="Q401" s="198">
        <v>0</v>
      </c>
      <c r="R401" s="200">
        <v>0</v>
      </c>
      <c r="S401" s="200">
        <v>0</v>
      </c>
      <c r="T401" s="200">
        <v>0</v>
      </c>
      <c r="U401" s="200">
        <f t="array" ref="U401">IF(U$77&gt;" ",(U$628:U$1078),"")</f>
        <v>0</v>
      </c>
      <c r="V401" s="200">
        <f t="array" ref="V401">IF(V$77&gt;" ",(V$628:V$1078),"")</f>
        <v>0</v>
      </c>
      <c r="W401" s="200">
        <f t="array" ref="W401">IF(W$77&gt;" ",(W$628:W$1078),"")</f>
        <v>0</v>
      </c>
      <c r="X401" s="200">
        <f t="array" ref="X401">IF(X$77&gt;" ",(X$628:X$1078),"")</f>
        <v>0</v>
      </c>
      <c r="Y401" s="204">
        <v>0</v>
      </c>
      <c r="Z401" s="198" t="str">
        <f t="shared" si="69"/>
        <v/>
      </c>
      <c r="AA401" s="198" t="str">
        <f t="shared" si="69"/>
        <v/>
      </c>
      <c r="AB401" s="198" t="str">
        <f t="shared" si="69"/>
        <v/>
      </c>
      <c r="AC401" s="198" t="str">
        <f t="shared" si="69"/>
        <v/>
      </c>
      <c r="AD401" s="198" t="str">
        <f t="shared" si="70"/>
        <v/>
      </c>
      <c r="AE401" s="198" t="str">
        <f t="shared" si="70"/>
        <v/>
      </c>
      <c r="AF401" s="198" t="str">
        <f t="shared" si="70"/>
        <v/>
      </c>
      <c r="AG401" s="198" t="str">
        <f t="shared" si="61"/>
        <v/>
      </c>
      <c r="AH401" s="198" t="str">
        <f t="shared" si="61"/>
        <v/>
      </c>
      <c r="AI401" s="200" t="str">
        <f t="shared" si="71"/>
        <v/>
      </c>
      <c r="AJ401" s="208" t="str">
        <f t="shared" si="72"/>
        <v/>
      </c>
      <c r="AK401" s="4"/>
      <c r="AL401" s="162">
        <v>890</v>
      </c>
      <c r="AM401" s="209">
        <v>4.750875966291335E-3</v>
      </c>
      <c r="AN401" s="183">
        <v>4.1905746187479651E-3</v>
      </c>
      <c r="AO401" s="183">
        <v>4.6458413246152743E-3</v>
      </c>
      <c r="AP401" s="165">
        <v>4.8172709848215796E-3</v>
      </c>
      <c r="AR401" s="210">
        <v>95.579973224929532</v>
      </c>
      <c r="AS401" s="211">
        <v>95.695859735143969</v>
      </c>
      <c r="AT401" s="211">
        <v>95.612715952763878</v>
      </c>
      <c r="AU401" s="211">
        <v>95.43532459273267</v>
      </c>
      <c r="AV401" s="211"/>
      <c r="AW401" s="212"/>
      <c r="AX401" s="210">
        <v>94.827878310023678</v>
      </c>
      <c r="AY401" s="211">
        <v>95.80149694631649</v>
      </c>
      <c r="AZ401" s="213">
        <v>98.098884798819043</v>
      </c>
    </row>
    <row r="402" spans="12:52" x14ac:dyDescent="0.25">
      <c r="L402" s="189">
        <v>885</v>
      </c>
      <c r="M402" s="196">
        <f t="shared" si="68"/>
        <v>0</v>
      </c>
      <c r="N402" s="197">
        <f t="shared" si="68"/>
        <v>0</v>
      </c>
      <c r="O402" s="152">
        <f ca="1"/>
        <v>95.650972461311241</v>
      </c>
      <c r="Q402" s="198">
        <v>0</v>
      </c>
      <c r="R402" s="200">
        <v>0</v>
      </c>
      <c r="S402" s="200">
        <v>0</v>
      </c>
      <c r="T402" s="200">
        <v>0</v>
      </c>
      <c r="U402" s="200">
        <f t="array" ref="U402">IF(U$77&gt;" ",(U$628:U$1078),"")</f>
        <v>0</v>
      </c>
      <c r="V402" s="200">
        <f t="array" ref="V402">IF(V$77&gt;" ",(V$628:V$1078),"")</f>
        <v>0</v>
      </c>
      <c r="W402" s="200">
        <f t="array" ref="W402">IF(W$77&gt;" ",(W$628:W$1078),"")</f>
        <v>0</v>
      </c>
      <c r="X402" s="200">
        <f t="array" ref="X402">IF(X$77&gt;" ",(X$628:X$1078),"")</f>
        <v>0</v>
      </c>
      <c r="Y402" s="204">
        <v>0</v>
      </c>
      <c r="Z402" s="198" t="str">
        <f t="shared" si="69"/>
        <v/>
      </c>
      <c r="AA402" s="198" t="str">
        <f t="shared" si="69"/>
        <v/>
      </c>
      <c r="AB402" s="198" t="str">
        <f t="shared" si="69"/>
        <v/>
      </c>
      <c r="AC402" s="198" t="str">
        <f t="shared" si="69"/>
        <v/>
      </c>
      <c r="AD402" s="198" t="str">
        <f t="shared" si="70"/>
        <v/>
      </c>
      <c r="AE402" s="198" t="str">
        <f t="shared" si="70"/>
        <v/>
      </c>
      <c r="AF402" s="198" t="str">
        <f t="shared" si="70"/>
        <v/>
      </c>
      <c r="AG402" s="198" t="str">
        <f t="shared" si="70"/>
        <v/>
      </c>
      <c r="AH402" s="198" t="str">
        <f t="shared" si="70"/>
        <v/>
      </c>
      <c r="AI402" s="200" t="str">
        <f t="shared" si="71"/>
        <v/>
      </c>
      <c r="AJ402" s="208" t="str">
        <f t="shared" si="72"/>
        <v/>
      </c>
      <c r="AK402" s="4"/>
      <c r="AL402" s="162">
        <v>885</v>
      </c>
      <c r="AM402" s="209">
        <v>4.9462911998799245E-3</v>
      </c>
      <c r="AN402" s="183">
        <v>4.2700428230872008E-3</v>
      </c>
      <c r="AO402" s="183">
        <v>4.7479167836756908E-3</v>
      </c>
      <c r="AP402" s="165">
        <v>4.9199649630407242E-3</v>
      </c>
      <c r="AR402" s="210">
        <v>95.627033491161058</v>
      </c>
      <c r="AS402" s="211">
        <v>95.732031066340326</v>
      </c>
      <c r="AT402" s="211">
        <v>95.650972461311241</v>
      </c>
      <c r="AU402" s="211">
        <v>95.476393869531066</v>
      </c>
      <c r="AV402" s="211"/>
      <c r="AW402" s="212"/>
      <c r="AX402" s="210">
        <v>94.861832544217762</v>
      </c>
      <c r="AY402" s="211">
        <v>95.819192412403865</v>
      </c>
      <c r="AZ402" s="213">
        <v>98.215473051510543</v>
      </c>
    </row>
    <row r="403" spans="12:52" x14ac:dyDescent="0.25">
      <c r="L403" s="189">
        <v>880</v>
      </c>
      <c r="M403" s="196">
        <f t="shared" si="68"/>
        <v>0</v>
      </c>
      <c r="N403" s="197">
        <f t="shared" si="68"/>
        <v>0</v>
      </c>
      <c r="O403" s="152">
        <f ca="1"/>
        <v>95.610529148999049</v>
      </c>
      <c r="Q403" s="198">
        <v>0</v>
      </c>
      <c r="R403" s="200">
        <v>0</v>
      </c>
      <c r="S403" s="200">
        <v>0</v>
      </c>
      <c r="T403" s="200">
        <v>0</v>
      </c>
      <c r="U403" s="200">
        <f t="array" ref="U403">IF(U$77&gt;" ",(U$628:U$1078),"")</f>
        <v>0</v>
      </c>
      <c r="V403" s="200">
        <f t="array" ref="V403">IF(V$77&gt;" ",(V$628:V$1078),"")</f>
        <v>0</v>
      </c>
      <c r="W403" s="200">
        <f t="array" ref="W403">IF(W$77&gt;" ",(W$628:W$1078),"")</f>
        <v>0</v>
      </c>
      <c r="X403" s="200">
        <f t="array" ref="X403">IF(X$77&gt;" ",(X$628:X$1078),"")</f>
        <v>0</v>
      </c>
      <c r="Y403" s="204">
        <v>0</v>
      </c>
      <c r="Z403" s="198" t="str">
        <f t="shared" si="69"/>
        <v/>
      </c>
      <c r="AA403" s="198" t="str">
        <f t="shared" si="69"/>
        <v/>
      </c>
      <c r="AB403" s="198" t="str">
        <f t="shared" si="69"/>
        <v/>
      </c>
      <c r="AC403" s="198" t="str">
        <f t="shared" si="69"/>
        <v/>
      </c>
      <c r="AD403" s="198" t="str">
        <f t="shared" si="70"/>
        <v/>
      </c>
      <c r="AE403" s="198" t="str">
        <f t="shared" si="70"/>
        <v/>
      </c>
      <c r="AF403" s="198" t="str">
        <f t="shared" si="70"/>
        <v/>
      </c>
      <c r="AG403" s="198" t="str">
        <f t="shared" si="70"/>
        <v/>
      </c>
      <c r="AH403" s="198" t="str">
        <f t="shared" ref="AH403:AH466" si="73">IF(AND(Y403&gt;0,Y403&lt;999),(Y403-$M403)/($N403-$M403)*$O403,"")</f>
        <v/>
      </c>
      <c r="AI403" s="200" t="str">
        <f t="shared" si="71"/>
        <v/>
      </c>
      <c r="AJ403" s="208" t="str">
        <f t="shared" si="72"/>
        <v/>
      </c>
      <c r="AK403" s="4"/>
      <c r="AL403" s="162">
        <v>880</v>
      </c>
      <c r="AM403" s="209">
        <v>5.1417064334685122E-3</v>
      </c>
      <c r="AN403" s="183">
        <v>4.3495110274264382E-3</v>
      </c>
      <c r="AO403" s="183">
        <v>4.7244846832214275E-3</v>
      </c>
      <c r="AP403" s="165">
        <v>4.8931581970641748E-3</v>
      </c>
      <c r="AR403" s="210">
        <v>95.592433555744265</v>
      </c>
      <c r="AS403" s="211">
        <v>95.694836814622235</v>
      </c>
      <c r="AT403" s="211">
        <v>95.610529148999049</v>
      </c>
      <c r="AU403" s="211">
        <v>95.436603799404182</v>
      </c>
      <c r="AV403" s="211"/>
      <c r="AW403" s="212"/>
      <c r="AX403" s="210">
        <v>94.872975714448998</v>
      </c>
      <c r="AY403" s="211">
        <v>95.810795965448918</v>
      </c>
      <c r="AZ403" s="213">
        <v>98.095636233477336</v>
      </c>
    </row>
    <row r="404" spans="12:52" x14ac:dyDescent="0.25">
      <c r="L404" s="189">
        <v>875</v>
      </c>
      <c r="M404" s="196">
        <f t="shared" si="68"/>
        <v>0</v>
      </c>
      <c r="N404" s="197">
        <f t="shared" si="68"/>
        <v>0</v>
      </c>
      <c r="O404" s="152">
        <f ca="1"/>
        <v>95.657861574812145</v>
      </c>
      <c r="Q404" s="198">
        <v>0</v>
      </c>
      <c r="R404" s="200">
        <v>0</v>
      </c>
      <c r="S404" s="200">
        <v>0</v>
      </c>
      <c r="T404" s="200">
        <v>0</v>
      </c>
      <c r="U404" s="200">
        <f t="array" ref="U404">IF(U$77&gt;" ",(U$628:U$1078),"")</f>
        <v>0</v>
      </c>
      <c r="V404" s="200">
        <f t="array" ref="V404">IF(V$77&gt;" ",(V$628:V$1078),"")</f>
        <v>0</v>
      </c>
      <c r="W404" s="200">
        <f t="array" ref="W404">IF(W$77&gt;" ",(W$628:W$1078),"")</f>
        <v>0</v>
      </c>
      <c r="X404" s="200">
        <f t="array" ref="X404">IF(X$77&gt;" ",(X$628:X$1078),"")</f>
        <v>0</v>
      </c>
      <c r="Y404" s="204">
        <v>0</v>
      </c>
      <c r="Z404" s="198" t="str">
        <f t="shared" si="69"/>
        <v/>
      </c>
      <c r="AA404" s="198" t="str">
        <f t="shared" si="69"/>
        <v/>
      </c>
      <c r="AB404" s="198" t="str">
        <f t="shared" si="69"/>
        <v/>
      </c>
      <c r="AC404" s="198" t="str">
        <f t="shared" si="69"/>
        <v/>
      </c>
      <c r="AD404" s="198" t="str">
        <f t="shared" si="70"/>
        <v/>
      </c>
      <c r="AE404" s="198" t="str">
        <f t="shared" si="70"/>
        <v/>
      </c>
      <c r="AF404" s="198" t="str">
        <f t="shared" si="70"/>
        <v/>
      </c>
      <c r="AG404" s="198" t="str">
        <f t="shared" si="70"/>
        <v/>
      </c>
      <c r="AH404" s="198" t="str">
        <f t="shared" si="73"/>
        <v/>
      </c>
      <c r="AI404" s="200" t="str">
        <f t="shared" si="71"/>
        <v/>
      </c>
      <c r="AJ404" s="208" t="str">
        <f t="shared" si="72"/>
        <v/>
      </c>
      <c r="AK404" s="4"/>
      <c r="AL404" s="162">
        <v>875</v>
      </c>
      <c r="AM404" s="209">
        <v>5.2026828569310775E-3</v>
      </c>
      <c r="AN404" s="183">
        <v>4.4289792317656739E-3</v>
      </c>
      <c r="AO404" s="183">
        <v>4.6606246669619556E-3</v>
      </c>
      <c r="AP404" s="165">
        <v>4.8243224514458918E-3</v>
      </c>
      <c r="AR404" s="210">
        <v>95.638442169670299</v>
      </c>
      <c r="AS404" s="211">
        <v>95.742869503560982</v>
      </c>
      <c r="AT404" s="211">
        <v>95.657861574812145</v>
      </c>
      <c r="AU404" s="211">
        <v>95.475727062659743</v>
      </c>
      <c r="AV404" s="211"/>
      <c r="AW404" s="212"/>
      <c r="AX404" s="210">
        <v>94.864619398713003</v>
      </c>
      <c r="AY404" s="211">
        <v>95.798107743358045</v>
      </c>
      <c r="AZ404" s="213">
        <v>98.207137614244445</v>
      </c>
    </row>
    <row r="405" spans="12:52" x14ac:dyDescent="0.25">
      <c r="L405" s="189">
        <v>870</v>
      </c>
      <c r="M405" s="196">
        <f t="shared" si="68"/>
        <v>0</v>
      </c>
      <c r="N405" s="197">
        <f t="shared" si="68"/>
        <v>0</v>
      </c>
      <c r="O405" s="152">
        <f ca="1"/>
        <v>95.659560014269971</v>
      </c>
      <c r="Q405" s="198">
        <v>0</v>
      </c>
      <c r="R405" s="200">
        <v>0</v>
      </c>
      <c r="S405" s="200">
        <v>0</v>
      </c>
      <c r="T405" s="200">
        <v>0</v>
      </c>
      <c r="U405" s="200">
        <f t="array" ref="U405">IF(U$77&gt;" ",(U$628:U$1078),"")</f>
        <v>0</v>
      </c>
      <c r="V405" s="200">
        <f t="array" ref="V405">IF(V$77&gt;" ",(V$628:V$1078),"")</f>
        <v>0</v>
      </c>
      <c r="W405" s="200">
        <f t="array" ref="W405">IF(W$77&gt;" ",(W$628:W$1078),"")</f>
        <v>0</v>
      </c>
      <c r="X405" s="200">
        <f t="array" ref="X405">IF(X$77&gt;" ",(X$628:X$1078),"")</f>
        <v>0</v>
      </c>
      <c r="Y405" s="204">
        <v>0</v>
      </c>
      <c r="Z405" s="198" t="str">
        <f t="shared" si="69"/>
        <v/>
      </c>
      <c r="AA405" s="198" t="str">
        <f t="shared" si="69"/>
        <v/>
      </c>
      <c r="AB405" s="198" t="str">
        <f t="shared" si="69"/>
        <v/>
      </c>
      <c r="AC405" s="198" t="str">
        <f t="shared" si="69"/>
        <v/>
      </c>
      <c r="AD405" s="198" t="str">
        <f t="shared" si="70"/>
        <v/>
      </c>
      <c r="AE405" s="198" t="str">
        <f t="shared" si="70"/>
        <v/>
      </c>
      <c r="AF405" s="198" t="str">
        <f t="shared" si="70"/>
        <v/>
      </c>
      <c r="AG405" s="198" t="str">
        <f t="shared" si="70"/>
        <v/>
      </c>
      <c r="AH405" s="198" t="str">
        <f t="shared" si="73"/>
        <v/>
      </c>
      <c r="AI405" s="200" t="str">
        <f t="shared" si="71"/>
        <v/>
      </c>
      <c r="AJ405" s="208" t="str">
        <f t="shared" si="72"/>
        <v/>
      </c>
      <c r="AK405" s="4"/>
      <c r="AL405" s="162">
        <v>870</v>
      </c>
      <c r="AM405" s="209">
        <v>5.2635932170962832E-3</v>
      </c>
      <c r="AN405" s="183">
        <v>4.5084474361049096E-3</v>
      </c>
      <c r="AO405" s="183">
        <v>4.8651778529017449E-3</v>
      </c>
      <c r="AP405" s="165">
        <v>5.033012285113026E-3</v>
      </c>
      <c r="AR405" s="210">
        <v>95.637969519257112</v>
      </c>
      <c r="AS405" s="211">
        <v>95.742829222184454</v>
      </c>
      <c r="AT405" s="211">
        <v>95.659560014269971</v>
      </c>
      <c r="AU405" s="211">
        <v>95.470900913918925</v>
      </c>
      <c r="AV405" s="211"/>
      <c r="AW405" s="212"/>
      <c r="AX405" s="210">
        <v>94.889713048749726</v>
      </c>
      <c r="AY405" s="211">
        <v>95.797603760171754</v>
      </c>
      <c r="AZ405" s="213">
        <v>97.920402683544069</v>
      </c>
    </row>
    <row r="406" spans="12:52" x14ac:dyDescent="0.25">
      <c r="L406" s="189">
        <v>865</v>
      </c>
      <c r="M406" s="196">
        <f t="shared" si="68"/>
        <v>0</v>
      </c>
      <c r="N406" s="197">
        <f t="shared" si="68"/>
        <v>0</v>
      </c>
      <c r="O406" s="152">
        <f ca="1"/>
        <v>95.65670685335806</v>
      </c>
      <c r="Q406" s="198">
        <v>0</v>
      </c>
      <c r="R406" s="200">
        <v>0</v>
      </c>
      <c r="S406" s="200">
        <v>0</v>
      </c>
      <c r="T406" s="200">
        <v>0</v>
      </c>
      <c r="U406" s="200">
        <f t="array" ref="U406">IF(U$77&gt;" ",(U$628:U$1078),"")</f>
        <v>0</v>
      </c>
      <c r="V406" s="200">
        <f t="array" ref="V406">IF(V$77&gt;" ",(V$628:V$1078),"")</f>
        <v>0</v>
      </c>
      <c r="W406" s="200">
        <f t="array" ref="W406">IF(W$77&gt;" ",(W$628:W$1078),"")</f>
        <v>0</v>
      </c>
      <c r="X406" s="200">
        <f t="array" ref="X406">IF(X$77&gt;" ",(X$628:X$1078),"")</f>
        <v>0</v>
      </c>
      <c r="Y406" s="204">
        <v>0</v>
      </c>
      <c r="Z406" s="198" t="str">
        <f t="shared" si="69"/>
        <v/>
      </c>
      <c r="AA406" s="198" t="str">
        <f t="shared" si="69"/>
        <v/>
      </c>
      <c r="AB406" s="198" t="str">
        <f t="shared" si="69"/>
        <v/>
      </c>
      <c r="AC406" s="198" t="str">
        <f t="shared" si="69"/>
        <v/>
      </c>
      <c r="AD406" s="198" t="str">
        <f t="shared" si="70"/>
        <v/>
      </c>
      <c r="AE406" s="198" t="str">
        <f t="shared" si="70"/>
        <v/>
      </c>
      <c r="AF406" s="198" t="str">
        <f t="shared" si="70"/>
        <v/>
      </c>
      <c r="AG406" s="198" t="str">
        <f t="shared" si="70"/>
        <v/>
      </c>
      <c r="AH406" s="198" t="str">
        <f t="shared" si="73"/>
        <v/>
      </c>
      <c r="AI406" s="200" t="str">
        <f t="shared" si="71"/>
        <v/>
      </c>
      <c r="AJ406" s="208" t="str">
        <f t="shared" si="72"/>
        <v/>
      </c>
      <c r="AK406" s="4"/>
      <c r="AL406" s="162">
        <v>865</v>
      </c>
      <c r="AM406" s="209">
        <v>5.3245035772614899E-3</v>
      </c>
      <c r="AN406" s="183">
        <v>4.5879156404441453E-3</v>
      </c>
      <c r="AO406" s="183">
        <v>4.8435056741554195E-3</v>
      </c>
      <c r="AP406" s="165">
        <v>5.0080523318237966E-3</v>
      </c>
      <c r="AR406" s="210">
        <v>95.634602869623436</v>
      </c>
      <c r="AS406" s="211">
        <v>95.738576721400364</v>
      </c>
      <c r="AT406" s="211">
        <v>95.65670685335806</v>
      </c>
      <c r="AU406" s="211">
        <v>95.464317066642593</v>
      </c>
      <c r="AV406" s="211"/>
      <c r="AW406" s="212"/>
      <c r="AX406" s="210">
        <v>94.875706293402516</v>
      </c>
      <c r="AY406" s="211">
        <v>95.76849034717003</v>
      </c>
      <c r="AZ406" s="213">
        <v>97.968703227423418</v>
      </c>
    </row>
    <row r="407" spans="12:52" x14ac:dyDescent="0.25">
      <c r="L407" s="189">
        <v>860</v>
      </c>
      <c r="M407" s="196">
        <f t="shared" si="68"/>
        <v>0</v>
      </c>
      <c r="N407" s="197">
        <f t="shared" si="68"/>
        <v>0</v>
      </c>
      <c r="O407" s="152">
        <f ca="1"/>
        <v>95.723689895311736</v>
      </c>
      <c r="Q407" s="198">
        <v>0</v>
      </c>
      <c r="R407" s="200">
        <v>0</v>
      </c>
      <c r="S407" s="200">
        <v>0</v>
      </c>
      <c r="T407" s="200">
        <v>0</v>
      </c>
      <c r="U407" s="200">
        <f t="array" ref="U407">IF(U$77&gt;" ",(U$628:U$1078),"")</f>
        <v>0</v>
      </c>
      <c r="V407" s="200">
        <f t="array" ref="V407">IF(V$77&gt;" ",(V$628:V$1078),"")</f>
        <v>0</v>
      </c>
      <c r="W407" s="200">
        <f t="array" ref="W407">IF(W$77&gt;" ",(W$628:W$1078),"")</f>
        <v>0</v>
      </c>
      <c r="X407" s="200">
        <f t="array" ref="X407">IF(X$77&gt;" ",(X$628:X$1078),"")</f>
        <v>0</v>
      </c>
      <c r="Y407" s="204">
        <v>0</v>
      </c>
      <c r="Z407" s="198" t="str">
        <f t="shared" si="69"/>
        <v/>
      </c>
      <c r="AA407" s="198" t="str">
        <f t="shared" si="69"/>
        <v/>
      </c>
      <c r="AB407" s="198" t="str">
        <f t="shared" si="69"/>
        <v/>
      </c>
      <c r="AC407" s="198" t="str">
        <f t="shared" si="69"/>
        <v/>
      </c>
      <c r="AD407" s="198" t="str">
        <f t="shared" si="70"/>
        <v/>
      </c>
      <c r="AE407" s="198" t="str">
        <f t="shared" si="70"/>
        <v/>
      </c>
      <c r="AF407" s="198" t="str">
        <f t="shared" si="70"/>
        <v/>
      </c>
      <c r="AG407" s="198" t="str">
        <f t="shared" si="70"/>
        <v/>
      </c>
      <c r="AH407" s="198" t="str">
        <f t="shared" si="73"/>
        <v/>
      </c>
      <c r="AI407" s="200" t="str">
        <f t="shared" si="71"/>
        <v/>
      </c>
      <c r="AJ407" s="208" t="str">
        <f t="shared" si="72"/>
        <v/>
      </c>
      <c r="AK407" s="4"/>
      <c r="AL407" s="162">
        <v>860</v>
      </c>
      <c r="AM407" s="209">
        <v>5.3854800007240543E-3</v>
      </c>
      <c r="AN407" s="183">
        <v>4.6673838447833828E-3</v>
      </c>
      <c r="AO407" s="183">
        <v>4.9688120997606203E-3</v>
      </c>
      <c r="AP407" s="165">
        <v>5.1354824072488607E-3</v>
      </c>
      <c r="AR407" s="210">
        <v>95.690608999263588</v>
      </c>
      <c r="AS407" s="211">
        <v>95.798688561634208</v>
      </c>
      <c r="AT407" s="211">
        <v>95.723689895311736</v>
      </c>
      <c r="AU407" s="211">
        <v>95.530512381788682</v>
      </c>
      <c r="AV407" s="211"/>
      <c r="AW407" s="212"/>
      <c r="AX407" s="210">
        <v>94.861727855832001</v>
      </c>
      <c r="AY407" s="211">
        <v>95.755409945252566</v>
      </c>
      <c r="AZ407" s="213">
        <v>97.953348511730894</v>
      </c>
    </row>
    <row r="408" spans="12:52" x14ac:dyDescent="0.25">
      <c r="L408" s="189">
        <v>855</v>
      </c>
      <c r="M408" s="196">
        <f t="shared" si="68"/>
        <v>0</v>
      </c>
      <c r="N408" s="197">
        <f t="shared" si="68"/>
        <v>0</v>
      </c>
      <c r="O408" s="152">
        <f ca="1"/>
        <v>95.778782618655171</v>
      </c>
      <c r="Q408" s="198">
        <v>0</v>
      </c>
      <c r="R408" s="200">
        <v>0</v>
      </c>
      <c r="S408" s="200">
        <v>0</v>
      </c>
      <c r="T408" s="200">
        <v>0</v>
      </c>
      <c r="U408" s="200">
        <f t="array" ref="U408">IF(U$77&gt;" ",(U$628:U$1078),"")</f>
        <v>0</v>
      </c>
      <c r="V408" s="200">
        <f t="array" ref="V408">IF(V$77&gt;" ",(V$628:V$1078),"")</f>
        <v>0</v>
      </c>
      <c r="W408" s="200">
        <f t="array" ref="W408">IF(W$77&gt;" ",(W$628:W$1078),"")</f>
        <v>0</v>
      </c>
      <c r="X408" s="200">
        <f t="array" ref="X408">IF(X$77&gt;" ",(X$628:X$1078),"")</f>
        <v>0</v>
      </c>
      <c r="Y408" s="204">
        <v>0</v>
      </c>
      <c r="Z408" s="198" t="str">
        <f t="shared" si="69"/>
        <v/>
      </c>
      <c r="AA408" s="198" t="str">
        <f t="shared" si="69"/>
        <v/>
      </c>
      <c r="AB408" s="198" t="str">
        <f t="shared" si="69"/>
        <v/>
      </c>
      <c r="AC408" s="198" t="str">
        <f t="shared" si="69"/>
        <v/>
      </c>
      <c r="AD408" s="198" t="str">
        <f t="shared" si="70"/>
        <v/>
      </c>
      <c r="AE408" s="198" t="str">
        <f t="shared" si="70"/>
        <v/>
      </c>
      <c r="AF408" s="198" t="str">
        <f t="shared" si="70"/>
        <v/>
      </c>
      <c r="AG408" s="198" t="str">
        <f t="shared" si="70"/>
        <v/>
      </c>
      <c r="AH408" s="198" t="str">
        <f t="shared" si="73"/>
        <v/>
      </c>
      <c r="AI408" s="200" t="str">
        <f t="shared" si="71"/>
        <v/>
      </c>
      <c r="AJ408" s="208" t="str">
        <f t="shared" si="72"/>
        <v/>
      </c>
      <c r="AK408" s="4"/>
      <c r="AL408" s="162">
        <v>855</v>
      </c>
      <c r="AM408" s="209">
        <v>5.3600456312407532E-3</v>
      </c>
      <c r="AN408" s="183">
        <v>4.7468520491226185E-3</v>
      </c>
      <c r="AO408" s="183">
        <v>4.5908814838502331E-3</v>
      </c>
      <c r="AP408" s="165">
        <v>4.7427269090788539E-3</v>
      </c>
      <c r="AR408" s="210">
        <v>95.753741626092733</v>
      </c>
      <c r="AS408" s="211">
        <v>95.831315184604549</v>
      </c>
      <c r="AT408" s="211">
        <v>95.778782618655171</v>
      </c>
      <c r="AU408" s="211">
        <v>95.563554020039078</v>
      </c>
      <c r="AV408" s="211"/>
      <c r="AW408" s="212"/>
      <c r="AX408" s="210">
        <v>95.097472332250689</v>
      </c>
      <c r="AY408" s="211">
        <v>95.74420201138453</v>
      </c>
      <c r="AZ408" s="213">
        <v>97.863387108104646</v>
      </c>
    </row>
    <row r="409" spans="12:52" x14ac:dyDescent="0.25">
      <c r="L409" s="189">
        <v>850</v>
      </c>
      <c r="M409" s="196">
        <f t="shared" si="68"/>
        <v>0</v>
      </c>
      <c r="N409" s="197">
        <f t="shared" si="68"/>
        <v>0</v>
      </c>
      <c r="O409" s="152">
        <f ca="1"/>
        <v>95.801013415567823</v>
      </c>
      <c r="Q409" s="198">
        <v>0</v>
      </c>
      <c r="R409" s="200">
        <v>0</v>
      </c>
      <c r="S409" s="200">
        <v>0</v>
      </c>
      <c r="T409" s="200">
        <v>0</v>
      </c>
      <c r="U409" s="200">
        <f t="array" ref="U409">IF(U$77&gt;" ",(U$628:U$1078),"")</f>
        <v>0</v>
      </c>
      <c r="V409" s="200">
        <f t="array" ref="V409">IF(V$77&gt;" ",(V$628:V$1078),"")</f>
        <v>0</v>
      </c>
      <c r="W409" s="200">
        <f t="array" ref="W409">IF(W$77&gt;" ",(W$628:W$1078),"")</f>
        <v>0</v>
      </c>
      <c r="X409" s="200">
        <f t="array" ref="X409">IF(X$77&gt;" ",(X$628:X$1078),"")</f>
        <v>0</v>
      </c>
      <c r="Y409" s="204">
        <v>0</v>
      </c>
      <c r="Z409" s="198" t="str">
        <f t="shared" si="69"/>
        <v/>
      </c>
      <c r="AA409" s="198" t="str">
        <f t="shared" si="69"/>
        <v/>
      </c>
      <c r="AB409" s="198" t="str">
        <f t="shared" si="69"/>
        <v/>
      </c>
      <c r="AC409" s="198" t="str">
        <f t="shared" si="69"/>
        <v/>
      </c>
      <c r="AD409" s="198" t="str">
        <f t="shared" si="70"/>
        <v/>
      </c>
      <c r="AE409" s="198" t="str">
        <f t="shared" si="70"/>
        <v/>
      </c>
      <c r="AF409" s="198" t="str">
        <f t="shared" si="70"/>
        <v/>
      </c>
      <c r="AG409" s="198" t="str">
        <f t="shared" si="70"/>
        <v/>
      </c>
      <c r="AH409" s="198" t="str">
        <f t="shared" si="73"/>
        <v/>
      </c>
      <c r="AI409" s="200" t="str">
        <f t="shared" si="71"/>
        <v/>
      </c>
      <c r="AJ409" s="208" t="str">
        <f t="shared" si="72"/>
        <v/>
      </c>
      <c r="AK409" s="4"/>
      <c r="AL409" s="162">
        <v>850</v>
      </c>
      <c r="AM409" s="209">
        <v>5.3346112617574512E-3</v>
      </c>
      <c r="AN409" s="183">
        <v>4.8263202534618542E-3</v>
      </c>
      <c r="AO409" s="183">
        <v>4.4939349394815227E-3</v>
      </c>
      <c r="AP409" s="165">
        <v>4.6394173266306018E-3</v>
      </c>
      <c r="AR409" s="210">
        <v>95.769889928007217</v>
      </c>
      <c r="AS409" s="211">
        <v>95.845214942085406</v>
      </c>
      <c r="AT409" s="211">
        <v>95.801013415567823</v>
      </c>
      <c r="AU409" s="211">
        <v>95.580061911902575</v>
      </c>
      <c r="AV409" s="211"/>
      <c r="AW409" s="212"/>
      <c r="AX409" s="210">
        <v>94.789314808894005</v>
      </c>
      <c r="AY409" s="211">
        <v>95.577166293110608</v>
      </c>
      <c r="AZ409" s="213">
        <v>97.879600455280453</v>
      </c>
    </row>
    <row r="410" spans="12:52" x14ac:dyDescent="0.25">
      <c r="L410" s="189">
        <v>845</v>
      </c>
      <c r="M410" s="196">
        <f t="shared" si="68"/>
        <v>0</v>
      </c>
      <c r="N410" s="197">
        <f t="shared" si="68"/>
        <v>0</v>
      </c>
      <c r="O410" s="152">
        <f ca="1"/>
        <v>95.834463229698557</v>
      </c>
      <c r="Q410" s="198">
        <v>0</v>
      </c>
      <c r="R410" s="200">
        <v>0</v>
      </c>
      <c r="S410" s="200">
        <v>0</v>
      </c>
      <c r="T410" s="200">
        <v>0</v>
      </c>
      <c r="U410" s="200">
        <f t="array" ref="U410">IF(U$77&gt;" ",(U$628:U$1078),"")</f>
        <v>0</v>
      </c>
      <c r="V410" s="200">
        <f t="array" ref="V410">IF(V$77&gt;" ",(V$628:V$1078),"")</f>
        <v>0</v>
      </c>
      <c r="W410" s="200">
        <f t="array" ref="W410">IF(W$77&gt;" ",(W$628:W$1078),"")</f>
        <v>0</v>
      </c>
      <c r="X410" s="200">
        <f t="array" ref="X410">IF(X$77&gt;" ",(X$628:X$1078),"")</f>
        <v>0</v>
      </c>
      <c r="Y410" s="204">
        <v>0</v>
      </c>
      <c r="Z410" s="198" t="str">
        <f t="shared" si="69"/>
        <v/>
      </c>
      <c r="AA410" s="198" t="str">
        <f t="shared" si="69"/>
        <v/>
      </c>
      <c r="AB410" s="198" t="str">
        <f t="shared" si="69"/>
        <v/>
      </c>
      <c r="AC410" s="198" t="str">
        <f t="shared" si="69"/>
        <v/>
      </c>
      <c r="AD410" s="198" t="str">
        <f t="shared" si="70"/>
        <v/>
      </c>
      <c r="AE410" s="198" t="str">
        <f t="shared" si="70"/>
        <v/>
      </c>
      <c r="AF410" s="198" t="str">
        <f t="shared" si="70"/>
        <v/>
      </c>
      <c r="AG410" s="198" t="str">
        <f t="shared" si="70"/>
        <v/>
      </c>
      <c r="AH410" s="198" t="str">
        <f t="shared" si="73"/>
        <v/>
      </c>
      <c r="AI410" s="200" t="str">
        <f t="shared" si="71"/>
        <v/>
      </c>
      <c r="AJ410" s="208" t="str">
        <f t="shared" si="72"/>
        <v/>
      </c>
      <c r="AK410" s="4"/>
      <c r="AL410" s="162">
        <v>845</v>
      </c>
      <c r="AM410" s="209">
        <v>5.3091768922741492E-3</v>
      </c>
      <c r="AN410" s="183">
        <v>4.8225517750992153E-3</v>
      </c>
      <c r="AO410" s="183">
        <v>5.1113154746262445E-3</v>
      </c>
      <c r="AP410" s="165">
        <v>5.2732658265270812E-3</v>
      </c>
      <c r="AR410" s="210">
        <v>95.784237416451916</v>
      </c>
      <c r="AS410" s="211">
        <v>95.886984760161582</v>
      </c>
      <c r="AT410" s="211">
        <v>95.834463229698557</v>
      </c>
      <c r="AU410" s="211">
        <v>95.588597515132278</v>
      </c>
      <c r="AV410" s="211"/>
      <c r="AW410" s="212"/>
      <c r="AX410" s="210">
        <v>94.603235267508808</v>
      </c>
      <c r="AY410" s="211">
        <v>95.58285139481967</v>
      </c>
      <c r="AZ410" s="213">
        <v>97.950184835765725</v>
      </c>
    </row>
    <row r="411" spans="12:52" x14ac:dyDescent="0.25">
      <c r="L411" s="189">
        <v>840</v>
      </c>
      <c r="M411" s="196">
        <f t="shared" si="68"/>
        <v>0</v>
      </c>
      <c r="N411" s="197">
        <f t="shared" si="68"/>
        <v>0</v>
      </c>
      <c r="O411" s="152">
        <f ca="1"/>
        <v>95.803574689777449</v>
      </c>
      <c r="Q411" s="198">
        <v>0</v>
      </c>
      <c r="R411" s="200">
        <v>0</v>
      </c>
      <c r="S411" s="200">
        <v>0</v>
      </c>
      <c r="T411" s="200">
        <v>0</v>
      </c>
      <c r="U411" s="200">
        <f t="array" ref="U411">IF(U$77&gt;" ",(U$628:U$1078),"")</f>
        <v>0</v>
      </c>
      <c r="V411" s="200">
        <f t="array" ref="V411">IF(V$77&gt;" ",(V$628:V$1078),"")</f>
        <v>0</v>
      </c>
      <c r="W411" s="200">
        <f t="array" ref="W411">IF(W$77&gt;" ",(W$628:W$1078),"")</f>
        <v>0</v>
      </c>
      <c r="X411" s="200">
        <f t="array" ref="X411">IF(X$77&gt;" ",(X$628:X$1078),"")</f>
        <v>0</v>
      </c>
      <c r="Y411" s="204">
        <v>0</v>
      </c>
      <c r="Z411" s="198" t="str">
        <f t="shared" si="69"/>
        <v/>
      </c>
      <c r="AA411" s="198" t="str">
        <f t="shared" si="69"/>
        <v/>
      </c>
      <c r="AB411" s="198" t="str">
        <f t="shared" si="69"/>
        <v/>
      </c>
      <c r="AC411" s="198" t="str">
        <f t="shared" si="69"/>
        <v/>
      </c>
      <c r="AD411" s="198" t="str">
        <f t="shared" si="70"/>
        <v/>
      </c>
      <c r="AE411" s="198" t="str">
        <f t="shared" si="70"/>
        <v/>
      </c>
      <c r="AF411" s="198" t="str">
        <f t="shared" si="70"/>
        <v/>
      </c>
      <c r="AG411" s="198" t="str">
        <f t="shared" si="70"/>
        <v/>
      </c>
      <c r="AH411" s="198" t="str">
        <f t="shared" si="73"/>
        <v/>
      </c>
      <c r="AI411" s="200" t="str">
        <f t="shared" si="71"/>
        <v/>
      </c>
      <c r="AJ411" s="208" t="str">
        <f t="shared" si="72"/>
        <v/>
      </c>
      <c r="AK411" s="4"/>
      <c r="AL411" s="162">
        <v>840</v>
      </c>
      <c r="AM411" s="209">
        <v>5.2837425227908472E-3</v>
      </c>
      <c r="AN411" s="183">
        <v>4.8187832967365755E-3</v>
      </c>
      <c r="AO411" s="183">
        <v>5.1072927964366721E-3</v>
      </c>
      <c r="AP411" s="165">
        <v>5.2675574964026386E-3</v>
      </c>
      <c r="AR411" s="210">
        <v>95.777348598934992</v>
      </c>
      <c r="AS411" s="211">
        <v>95.87647149179962</v>
      </c>
      <c r="AT411" s="211">
        <v>95.803574689777449</v>
      </c>
      <c r="AU411" s="211">
        <v>95.573042044608528</v>
      </c>
      <c r="AV411" s="211"/>
      <c r="AW411" s="212"/>
      <c r="AX411" s="210">
        <v>94.741946047671718</v>
      </c>
      <c r="AY411" s="211">
        <v>95.506834825117338</v>
      </c>
      <c r="AZ411" s="213">
        <v>97.974246932021003</v>
      </c>
    </row>
    <row r="412" spans="12:52" x14ac:dyDescent="0.25">
      <c r="L412" s="189">
        <v>835</v>
      </c>
      <c r="M412" s="196">
        <f t="shared" si="68"/>
        <v>0</v>
      </c>
      <c r="N412" s="197">
        <f t="shared" si="68"/>
        <v>0</v>
      </c>
      <c r="O412" s="152">
        <f ca="1"/>
        <v>95.771907734578306</v>
      </c>
      <c r="Q412" s="198">
        <v>0</v>
      </c>
      <c r="R412" s="200">
        <v>0</v>
      </c>
      <c r="S412" s="200">
        <v>0</v>
      </c>
      <c r="T412" s="200">
        <v>0</v>
      </c>
      <c r="U412" s="200">
        <f t="array" ref="U412">IF(U$77&gt;" ",(U$628:U$1078),"")</f>
        <v>0</v>
      </c>
      <c r="V412" s="200">
        <f t="array" ref="V412">IF(V$77&gt;" ",(V$628:V$1078),"")</f>
        <v>0</v>
      </c>
      <c r="W412" s="200">
        <f t="array" ref="W412">IF(W$77&gt;" ",(W$628:W$1078),"")</f>
        <v>0</v>
      </c>
      <c r="X412" s="200">
        <f t="array" ref="X412">IF(X$77&gt;" ",(X$628:X$1078),"")</f>
        <v>0</v>
      </c>
      <c r="Y412" s="204">
        <v>0</v>
      </c>
      <c r="Z412" s="198" t="str">
        <f t="shared" si="69"/>
        <v/>
      </c>
      <c r="AA412" s="198" t="str">
        <f t="shared" si="69"/>
        <v/>
      </c>
      <c r="AB412" s="198" t="str">
        <f t="shared" si="69"/>
        <v/>
      </c>
      <c r="AC412" s="198" t="str">
        <f t="shared" si="69"/>
        <v/>
      </c>
      <c r="AD412" s="198" t="str">
        <f t="shared" si="70"/>
        <v/>
      </c>
      <c r="AE412" s="198" t="str">
        <f t="shared" si="70"/>
        <v/>
      </c>
      <c r="AF412" s="198" t="str">
        <f t="shared" si="70"/>
        <v/>
      </c>
      <c r="AG412" s="198" t="str">
        <f t="shared" si="70"/>
        <v/>
      </c>
      <c r="AH412" s="198" t="str">
        <f t="shared" si="73"/>
        <v/>
      </c>
      <c r="AI412" s="200" t="str">
        <f t="shared" si="71"/>
        <v/>
      </c>
      <c r="AJ412" s="208" t="str">
        <f t="shared" si="72"/>
        <v/>
      </c>
      <c r="AK412" s="4"/>
      <c r="AL412" s="162">
        <v>835</v>
      </c>
      <c r="AM412" s="209">
        <v>5.1504267887199301E-3</v>
      </c>
      <c r="AN412" s="183">
        <v>4.8150148183739357E-3</v>
      </c>
      <c r="AO412" s="183">
        <v>5.0444384497245935E-3</v>
      </c>
      <c r="AP412" s="165">
        <v>5.200008923263397E-3</v>
      </c>
      <c r="AR412" s="210">
        <v>95.763319371161401</v>
      </c>
      <c r="AS412" s="211">
        <v>95.867522988333405</v>
      </c>
      <c r="AT412" s="211">
        <v>95.771907734578306</v>
      </c>
      <c r="AU412" s="211">
        <v>95.560377458991752</v>
      </c>
      <c r="AV412" s="211"/>
      <c r="AW412" s="212"/>
      <c r="AX412" s="210">
        <v>94.640691073399992</v>
      </c>
      <c r="AY412" s="211">
        <v>95.469523998145476</v>
      </c>
      <c r="AZ412" s="213">
        <v>97.802779796422612</v>
      </c>
    </row>
    <row r="413" spans="12:52" x14ac:dyDescent="0.25">
      <c r="L413" s="189">
        <v>830</v>
      </c>
      <c r="M413" s="196">
        <f t="shared" si="68"/>
        <v>0</v>
      </c>
      <c r="N413" s="197">
        <f t="shared" si="68"/>
        <v>0</v>
      </c>
      <c r="O413" s="152">
        <f ca="1"/>
        <v>95.82219964453077</v>
      </c>
      <c r="Q413" s="198">
        <v>0</v>
      </c>
      <c r="R413" s="200">
        <v>0</v>
      </c>
      <c r="S413" s="200">
        <v>0</v>
      </c>
      <c r="T413" s="200">
        <v>0</v>
      </c>
      <c r="U413" s="200">
        <f t="array" ref="U413">IF(U$77&gt;" ",(U$628:U$1078),"")</f>
        <v>0</v>
      </c>
      <c r="V413" s="200">
        <f t="array" ref="V413">IF(V$77&gt;" ",(V$628:V$1078),"")</f>
        <v>0</v>
      </c>
      <c r="W413" s="200">
        <f t="array" ref="W413">IF(W$77&gt;" ",(W$628:W$1078),"")</f>
        <v>0</v>
      </c>
      <c r="X413" s="200">
        <f t="array" ref="X413">IF(X$77&gt;" ",(X$628:X$1078),"")</f>
        <v>0</v>
      </c>
      <c r="Y413" s="204">
        <v>0</v>
      </c>
      <c r="Z413" s="198" t="str">
        <f t="shared" si="69"/>
        <v/>
      </c>
      <c r="AA413" s="198" t="str">
        <f t="shared" si="69"/>
        <v/>
      </c>
      <c r="AB413" s="198" t="str">
        <f t="shared" si="69"/>
        <v/>
      </c>
      <c r="AC413" s="198" t="str">
        <f t="shared" si="69"/>
        <v/>
      </c>
      <c r="AD413" s="198" t="str">
        <f t="shared" si="70"/>
        <v/>
      </c>
      <c r="AE413" s="198" t="str">
        <f t="shared" si="70"/>
        <v/>
      </c>
      <c r="AF413" s="198" t="str">
        <f t="shared" si="70"/>
        <v/>
      </c>
      <c r="AG413" s="198" t="str">
        <f t="shared" si="70"/>
        <v/>
      </c>
      <c r="AH413" s="198" t="str">
        <f t="shared" si="73"/>
        <v/>
      </c>
      <c r="AI413" s="200" t="str">
        <f t="shared" si="71"/>
        <v/>
      </c>
      <c r="AJ413" s="208" t="str">
        <f t="shared" si="72"/>
        <v/>
      </c>
      <c r="AK413" s="4"/>
      <c r="AL413" s="162">
        <v>830</v>
      </c>
      <c r="AM413" s="209">
        <v>4.9233672356962729E-3</v>
      </c>
      <c r="AN413" s="183">
        <v>4.8112463400112968E-3</v>
      </c>
      <c r="AO413" s="183">
        <v>4.606016810538501E-3</v>
      </c>
      <c r="AP413" s="165">
        <v>4.7530242889111821E-3</v>
      </c>
      <c r="AR413" s="210">
        <v>95.804497409237115</v>
      </c>
      <c r="AS413" s="211">
        <v>95.902932988484167</v>
      </c>
      <c r="AT413" s="211">
        <v>95.82219964453077</v>
      </c>
      <c r="AU413" s="211">
        <v>95.571050923648087</v>
      </c>
      <c r="AV413" s="211"/>
      <c r="AW413" s="212"/>
      <c r="AX413" s="210">
        <v>94.814154308001207</v>
      </c>
      <c r="AY413" s="211">
        <v>95.53803953288508</v>
      </c>
      <c r="AZ413" s="213">
        <v>97.87262484069052</v>
      </c>
    </row>
    <row r="414" spans="12:52" x14ac:dyDescent="0.25">
      <c r="L414" s="189">
        <v>825</v>
      </c>
      <c r="M414" s="196">
        <f t="shared" si="68"/>
        <v>0</v>
      </c>
      <c r="N414" s="197">
        <f t="shared" si="68"/>
        <v>0</v>
      </c>
      <c r="O414" s="152">
        <f ca="1"/>
        <v>95.850423188024408</v>
      </c>
      <c r="Q414" s="198">
        <v>0</v>
      </c>
      <c r="R414" s="200">
        <v>0</v>
      </c>
      <c r="S414" s="200">
        <v>0</v>
      </c>
      <c r="T414" s="200">
        <v>0</v>
      </c>
      <c r="U414" s="200">
        <f t="array" ref="U414">IF(U$77&gt;" ",(U$628:U$1078),"")</f>
        <v>0</v>
      </c>
      <c r="V414" s="200">
        <f t="array" ref="V414">IF(V$77&gt;" ",(V$628:V$1078),"")</f>
        <v>0</v>
      </c>
      <c r="W414" s="200">
        <f t="array" ref="W414">IF(W$77&gt;" ",(W$628:W$1078),"")</f>
        <v>0</v>
      </c>
      <c r="X414" s="200">
        <f t="array" ref="X414">IF(X$77&gt;" ",(X$628:X$1078),"")</f>
        <v>0</v>
      </c>
      <c r="Y414" s="204">
        <v>0</v>
      </c>
      <c r="Z414" s="198" t="str">
        <f t="shared" si="69"/>
        <v/>
      </c>
      <c r="AA414" s="198" t="str">
        <f t="shared" si="69"/>
        <v/>
      </c>
      <c r="AB414" s="198" t="str">
        <f t="shared" si="69"/>
        <v/>
      </c>
      <c r="AC414" s="198" t="str">
        <f t="shared" si="69"/>
        <v/>
      </c>
      <c r="AD414" s="198" t="str">
        <f t="shared" si="70"/>
        <v/>
      </c>
      <c r="AE414" s="198" t="str">
        <f t="shared" si="70"/>
        <v/>
      </c>
      <c r="AF414" s="198" t="str">
        <f t="shared" si="70"/>
        <v/>
      </c>
      <c r="AG414" s="198" t="str">
        <f t="shared" si="70"/>
        <v/>
      </c>
      <c r="AH414" s="198" t="str">
        <f t="shared" si="73"/>
        <v/>
      </c>
      <c r="AI414" s="200" t="str">
        <f t="shared" si="71"/>
        <v/>
      </c>
      <c r="AJ414" s="208" t="str">
        <f t="shared" si="72"/>
        <v/>
      </c>
      <c r="AK414" s="4"/>
      <c r="AL414" s="162">
        <v>825</v>
      </c>
      <c r="AM414" s="209">
        <v>4.4774399785215014E-3</v>
      </c>
      <c r="AN414" s="183">
        <v>4.807477861648657E-3</v>
      </c>
      <c r="AO414" s="183">
        <v>4.874228878828284E-3</v>
      </c>
      <c r="AP414" s="165">
        <v>5.0228827973431821E-3</v>
      </c>
      <c r="AR414" s="210">
        <v>95.824214009515487</v>
      </c>
      <c r="AS414" s="211">
        <v>95.899607220885756</v>
      </c>
      <c r="AT414" s="211">
        <v>95.850423188024408</v>
      </c>
      <c r="AU414" s="211">
        <v>95.577401617855116</v>
      </c>
      <c r="AV414" s="211"/>
      <c r="AW414" s="212"/>
      <c r="AX414" s="210">
        <v>94.734326618848897</v>
      </c>
      <c r="AY414" s="211">
        <v>95.545073888886691</v>
      </c>
      <c r="AZ414" s="213">
        <v>97.995335012981457</v>
      </c>
    </row>
    <row r="415" spans="12:52" x14ac:dyDescent="0.25">
      <c r="L415" s="189">
        <v>820</v>
      </c>
      <c r="M415" s="196">
        <f t="shared" ref="M415:N430" si="74">M964</f>
        <v>0</v>
      </c>
      <c r="N415" s="197">
        <f t="shared" si="74"/>
        <v>0</v>
      </c>
      <c r="O415" s="152">
        <f ca="1"/>
        <v>95.837139481189908</v>
      </c>
      <c r="Q415" s="198">
        <v>0</v>
      </c>
      <c r="R415" s="200">
        <v>0</v>
      </c>
      <c r="S415" s="200">
        <v>0</v>
      </c>
      <c r="T415" s="200">
        <v>0</v>
      </c>
      <c r="U415" s="200">
        <f t="array" ref="U415">IF(U$77&gt;" ",(U$628:U$1078),"")</f>
        <v>0</v>
      </c>
      <c r="V415" s="200">
        <f t="array" ref="V415">IF(V$77&gt;" ",(V$628:V$1078),"")</f>
        <v>0</v>
      </c>
      <c r="W415" s="200">
        <f t="array" ref="W415">IF(W$77&gt;" ",(W$628:W$1078),"")</f>
        <v>0</v>
      </c>
      <c r="X415" s="200">
        <f t="array" ref="X415">IF(X$77&gt;" ",(X$628:X$1078),"")</f>
        <v>0</v>
      </c>
      <c r="Y415" s="204">
        <v>0</v>
      </c>
      <c r="Z415" s="198" t="str">
        <f t="shared" si="69"/>
        <v/>
      </c>
      <c r="AA415" s="198" t="str">
        <f t="shared" si="69"/>
        <v/>
      </c>
      <c r="AB415" s="198" t="str">
        <f t="shared" si="69"/>
        <v/>
      </c>
      <c r="AC415" s="198" t="str">
        <f t="shared" si="69"/>
        <v/>
      </c>
      <c r="AD415" s="198" t="str">
        <f t="shared" si="70"/>
        <v/>
      </c>
      <c r="AE415" s="198" t="str">
        <f t="shared" si="70"/>
        <v/>
      </c>
      <c r="AF415" s="198" t="str">
        <f t="shared" si="70"/>
        <v/>
      </c>
      <c r="AG415" s="198" t="str">
        <f t="shared" si="70"/>
        <v/>
      </c>
      <c r="AH415" s="198" t="str">
        <f t="shared" si="73"/>
        <v/>
      </c>
      <c r="AI415" s="200" t="str">
        <f t="shared" si="71"/>
        <v/>
      </c>
      <c r="AJ415" s="208" t="str">
        <f t="shared" si="72"/>
        <v/>
      </c>
      <c r="AK415" s="4"/>
      <c r="AL415" s="162">
        <v>820</v>
      </c>
      <c r="AM415" s="209">
        <v>4.525930438783173E-3</v>
      </c>
      <c r="AN415" s="183">
        <v>4.8037093832860173E-3</v>
      </c>
      <c r="AO415" s="183">
        <v>4.3338323475365153E-3</v>
      </c>
      <c r="AP415" s="165">
        <v>4.4714693001261571E-3</v>
      </c>
      <c r="AR415" s="210">
        <v>95.831976443681441</v>
      </c>
      <c r="AS415" s="211">
        <v>95.908501032049926</v>
      </c>
      <c r="AT415" s="211">
        <v>95.837139481189908</v>
      </c>
      <c r="AU415" s="211">
        <v>95.577368923737666</v>
      </c>
      <c r="AV415" s="211"/>
      <c r="AW415" s="212"/>
      <c r="AX415" s="210">
        <v>94.79246322630604</v>
      </c>
      <c r="AY415" s="211">
        <v>95.556023997827751</v>
      </c>
      <c r="AZ415" s="213">
        <v>97.904067501051017</v>
      </c>
    </row>
    <row r="416" spans="12:52" x14ac:dyDescent="0.25">
      <c r="L416" s="189">
        <v>815</v>
      </c>
      <c r="M416" s="196">
        <f t="shared" si="74"/>
        <v>0</v>
      </c>
      <c r="N416" s="197">
        <f t="shared" si="74"/>
        <v>0</v>
      </c>
      <c r="O416" s="152">
        <f ca="1"/>
        <v>95.839919709862684</v>
      </c>
      <c r="Q416" s="198">
        <v>0</v>
      </c>
      <c r="R416" s="200">
        <v>0</v>
      </c>
      <c r="S416" s="200">
        <v>0</v>
      </c>
      <c r="T416" s="200">
        <v>0</v>
      </c>
      <c r="U416" s="200">
        <f t="array" ref="U416">IF(U$77&gt;" ",(U$628:U$1078),"")</f>
        <v>0</v>
      </c>
      <c r="V416" s="200">
        <f t="array" ref="V416">IF(V$77&gt;" ",(V$628:V$1078),"")</f>
        <v>0</v>
      </c>
      <c r="W416" s="200">
        <f t="array" ref="W416">IF(W$77&gt;" ",(W$628:W$1078),"")</f>
        <v>0</v>
      </c>
      <c r="X416" s="200">
        <f t="array" ref="X416">IF(X$77&gt;" ",(X$628:X$1078),"")</f>
        <v>0</v>
      </c>
      <c r="Y416" s="204">
        <v>0</v>
      </c>
      <c r="Z416" s="198" t="str">
        <f t="shared" si="69"/>
        <v/>
      </c>
      <c r="AA416" s="198" t="str">
        <f t="shared" si="69"/>
        <v/>
      </c>
      <c r="AB416" s="198" t="str">
        <f t="shared" si="69"/>
        <v/>
      </c>
      <c r="AC416" s="198" t="str">
        <f t="shared" si="69"/>
        <v/>
      </c>
      <c r="AD416" s="198" t="str">
        <f t="shared" si="70"/>
        <v/>
      </c>
      <c r="AE416" s="198" t="str">
        <f t="shared" si="70"/>
        <v/>
      </c>
      <c r="AF416" s="198" t="str">
        <f t="shared" si="70"/>
        <v/>
      </c>
      <c r="AG416" s="198" t="str">
        <f t="shared" si="70"/>
        <v/>
      </c>
      <c r="AH416" s="198" t="str">
        <f t="shared" si="73"/>
        <v/>
      </c>
      <c r="AI416" s="200" t="str">
        <f t="shared" si="71"/>
        <v/>
      </c>
      <c r="AJ416" s="208" t="str">
        <f t="shared" si="72"/>
        <v/>
      </c>
      <c r="AK416" s="4"/>
      <c r="AL416" s="162">
        <v>815</v>
      </c>
      <c r="AM416" s="209">
        <v>4.7703646390123066E-3</v>
      </c>
      <c r="AN416" s="183">
        <v>4.7999409049233775E-3</v>
      </c>
      <c r="AO416" s="183">
        <v>4.5015277445643416E-3</v>
      </c>
      <c r="AP416" s="165">
        <v>4.6409283551929539E-3</v>
      </c>
      <c r="AR416" s="210">
        <v>95.842351558758864</v>
      </c>
      <c r="AS416" s="211">
        <v>95.929422930156264</v>
      </c>
      <c r="AT416" s="211">
        <v>95.839919709862684</v>
      </c>
      <c r="AU416" s="211">
        <v>95.58253505887474</v>
      </c>
      <c r="AV416" s="211"/>
      <c r="AW416" s="212"/>
      <c r="AX416" s="210">
        <v>94.80995765251545</v>
      </c>
      <c r="AY416" s="211">
        <v>95.574869249029277</v>
      </c>
      <c r="AZ416" s="213">
        <v>97.743803161558787</v>
      </c>
    </row>
    <row r="417" spans="12:52" x14ac:dyDescent="0.25">
      <c r="L417" s="189">
        <v>810</v>
      </c>
      <c r="M417" s="196">
        <f t="shared" si="74"/>
        <v>0</v>
      </c>
      <c r="N417" s="197">
        <f t="shared" si="74"/>
        <v>0</v>
      </c>
      <c r="O417" s="152">
        <f ca="1"/>
        <v>95.817954923125043</v>
      </c>
      <c r="Q417" s="198">
        <v>0</v>
      </c>
      <c r="R417" s="200">
        <v>0</v>
      </c>
      <c r="S417" s="200">
        <v>0</v>
      </c>
      <c r="T417" s="200">
        <v>0</v>
      </c>
      <c r="U417" s="200">
        <f t="array" ref="U417">IF(U$77&gt;" ",(U$628:U$1078),"")</f>
        <v>0</v>
      </c>
      <c r="V417" s="200">
        <f t="array" ref="V417">IF(V$77&gt;" ",(V$628:V$1078),"")</f>
        <v>0</v>
      </c>
      <c r="W417" s="200">
        <f t="array" ref="W417">IF(W$77&gt;" ",(W$628:W$1078),"")</f>
        <v>0</v>
      </c>
      <c r="X417" s="200">
        <f t="array" ref="X417">IF(X$77&gt;" ",(X$628:X$1078),"")</f>
        <v>0</v>
      </c>
      <c r="Y417" s="204">
        <v>0</v>
      </c>
      <c r="Z417" s="198" t="str">
        <f t="shared" si="69"/>
        <v/>
      </c>
      <c r="AA417" s="198" t="str">
        <f t="shared" si="69"/>
        <v/>
      </c>
      <c r="AB417" s="198" t="str">
        <f t="shared" si="69"/>
        <v/>
      </c>
      <c r="AC417" s="198" t="str">
        <f t="shared" si="69"/>
        <v/>
      </c>
      <c r="AD417" s="198" t="str">
        <f t="shared" si="70"/>
        <v/>
      </c>
      <c r="AE417" s="198" t="str">
        <f t="shared" si="70"/>
        <v/>
      </c>
      <c r="AF417" s="198" t="str">
        <f t="shared" si="70"/>
        <v/>
      </c>
      <c r="AG417" s="198" t="str">
        <f t="shared" si="70"/>
        <v/>
      </c>
      <c r="AH417" s="198" t="str">
        <f t="shared" si="73"/>
        <v/>
      </c>
      <c r="AI417" s="200" t="str">
        <f t="shared" si="71"/>
        <v/>
      </c>
      <c r="AJ417" s="208" t="str">
        <f t="shared" si="72"/>
        <v/>
      </c>
      <c r="AK417" s="4"/>
      <c r="AL417" s="162">
        <v>810</v>
      </c>
      <c r="AM417" s="209">
        <v>5.1035879108922398E-3</v>
      </c>
      <c r="AN417" s="183">
        <v>4.7961724265607394E-3</v>
      </c>
      <c r="AO417" s="183">
        <v>5.3094323754627176E-3</v>
      </c>
      <c r="AP417" s="165">
        <v>5.4558204624676008E-3</v>
      </c>
      <c r="AR417" s="210">
        <v>95.812019353594764</v>
      </c>
      <c r="AS417" s="211">
        <v>95.883358179835966</v>
      </c>
      <c r="AT417" s="211">
        <v>95.817954923125043</v>
      </c>
      <c r="AU417" s="211">
        <v>95.548054497314538</v>
      </c>
      <c r="AV417" s="211"/>
      <c r="AW417" s="212"/>
      <c r="AX417" s="210">
        <v>94.841203216479698</v>
      </c>
      <c r="AY417" s="211">
        <v>95.598862847466876</v>
      </c>
      <c r="AZ417" s="213">
        <v>97.680029686254613</v>
      </c>
    </row>
    <row r="418" spans="12:52" x14ac:dyDescent="0.25">
      <c r="L418" s="189">
        <v>805</v>
      </c>
      <c r="M418" s="196">
        <f t="shared" si="74"/>
        <v>0</v>
      </c>
      <c r="N418" s="197">
        <f t="shared" si="74"/>
        <v>0</v>
      </c>
      <c r="O418" s="152">
        <f ca="1"/>
        <v>95.83394161439837</v>
      </c>
      <c r="Q418" s="198">
        <v>0</v>
      </c>
      <c r="R418" s="200">
        <v>0</v>
      </c>
      <c r="S418" s="200">
        <v>0</v>
      </c>
      <c r="T418" s="200">
        <v>0</v>
      </c>
      <c r="U418" s="200">
        <f t="array" ref="U418">IF(U$77&gt;" ",(U$628:U$1078),"")</f>
        <v>0</v>
      </c>
      <c r="V418" s="200">
        <f t="array" ref="V418">IF(V$77&gt;" ",(V$628:V$1078),"")</f>
        <v>0</v>
      </c>
      <c r="W418" s="200">
        <f t="array" ref="W418">IF(W$77&gt;" ",(W$628:W$1078),"")</f>
        <v>0</v>
      </c>
      <c r="X418" s="200">
        <f t="array" ref="X418">IF(X$77&gt;" ",(X$628:X$1078),"")</f>
        <v>0</v>
      </c>
      <c r="Y418" s="204">
        <v>0</v>
      </c>
      <c r="Z418" s="198" t="str">
        <f t="shared" si="69"/>
        <v/>
      </c>
      <c r="AA418" s="198" t="str">
        <f t="shared" si="69"/>
        <v/>
      </c>
      <c r="AB418" s="198" t="str">
        <f t="shared" si="69"/>
        <v/>
      </c>
      <c r="AC418" s="198" t="str">
        <f t="shared" si="69"/>
        <v/>
      </c>
      <c r="AD418" s="198" t="str">
        <f t="shared" si="70"/>
        <v/>
      </c>
      <c r="AE418" s="198" t="str">
        <f t="shared" si="70"/>
        <v/>
      </c>
      <c r="AF418" s="198" t="str">
        <f t="shared" si="70"/>
        <v/>
      </c>
      <c r="AG418" s="198" t="str">
        <f t="shared" si="70"/>
        <v/>
      </c>
      <c r="AH418" s="198" t="str">
        <f t="shared" si="73"/>
        <v/>
      </c>
      <c r="AI418" s="200" t="str">
        <f t="shared" si="71"/>
        <v/>
      </c>
      <c r="AJ418" s="208" t="str">
        <f t="shared" si="72"/>
        <v/>
      </c>
      <c r="AK418" s="4"/>
      <c r="AL418" s="162">
        <v>805</v>
      </c>
      <c r="AM418" s="209">
        <v>5.4367451194748135E-3</v>
      </c>
      <c r="AN418" s="183">
        <v>4.7924039481980997E-3</v>
      </c>
      <c r="AO418" s="183">
        <v>5.3023926886309643E-3</v>
      </c>
      <c r="AP418" s="165">
        <v>5.4436203059271245E-3</v>
      </c>
      <c r="AR418" s="210">
        <v>95.827626201971754</v>
      </c>
      <c r="AS418" s="211">
        <v>95.89451343669451</v>
      </c>
      <c r="AT418" s="211">
        <v>95.83394161439837</v>
      </c>
      <c r="AU418" s="211">
        <v>95.571080114952849</v>
      </c>
      <c r="AV418" s="211"/>
      <c r="AW418" s="212"/>
      <c r="AX418" s="210">
        <v>94.821290808882409</v>
      </c>
      <c r="AY418" s="211">
        <v>95.563406877709596</v>
      </c>
      <c r="AZ418" s="213">
        <v>97.894863353465922</v>
      </c>
    </row>
    <row r="419" spans="12:52" x14ac:dyDescent="0.25">
      <c r="L419" s="189">
        <v>800</v>
      </c>
      <c r="M419" s="196">
        <f t="shared" si="74"/>
        <v>0</v>
      </c>
      <c r="N419" s="197">
        <f t="shared" si="74"/>
        <v>0</v>
      </c>
      <c r="O419" s="152">
        <f ca="1"/>
        <v>95.815319881464617</v>
      </c>
      <c r="Q419" s="198">
        <v>0</v>
      </c>
      <c r="R419" s="200">
        <v>0</v>
      </c>
      <c r="S419" s="200">
        <v>0</v>
      </c>
      <c r="T419" s="200">
        <v>0</v>
      </c>
      <c r="U419" s="200">
        <f t="array" ref="U419">IF(U$77&gt;" ",(U$628:U$1078),"")</f>
        <v>0</v>
      </c>
      <c r="V419" s="200">
        <f t="array" ref="V419">IF(V$77&gt;" ",(V$628:V$1078),"")</f>
        <v>0</v>
      </c>
      <c r="W419" s="200">
        <f t="array" ref="W419">IF(W$77&gt;" ",(W$628:W$1078),"")</f>
        <v>0</v>
      </c>
      <c r="X419" s="200">
        <f t="array" ref="X419">IF(X$77&gt;" ",(X$628:X$1078),"")</f>
        <v>0</v>
      </c>
      <c r="Y419" s="204">
        <v>0</v>
      </c>
      <c r="Z419" s="198" t="str">
        <f t="shared" si="69"/>
        <v/>
      </c>
      <c r="AA419" s="198" t="str">
        <f t="shared" si="69"/>
        <v/>
      </c>
      <c r="AB419" s="198" t="str">
        <f t="shared" si="69"/>
        <v/>
      </c>
      <c r="AC419" s="198" t="str">
        <f t="shared" si="69"/>
        <v/>
      </c>
      <c r="AD419" s="198" t="str">
        <f t="shared" si="70"/>
        <v/>
      </c>
      <c r="AE419" s="198" t="str">
        <f t="shared" si="70"/>
        <v/>
      </c>
      <c r="AF419" s="198" t="str">
        <f t="shared" si="70"/>
        <v/>
      </c>
      <c r="AG419" s="198" t="str">
        <f t="shared" si="70"/>
        <v/>
      </c>
      <c r="AH419" s="198" t="str">
        <f t="shared" si="73"/>
        <v/>
      </c>
      <c r="AI419" s="200" t="str">
        <f t="shared" si="71"/>
        <v/>
      </c>
      <c r="AJ419" s="208" t="str">
        <f t="shared" si="72"/>
        <v/>
      </c>
      <c r="AK419" s="4"/>
      <c r="AL419" s="162">
        <v>800</v>
      </c>
      <c r="AM419" s="209">
        <v>5.7699683913547458E-3</v>
      </c>
      <c r="AN419" s="183">
        <v>4.7886354698354599E-3</v>
      </c>
      <c r="AO419" s="183">
        <v>5.3929029478963575E-3</v>
      </c>
      <c r="AP419" s="165">
        <v>5.5325471350226134E-3</v>
      </c>
      <c r="AR419" s="210">
        <v>95.831890939386071</v>
      </c>
      <c r="AS419" s="211">
        <v>95.892351386708981</v>
      </c>
      <c r="AT419" s="211">
        <v>95.815319881464617</v>
      </c>
      <c r="AU419" s="211">
        <v>95.545343868197691</v>
      </c>
      <c r="AV419" s="211"/>
      <c r="AW419" s="212"/>
      <c r="AX419" s="210">
        <v>94.854376645092529</v>
      </c>
      <c r="AY419" s="211">
        <v>95.608047646194606</v>
      </c>
      <c r="AZ419" s="213">
        <v>97.850853046417882</v>
      </c>
    </row>
    <row r="420" spans="12:52" x14ac:dyDescent="0.25">
      <c r="L420" s="189">
        <v>795</v>
      </c>
      <c r="M420" s="196">
        <f t="shared" si="74"/>
        <v>0</v>
      </c>
      <c r="N420" s="197">
        <f t="shared" si="74"/>
        <v>0</v>
      </c>
      <c r="O420" s="152">
        <f ca="1"/>
        <v>95.823398898237187</v>
      </c>
      <c r="Q420" s="198">
        <v>0</v>
      </c>
      <c r="R420" s="200">
        <v>0</v>
      </c>
      <c r="S420" s="200">
        <v>0</v>
      </c>
      <c r="T420" s="200">
        <v>0</v>
      </c>
      <c r="U420" s="200">
        <f t="array" ref="U420">IF(U$77&gt;" ",(U$628:U$1078),"")</f>
        <v>0</v>
      </c>
      <c r="V420" s="200">
        <f t="array" ref="V420">IF(V$77&gt;" ",(V$628:V$1078),"")</f>
        <v>0</v>
      </c>
      <c r="W420" s="200">
        <f t="array" ref="W420">IF(W$77&gt;" ",(W$628:W$1078),"")</f>
        <v>0</v>
      </c>
      <c r="X420" s="200">
        <f t="array" ref="X420">IF(X$77&gt;" ",(X$628:X$1078),"")</f>
        <v>0</v>
      </c>
      <c r="Y420" s="204">
        <v>0</v>
      </c>
      <c r="Z420" s="198" t="str">
        <f t="shared" si="69"/>
        <v/>
      </c>
      <c r="AA420" s="198" t="str">
        <f t="shared" si="69"/>
        <v/>
      </c>
      <c r="AB420" s="198" t="str">
        <f t="shared" si="69"/>
        <v/>
      </c>
      <c r="AC420" s="198" t="str">
        <f t="shared" si="69"/>
        <v/>
      </c>
      <c r="AD420" s="198" t="str">
        <f t="shared" si="70"/>
        <v/>
      </c>
      <c r="AE420" s="198" t="str">
        <f t="shared" si="70"/>
        <v/>
      </c>
      <c r="AF420" s="198" t="str">
        <f t="shared" si="70"/>
        <v/>
      </c>
      <c r="AG420" s="198" t="str">
        <f t="shared" si="70"/>
        <v/>
      </c>
      <c r="AH420" s="198" t="str">
        <f t="shared" si="73"/>
        <v/>
      </c>
      <c r="AI420" s="200" t="str">
        <f t="shared" si="71"/>
        <v/>
      </c>
      <c r="AJ420" s="208" t="str">
        <f t="shared" si="72"/>
        <v/>
      </c>
      <c r="AK420" s="4"/>
      <c r="AL420" s="162">
        <v>795</v>
      </c>
      <c r="AM420" s="209">
        <v>5.8286325994097382E-3</v>
      </c>
      <c r="AN420" s="183">
        <v>5.2111719375756583E-3</v>
      </c>
      <c r="AO420" s="183">
        <v>5.4969897460515598E-3</v>
      </c>
      <c r="AP420" s="165">
        <v>5.6333383365336116E-3</v>
      </c>
      <c r="AR420" s="210">
        <v>95.847324960296618</v>
      </c>
      <c r="AS420" s="211">
        <v>95.90776083875339</v>
      </c>
      <c r="AT420" s="211">
        <v>95.823398898237187</v>
      </c>
      <c r="AU420" s="211">
        <v>95.564190487694603</v>
      </c>
      <c r="AV420" s="211"/>
      <c r="AW420" s="212"/>
      <c r="AX420" s="210">
        <v>94.939947779950941</v>
      </c>
      <c r="AY420" s="211">
        <v>95.667487929763595</v>
      </c>
      <c r="AZ420" s="213">
        <v>97.788562347664367</v>
      </c>
    </row>
    <row r="421" spans="12:52" x14ac:dyDescent="0.25">
      <c r="L421" s="189">
        <v>790</v>
      </c>
      <c r="M421" s="196">
        <f t="shared" si="74"/>
        <v>0</v>
      </c>
      <c r="N421" s="197">
        <f t="shared" si="74"/>
        <v>0</v>
      </c>
      <c r="O421" s="152">
        <f ca="1"/>
        <v>95.837610847166559</v>
      </c>
      <c r="Q421" s="198">
        <v>0</v>
      </c>
      <c r="R421" s="200">
        <v>0</v>
      </c>
      <c r="S421" s="200">
        <v>0</v>
      </c>
      <c r="T421" s="200">
        <v>0</v>
      </c>
      <c r="U421" s="200">
        <f t="array" ref="U421">IF(U$77&gt;" ",(U$628:U$1078),"")</f>
        <v>0</v>
      </c>
      <c r="V421" s="200">
        <f t="array" ref="V421">IF(V$77&gt;" ",(V$628:V$1078),"")</f>
        <v>0</v>
      </c>
      <c r="W421" s="200">
        <f t="array" ref="W421">IF(W$77&gt;" ",(W$628:W$1078),"")</f>
        <v>0</v>
      </c>
      <c r="X421" s="200">
        <f t="array" ref="X421">IF(X$77&gt;" ",(X$628:X$1078),"")</f>
        <v>0</v>
      </c>
      <c r="Y421" s="204">
        <v>0</v>
      </c>
      <c r="Z421" s="198" t="str">
        <f t="shared" si="69"/>
        <v/>
      </c>
      <c r="AA421" s="198" t="str">
        <f t="shared" si="69"/>
        <v/>
      </c>
      <c r="AB421" s="198" t="str">
        <f t="shared" si="69"/>
        <v/>
      </c>
      <c r="AC421" s="198" t="str">
        <f t="shared" si="69"/>
        <v/>
      </c>
      <c r="AD421" s="198" t="str">
        <f t="shared" si="70"/>
        <v/>
      </c>
      <c r="AE421" s="198" t="str">
        <f t="shared" si="70"/>
        <v/>
      </c>
      <c r="AF421" s="198" t="str">
        <f t="shared" si="70"/>
        <v/>
      </c>
      <c r="AG421" s="198" t="str">
        <f t="shared" si="70"/>
        <v/>
      </c>
      <c r="AH421" s="198" t="str">
        <f t="shared" si="73"/>
        <v/>
      </c>
      <c r="AI421" s="200" t="str">
        <f t="shared" si="71"/>
        <v/>
      </c>
      <c r="AJ421" s="208" t="str">
        <f t="shared" si="72"/>
        <v/>
      </c>
      <c r="AK421" s="4"/>
      <c r="AL421" s="162">
        <v>790</v>
      </c>
      <c r="AM421" s="209">
        <v>5.8872307441673712E-3</v>
      </c>
      <c r="AN421" s="183">
        <v>5.6337084053158576E-3</v>
      </c>
      <c r="AO421" s="183">
        <v>5.4859273810302341E-3</v>
      </c>
      <c r="AP421" s="165">
        <v>5.6215858921597577E-3</v>
      </c>
      <c r="AR421" s="210">
        <v>95.83715801948523</v>
      </c>
      <c r="AS421" s="211">
        <v>95.925629227724656</v>
      </c>
      <c r="AT421" s="211">
        <v>95.837610847166559</v>
      </c>
      <c r="AU421" s="211">
        <v>95.591810321395769</v>
      </c>
      <c r="AV421" s="211"/>
      <c r="AW421" s="212"/>
      <c r="AX421" s="210">
        <v>95.023317545697395</v>
      </c>
      <c r="AY421" s="211">
        <v>95.691787169282847</v>
      </c>
      <c r="AZ421" s="213">
        <v>97.687326314222389</v>
      </c>
    </row>
    <row r="422" spans="12:52" x14ac:dyDescent="0.25">
      <c r="L422" s="189">
        <v>785</v>
      </c>
      <c r="M422" s="196">
        <f t="shared" si="74"/>
        <v>0</v>
      </c>
      <c r="N422" s="197">
        <f t="shared" si="74"/>
        <v>0</v>
      </c>
      <c r="O422" s="152">
        <f ca="1"/>
        <v>95.886071881801684</v>
      </c>
      <c r="Q422" s="198">
        <v>0</v>
      </c>
      <c r="R422" s="200">
        <v>0</v>
      </c>
      <c r="S422" s="200">
        <v>0</v>
      </c>
      <c r="T422" s="200">
        <v>0</v>
      </c>
      <c r="U422" s="200">
        <f t="array" ref="U422">IF(U$77&gt;" ",(U$628:U$1078),"")</f>
        <v>0</v>
      </c>
      <c r="V422" s="200">
        <f t="array" ref="V422">IF(V$77&gt;" ",(V$628:V$1078),"")</f>
        <v>0</v>
      </c>
      <c r="W422" s="200">
        <f t="array" ref="W422">IF(W$77&gt;" ",(W$628:W$1078),"")</f>
        <v>0</v>
      </c>
      <c r="X422" s="200">
        <f t="array" ref="X422">IF(X$77&gt;" ",(X$628:X$1078),"")</f>
        <v>0</v>
      </c>
      <c r="Y422" s="204">
        <v>0</v>
      </c>
      <c r="Z422" s="198" t="str">
        <f t="shared" si="69"/>
        <v/>
      </c>
      <c r="AA422" s="198" t="str">
        <f t="shared" si="69"/>
        <v/>
      </c>
      <c r="AB422" s="198" t="str">
        <f t="shared" si="69"/>
        <v/>
      </c>
      <c r="AC422" s="198" t="str">
        <f t="shared" si="69"/>
        <v/>
      </c>
      <c r="AD422" s="198" t="str">
        <f t="shared" si="70"/>
        <v/>
      </c>
      <c r="AE422" s="198" t="str">
        <f t="shared" si="70"/>
        <v/>
      </c>
      <c r="AF422" s="198" t="str">
        <f t="shared" si="70"/>
        <v/>
      </c>
      <c r="AG422" s="198" t="str">
        <f t="shared" si="70"/>
        <v/>
      </c>
      <c r="AH422" s="198" t="str">
        <f t="shared" si="73"/>
        <v/>
      </c>
      <c r="AI422" s="200" t="str">
        <f t="shared" si="71"/>
        <v/>
      </c>
      <c r="AJ422" s="208" t="str">
        <f t="shared" si="72"/>
        <v/>
      </c>
      <c r="AK422" s="4"/>
      <c r="AL422" s="162">
        <v>785</v>
      </c>
      <c r="AM422" s="209">
        <v>5.9458949522223636E-3</v>
      </c>
      <c r="AN422" s="183">
        <v>5.6634727145075028E-3</v>
      </c>
      <c r="AO422" s="183">
        <v>5.8258436880491565E-3</v>
      </c>
      <c r="AP422" s="165">
        <v>5.959608577960105E-3</v>
      </c>
      <c r="AR422" s="210">
        <v>95.872669784487215</v>
      </c>
      <c r="AS422" s="211">
        <v>95.978211300838709</v>
      </c>
      <c r="AT422" s="211">
        <v>95.886071881801684</v>
      </c>
      <c r="AU422" s="211">
        <v>95.619733591950492</v>
      </c>
      <c r="AV422" s="211"/>
      <c r="AW422" s="212"/>
      <c r="AX422" s="210">
        <v>94.955464125408866</v>
      </c>
      <c r="AY422" s="211">
        <v>95.628581092087828</v>
      </c>
      <c r="AZ422" s="213">
        <v>97.60338169780789</v>
      </c>
    </row>
    <row r="423" spans="12:52" x14ac:dyDescent="0.25">
      <c r="L423" s="189">
        <v>780</v>
      </c>
      <c r="M423" s="196">
        <f t="shared" si="74"/>
        <v>0</v>
      </c>
      <c r="N423" s="197">
        <f t="shared" si="74"/>
        <v>0</v>
      </c>
      <c r="O423" s="152">
        <f ca="1"/>
        <v>95.887183045810971</v>
      </c>
      <c r="Q423" s="198">
        <v>0</v>
      </c>
      <c r="R423" s="200">
        <v>0</v>
      </c>
      <c r="S423" s="200">
        <v>0</v>
      </c>
      <c r="T423" s="200">
        <v>0</v>
      </c>
      <c r="U423" s="200">
        <f t="array" ref="U423">IF(U$77&gt;" ",(U$628:U$1078),"")</f>
        <v>0</v>
      </c>
      <c r="V423" s="200">
        <f t="array" ref="V423">IF(V$77&gt;" ",(V$628:V$1078),"")</f>
        <v>0</v>
      </c>
      <c r="W423" s="200">
        <f t="array" ref="W423">IF(W$77&gt;" ",(W$628:W$1078),"")</f>
        <v>0</v>
      </c>
      <c r="X423" s="200">
        <f t="array" ref="X423">IF(X$77&gt;" ",(X$628:X$1078),"")</f>
        <v>0</v>
      </c>
      <c r="Y423" s="204">
        <v>0</v>
      </c>
      <c r="Z423" s="198" t="str">
        <f t="shared" si="69"/>
        <v/>
      </c>
      <c r="AA423" s="198" t="str">
        <f t="shared" si="69"/>
        <v/>
      </c>
      <c r="AB423" s="198" t="str">
        <f t="shared" si="69"/>
        <v/>
      </c>
      <c r="AC423" s="198" t="str">
        <f t="shared" si="69"/>
        <v/>
      </c>
      <c r="AD423" s="198" t="str">
        <f t="shared" si="70"/>
        <v/>
      </c>
      <c r="AE423" s="198" t="str">
        <f t="shared" si="70"/>
        <v/>
      </c>
      <c r="AF423" s="198" t="str">
        <f t="shared" si="70"/>
        <v/>
      </c>
      <c r="AG423" s="198" t="str">
        <f t="shared" si="70"/>
        <v/>
      </c>
      <c r="AH423" s="198" t="str">
        <f t="shared" si="73"/>
        <v/>
      </c>
      <c r="AI423" s="200" t="str">
        <f t="shared" si="71"/>
        <v/>
      </c>
      <c r="AJ423" s="208" t="str">
        <f t="shared" si="72"/>
        <v/>
      </c>
      <c r="AK423" s="4"/>
      <c r="AL423" s="162">
        <v>780</v>
      </c>
      <c r="AM423" s="209">
        <v>6.0044930969799966E-3</v>
      </c>
      <c r="AN423" s="183">
        <v>5.6932370236991471E-3</v>
      </c>
      <c r="AO423" s="183">
        <v>5.8509854267339879E-3</v>
      </c>
      <c r="AP423" s="165">
        <v>5.980874905874697E-3</v>
      </c>
      <c r="AR423" s="210">
        <v>95.882284325401358</v>
      </c>
      <c r="AS423" s="211">
        <v>95.987635295140819</v>
      </c>
      <c r="AT423" s="211">
        <v>95.887183045810971</v>
      </c>
      <c r="AU423" s="211">
        <v>95.628946429799115</v>
      </c>
      <c r="AV423" s="211"/>
      <c r="AW423" s="212"/>
      <c r="AX423" s="210">
        <v>95.055443379357754</v>
      </c>
      <c r="AY423" s="211">
        <v>95.66208429454764</v>
      </c>
      <c r="AZ423" s="213">
        <v>97.581497975708515</v>
      </c>
    </row>
    <row r="424" spans="12:52" x14ac:dyDescent="0.25">
      <c r="L424" s="189">
        <v>775</v>
      </c>
      <c r="M424" s="196">
        <f t="shared" si="74"/>
        <v>0</v>
      </c>
      <c r="N424" s="197">
        <f t="shared" si="74"/>
        <v>0</v>
      </c>
      <c r="O424" s="152">
        <f ca="1"/>
        <v>95.874417580819099</v>
      </c>
      <c r="Q424" s="198">
        <v>0</v>
      </c>
      <c r="R424" s="200">
        <v>0</v>
      </c>
      <c r="S424" s="200">
        <v>0</v>
      </c>
      <c r="T424" s="200">
        <v>0</v>
      </c>
      <c r="U424" s="200">
        <f t="array" ref="U424">IF(U$77&gt;" ",(U$628:U$1078),"")</f>
        <v>0</v>
      </c>
      <c r="V424" s="200">
        <f t="array" ref="V424">IF(V$77&gt;" ",(V$628:V$1078),"")</f>
        <v>0</v>
      </c>
      <c r="W424" s="200">
        <f t="array" ref="W424">IF(W$77&gt;" ",(W$628:W$1078),"")</f>
        <v>0</v>
      </c>
      <c r="X424" s="200">
        <f t="array" ref="X424">IF(X$77&gt;" ",(X$628:X$1078),"")</f>
        <v>0</v>
      </c>
      <c r="Y424" s="204">
        <v>0</v>
      </c>
      <c r="Z424" s="198" t="str">
        <f t="shared" si="69"/>
        <v/>
      </c>
      <c r="AA424" s="198" t="str">
        <f t="shared" si="69"/>
        <v/>
      </c>
      <c r="AB424" s="198" t="str">
        <f t="shared" si="69"/>
        <v/>
      </c>
      <c r="AC424" s="198" t="str">
        <f t="shared" si="69"/>
        <v/>
      </c>
      <c r="AD424" s="198" t="str">
        <f t="shared" si="70"/>
        <v/>
      </c>
      <c r="AE424" s="198" t="str">
        <f t="shared" si="70"/>
        <v/>
      </c>
      <c r="AF424" s="198" t="str">
        <f t="shared" si="70"/>
        <v/>
      </c>
      <c r="AG424" s="198" t="str">
        <f t="shared" si="70"/>
        <v/>
      </c>
      <c r="AH424" s="198" t="str">
        <f t="shared" si="73"/>
        <v/>
      </c>
      <c r="AI424" s="200" t="str">
        <f t="shared" si="71"/>
        <v/>
      </c>
      <c r="AJ424" s="208" t="str">
        <f t="shared" si="72"/>
        <v/>
      </c>
      <c r="AK424" s="4"/>
      <c r="AL424" s="162">
        <v>775</v>
      </c>
      <c r="AM424" s="209">
        <v>5.7978471028403396E-3</v>
      </c>
      <c r="AN424" s="183">
        <v>5.4676285624313918E-3</v>
      </c>
      <c r="AO424" s="183">
        <v>5.9188681211830331E-3</v>
      </c>
      <c r="AP424" s="165">
        <v>6.0446738896184722E-3</v>
      </c>
      <c r="AR424" s="210">
        <v>95.892984984588296</v>
      </c>
      <c r="AS424" s="211">
        <v>95.990906615543466</v>
      </c>
      <c r="AT424" s="211">
        <v>95.874417580819099</v>
      </c>
      <c r="AU424" s="211">
        <v>95.625528674601924</v>
      </c>
      <c r="AV424" s="211"/>
      <c r="AW424" s="212"/>
      <c r="AX424" s="210">
        <v>95.131519331818978</v>
      </c>
      <c r="AY424" s="211">
        <v>95.751893563945032</v>
      </c>
      <c r="AZ424" s="213">
        <v>97.522877663203332</v>
      </c>
    </row>
    <row r="425" spans="12:52" x14ac:dyDescent="0.25">
      <c r="L425" s="189">
        <v>770</v>
      </c>
      <c r="M425" s="196">
        <f t="shared" si="74"/>
        <v>0</v>
      </c>
      <c r="N425" s="197">
        <f t="shared" si="74"/>
        <v>0</v>
      </c>
      <c r="O425" s="152">
        <f ca="1"/>
        <v>95.891690542584186</v>
      </c>
      <c r="Q425" s="198">
        <v>0</v>
      </c>
      <c r="R425" s="200">
        <v>0</v>
      </c>
      <c r="S425" s="200">
        <v>0</v>
      </c>
      <c r="T425" s="200">
        <v>0</v>
      </c>
      <c r="U425" s="200">
        <f t="array" ref="U425">IF(U$77&gt;" ",(U$628:U$1078),"")</f>
        <v>0</v>
      </c>
      <c r="V425" s="200">
        <f t="array" ref="V425">IF(V$77&gt;" ",(V$628:V$1078),"")</f>
        <v>0</v>
      </c>
      <c r="W425" s="200">
        <f t="array" ref="W425">IF(W$77&gt;" ",(W$628:W$1078),"")</f>
        <v>0</v>
      </c>
      <c r="X425" s="200">
        <f t="array" ref="X425">IF(X$77&gt;" ",(X$628:X$1078),"")</f>
        <v>0</v>
      </c>
      <c r="Y425" s="204">
        <v>0</v>
      </c>
      <c r="Z425" s="198" t="str">
        <f t="shared" si="69"/>
        <v/>
      </c>
      <c r="AA425" s="198" t="str">
        <f t="shared" si="69"/>
        <v/>
      </c>
      <c r="AB425" s="198" t="str">
        <f t="shared" si="69"/>
        <v/>
      </c>
      <c r="AC425" s="198" t="str">
        <f t="shared" si="69"/>
        <v/>
      </c>
      <c r="AD425" s="198" t="str">
        <f t="shared" si="70"/>
        <v/>
      </c>
      <c r="AE425" s="198" t="str">
        <f t="shared" si="70"/>
        <v/>
      </c>
      <c r="AF425" s="198" t="str">
        <f t="shared" si="70"/>
        <v/>
      </c>
      <c r="AG425" s="198" t="str">
        <f t="shared" si="70"/>
        <v/>
      </c>
      <c r="AH425" s="198" t="str">
        <f t="shared" si="73"/>
        <v/>
      </c>
      <c r="AI425" s="200" t="str">
        <f t="shared" si="71"/>
        <v/>
      </c>
      <c r="AJ425" s="208" t="str">
        <f t="shared" si="72"/>
        <v/>
      </c>
      <c r="AK425" s="4"/>
      <c r="AL425" s="162">
        <v>770</v>
      </c>
      <c r="AM425" s="209">
        <v>5.5912011087006826E-3</v>
      </c>
      <c r="AN425" s="183">
        <v>5.2420201011636374E-3</v>
      </c>
      <c r="AO425" s="183">
        <v>5.8369060530704822E-3</v>
      </c>
      <c r="AP425" s="165">
        <v>5.9579296573352694E-3</v>
      </c>
      <c r="AR425" s="210">
        <v>95.908821609354078</v>
      </c>
      <c r="AS425" s="211">
        <v>95.994104528708547</v>
      </c>
      <c r="AT425" s="211">
        <v>95.891690542584186</v>
      </c>
      <c r="AU425" s="211">
        <v>95.626731953027772</v>
      </c>
      <c r="AV425" s="211"/>
      <c r="AW425" s="212"/>
      <c r="AX425" s="210">
        <v>95.165740035427731</v>
      </c>
      <c r="AY425" s="211">
        <v>95.820494640349082</v>
      </c>
      <c r="AZ425" s="213">
        <v>97.431716788611226</v>
      </c>
    </row>
    <row r="426" spans="12:52" x14ac:dyDescent="0.25">
      <c r="L426" s="189">
        <v>765</v>
      </c>
      <c r="M426" s="196">
        <f t="shared" si="74"/>
        <v>0</v>
      </c>
      <c r="N426" s="197">
        <f t="shared" si="74"/>
        <v>0</v>
      </c>
      <c r="O426" s="152">
        <f ca="1"/>
        <v>95.898507633168194</v>
      </c>
      <c r="Q426" s="198">
        <v>0</v>
      </c>
      <c r="R426" s="200">
        <v>0</v>
      </c>
      <c r="S426" s="200">
        <v>0</v>
      </c>
      <c r="T426" s="200">
        <v>0</v>
      </c>
      <c r="U426" s="200">
        <f t="array" ref="U426">IF(U$77&gt;" ",(U$628:U$1078),"")</f>
        <v>0</v>
      </c>
      <c r="V426" s="200">
        <f t="array" ref="V426">IF(V$77&gt;" ",(V$628:V$1078),"")</f>
        <v>0</v>
      </c>
      <c r="W426" s="200">
        <f t="array" ref="W426">IF(W$77&gt;" ",(W$628:W$1078),"")</f>
        <v>0</v>
      </c>
      <c r="X426" s="200">
        <f t="array" ref="X426">IF(X$77&gt;" ",(X$628:X$1078),"")</f>
        <v>0</v>
      </c>
      <c r="Y426" s="204">
        <v>0</v>
      </c>
      <c r="Z426" s="198" t="str">
        <f t="shared" si="69"/>
        <v/>
      </c>
      <c r="AA426" s="198" t="str">
        <f t="shared" si="69"/>
        <v/>
      </c>
      <c r="AB426" s="198" t="str">
        <f t="shared" si="69"/>
        <v/>
      </c>
      <c r="AC426" s="198" t="str">
        <f t="shared" si="69"/>
        <v/>
      </c>
      <c r="AD426" s="198" t="str">
        <f t="shared" si="70"/>
        <v/>
      </c>
      <c r="AE426" s="198" t="str">
        <f t="shared" si="70"/>
        <v/>
      </c>
      <c r="AF426" s="198" t="str">
        <f t="shared" si="70"/>
        <v/>
      </c>
      <c r="AG426" s="198" t="str">
        <f t="shared" si="70"/>
        <v/>
      </c>
      <c r="AH426" s="198" t="str">
        <f t="shared" si="73"/>
        <v/>
      </c>
      <c r="AI426" s="200" t="str">
        <f t="shared" si="71"/>
        <v/>
      </c>
      <c r="AJ426" s="208" t="str">
        <f t="shared" si="72"/>
        <v/>
      </c>
      <c r="AK426" s="4"/>
      <c r="AL426" s="162">
        <v>765</v>
      </c>
      <c r="AM426" s="209">
        <v>4.4774399785215014E-3</v>
      </c>
      <c r="AN426" s="183">
        <v>5.0009041846867906E-3</v>
      </c>
      <c r="AO426" s="183">
        <v>3.4494968310362522E-3</v>
      </c>
      <c r="AP426" s="165">
        <v>3.5468317480080534E-3</v>
      </c>
      <c r="AR426" s="210">
        <v>95.908445472006704</v>
      </c>
      <c r="AS426" s="211">
        <v>95.992170328117254</v>
      </c>
      <c r="AT426" s="211">
        <v>95.898507633168194</v>
      </c>
      <c r="AU426" s="211">
        <v>95.6266244469101</v>
      </c>
      <c r="AV426" s="211"/>
      <c r="AW426" s="212"/>
      <c r="AX426" s="210">
        <v>95.172054816282738</v>
      </c>
      <c r="AY426" s="211">
        <v>95.773389462962157</v>
      </c>
      <c r="AZ426" s="213">
        <v>97.487759699551191</v>
      </c>
    </row>
    <row r="427" spans="12:52" x14ac:dyDescent="0.25">
      <c r="L427" s="189">
        <v>760</v>
      </c>
      <c r="M427" s="196">
        <f t="shared" si="74"/>
        <v>0</v>
      </c>
      <c r="N427" s="197">
        <f t="shared" si="74"/>
        <v>0</v>
      </c>
      <c r="O427" s="152">
        <f ca="1"/>
        <v>95.927650311937782</v>
      </c>
      <c r="Q427" s="198">
        <v>0</v>
      </c>
      <c r="R427" s="200">
        <v>0</v>
      </c>
      <c r="S427" s="200">
        <v>0</v>
      </c>
      <c r="T427" s="200">
        <v>0</v>
      </c>
      <c r="U427" s="200">
        <f t="array" ref="U427">IF(U$77&gt;" ",(U$628:U$1078),"")</f>
        <v>0</v>
      </c>
      <c r="V427" s="200">
        <f t="array" ref="V427">IF(V$77&gt;" ",(V$628:V$1078),"")</f>
        <v>0</v>
      </c>
      <c r="W427" s="200">
        <f t="array" ref="W427">IF(W$77&gt;" ",(W$628:W$1078),"")</f>
        <v>0</v>
      </c>
      <c r="X427" s="200">
        <f t="array" ref="X427">IF(X$77&gt;" ",(X$628:X$1078),"")</f>
        <v>0</v>
      </c>
      <c r="Y427" s="204">
        <v>0</v>
      </c>
      <c r="Z427" s="198" t="str">
        <f t="shared" si="69"/>
        <v/>
      </c>
      <c r="AA427" s="198" t="str">
        <f t="shared" si="69"/>
        <v/>
      </c>
      <c r="AB427" s="198" t="str">
        <f t="shared" si="69"/>
        <v/>
      </c>
      <c r="AC427" s="198" t="str">
        <f t="shared" si="69"/>
        <v/>
      </c>
      <c r="AD427" s="198" t="str">
        <f t="shared" si="70"/>
        <v/>
      </c>
      <c r="AE427" s="198" t="str">
        <f t="shared" si="70"/>
        <v/>
      </c>
      <c r="AF427" s="198" t="str">
        <f t="shared" si="70"/>
        <v/>
      </c>
      <c r="AG427" s="198" t="str">
        <f t="shared" si="70"/>
        <v/>
      </c>
      <c r="AH427" s="198" t="str">
        <f t="shared" si="73"/>
        <v/>
      </c>
      <c r="AI427" s="200" t="str">
        <f t="shared" si="71"/>
        <v/>
      </c>
      <c r="AJ427" s="208" t="str">
        <f t="shared" si="72"/>
        <v/>
      </c>
      <c r="AK427" s="4"/>
      <c r="AL427" s="162">
        <v>760</v>
      </c>
      <c r="AM427" s="209">
        <v>4.8457428612991831E-3</v>
      </c>
      <c r="AN427" s="183">
        <v>4.7597882682099447E-3</v>
      </c>
      <c r="AO427" s="183">
        <v>1.3377416319425147E-3</v>
      </c>
      <c r="AP427" s="165">
        <v>1.3832067387816881E-3</v>
      </c>
      <c r="AR427" s="210">
        <v>95.92050488029426</v>
      </c>
      <c r="AS427" s="211">
        <v>96.00818047904913</v>
      </c>
      <c r="AT427" s="211">
        <v>95.927650311937782</v>
      </c>
      <c r="AU427" s="211">
        <v>95.668686039309208</v>
      </c>
      <c r="AV427" s="211"/>
      <c r="AW427" s="212"/>
      <c r="AX427" s="210">
        <v>95.14672047484531</v>
      </c>
      <c r="AY427" s="211">
        <v>95.779912898864737</v>
      </c>
      <c r="AZ427" s="213">
        <v>97.502209680071672</v>
      </c>
    </row>
    <row r="428" spans="12:52" x14ac:dyDescent="0.25">
      <c r="L428" s="189">
        <v>755</v>
      </c>
      <c r="M428" s="196">
        <f t="shared" si="74"/>
        <v>0</v>
      </c>
      <c r="N428" s="197">
        <f t="shared" si="74"/>
        <v>0</v>
      </c>
      <c r="O428" s="152">
        <f ca="1"/>
        <v>95.880311536550565</v>
      </c>
      <c r="Q428" s="198">
        <v>0</v>
      </c>
      <c r="R428" s="200">
        <v>0</v>
      </c>
      <c r="S428" s="200">
        <v>0</v>
      </c>
      <c r="T428" s="200">
        <v>0</v>
      </c>
      <c r="U428" s="200">
        <f t="array" ref="U428">IF(U$77&gt;" ",(U$628:U$1078),"")</f>
        <v>0</v>
      </c>
      <c r="V428" s="200">
        <f t="array" ref="V428">IF(V$77&gt;" ",(V$628:V$1078),"")</f>
        <v>0</v>
      </c>
      <c r="W428" s="200">
        <f t="array" ref="W428">IF(W$77&gt;" ",(W$628:W$1078),"")</f>
        <v>0</v>
      </c>
      <c r="X428" s="200">
        <f t="array" ref="X428">IF(X$77&gt;" ",(X$628:X$1078),"")</f>
        <v>0</v>
      </c>
      <c r="Y428" s="204">
        <v>0</v>
      </c>
      <c r="Z428" s="198" t="str">
        <f t="shared" si="69"/>
        <v/>
      </c>
      <c r="AA428" s="198" t="str">
        <f t="shared" si="69"/>
        <v/>
      </c>
      <c r="AB428" s="198" t="str">
        <f t="shared" si="69"/>
        <v/>
      </c>
      <c r="AC428" s="198" t="str">
        <f t="shared" si="69"/>
        <v/>
      </c>
      <c r="AD428" s="198" t="str">
        <f t="shared" si="70"/>
        <v/>
      </c>
      <c r="AE428" s="198" t="str">
        <f t="shared" si="70"/>
        <v/>
      </c>
      <c r="AF428" s="198" t="str">
        <f t="shared" si="70"/>
        <v/>
      </c>
      <c r="AG428" s="198" t="str">
        <f t="shared" si="70"/>
        <v/>
      </c>
      <c r="AH428" s="198" t="str">
        <f t="shared" si="73"/>
        <v/>
      </c>
      <c r="AI428" s="200" t="str">
        <f t="shared" si="71"/>
        <v/>
      </c>
      <c r="AJ428" s="208" t="str">
        <f t="shared" si="72"/>
        <v/>
      </c>
      <c r="AK428" s="4"/>
      <c r="AL428" s="162">
        <v>755</v>
      </c>
      <c r="AM428" s="209">
        <v>6.2710585018244712E-3</v>
      </c>
      <c r="AN428" s="183">
        <v>5.4266088422008909E-3</v>
      </c>
      <c r="AO428" s="183">
        <v>6.22660300268537E-3</v>
      </c>
      <c r="AP428" s="165">
        <v>6.3356867979234071E-3</v>
      </c>
      <c r="AR428" s="210">
        <v>95.907655892018326</v>
      </c>
      <c r="AS428" s="211">
        <v>95.966329313676724</v>
      </c>
      <c r="AT428" s="211">
        <v>95.880311536550565</v>
      </c>
      <c r="AU428" s="211">
        <v>95.629014888571717</v>
      </c>
      <c r="AV428" s="211"/>
      <c r="AW428" s="212"/>
      <c r="AX428" s="210">
        <v>95.210795031075463</v>
      </c>
      <c r="AY428" s="211">
        <v>95.829862478165126</v>
      </c>
      <c r="AZ428" s="213">
        <v>97.342464219643446</v>
      </c>
    </row>
    <row r="429" spans="12:52" x14ac:dyDescent="0.25">
      <c r="L429" s="189">
        <v>750</v>
      </c>
      <c r="M429" s="196">
        <f t="shared" si="74"/>
        <v>0</v>
      </c>
      <c r="N429" s="197">
        <f t="shared" si="74"/>
        <v>0</v>
      </c>
      <c r="O429" s="152">
        <f ca="1"/>
        <v>95.86899851666611</v>
      </c>
      <c r="Q429" s="198">
        <v>0</v>
      </c>
      <c r="R429" s="200">
        <v>0</v>
      </c>
      <c r="S429" s="200">
        <v>0</v>
      </c>
      <c r="T429" s="200">
        <v>0</v>
      </c>
      <c r="U429" s="200">
        <f t="array" ref="U429">IF(U$77&gt;" ",(U$628:U$1078),"")</f>
        <v>0</v>
      </c>
      <c r="V429" s="200">
        <f t="array" ref="V429">IF(V$77&gt;" ",(V$628:V$1078),"")</f>
        <v>0</v>
      </c>
      <c r="W429" s="200">
        <f t="array" ref="W429">IF(W$77&gt;" ",(W$628:W$1078),"")</f>
        <v>0</v>
      </c>
      <c r="X429" s="200">
        <f t="array" ref="X429">IF(X$77&gt;" ",(X$628:X$1078),"")</f>
        <v>0</v>
      </c>
      <c r="Y429" s="204">
        <v>0</v>
      </c>
      <c r="Z429" s="198" t="str">
        <f t="shared" si="69"/>
        <v/>
      </c>
      <c r="AA429" s="198" t="str">
        <f t="shared" si="69"/>
        <v/>
      </c>
      <c r="AB429" s="198" t="str">
        <f t="shared" si="69"/>
        <v/>
      </c>
      <c r="AC429" s="198" t="str">
        <f t="shared" si="69"/>
        <v/>
      </c>
      <c r="AD429" s="198" t="str">
        <f t="shared" si="70"/>
        <v/>
      </c>
      <c r="AE429" s="198" t="str">
        <f t="shared" si="70"/>
        <v/>
      </c>
      <c r="AF429" s="198" t="str">
        <f t="shared" si="70"/>
        <v/>
      </c>
      <c r="AG429" s="198" t="str">
        <f t="shared" si="70"/>
        <v/>
      </c>
      <c r="AH429" s="198" t="str">
        <f t="shared" si="73"/>
        <v/>
      </c>
      <c r="AI429" s="200" t="str">
        <f t="shared" si="71"/>
        <v/>
      </c>
      <c r="AJ429" s="208" t="str">
        <f t="shared" si="72"/>
        <v/>
      </c>
      <c r="AK429" s="4"/>
      <c r="AL429" s="162">
        <v>750</v>
      </c>
      <c r="AM429" s="209">
        <v>6.3370557358863374E-3</v>
      </c>
      <c r="AN429" s="183">
        <v>6.0934294161918388E-3</v>
      </c>
      <c r="AO429" s="183">
        <v>6.2054839421901119E-3</v>
      </c>
      <c r="AP429" s="165">
        <v>6.3088240679260279E-3</v>
      </c>
      <c r="AR429" s="210">
        <v>95.921817195316407</v>
      </c>
      <c r="AS429" s="211">
        <v>95.969223768263916</v>
      </c>
      <c r="AT429" s="211">
        <v>95.86899851666611</v>
      </c>
      <c r="AU429" s="211">
        <v>95.612024791879222</v>
      </c>
      <c r="AV429" s="211"/>
      <c r="AW429" s="212"/>
      <c r="AX429" s="210">
        <v>95.389169322680843</v>
      </c>
      <c r="AY429" s="211">
        <v>95.916256897403585</v>
      </c>
      <c r="AZ429" s="213">
        <v>97.223932894725763</v>
      </c>
    </row>
    <row r="430" spans="12:52" x14ac:dyDescent="0.25">
      <c r="L430" s="189">
        <v>745</v>
      </c>
      <c r="M430" s="196">
        <f t="shared" si="74"/>
        <v>0</v>
      </c>
      <c r="N430" s="197">
        <f t="shared" si="74"/>
        <v>0</v>
      </c>
      <c r="O430" s="152">
        <f ca="1"/>
        <v>95.882855866213205</v>
      </c>
      <c r="Q430" s="198">
        <v>0</v>
      </c>
      <c r="R430" s="200">
        <v>0</v>
      </c>
      <c r="S430" s="200">
        <v>0</v>
      </c>
      <c r="T430" s="200">
        <v>0</v>
      </c>
      <c r="U430" s="200">
        <f t="array" ref="U430">IF(U$77&gt;" ",(U$628:U$1078),"")</f>
        <v>0</v>
      </c>
      <c r="V430" s="200">
        <f t="array" ref="V430">IF(V$77&gt;" ",(V$628:V$1078),"")</f>
        <v>0</v>
      </c>
      <c r="W430" s="200">
        <f t="array" ref="W430">IF(W$77&gt;" ",(W$628:W$1078),"")</f>
        <v>0</v>
      </c>
      <c r="X430" s="200">
        <f t="array" ref="X430">IF(X$77&gt;" ",(X$628:X$1078),"")</f>
        <v>0</v>
      </c>
      <c r="Y430" s="204">
        <v>0</v>
      </c>
      <c r="Z430" s="198" t="str">
        <f t="shared" si="69"/>
        <v/>
      </c>
      <c r="AA430" s="198" t="str">
        <f t="shared" si="69"/>
        <v/>
      </c>
      <c r="AB430" s="198" t="str">
        <f t="shared" si="69"/>
        <v/>
      </c>
      <c r="AC430" s="198" t="str">
        <f t="shared" si="69"/>
        <v/>
      </c>
      <c r="AD430" s="198" t="str">
        <f t="shared" si="70"/>
        <v/>
      </c>
      <c r="AE430" s="198" t="str">
        <f t="shared" si="70"/>
        <v/>
      </c>
      <c r="AF430" s="198" t="str">
        <f t="shared" si="70"/>
        <v/>
      </c>
      <c r="AG430" s="198" t="str">
        <f t="shared" si="70"/>
        <v/>
      </c>
      <c r="AH430" s="198" t="str">
        <f t="shared" si="73"/>
        <v/>
      </c>
      <c r="AI430" s="200" t="str">
        <f t="shared" si="71"/>
        <v/>
      </c>
      <c r="AJ430" s="208" t="str">
        <f t="shared" si="72"/>
        <v/>
      </c>
      <c r="AK430" s="4"/>
      <c r="AL430" s="162">
        <v>745</v>
      </c>
      <c r="AM430" s="209">
        <v>6.3759009547335616E-3</v>
      </c>
      <c r="AN430" s="183">
        <v>6.0919286947199898E-3</v>
      </c>
      <c r="AO430" s="183">
        <v>6.2839261668867861E-3</v>
      </c>
      <c r="AP430" s="165">
        <v>6.3821369352105419E-3</v>
      </c>
      <c r="AR430" s="210">
        <v>95.910098973483414</v>
      </c>
      <c r="AS430" s="211">
        <v>95.980455240927711</v>
      </c>
      <c r="AT430" s="211">
        <v>95.882855866213205</v>
      </c>
      <c r="AU430" s="211">
        <v>95.619041622967416</v>
      </c>
      <c r="AV430" s="211"/>
      <c r="AW430" s="212"/>
      <c r="AX430" s="210">
        <v>95.332092247546555</v>
      </c>
      <c r="AY430" s="211">
        <v>95.896199539228405</v>
      </c>
      <c r="AZ430" s="213">
        <v>97.075885813233469</v>
      </c>
    </row>
    <row r="431" spans="12:52" x14ac:dyDescent="0.25">
      <c r="L431" s="189">
        <v>740</v>
      </c>
      <c r="M431" s="196">
        <f t="shared" ref="M431:N446" si="75">M980</f>
        <v>0</v>
      </c>
      <c r="N431" s="197">
        <f t="shared" si="75"/>
        <v>0</v>
      </c>
      <c r="O431" s="152">
        <f ca="1"/>
        <v>95.918901520372813</v>
      </c>
      <c r="Q431" s="198">
        <v>0</v>
      </c>
      <c r="R431" s="200">
        <v>0</v>
      </c>
      <c r="S431" s="200">
        <v>0</v>
      </c>
      <c r="T431" s="200">
        <v>0</v>
      </c>
      <c r="U431" s="200">
        <f t="array" ref="U431">IF(U$77&gt;" ",(U$628:U$1078),"")</f>
        <v>0</v>
      </c>
      <c r="V431" s="200">
        <f t="array" ref="V431">IF(V$77&gt;" ",(V$628:V$1078),"")</f>
        <v>0</v>
      </c>
      <c r="W431" s="200">
        <f t="array" ref="W431">IF(W$77&gt;" ",(W$628:W$1078),"")</f>
        <v>0</v>
      </c>
      <c r="X431" s="200">
        <f t="array" ref="X431">IF(X$77&gt;" ",(X$628:X$1078),"")</f>
        <v>0</v>
      </c>
      <c r="Y431" s="204">
        <v>0</v>
      </c>
      <c r="Z431" s="198" t="str">
        <f t="shared" si="69"/>
        <v/>
      </c>
      <c r="AA431" s="198" t="str">
        <f t="shared" si="69"/>
        <v/>
      </c>
      <c r="AB431" s="198" t="str">
        <f t="shared" si="69"/>
        <v/>
      </c>
      <c r="AC431" s="198" t="str">
        <f t="shared" si="69"/>
        <v/>
      </c>
      <c r="AD431" s="198" t="str">
        <f t="shared" si="70"/>
        <v/>
      </c>
      <c r="AE431" s="198" t="str">
        <f t="shared" si="70"/>
        <v/>
      </c>
      <c r="AF431" s="198" t="str">
        <f t="shared" si="70"/>
        <v/>
      </c>
      <c r="AG431" s="198" t="str">
        <f t="shared" si="70"/>
        <v/>
      </c>
      <c r="AH431" s="198" t="str">
        <f t="shared" si="73"/>
        <v/>
      </c>
      <c r="AI431" s="200" t="str">
        <f t="shared" si="71"/>
        <v/>
      </c>
      <c r="AJ431" s="208" t="str">
        <f t="shared" si="72"/>
        <v/>
      </c>
      <c r="AK431" s="4"/>
      <c r="AL431" s="162">
        <v>740</v>
      </c>
      <c r="AM431" s="209">
        <v>6.4147461735807858E-3</v>
      </c>
      <c r="AN431" s="183">
        <v>6.0904279732481425E-3</v>
      </c>
      <c r="AO431" s="183">
        <v>6.1320700652304043E-3</v>
      </c>
      <c r="AP431" s="165">
        <v>6.2226394758511062E-3</v>
      </c>
      <c r="AR431" s="210">
        <v>95.925532900618265</v>
      </c>
      <c r="AS431" s="211">
        <v>96.009501298726306</v>
      </c>
      <c r="AT431" s="211">
        <v>95.918901520372813</v>
      </c>
      <c r="AU431" s="211">
        <v>95.656351215654695</v>
      </c>
      <c r="AV431" s="211"/>
      <c r="AW431" s="212"/>
      <c r="AX431" s="210">
        <v>95.372165584718104</v>
      </c>
      <c r="AY431" s="211">
        <v>95.889670069254137</v>
      </c>
      <c r="AZ431" s="213">
        <v>96.911286229724169</v>
      </c>
    </row>
    <row r="432" spans="12:52" x14ac:dyDescent="0.25">
      <c r="L432" s="189">
        <v>735</v>
      </c>
      <c r="M432" s="196">
        <f t="shared" si="75"/>
        <v>0</v>
      </c>
      <c r="N432" s="197">
        <f t="shared" si="75"/>
        <v>0</v>
      </c>
      <c r="O432" s="152">
        <f ca="1"/>
        <v>95.922117201609652</v>
      </c>
      <c r="Q432" s="198">
        <v>0</v>
      </c>
      <c r="R432" s="200">
        <v>0</v>
      </c>
      <c r="S432" s="200">
        <v>0</v>
      </c>
      <c r="T432" s="200">
        <v>0</v>
      </c>
      <c r="U432" s="200">
        <f t="array" ref="U432">IF(U$77&gt;" ",(U$628:U$1078),"")</f>
        <v>0</v>
      </c>
      <c r="V432" s="200">
        <f t="array" ref="V432">IF(V$77&gt;" ",(V$628:V$1078),"")</f>
        <v>0</v>
      </c>
      <c r="W432" s="200">
        <f t="array" ref="W432">IF(W$77&gt;" ",(W$628:W$1078),"")</f>
        <v>0</v>
      </c>
      <c r="X432" s="200">
        <f t="array" ref="X432">IF(X$77&gt;" ",(X$628:X$1078),"")</f>
        <v>0</v>
      </c>
      <c r="Y432" s="204">
        <v>0</v>
      </c>
      <c r="Z432" s="198" t="str">
        <f t="shared" si="69"/>
        <v/>
      </c>
      <c r="AA432" s="198" t="str">
        <f t="shared" si="69"/>
        <v/>
      </c>
      <c r="AB432" s="198" t="str">
        <f t="shared" si="69"/>
        <v/>
      </c>
      <c r="AC432" s="198" t="str">
        <f t="shared" si="69"/>
        <v/>
      </c>
      <c r="AD432" s="198" t="str">
        <f t="shared" si="70"/>
        <v/>
      </c>
      <c r="AE432" s="198" t="str">
        <f t="shared" si="70"/>
        <v/>
      </c>
      <c r="AF432" s="198" t="str">
        <f t="shared" si="70"/>
        <v/>
      </c>
      <c r="AG432" s="198" t="str">
        <f t="shared" si="70"/>
        <v/>
      </c>
      <c r="AH432" s="198" t="str">
        <f t="shared" si="73"/>
        <v/>
      </c>
      <c r="AI432" s="200" t="str">
        <f t="shared" si="71"/>
        <v/>
      </c>
      <c r="AJ432" s="208" t="str">
        <f t="shared" si="72"/>
        <v/>
      </c>
      <c r="AK432" s="4"/>
      <c r="AL432" s="162">
        <v>735</v>
      </c>
      <c r="AM432" s="209">
        <v>6.1432920847317284E-3</v>
      </c>
      <c r="AN432" s="183">
        <v>5.8548147021680701E-3</v>
      </c>
      <c r="AO432" s="183">
        <v>6.123521874077561E-3</v>
      </c>
      <c r="AP432" s="165">
        <v>6.2125659521020888E-3</v>
      </c>
      <c r="AR432" s="210">
        <v>95.9254397489713</v>
      </c>
      <c r="AS432" s="211">
        <v>96.010660174282293</v>
      </c>
      <c r="AT432" s="211">
        <v>95.922117201609652</v>
      </c>
      <c r="AU432" s="211">
        <v>95.653049155620991</v>
      </c>
      <c r="AV432" s="211"/>
      <c r="AW432" s="212"/>
      <c r="AX432" s="210">
        <v>95.331060908257882</v>
      </c>
      <c r="AY432" s="211">
        <v>95.870166119708486</v>
      </c>
      <c r="AZ432" s="213">
        <v>97.01550786198672</v>
      </c>
    </row>
    <row r="433" spans="4:52" x14ac:dyDescent="0.25">
      <c r="L433" s="189">
        <v>730</v>
      </c>
      <c r="M433" s="196">
        <f t="shared" si="75"/>
        <v>0</v>
      </c>
      <c r="N433" s="197">
        <f t="shared" si="75"/>
        <v>0</v>
      </c>
      <c r="O433" s="152">
        <f ca="1"/>
        <v>95.904679024394213</v>
      </c>
      <c r="Q433" s="198">
        <v>0</v>
      </c>
      <c r="R433" s="200">
        <v>0</v>
      </c>
      <c r="S433" s="200">
        <v>0</v>
      </c>
      <c r="T433" s="200">
        <v>0</v>
      </c>
      <c r="U433" s="200">
        <f t="array" ref="U433">IF(U$77&gt;" ",(U$628:U$1078),"")</f>
        <v>0</v>
      </c>
      <c r="V433" s="200">
        <f t="array" ref="V433">IF(V$77&gt;" ",(V$628:V$1078),"")</f>
        <v>0</v>
      </c>
      <c r="W433" s="200">
        <f t="array" ref="W433">IF(W$77&gt;" ",(W$628:W$1078),"")</f>
        <v>0</v>
      </c>
      <c r="X433" s="200">
        <f t="array" ref="X433">IF(X$77&gt;" ",(X$628:X$1078),"")</f>
        <v>0</v>
      </c>
      <c r="Y433" s="204">
        <v>0</v>
      </c>
      <c r="Z433" s="198" t="str">
        <f t="shared" si="69"/>
        <v/>
      </c>
      <c r="AA433" s="198" t="str">
        <f t="shared" si="69"/>
        <v/>
      </c>
      <c r="AB433" s="198" t="str">
        <f t="shared" si="69"/>
        <v/>
      </c>
      <c r="AC433" s="198" t="str">
        <f t="shared" si="69"/>
        <v/>
      </c>
      <c r="AD433" s="198" t="str">
        <f t="shared" si="70"/>
        <v/>
      </c>
      <c r="AE433" s="198" t="str">
        <f t="shared" si="70"/>
        <v/>
      </c>
      <c r="AF433" s="198" t="str">
        <f t="shared" si="70"/>
        <v/>
      </c>
      <c r="AG433" s="198" t="str">
        <f t="shared" si="70"/>
        <v/>
      </c>
      <c r="AH433" s="198" t="str">
        <f t="shared" si="73"/>
        <v/>
      </c>
      <c r="AI433" s="200" t="str">
        <f t="shared" si="71"/>
        <v/>
      </c>
      <c r="AJ433" s="208" t="str">
        <f t="shared" si="72"/>
        <v/>
      </c>
      <c r="AK433" s="4"/>
      <c r="AL433" s="162">
        <v>730</v>
      </c>
      <c r="AM433" s="209">
        <v>5.8718379958826719E-3</v>
      </c>
      <c r="AN433" s="183">
        <v>5.6192014310879985E-3</v>
      </c>
      <c r="AO433" s="183">
        <v>5.6744904211664705E-3</v>
      </c>
      <c r="AP433" s="165">
        <v>5.7609363040211602E-3</v>
      </c>
      <c r="AR433" s="210">
        <v>95.94816662697302</v>
      </c>
      <c r="AS433" s="211">
        <v>96.029037796577256</v>
      </c>
      <c r="AT433" s="211">
        <v>95.904679024394213</v>
      </c>
      <c r="AU433" s="211">
        <v>95.645330528155284</v>
      </c>
      <c r="AV433" s="211"/>
      <c r="AW433" s="212"/>
      <c r="AX433" s="210">
        <v>95.449317814120093</v>
      </c>
      <c r="AY433" s="211">
        <v>95.905503593167509</v>
      </c>
      <c r="AZ433" s="213">
        <v>96.695000576624963</v>
      </c>
    </row>
    <row r="434" spans="4:52" x14ac:dyDescent="0.25">
      <c r="L434" s="189">
        <v>725</v>
      </c>
      <c r="M434" s="196">
        <f t="shared" si="75"/>
        <v>0</v>
      </c>
      <c r="N434" s="197">
        <f t="shared" si="75"/>
        <v>0</v>
      </c>
      <c r="O434" s="152">
        <f ca="1"/>
        <v>95.845375702307422</v>
      </c>
      <c r="Q434" s="198">
        <v>0</v>
      </c>
      <c r="R434" s="200">
        <v>0</v>
      </c>
      <c r="S434" s="200">
        <v>0</v>
      </c>
      <c r="T434" s="200">
        <v>0</v>
      </c>
      <c r="U434" s="200">
        <f t="array" ref="U434">IF(U$77&gt;" ",(U$628:U$1078),"")</f>
        <v>0</v>
      </c>
      <c r="V434" s="200">
        <f t="array" ref="V434">IF(V$77&gt;" ",(V$628:V$1078),"")</f>
        <v>0</v>
      </c>
      <c r="W434" s="200">
        <f t="array" ref="W434">IF(W$77&gt;" ",(W$628:W$1078),"")</f>
        <v>0</v>
      </c>
      <c r="X434" s="200">
        <f t="array" ref="X434">IF(X$77&gt;" ",(X$628:X$1078),"")</f>
        <v>0</v>
      </c>
      <c r="Y434" s="204">
        <v>0</v>
      </c>
      <c r="Z434" s="198" t="str">
        <f t="shared" si="69"/>
        <v/>
      </c>
      <c r="AA434" s="198" t="str">
        <f t="shared" si="69"/>
        <v/>
      </c>
      <c r="AB434" s="198" t="str">
        <f t="shared" si="69"/>
        <v/>
      </c>
      <c r="AC434" s="198" t="str">
        <f t="shared" si="69"/>
        <v/>
      </c>
      <c r="AD434" s="198" t="str">
        <f t="shared" si="70"/>
        <v/>
      </c>
      <c r="AE434" s="198" t="str">
        <f t="shared" si="70"/>
        <v/>
      </c>
      <c r="AF434" s="198" t="str">
        <f t="shared" si="70"/>
        <v/>
      </c>
      <c r="AG434" s="198" t="str">
        <f t="shared" si="70"/>
        <v/>
      </c>
      <c r="AH434" s="198" t="str">
        <f t="shared" si="73"/>
        <v/>
      </c>
      <c r="AI434" s="200" t="str">
        <f t="shared" si="71"/>
        <v/>
      </c>
      <c r="AJ434" s="208" t="str">
        <f t="shared" si="72"/>
        <v/>
      </c>
      <c r="AK434" s="4"/>
      <c r="AL434" s="162">
        <v>725</v>
      </c>
      <c r="AM434" s="209">
        <v>5.6003839070336145E-3</v>
      </c>
      <c r="AN434" s="183">
        <v>5.4581239931096905E-3</v>
      </c>
      <c r="AO434" s="183">
        <v>5.219424950971021E-3</v>
      </c>
      <c r="AP434" s="165">
        <v>5.3020872972534359E-3</v>
      </c>
      <c r="AR434" s="210">
        <v>95.911095277422731</v>
      </c>
      <c r="AS434" s="211">
        <v>95.97122854241475</v>
      </c>
      <c r="AT434" s="211">
        <v>95.845375702307422</v>
      </c>
      <c r="AU434" s="211">
        <v>95.580391567663597</v>
      </c>
      <c r="AV434" s="211"/>
      <c r="AW434" s="212"/>
      <c r="AX434" s="210">
        <v>95.41831840016728</v>
      </c>
      <c r="AY434" s="211">
        <v>95.930297111792584</v>
      </c>
      <c r="AZ434" s="213">
        <v>96.610121404882534</v>
      </c>
    </row>
    <row r="435" spans="4:52" x14ac:dyDescent="0.25">
      <c r="L435" s="189">
        <v>720</v>
      </c>
      <c r="M435" s="196">
        <f t="shared" si="75"/>
        <v>0</v>
      </c>
      <c r="N435" s="197">
        <f t="shared" si="75"/>
        <v>0</v>
      </c>
      <c r="O435" s="152">
        <f ca="1"/>
        <v>95.879935056036103</v>
      </c>
      <c r="Q435" s="198">
        <v>0</v>
      </c>
      <c r="R435" s="200">
        <v>0</v>
      </c>
      <c r="S435" s="200">
        <v>0</v>
      </c>
      <c r="T435" s="200">
        <v>0</v>
      </c>
      <c r="U435" s="200">
        <f t="array" ref="U435">IF(U$77&gt;" ",(U$628:U$1078),"")</f>
        <v>0</v>
      </c>
      <c r="V435" s="200">
        <f t="array" ref="V435">IF(V$77&gt;" ",(V$628:V$1078),"")</f>
        <v>0</v>
      </c>
      <c r="W435" s="200">
        <f t="array" ref="W435">IF(W$77&gt;" ",(W$628:W$1078),"")</f>
        <v>0</v>
      </c>
      <c r="X435" s="200">
        <f t="array" ref="X435">IF(X$77&gt;" ",(X$628:X$1078),"")</f>
        <v>0</v>
      </c>
      <c r="Y435" s="204">
        <v>0</v>
      </c>
      <c r="Z435" s="198" t="str">
        <f t="shared" si="69"/>
        <v/>
      </c>
      <c r="AA435" s="198" t="str">
        <f t="shared" si="69"/>
        <v/>
      </c>
      <c r="AB435" s="198" t="str">
        <f t="shared" si="69"/>
        <v/>
      </c>
      <c r="AC435" s="198" t="str">
        <f t="shared" si="69"/>
        <v/>
      </c>
      <c r="AD435" s="198" t="str">
        <f t="shared" si="70"/>
        <v/>
      </c>
      <c r="AE435" s="198" t="str">
        <f t="shared" si="70"/>
        <v/>
      </c>
      <c r="AF435" s="198" t="str">
        <f t="shared" si="70"/>
        <v/>
      </c>
      <c r="AG435" s="198" t="str">
        <f t="shared" si="70"/>
        <v/>
      </c>
      <c r="AH435" s="198" t="str">
        <f t="shared" si="73"/>
        <v/>
      </c>
      <c r="AI435" s="200" t="str">
        <f t="shared" si="71"/>
        <v/>
      </c>
      <c r="AJ435" s="208" t="str">
        <f t="shared" si="72"/>
        <v/>
      </c>
      <c r="AK435" s="4"/>
      <c r="AL435" s="162">
        <v>720</v>
      </c>
      <c r="AM435" s="209">
        <v>5.4501559688387357E-3</v>
      </c>
      <c r="AN435" s="183">
        <v>5.2970465551313824E-3</v>
      </c>
      <c r="AO435" s="183">
        <v>4.9554366947802894E-3</v>
      </c>
      <c r="AP435" s="165">
        <v>5.033404033258821E-3</v>
      </c>
      <c r="AR435" s="210">
        <v>95.929763370113804</v>
      </c>
      <c r="AS435" s="211">
        <v>95.997705741897406</v>
      </c>
      <c r="AT435" s="211">
        <v>95.879935056036103</v>
      </c>
      <c r="AU435" s="211">
        <v>95.607169002620182</v>
      </c>
      <c r="AV435" s="211"/>
      <c r="AW435" s="212"/>
      <c r="AX435" s="210">
        <v>95.455243084522962</v>
      </c>
      <c r="AY435" s="211">
        <v>95.92318161819837</v>
      </c>
      <c r="AZ435" s="213">
        <v>96.547456555947775</v>
      </c>
    </row>
    <row r="436" spans="4:52" x14ac:dyDescent="0.25">
      <c r="L436" s="189">
        <v>715</v>
      </c>
      <c r="M436" s="196">
        <f t="shared" si="75"/>
        <v>0</v>
      </c>
      <c r="N436" s="197">
        <f t="shared" si="75"/>
        <v>0</v>
      </c>
      <c r="O436" s="152">
        <f ca="1"/>
        <v>95.884550628267689</v>
      </c>
      <c r="Q436" s="198">
        <v>0</v>
      </c>
      <c r="R436" s="200">
        <v>0</v>
      </c>
      <c r="S436" s="200">
        <v>0</v>
      </c>
      <c r="T436" s="200">
        <v>0</v>
      </c>
      <c r="U436" s="200">
        <f t="array" ref="U436">IF(U$77&gt;" ",(U$628:U$1078),"")</f>
        <v>0</v>
      </c>
      <c r="V436" s="200">
        <f t="array" ref="V436">IF(V$77&gt;" ",(V$628:V$1078),"")</f>
        <v>0</v>
      </c>
      <c r="W436" s="200">
        <f t="array" ref="W436">IF(W$77&gt;" ",(W$628:W$1078),"")</f>
        <v>0</v>
      </c>
      <c r="X436" s="200">
        <f t="array" ref="X436">IF(X$77&gt;" ",(X$628:X$1078),"")</f>
        <v>0</v>
      </c>
      <c r="Y436" s="204">
        <v>0</v>
      </c>
      <c r="Z436" s="198" t="str">
        <f t="shared" si="69"/>
        <v/>
      </c>
      <c r="AA436" s="198" t="str">
        <f t="shared" si="69"/>
        <v/>
      </c>
      <c r="AB436" s="198" t="str">
        <f t="shared" si="69"/>
        <v/>
      </c>
      <c r="AC436" s="198" t="str">
        <f t="shared" si="69"/>
        <v/>
      </c>
      <c r="AD436" s="198" t="str">
        <f t="shared" si="70"/>
        <v/>
      </c>
      <c r="AE436" s="198" t="str">
        <f t="shared" si="70"/>
        <v/>
      </c>
      <c r="AF436" s="198" t="str">
        <f t="shared" si="70"/>
        <v/>
      </c>
      <c r="AG436" s="198" t="str">
        <f t="shared" si="70"/>
        <v/>
      </c>
      <c r="AH436" s="198" t="str">
        <f t="shared" si="73"/>
        <v/>
      </c>
      <c r="AI436" s="200" t="str">
        <f t="shared" si="71"/>
        <v/>
      </c>
      <c r="AJ436" s="208" t="str">
        <f t="shared" si="72"/>
        <v/>
      </c>
      <c r="AK436" s="4"/>
      <c r="AL436" s="162">
        <v>715</v>
      </c>
      <c r="AM436" s="209">
        <v>5.8562470577058949E-3</v>
      </c>
      <c r="AN436" s="183">
        <v>5.8495621770166045E-3</v>
      </c>
      <c r="AO436" s="183">
        <v>6.3291812965194823E-3</v>
      </c>
      <c r="AP436" s="165">
        <v>6.3955683002092307E-3</v>
      </c>
      <c r="AR436" s="210">
        <v>95.922428108376138</v>
      </c>
      <c r="AS436" s="211">
        <v>95.992985925973471</v>
      </c>
      <c r="AT436" s="211">
        <v>95.884550628267689</v>
      </c>
      <c r="AU436" s="211">
        <v>95.60848545929133</v>
      </c>
      <c r="AV436" s="211"/>
      <c r="AW436" s="212"/>
      <c r="AX436" s="210">
        <v>95.443304105338811</v>
      </c>
      <c r="AY436" s="211">
        <v>95.941544445919476</v>
      </c>
      <c r="AZ436" s="213">
        <v>96.399005288897754</v>
      </c>
    </row>
    <row r="437" spans="4:52" x14ac:dyDescent="0.25">
      <c r="L437" s="189">
        <v>710</v>
      </c>
      <c r="M437" s="196">
        <f t="shared" si="75"/>
        <v>0</v>
      </c>
      <c r="N437" s="197">
        <f t="shared" si="75"/>
        <v>0</v>
      </c>
      <c r="O437" s="152">
        <f ca="1"/>
        <v>95.888031865345241</v>
      </c>
      <c r="Q437" s="198">
        <v>0</v>
      </c>
      <c r="R437" s="200">
        <v>0</v>
      </c>
      <c r="S437" s="200">
        <v>0</v>
      </c>
      <c r="T437" s="200">
        <v>0</v>
      </c>
      <c r="U437" s="200">
        <f t="array" ref="U437">IF(U$77&gt;" ",(U$628:U$1078),"")</f>
        <v>0</v>
      </c>
      <c r="V437" s="200">
        <f t="array" ref="V437">IF(V$77&gt;" ",(V$628:V$1078),"")</f>
        <v>0</v>
      </c>
      <c r="W437" s="200">
        <f t="array" ref="W437">IF(W$77&gt;" ",(W$628:W$1078),"")</f>
        <v>0</v>
      </c>
      <c r="X437" s="200">
        <f t="array" ref="X437">IF(X$77&gt;" ",(X$628:X$1078),"")</f>
        <v>0</v>
      </c>
      <c r="Y437" s="204">
        <v>0</v>
      </c>
      <c r="Z437" s="198" t="str">
        <f t="shared" si="69"/>
        <v/>
      </c>
      <c r="AA437" s="198" t="str">
        <f t="shared" si="69"/>
        <v/>
      </c>
      <c r="AB437" s="198" t="str">
        <f t="shared" si="69"/>
        <v/>
      </c>
      <c r="AC437" s="198" t="str">
        <f t="shared" si="69"/>
        <v/>
      </c>
      <c r="AD437" s="198" t="str">
        <f t="shared" si="70"/>
        <v/>
      </c>
      <c r="AE437" s="198" t="str">
        <f t="shared" si="70"/>
        <v/>
      </c>
      <c r="AF437" s="198" t="str">
        <f t="shared" si="70"/>
        <v/>
      </c>
      <c r="AG437" s="198" t="str">
        <f t="shared" si="70"/>
        <v/>
      </c>
      <c r="AH437" s="198" t="str">
        <f t="shared" si="73"/>
        <v/>
      </c>
      <c r="AI437" s="200" t="str">
        <f t="shared" si="71"/>
        <v/>
      </c>
      <c r="AJ437" s="208" t="str">
        <f t="shared" si="72"/>
        <v/>
      </c>
      <c r="AK437" s="4"/>
      <c r="AL437" s="162">
        <v>710</v>
      </c>
      <c r="AM437" s="209">
        <v>6.6221849272887533E-3</v>
      </c>
      <c r="AN437" s="183">
        <v>6.4020777989018257E-3</v>
      </c>
      <c r="AO437" s="183">
        <v>6.624848143453101E-3</v>
      </c>
      <c r="AP437" s="165">
        <v>6.6899390497638378E-3</v>
      </c>
      <c r="AR437" s="210">
        <v>95.925476603259014</v>
      </c>
      <c r="AS437" s="211">
        <v>96.008102108993356</v>
      </c>
      <c r="AT437" s="211">
        <v>95.888031865345241</v>
      </c>
      <c r="AU437" s="211">
        <v>95.611770295442469</v>
      </c>
      <c r="AV437" s="211"/>
      <c r="AW437" s="212"/>
      <c r="AX437" s="210">
        <v>95.51562247895049</v>
      </c>
      <c r="AY437" s="211">
        <v>95.938306405021805</v>
      </c>
      <c r="AZ437" s="213">
        <v>96.268591607137978</v>
      </c>
    </row>
    <row r="438" spans="4:52" x14ac:dyDescent="0.25">
      <c r="L438" s="189">
        <v>705</v>
      </c>
      <c r="M438" s="196">
        <f t="shared" si="75"/>
        <v>0</v>
      </c>
      <c r="N438" s="197">
        <f t="shared" si="75"/>
        <v>0</v>
      </c>
      <c r="O438" s="152">
        <f ca="1"/>
        <v>95.8778052382646</v>
      </c>
      <c r="Q438" s="198">
        <v>0</v>
      </c>
      <c r="R438" s="200">
        <v>0</v>
      </c>
      <c r="S438" s="200">
        <v>0</v>
      </c>
      <c r="T438" s="200">
        <v>0</v>
      </c>
      <c r="U438" s="200">
        <f t="array" ref="U438">IF(U$77&gt;" ",(U$628:U$1078),"")</f>
        <v>0</v>
      </c>
      <c r="V438" s="200">
        <f t="array" ref="V438">IF(V$77&gt;" ",(V$628:V$1078),"")</f>
        <v>0</v>
      </c>
      <c r="W438" s="200">
        <f t="array" ref="W438">IF(W$77&gt;" ",(W$628:W$1078),"")</f>
        <v>0</v>
      </c>
      <c r="X438" s="200">
        <f t="array" ref="X438">IF(X$77&gt;" ",(X$628:X$1078),"")</f>
        <v>0</v>
      </c>
      <c r="Y438" s="204">
        <v>0</v>
      </c>
      <c r="Z438" s="198" t="str">
        <f t="shared" si="69"/>
        <v/>
      </c>
      <c r="AA438" s="198" t="str">
        <f t="shared" si="69"/>
        <v/>
      </c>
      <c r="AB438" s="198" t="str">
        <f t="shared" si="69"/>
        <v/>
      </c>
      <c r="AC438" s="198" t="str">
        <f t="shared" si="69"/>
        <v/>
      </c>
      <c r="AD438" s="198" t="str">
        <f t="shared" si="70"/>
        <v/>
      </c>
      <c r="AE438" s="198" t="str">
        <f t="shared" si="70"/>
        <v/>
      </c>
      <c r="AF438" s="198" t="str">
        <f t="shared" si="70"/>
        <v/>
      </c>
      <c r="AG438" s="198" t="str">
        <f t="shared" si="70"/>
        <v/>
      </c>
      <c r="AH438" s="198" t="str">
        <f t="shared" si="73"/>
        <v/>
      </c>
      <c r="AI438" s="200" t="str">
        <f t="shared" si="71"/>
        <v/>
      </c>
      <c r="AJ438" s="208" t="str">
        <f t="shared" si="72"/>
        <v/>
      </c>
      <c r="AK438" s="4"/>
      <c r="AL438" s="162">
        <v>705</v>
      </c>
      <c r="AM438" s="209">
        <v>6.3856783227427272E-3</v>
      </c>
      <c r="AN438" s="183">
        <v>6.315786314270589E-3</v>
      </c>
      <c r="AO438" s="183">
        <v>6.64445869962727E-3</v>
      </c>
      <c r="AP438" s="165">
        <v>6.7095264570535933E-3</v>
      </c>
      <c r="AR438" s="210">
        <v>95.926003590018638</v>
      </c>
      <c r="AS438" s="211">
        <v>96.016419691200284</v>
      </c>
      <c r="AT438" s="211">
        <v>95.8778052382646</v>
      </c>
      <c r="AU438" s="211">
        <v>95.602137770439029</v>
      </c>
      <c r="AV438" s="211"/>
      <c r="AW438" s="212"/>
      <c r="AX438" s="210">
        <v>95.519641250772949</v>
      </c>
      <c r="AY438" s="211">
        <v>95.935833056372758</v>
      </c>
      <c r="AZ438" s="213">
        <v>96.088715103293055</v>
      </c>
    </row>
    <row r="439" spans="4:52" x14ac:dyDescent="0.25">
      <c r="L439" s="189">
        <v>700</v>
      </c>
      <c r="M439" s="196">
        <f t="shared" si="75"/>
        <v>0</v>
      </c>
      <c r="N439" s="197">
        <f t="shared" si="75"/>
        <v>0</v>
      </c>
      <c r="O439" s="152">
        <f ca="1"/>
        <v>95.868666697569111</v>
      </c>
      <c r="Q439" s="198">
        <v>0</v>
      </c>
      <c r="R439" s="200">
        <v>0</v>
      </c>
      <c r="S439" s="200">
        <v>0</v>
      </c>
      <c r="T439" s="200">
        <v>0</v>
      </c>
      <c r="U439" s="200">
        <f t="array" ref="U439">IF(U$77&gt;" ",(U$628:U$1078),"")</f>
        <v>0</v>
      </c>
      <c r="V439" s="200">
        <f t="array" ref="V439">IF(V$77&gt;" ",(V$628:V$1078),"")</f>
        <v>0</v>
      </c>
      <c r="W439" s="200">
        <f t="array" ref="W439">IF(W$77&gt;" ",(W$628:W$1078),"")</f>
        <v>0</v>
      </c>
      <c r="X439" s="200">
        <f t="array" ref="X439">IF(X$77&gt;" ",(X$628:X$1078),"")</f>
        <v>0</v>
      </c>
      <c r="Y439" s="204">
        <v>0</v>
      </c>
      <c r="Z439" s="198" t="str">
        <f t="shared" si="69"/>
        <v/>
      </c>
      <c r="AA439" s="198" t="str">
        <f t="shared" si="69"/>
        <v/>
      </c>
      <c r="AB439" s="198" t="str">
        <f t="shared" si="69"/>
        <v/>
      </c>
      <c r="AC439" s="198" t="str">
        <f t="shared" si="69"/>
        <v/>
      </c>
      <c r="AD439" s="198" t="str">
        <f t="shared" si="70"/>
        <v/>
      </c>
      <c r="AE439" s="198" t="str">
        <f t="shared" si="70"/>
        <v/>
      </c>
      <c r="AF439" s="198" t="str">
        <f t="shared" si="70"/>
        <v/>
      </c>
      <c r="AG439" s="198" t="str">
        <f t="shared" si="70"/>
        <v/>
      </c>
      <c r="AH439" s="198" t="str">
        <f t="shared" si="73"/>
        <v/>
      </c>
      <c r="AI439" s="200" t="str">
        <f t="shared" si="71"/>
        <v/>
      </c>
      <c r="AJ439" s="208" t="str">
        <f t="shared" si="72"/>
        <v/>
      </c>
      <c r="AK439" s="4"/>
      <c r="AL439" s="162">
        <v>700</v>
      </c>
      <c r="AM439" s="209">
        <v>6.1491717181966993E-3</v>
      </c>
      <c r="AN439" s="183">
        <v>6.2294948296393532E-3</v>
      </c>
      <c r="AO439" s="183">
        <v>6.4478503031118878E-3</v>
      </c>
      <c r="AP439" s="165">
        <v>6.5119734635312038E-3</v>
      </c>
      <c r="AR439" s="210">
        <v>95.918763375235443</v>
      </c>
      <c r="AS439" s="211">
        <v>95.996239155890194</v>
      </c>
      <c r="AT439" s="211">
        <v>95.868666697569111</v>
      </c>
      <c r="AU439" s="211">
        <v>95.57962243897255</v>
      </c>
      <c r="AV439" s="211"/>
      <c r="AW439" s="212"/>
      <c r="AX439" s="210">
        <v>95.529280297996522</v>
      </c>
      <c r="AY439" s="211">
        <v>95.94554165903385</v>
      </c>
      <c r="AZ439" s="213">
        <v>95.949194817743532</v>
      </c>
    </row>
    <row r="440" spans="4:52" x14ac:dyDescent="0.25">
      <c r="L440" s="189">
        <v>695</v>
      </c>
      <c r="M440" s="196">
        <f t="shared" si="75"/>
        <v>0</v>
      </c>
      <c r="N440" s="197">
        <f t="shared" si="75"/>
        <v>0</v>
      </c>
      <c r="O440" s="152">
        <f ca="1"/>
        <v>95.851202538150702</v>
      </c>
      <c r="Q440" s="198">
        <v>0</v>
      </c>
      <c r="R440" s="200">
        <v>0</v>
      </c>
      <c r="S440" s="200">
        <v>0</v>
      </c>
      <c r="T440" s="200">
        <v>0</v>
      </c>
      <c r="U440" s="200">
        <f t="array" ref="U440">IF(U$77&gt;" ",(U$628:U$1078),"")</f>
        <v>0</v>
      </c>
      <c r="V440" s="200">
        <f t="array" ref="V440">IF(V$77&gt;" ",(V$628:V$1078),"")</f>
        <v>0</v>
      </c>
      <c r="W440" s="200">
        <f t="array" ref="W440">IF(W$77&gt;" ",(W$628:W$1078),"")</f>
        <v>0</v>
      </c>
      <c r="X440" s="200">
        <f t="array" ref="X440">IF(X$77&gt;" ",(X$628:X$1078),"")</f>
        <v>0</v>
      </c>
      <c r="Y440" s="204">
        <v>0</v>
      </c>
      <c r="Z440" s="198" t="str">
        <f t="shared" si="69"/>
        <v/>
      </c>
      <c r="AA440" s="198" t="str">
        <f t="shared" si="69"/>
        <v/>
      </c>
      <c r="AB440" s="198" t="str">
        <f t="shared" si="69"/>
        <v/>
      </c>
      <c r="AC440" s="198" t="str">
        <f t="shared" si="69"/>
        <v/>
      </c>
      <c r="AD440" s="198" t="str">
        <f t="shared" si="70"/>
        <v/>
      </c>
      <c r="AE440" s="198" t="str">
        <f t="shared" si="70"/>
        <v/>
      </c>
      <c r="AF440" s="198" t="str">
        <f t="shared" si="70"/>
        <v/>
      </c>
      <c r="AG440" s="198" t="str">
        <f t="shared" si="70"/>
        <v/>
      </c>
      <c r="AH440" s="198" t="str">
        <f t="shared" si="73"/>
        <v/>
      </c>
      <c r="AI440" s="200" t="str">
        <f t="shared" si="71"/>
        <v/>
      </c>
      <c r="AJ440" s="208" t="str">
        <f t="shared" si="72"/>
        <v/>
      </c>
      <c r="AK440" s="4"/>
      <c r="AL440" s="162">
        <v>695</v>
      </c>
      <c r="AM440" s="209">
        <v>5.9126651136506732E-3</v>
      </c>
      <c r="AN440" s="183">
        <v>6.0631648665095779E-3</v>
      </c>
      <c r="AO440" s="183">
        <v>6.3930413127789559E-3</v>
      </c>
      <c r="AP440" s="165">
        <v>6.457128723119889E-3</v>
      </c>
      <c r="AR440" s="210">
        <v>95.89693408852618</v>
      </c>
      <c r="AS440" s="211">
        <v>95.975044049245028</v>
      </c>
      <c r="AT440" s="211">
        <v>95.851202538150702</v>
      </c>
      <c r="AU440" s="211">
        <v>95.563341926484895</v>
      </c>
      <c r="AV440" s="211"/>
      <c r="AW440" s="212"/>
      <c r="AX440" s="210">
        <v>95.58443956099434</v>
      </c>
      <c r="AY440" s="211">
        <v>95.981917540009704</v>
      </c>
      <c r="AZ440" s="213">
        <v>95.857882339673523</v>
      </c>
    </row>
    <row r="441" spans="4:52" x14ac:dyDescent="0.25">
      <c r="L441" s="189">
        <v>690</v>
      </c>
      <c r="M441" s="196">
        <f t="shared" si="75"/>
        <v>0</v>
      </c>
      <c r="N441" s="197">
        <f t="shared" si="75"/>
        <v>0</v>
      </c>
      <c r="O441" s="152">
        <f ca="1"/>
        <v>95.844346286257803</v>
      </c>
      <c r="Q441" s="198">
        <v>0</v>
      </c>
      <c r="R441" s="200">
        <v>0</v>
      </c>
      <c r="S441" s="200">
        <v>0</v>
      </c>
      <c r="T441" s="200">
        <v>0</v>
      </c>
      <c r="U441" s="200">
        <f t="array" ref="U441">IF(U$77&gt;" ",(U$628:U$1078),"")</f>
        <v>0</v>
      </c>
      <c r="V441" s="200">
        <f t="array" ref="V441">IF(V$77&gt;" ",(V$628:V$1078),"")</f>
        <v>0</v>
      </c>
      <c r="W441" s="200">
        <f t="array" ref="W441">IF(W$77&gt;" ",(W$628:W$1078),"")</f>
        <v>0</v>
      </c>
      <c r="X441" s="200">
        <f t="array" ref="X441">IF(X$77&gt;" ",(X$628:X$1078),"")</f>
        <v>0</v>
      </c>
      <c r="Y441" s="204">
        <v>0</v>
      </c>
      <c r="Z441" s="198" t="str">
        <f t="shared" si="69"/>
        <v/>
      </c>
      <c r="AA441" s="198" t="str">
        <f t="shared" si="69"/>
        <v/>
      </c>
      <c r="AB441" s="198" t="str">
        <f t="shared" si="69"/>
        <v/>
      </c>
      <c r="AC441" s="198" t="str">
        <f t="shared" si="69"/>
        <v/>
      </c>
      <c r="AD441" s="198" t="str">
        <f t="shared" si="70"/>
        <v/>
      </c>
      <c r="AE441" s="198" t="str">
        <f t="shared" si="70"/>
        <v/>
      </c>
      <c r="AF441" s="198" t="str">
        <f t="shared" si="70"/>
        <v/>
      </c>
      <c r="AG441" s="198" t="str">
        <f t="shared" si="70"/>
        <v/>
      </c>
      <c r="AH441" s="198" t="str">
        <f t="shared" si="73"/>
        <v/>
      </c>
      <c r="AI441" s="200" t="str">
        <f t="shared" si="71"/>
        <v/>
      </c>
      <c r="AJ441" s="208" t="str">
        <f t="shared" si="72"/>
        <v/>
      </c>
      <c r="AK441" s="4"/>
      <c r="AL441" s="162">
        <v>690</v>
      </c>
      <c r="AM441" s="209">
        <v>5.6761585091046462E-3</v>
      </c>
      <c r="AN441" s="183">
        <v>5.8968349033798042E-3</v>
      </c>
      <c r="AO441" s="183">
        <v>5.9440098598678636E-3</v>
      </c>
      <c r="AP441" s="165">
        <v>6.0138936781631422E-3</v>
      </c>
      <c r="AR441" s="210">
        <v>95.896453503359851</v>
      </c>
      <c r="AS441" s="211">
        <v>95.984926291057249</v>
      </c>
      <c r="AT441" s="211">
        <v>95.844346286257803</v>
      </c>
      <c r="AU441" s="211">
        <v>95.566026874524781</v>
      </c>
      <c r="AV441" s="211"/>
      <c r="AW441" s="212"/>
      <c r="AX441" s="210">
        <v>95.582626301778873</v>
      </c>
      <c r="AY441" s="211">
        <v>95.973274176581256</v>
      </c>
      <c r="AZ441" s="213">
        <v>95.766702214361999</v>
      </c>
    </row>
    <row r="442" spans="4:52" x14ac:dyDescent="0.25">
      <c r="L442" s="189">
        <v>685</v>
      </c>
      <c r="M442" s="196">
        <f t="shared" si="75"/>
        <v>0</v>
      </c>
      <c r="N442" s="197">
        <f t="shared" si="75"/>
        <v>0</v>
      </c>
      <c r="O442" s="152">
        <f ca="1"/>
        <v>95.808115450876343</v>
      </c>
      <c r="Q442" s="198">
        <v>0</v>
      </c>
      <c r="R442" s="200">
        <v>0</v>
      </c>
      <c r="S442" s="200">
        <v>0</v>
      </c>
      <c r="T442" s="200">
        <v>0</v>
      </c>
      <c r="U442" s="200">
        <f t="array" ref="U442">IF(U$77&gt;" ",(U$628:U$1078),"")</f>
        <v>0</v>
      </c>
      <c r="V442" s="200">
        <f t="array" ref="V442">IF(V$77&gt;" ",(V$628:V$1078),"")</f>
        <v>0</v>
      </c>
      <c r="W442" s="200">
        <f t="array" ref="W442">IF(W$77&gt;" ",(W$628:W$1078),"")</f>
        <v>0</v>
      </c>
      <c r="X442" s="200">
        <f t="array" ref="X442">IF(X$77&gt;" ",(X$628:X$1078),"")</f>
        <v>0</v>
      </c>
      <c r="Y442" s="204">
        <v>0</v>
      </c>
      <c r="Z442" s="198" t="str">
        <f t="shared" si="69"/>
        <v/>
      </c>
      <c r="AA442" s="198" t="str">
        <f t="shared" si="69"/>
        <v/>
      </c>
      <c r="AB442" s="198" t="str">
        <f t="shared" si="69"/>
        <v/>
      </c>
      <c r="AC442" s="198" t="str">
        <f t="shared" si="69"/>
        <v/>
      </c>
      <c r="AD442" s="198" t="str">
        <f t="shared" si="70"/>
        <v/>
      </c>
      <c r="AE442" s="198" t="str">
        <f t="shared" si="70"/>
        <v/>
      </c>
      <c r="AF442" s="198" t="str">
        <f t="shared" si="70"/>
        <v/>
      </c>
      <c r="AG442" s="198" t="str">
        <f t="shared" si="70"/>
        <v/>
      </c>
      <c r="AH442" s="198" t="str">
        <f t="shared" si="73"/>
        <v/>
      </c>
      <c r="AI442" s="200" t="str">
        <f t="shared" si="71"/>
        <v/>
      </c>
      <c r="AJ442" s="208" t="str">
        <f t="shared" si="72"/>
        <v/>
      </c>
      <c r="AK442" s="4"/>
      <c r="AL442" s="162">
        <v>685</v>
      </c>
      <c r="AM442" s="209">
        <v>5.985004424259025E-3</v>
      </c>
      <c r="AN442" s="183">
        <v>6.1594611609531317E-3</v>
      </c>
      <c r="AO442" s="183">
        <v>6.9129724687812706E-3</v>
      </c>
      <c r="AP442" s="165">
        <v>6.9697591539031991E-3</v>
      </c>
      <c r="AR442" s="210">
        <v>95.88931933888199</v>
      </c>
      <c r="AS442" s="211">
        <v>95.961783662144228</v>
      </c>
      <c r="AT442" s="211">
        <v>95.808115450876343</v>
      </c>
      <c r="AU442" s="211">
        <v>95.535648410384582</v>
      </c>
      <c r="AV442" s="211"/>
      <c r="AW442" s="212"/>
      <c r="AX442" s="210">
        <v>95.648141349257443</v>
      </c>
      <c r="AY442" s="211">
        <v>96.002533520034078</v>
      </c>
      <c r="AZ442" s="213">
        <v>95.574905185097691</v>
      </c>
    </row>
    <row r="443" spans="4:52" x14ac:dyDescent="0.25">
      <c r="L443" s="189">
        <v>680</v>
      </c>
      <c r="M443" s="196">
        <f t="shared" si="75"/>
        <v>0</v>
      </c>
      <c r="N443" s="197">
        <f t="shared" si="75"/>
        <v>0</v>
      </c>
      <c r="O443" s="152">
        <f ca="1"/>
        <v>95.836108994183618</v>
      </c>
      <c r="Q443" s="198">
        <v>0</v>
      </c>
      <c r="R443" s="200">
        <v>0</v>
      </c>
      <c r="S443" s="200">
        <v>0</v>
      </c>
      <c r="T443" s="200">
        <v>0</v>
      </c>
      <c r="U443" s="200">
        <f t="array" ref="U443">IF(U$77&gt;" ",(U$628:U$1078),"")</f>
        <v>0</v>
      </c>
      <c r="V443" s="200">
        <f t="array" ref="V443">IF(V$77&gt;" ",(V$628:V$1078),"")</f>
        <v>0</v>
      </c>
      <c r="W443" s="200">
        <f t="array" ref="W443">IF(W$77&gt;" ",(W$628:W$1078),"")</f>
        <v>0</v>
      </c>
      <c r="X443" s="200">
        <f t="array" ref="X443">IF(X$77&gt;" ",(X$628:X$1078),"")</f>
        <v>0</v>
      </c>
      <c r="Y443" s="204">
        <v>0</v>
      </c>
      <c r="Z443" s="198" t="str">
        <f t="shared" si="69"/>
        <v/>
      </c>
      <c r="AA443" s="198" t="str">
        <f t="shared" si="69"/>
        <v/>
      </c>
      <c r="AB443" s="198" t="str">
        <f t="shared" si="69"/>
        <v/>
      </c>
      <c r="AC443" s="198" t="str">
        <f t="shared" si="69"/>
        <v/>
      </c>
      <c r="AD443" s="198" t="str">
        <f t="shared" si="70"/>
        <v/>
      </c>
      <c r="AE443" s="198" t="str">
        <f t="shared" si="70"/>
        <v/>
      </c>
      <c r="AF443" s="198" t="str">
        <f t="shared" si="70"/>
        <v/>
      </c>
      <c r="AG443" s="198" t="str">
        <f t="shared" si="70"/>
        <v/>
      </c>
      <c r="AH443" s="198" t="str">
        <f t="shared" si="73"/>
        <v/>
      </c>
      <c r="AI443" s="200" t="str">
        <f t="shared" si="71"/>
        <v/>
      </c>
      <c r="AJ443" s="208" t="str">
        <f t="shared" si="72"/>
        <v/>
      </c>
      <c r="AK443" s="4"/>
      <c r="AL443" s="162">
        <v>680</v>
      </c>
      <c r="AM443" s="209">
        <v>6.2938503394134038E-3</v>
      </c>
      <c r="AN443" s="183">
        <v>6.42208741852646E-3</v>
      </c>
      <c r="AO443" s="183">
        <v>7.0240989537682262E-3</v>
      </c>
      <c r="AP443" s="165">
        <v>7.0794486347258278E-3</v>
      </c>
      <c r="AR443" s="210">
        <v>95.88640110326719</v>
      </c>
      <c r="AS443" s="211">
        <v>95.977223608225813</v>
      </c>
      <c r="AT443" s="211">
        <v>95.836108994183618</v>
      </c>
      <c r="AU443" s="211">
        <v>95.547559872745339</v>
      </c>
      <c r="AV443" s="211"/>
      <c r="AW443" s="212"/>
      <c r="AX443" s="210">
        <v>95.626508501307924</v>
      </c>
      <c r="AY443" s="211">
        <v>95.982662098049047</v>
      </c>
      <c r="AZ443" s="213">
        <v>95.631103581775704</v>
      </c>
    </row>
    <row r="444" spans="4:52" x14ac:dyDescent="0.25">
      <c r="L444" s="189">
        <v>675</v>
      </c>
      <c r="M444" s="196">
        <f t="shared" si="75"/>
        <v>0</v>
      </c>
      <c r="N444" s="197">
        <f t="shared" si="75"/>
        <v>0</v>
      </c>
      <c r="O444" s="152">
        <f ca="1"/>
        <v>95.832590879228349</v>
      </c>
      <c r="Q444" s="198">
        <v>0</v>
      </c>
      <c r="R444" s="200">
        <v>0</v>
      </c>
      <c r="S444" s="200">
        <v>0</v>
      </c>
      <c r="T444" s="200">
        <v>0</v>
      </c>
      <c r="U444" s="200">
        <f t="array" ref="U444">IF(U$77&gt;" ",(U$628:U$1078),"")</f>
        <v>0</v>
      </c>
      <c r="V444" s="200">
        <f t="array" ref="V444">IF(V$77&gt;" ",(V$628:V$1078),"")</f>
        <v>0</v>
      </c>
      <c r="W444" s="200">
        <f t="array" ref="W444">IF(W$77&gt;" ",(W$628:W$1078),"")</f>
        <v>0</v>
      </c>
      <c r="X444" s="200">
        <f t="array" ref="X444">IF(X$77&gt;" ",(X$628:X$1078),"")</f>
        <v>0</v>
      </c>
      <c r="Y444" s="204">
        <v>0</v>
      </c>
      <c r="Z444" s="198" t="str">
        <f t="shared" si="69"/>
        <v/>
      </c>
      <c r="AA444" s="198" t="str">
        <f t="shared" si="69"/>
        <v/>
      </c>
      <c r="AB444" s="198" t="str">
        <f t="shared" si="69"/>
        <v/>
      </c>
      <c r="AC444" s="198" t="str">
        <f t="shared" si="69"/>
        <v/>
      </c>
      <c r="AD444" s="198" t="str">
        <f t="shared" si="70"/>
        <v/>
      </c>
      <c r="AE444" s="198" t="str">
        <f t="shared" si="70"/>
        <v/>
      </c>
      <c r="AF444" s="198" t="str">
        <f t="shared" si="70"/>
        <v/>
      </c>
      <c r="AG444" s="198" t="str">
        <f t="shared" si="70"/>
        <v/>
      </c>
      <c r="AH444" s="198" t="str">
        <f t="shared" si="73"/>
        <v/>
      </c>
      <c r="AI444" s="200" t="str">
        <f t="shared" si="71"/>
        <v/>
      </c>
      <c r="AJ444" s="208" t="str">
        <f t="shared" si="72"/>
        <v/>
      </c>
      <c r="AK444" s="4"/>
      <c r="AL444" s="162">
        <v>675</v>
      </c>
      <c r="AM444" s="209">
        <v>6.6026962545677826E-3</v>
      </c>
      <c r="AN444" s="183">
        <v>6.7184799092163596E-3</v>
      </c>
      <c r="AO444" s="183">
        <v>7.0185677712575629E-3</v>
      </c>
      <c r="AP444" s="165">
        <v>7.073292592434762E-3</v>
      </c>
      <c r="AR444" s="210">
        <v>95.873945820997378</v>
      </c>
      <c r="AS444" s="211">
        <v>95.973381877104373</v>
      </c>
      <c r="AT444" s="211">
        <v>95.832590879228349</v>
      </c>
      <c r="AU444" s="211">
        <v>95.539838295757093</v>
      </c>
      <c r="AV444" s="211"/>
      <c r="AW444" s="212"/>
      <c r="AX444" s="210">
        <v>95.578384026269887</v>
      </c>
      <c r="AY444" s="211">
        <v>95.913752790180013</v>
      </c>
      <c r="AZ444" s="213">
        <v>95.732626010731394</v>
      </c>
    </row>
    <row r="445" spans="4:52" x14ac:dyDescent="0.25">
      <c r="L445" s="189">
        <v>670</v>
      </c>
      <c r="M445" s="196">
        <f t="shared" si="75"/>
        <v>0</v>
      </c>
      <c r="N445" s="197">
        <f t="shared" si="75"/>
        <v>0</v>
      </c>
      <c r="O445" s="152">
        <f ca="1"/>
        <v>95.800383116125587</v>
      </c>
      <c r="Q445" s="198">
        <v>0</v>
      </c>
      <c r="R445" s="200">
        <v>0</v>
      </c>
      <c r="S445" s="200">
        <v>0</v>
      </c>
      <c r="T445" s="200">
        <v>0</v>
      </c>
      <c r="U445" s="200">
        <f t="array" ref="U445">IF(U$77&gt;" ",(U$628:U$1078),"")</f>
        <v>0</v>
      </c>
      <c r="V445" s="200">
        <f t="array" ref="V445">IF(V$77&gt;" ",(V$628:V$1078),"")</f>
        <v>0</v>
      </c>
      <c r="W445" s="200">
        <f t="array" ref="W445">IF(W$77&gt;" ",(W$628:W$1078),"")</f>
        <v>0</v>
      </c>
      <c r="X445" s="200">
        <f t="array" ref="X445">IF(X$77&gt;" ",(X$628:X$1078),"")</f>
        <v>0</v>
      </c>
      <c r="Y445" s="204">
        <v>0</v>
      </c>
      <c r="Z445" s="198" t="str">
        <f t="shared" si="69"/>
        <v/>
      </c>
      <c r="AA445" s="198" t="str">
        <f t="shared" si="69"/>
        <v/>
      </c>
      <c r="AB445" s="198" t="str">
        <f t="shared" si="69"/>
        <v/>
      </c>
      <c r="AC445" s="198" t="str">
        <f t="shared" si="69"/>
        <v/>
      </c>
      <c r="AD445" s="198" t="str">
        <f t="shared" si="70"/>
        <v/>
      </c>
      <c r="AE445" s="198" t="str">
        <f t="shared" si="70"/>
        <v/>
      </c>
      <c r="AF445" s="198" t="str">
        <f t="shared" si="70"/>
        <v/>
      </c>
      <c r="AG445" s="198" t="str">
        <f t="shared" si="70"/>
        <v/>
      </c>
      <c r="AH445" s="198" t="str">
        <f t="shared" si="73"/>
        <v/>
      </c>
      <c r="AI445" s="200" t="str">
        <f t="shared" si="71"/>
        <v/>
      </c>
      <c r="AJ445" s="208" t="str">
        <f t="shared" si="72"/>
        <v/>
      </c>
      <c r="AK445" s="4"/>
      <c r="AL445" s="162">
        <v>670</v>
      </c>
      <c r="AM445" s="209">
        <v>6.9115421697221614E-3</v>
      </c>
      <c r="AN445" s="183">
        <v>7.0148723999062593E-3</v>
      </c>
      <c r="AO445" s="183">
        <v>7.1382424473973609E-3</v>
      </c>
      <c r="AP445" s="165">
        <v>7.193055597006409E-3</v>
      </c>
      <c r="AR445" s="210">
        <v>95.864333481035715</v>
      </c>
      <c r="AS445" s="211">
        <v>95.960794426804839</v>
      </c>
      <c r="AT445" s="211">
        <v>95.800383116125587</v>
      </c>
      <c r="AU445" s="211">
        <v>95.522749299348234</v>
      </c>
      <c r="AV445" s="211"/>
      <c r="AW445" s="212"/>
      <c r="AX445" s="210">
        <v>95.634130608093812</v>
      </c>
      <c r="AY445" s="211">
        <v>95.971388571174074</v>
      </c>
      <c r="AZ445" s="213">
        <v>95.415686772501303</v>
      </c>
    </row>
    <row r="446" spans="4:52" x14ac:dyDescent="0.25">
      <c r="L446" s="189">
        <v>665</v>
      </c>
      <c r="M446" s="196">
        <f t="shared" si="75"/>
        <v>0</v>
      </c>
      <c r="N446" s="197">
        <f t="shared" si="75"/>
        <v>0</v>
      </c>
      <c r="O446" s="152">
        <f ca="1"/>
        <v>95.76981007209055</v>
      </c>
      <c r="Q446" s="198">
        <v>0</v>
      </c>
      <c r="R446" s="200">
        <v>0</v>
      </c>
      <c r="S446" s="200">
        <v>0</v>
      </c>
      <c r="T446" s="200">
        <v>0</v>
      </c>
      <c r="U446" s="200">
        <f t="array" ref="U446">IF(U$77&gt;" ",(U$628:U$1078),"")</f>
        <v>0</v>
      </c>
      <c r="V446" s="200">
        <f t="array" ref="V446">IF(V$77&gt;" ",(V$628:V$1078),"")</f>
        <v>0</v>
      </c>
      <c r="W446" s="200">
        <f t="array" ref="W446">IF(W$77&gt;" ",(W$628:W$1078),"")</f>
        <v>0</v>
      </c>
      <c r="X446" s="200">
        <f t="array" ref="X446">IF(X$77&gt;" ",(X$628:X$1078),"")</f>
        <v>0</v>
      </c>
      <c r="Y446" s="204">
        <v>0</v>
      </c>
      <c r="Z446" s="198" t="str">
        <f t="shared" si="69"/>
        <v/>
      </c>
      <c r="AA446" s="198" t="str">
        <f t="shared" si="69"/>
        <v/>
      </c>
      <c r="AB446" s="198" t="str">
        <f t="shared" si="69"/>
        <v/>
      </c>
      <c r="AC446" s="198" t="str">
        <f t="shared" si="69"/>
        <v/>
      </c>
      <c r="AD446" s="198" t="str">
        <f t="shared" si="70"/>
        <v/>
      </c>
      <c r="AE446" s="198" t="str">
        <f t="shared" si="70"/>
        <v/>
      </c>
      <c r="AF446" s="198" t="str">
        <f t="shared" si="70"/>
        <v/>
      </c>
      <c r="AG446" s="198" t="str">
        <f t="shared" si="70"/>
        <v/>
      </c>
      <c r="AH446" s="198" t="str">
        <f t="shared" si="73"/>
        <v/>
      </c>
      <c r="AI446" s="200" t="str">
        <f t="shared" si="71"/>
        <v/>
      </c>
      <c r="AJ446" s="208" t="str">
        <f t="shared" si="72"/>
        <v/>
      </c>
      <c r="AK446" s="4"/>
      <c r="AL446" s="162">
        <v>665</v>
      </c>
      <c r="AM446" s="209">
        <v>6.9371086658001806E-3</v>
      </c>
      <c r="AN446" s="183">
        <v>7.0874072710455597E-3</v>
      </c>
      <c r="AO446" s="183">
        <v>7.1472934733238999E-3</v>
      </c>
      <c r="AP446" s="165">
        <v>7.2031291207554247E-3</v>
      </c>
      <c r="AR446" s="210">
        <v>95.84148387588985</v>
      </c>
      <c r="AS446" s="211">
        <v>95.939331868945303</v>
      </c>
      <c r="AT446" s="211">
        <v>95.76981007209055</v>
      </c>
      <c r="AU446" s="211">
        <v>95.49201825005332</v>
      </c>
      <c r="AV446" s="211"/>
      <c r="AW446" s="212"/>
      <c r="AX446" s="210">
        <v>95.623559127563283</v>
      </c>
      <c r="AY446" s="211">
        <v>95.973876107995395</v>
      </c>
      <c r="AZ446" s="213">
        <v>95.525206629308698</v>
      </c>
    </row>
    <row r="447" spans="4:52" s="122" customFormat="1" ht="13" x14ac:dyDescent="0.3">
      <c r="D447" s="232"/>
      <c r="E447" s="19"/>
      <c r="F447" s="21"/>
      <c r="G447" s="21"/>
      <c r="H447" s="21"/>
      <c r="I447" s="21"/>
      <c r="L447" s="147">
        <v>660</v>
      </c>
      <c r="M447" s="233">
        <f t="shared" ref="M447:N462" si="76">M996</f>
        <v>0</v>
      </c>
      <c r="N447" s="234">
        <f t="shared" si="76"/>
        <v>0</v>
      </c>
      <c r="O447" s="153">
        <f ca="1"/>
        <v>95.773542118344707</v>
      </c>
      <c r="Q447" s="230">
        <v>0</v>
      </c>
      <c r="R447" s="202">
        <v>0</v>
      </c>
      <c r="S447" s="202">
        <v>0</v>
      </c>
      <c r="T447" s="202">
        <v>0</v>
      </c>
      <c r="U447" s="200">
        <f t="array" ref="U447">IF(U$77&gt;" ",(U$628:U$1078),"")</f>
        <v>0</v>
      </c>
      <c r="V447" s="200">
        <f t="array" ref="V447">IF(V$77&gt;" ",(V$628:V$1078),"")</f>
        <v>0</v>
      </c>
      <c r="W447" s="200">
        <f t="array" ref="W447">IF(W$77&gt;" ",(W$628:W$1078),"")</f>
        <v>0</v>
      </c>
      <c r="X447" s="200">
        <f t="array" ref="X447">IF(X$77&gt;" ",(X$628:X$1078),"")</f>
        <v>0</v>
      </c>
      <c r="Y447" s="206">
        <v>0</v>
      </c>
      <c r="Z447" s="198" t="str">
        <f t="shared" si="69"/>
        <v/>
      </c>
      <c r="AA447" s="198" t="str">
        <f t="shared" si="69"/>
        <v/>
      </c>
      <c r="AB447" s="198" t="str">
        <f t="shared" si="69"/>
        <v/>
      </c>
      <c r="AC447" s="198" t="str">
        <f t="shared" si="69"/>
        <v/>
      </c>
      <c r="AD447" s="198" t="str">
        <f t="shared" si="70"/>
        <v/>
      </c>
      <c r="AE447" s="198" t="str">
        <f t="shared" si="70"/>
        <v/>
      </c>
      <c r="AF447" s="198" t="str">
        <f t="shared" si="70"/>
        <v/>
      </c>
      <c r="AG447" s="198" t="str">
        <f t="shared" si="70"/>
        <v/>
      </c>
      <c r="AH447" s="198" t="str">
        <f t="shared" si="73"/>
        <v/>
      </c>
      <c r="AI447" s="200" t="str">
        <f t="shared" si="71"/>
        <v/>
      </c>
      <c r="AJ447" s="208" t="str">
        <f t="shared" si="72"/>
        <v/>
      </c>
      <c r="AK447" s="21"/>
      <c r="AL447" s="235">
        <v>660</v>
      </c>
      <c r="AM447" s="236">
        <v>6.9627412251755611E-3</v>
      </c>
      <c r="AN447" s="237">
        <v>7.1599421421848592E-3</v>
      </c>
      <c r="AO447" s="237">
        <v>7.0356641535632486E-3</v>
      </c>
      <c r="AP447" s="238">
        <v>7.0895221584748444E-3</v>
      </c>
      <c r="AR447" s="239">
        <v>95.823361375713972</v>
      </c>
      <c r="AS447" s="240">
        <v>95.944913208325872</v>
      </c>
      <c r="AT447" s="240">
        <v>95.773542118344707</v>
      </c>
      <c r="AU447" s="240">
        <v>95.478263886755727</v>
      </c>
      <c r="AV447" s="240"/>
      <c r="AW447" s="241"/>
      <c r="AX447" s="239">
        <v>95.645207583810262</v>
      </c>
      <c r="AY447" s="240">
        <v>95.981316671774209</v>
      </c>
      <c r="AZ447" s="242">
        <v>95.219933854479848</v>
      </c>
    </row>
    <row r="448" spans="4:52" x14ac:dyDescent="0.25">
      <c r="L448" s="189">
        <v>655</v>
      </c>
      <c r="M448" s="196">
        <f t="shared" si="76"/>
        <v>0</v>
      </c>
      <c r="N448" s="197">
        <f t="shared" si="76"/>
        <v>0</v>
      </c>
      <c r="O448" s="152">
        <f ca="1"/>
        <v>95.769001815489545</v>
      </c>
      <c r="Q448" s="198">
        <v>0</v>
      </c>
      <c r="R448" s="200">
        <v>0</v>
      </c>
      <c r="S448" s="200">
        <v>0</v>
      </c>
      <c r="T448" s="200">
        <v>0</v>
      </c>
      <c r="U448" s="200">
        <f t="array" ref="U448">IF(U$77&gt;" ",(U$628:U$1078),"")</f>
        <v>0</v>
      </c>
      <c r="V448" s="200">
        <f t="array" ref="V448">IF(V$77&gt;" ",(V$628:V$1078),"")</f>
        <v>0</v>
      </c>
      <c r="W448" s="200">
        <f t="array" ref="W448">IF(W$77&gt;" ",(W$628:W$1078),"")</f>
        <v>0</v>
      </c>
      <c r="X448" s="200">
        <f t="array" ref="X448">IF(X$77&gt;" ",(X$628:X$1078),"")</f>
        <v>0</v>
      </c>
      <c r="Y448" s="204">
        <v>0</v>
      </c>
      <c r="Z448" s="198" t="str">
        <f t="shared" si="69"/>
        <v/>
      </c>
      <c r="AA448" s="198" t="str">
        <f t="shared" si="69"/>
        <v/>
      </c>
      <c r="AB448" s="198" t="str">
        <f t="shared" si="69"/>
        <v/>
      </c>
      <c r="AC448" s="198" t="str">
        <f t="shared" si="69"/>
        <v/>
      </c>
      <c r="AD448" s="198" t="str">
        <f t="shared" si="70"/>
        <v/>
      </c>
      <c r="AE448" s="198" t="str">
        <f t="shared" si="70"/>
        <v/>
      </c>
      <c r="AF448" s="198" t="str">
        <f t="shared" si="70"/>
        <v/>
      </c>
      <c r="AG448" s="198" t="str">
        <f t="shared" si="70"/>
        <v/>
      </c>
      <c r="AH448" s="198" t="str">
        <f t="shared" si="73"/>
        <v/>
      </c>
      <c r="AI448" s="200" t="str">
        <f t="shared" si="71"/>
        <v/>
      </c>
      <c r="AJ448" s="208" t="str">
        <f t="shared" si="72"/>
        <v/>
      </c>
      <c r="AK448" s="4"/>
      <c r="AL448" s="162">
        <v>655</v>
      </c>
      <c r="AM448" s="209">
        <v>6.9883077212535803E-3</v>
      </c>
      <c r="AN448" s="183">
        <v>7.1929580145655061E-3</v>
      </c>
      <c r="AO448" s="183">
        <v>6.7877666101308102E-3</v>
      </c>
      <c r="AP448" s="165">
        <v>6.8388033451659783E-3</v>
      </c>
      <c r="AR448" s="210">
        <v>95.817297290593189</v>
      </c>
      <c r="AS448" s="211">
        <v>95.942334215938786</v>
      </c>
      <c r="AT448" s="211">
        <v>95.769001815489545</v>
      </c>
      <c r="AU448" s="211">
        <v>95.463647853616692</v>
      </c>
      <c r="AV448" s="211"/>
      <c r="AW448" s="212"/>
      <c r="AX448" s="210">
        <v>95.659268507607962</v>
      </c>
      <c r="AY448" s="211">
        <v>95.949566782860359</v>
      </c>
      <c r="AZ448" s="213">
        <v>95.410735324705243</v>
      </c>
    </row>
    <row r="449" spans="12:52" x14ac:dyDescent="0.25">
      <c r="L449" s="189">
        <v>650</v>
      </c>
      <c r="M449" s="196">
        <f t="shared" si="76"/>
        <v>0</v>
      </c>
      <c r="N449" s="197">
        <f t="shared" si="76"/>
        <v>0</v>
      </c>
      <c r="O449" s="152">
        <f ca="1"/>
        <v>95.74893072032323</v>
      </c>
      <c r="Q449" s="198">
        <v>0</v>
      </c>
      <c r="R449" s="200">
        <v>0</v>
      </c>
      <c r="S449" s="200">
        <v>0</v>
      </c>
      <c r="T449" s="200">
        <v>0</v>
      </c>
      <c r="U449" s="200">
        <f t="array" ref="U449">IF(U$77&gt;" ",(U$628:U$1078),"")</f>
        <v>0</v>
      </c>
      <c r="V449" s="200">
        <f t="array" ref="V449">IF(V$77&gt;" ",(V$628:V$1078),"")</f>
        <v>0</v>
      </c>
      <c r="W449" s="200">
        <f t="array" ref="W449">IF(W$77&gt;" ",(W$628:W$1078),"")</f>
        <v>0</v>
      </c>
      <c r="X449" s="200">
        <f t="array" ref="X449">IF(X$77&gt;" ",(X$628:X$1078),"")</f>
        <v>0</v>
      </c>
      <c r="Y449" s="204">
        <v>0</v>
      </c>
      <c r="Z449" s="198" t="str">
        <f t="shared" si="69"/>
        <v/>
      </c>
      <c r="AA449" s="198" t="str">
        <f t="shared" si="69"/>
        <v/>
      </c>
      <c r="AB449" s="198" t="str">
        <f t="shared" si="69"/>
        <v/>
      </c>
      <c r="AC449" s="198" t="str">
        <f t="shared" si="69"/>
        <v/>
      </c>
      <c r="AD449" s="198" t="str">
        <f t="shared" si="70"/>
        <v/>
      </c>
      <c r="AE449" s="198" t="str">
        <f t="shared" si="70"/>
        <v/>
      </c>
      <c r="AF449" s="198" t="str">
        <f t="shared" si="70"/>
        <v/>
      </c>
      <c r="AG449" s="198" t="str">
        <f t="shared" si="70"/>
        <v/>
      </c>
      <c r="AH449" s="198" t="str">
        <f t="shared" si="73"/>
        <v/>
      </c>
      <c r="AI449" s="200" t="str">
        <f t="shared" si="71"/>
        <v/>
      </c>
      <c r="AJ449" s="208" t="str">
        <f t="shared" si="72"/>
        <v/>
      </c>
      <c r="AK449" s="4"/>
      <c r="AL449" s="162">
        <v>650</v>
      </c>
      <c r="AM449" s="209">
        <v>7.0139402806289608E-3</v>
      </c>
      <c r="AN449" s="183">
        <v>7.2259738869461538E-3</v>
      </c>
      <c r="AO449" s="183">
        <v>6.8355359136319889E-3</v>
      </c>
      <c r="AP449" s="165">
        <v>6.8830149216199963E-3</v>
      </c>
      <c r="AR449" s="210">
        <v>95.807464467972594</v>
      </c>
      <c r="AS449" s="211">
        <v>95.924143531051115</v>
      </c>
      <c r="AT449" s="211">
        <v>95.74893072032323</v>
      </c>
      <c r="AU449" s="211">
        <v>95.444011427438184</v>
      </c>
      <c r="AV449" s="211"/>
      <c r="AW449" s="212"/>
      <c r="AX449" s="210">
        <v>95.621510301759727</v>
      </c>
      <c r="AY449" s="211">
        <v>95.912338557216358</v>
      </c>
      <c r="AZ449" s="213">
        <v>95.10780461987062</v>
      </c>
    </row>
    <row r="450" spans="12:52" x14ac:dyDescent="0.25">
      <c r="L450" s="189">
        <v>645</v>
      </c>
      <c r="M450" s="196">
        <f t="shared" si="76"/>
        <v>0</v>
      </c>
      <c r="N450" s="197">
        <f t="shared" si="76"/>
        <v>0</v>
      </c>
      <c r="O450" s="152">
        <f ca="1"/>
        <v>95.731154076311711</v>
      </c>
      <c r="Q450" s="198">
        <v>0</v>
      </c>
      <c r="R450" s="200">
        <v>0</v>
      </c>
      <c r="S450" s="200">
        <v>0</v>
      </c>
      <c r="T450" s="200">
        <v>0</v>
      </c>
      <c r="U450" s="200">
        <f t="array" ref="U450">IF(U$77&gt;" ",(U$628:U$1078),"")</f>
        <v>0</v>
      </c>
      <c r="V450" s="200">
        <f t="array" ref="V450">IF(V$77&gt;" ",(V$628:V$1078),"")</f>
        <v>0</v>
      </c>
      <c r="W450" s="200">
        <f t="array" ref="W450">IF(W$77&gt;" ",(W$628:W$1078),"")</f>
        <v>0</v>
      </c>
      <c r="X450" s="200">
        <f t="array" ref="X450">IF(X$77&gt;" ",(X$628:X$1078),"")</f>
        <v>0</v>
      </c>
      <c r="Y450" s="204">
        <v>0</v>
      </c>
      <c r="Z450" s="198" t="str">
        <f t="shared" si="69"/>
        <v/>
      </c>
      <c r="AA450" s="198" t="str">
        <f t="shared" si="69"/>
        <v/>
      </c>
      <c r="AB450" s="198" t="str">
        <f t="shared" si="69"/>
        <v/>
      </c>
      <c r="AC450" s="198" t="str">
        <f t="shared" si="69"/>
        <v/>
      </c>
      <c r="AD450" s="198" t="str">
        <f t="shared" si="70"/>
        <v/>
      </c>
      <c r="AE450" s="198" t="str">
        <f t="shared" si="70"/>
        <v/>
      </c>
      <c r="AF450" s="198" t="str">
        <f t="shared" si="70"/>
        <v/>
      </c>
      <c r="AG450" s="198" t="str">
        <f t="shared" si="70"/>
        <v/>
      </c>
      <c r="AH450" s="198" t="str">
        <f t="shared" si="73"/>
        <v/>
      </c>
      <c r="AI450" s="200" t="str">
        <f t="shared" si="71"/>
        <v/>
      </c>
      <c r="AJ450" s="208" t="str">
        <f t="shared" si="72"/>
        <v/>
      </c>
      <c r="AK450" s="4"/>
      <c r="AL450" s="162">
        <v>645</v>
      </c>
      <c r="AM450" s="209">
        <v>7.0146009136025523E-3</v>
      </c>
      <c r="AN450" s="183">
        <v>7.1797016415641856E-3</v>
      </c>
      <c r="AO450" s="183">
        <v>7.3247941484388115E-3</v>
      </c>
      <c r="AP450" s="165">
        <v>7.3704615430307627E-3</v>
      </c>
      <c r="AR450" s="210">
        <v>95.789229958677964</v>
      </c>
      <c r="AS450" s="211">
        <v>95.894107466123117</v>
      </c>
      <c r="AT450" s="211">
        <v>95.731154076311711</v>
      </c>
      <c r="AU450" s="211">
        <v>95.413471224418345</v>
      </c>
      <c r="AV450" s="211"/>
      <c r="AW450" s="212"/>
      <c r="AX450" s="210">
        <v>95.65817042518313</v>
      </c>
      <c r="AY450" s="211">
        <v>95.923842917098227</v>
      </c>
      <c r="AZ450" s="213">
        <v>95.02043685210424</v>
      </c>
    </row>
    <row r="451" spans="12:52" x14ac:dyDescent="0.25">
      <c r="L451" s="189">
        <v>640</v>
      </c>
      <c r="M451" s="196">
        <f t="shared" si="76"/>
        <v>0</v>
      </c>
      <c r="N451" s="197">
        <f t="shared" si="76"/>
        <v>0</v>
      </c>
      <c r="O451" s="152">
        <f ca="1"/>
        <v>95.691563346906435</v>
      </c>
      <c r="Q451" s="198">
        <v>0</v>
      </c>
      <c r="R451" s="200">
        <v>0</v>
      </c>
      <c r="S451" s="200">
        <v>0</v>
      </c>
      <c r="T451" s="200">
        <v>0</v>
      </c>
      <c r="U451" s="200">
        <f t="array" ref="U451">IF(U$77&gt;" ",(U$628:U$1078),"")</f>
        <v>0</v>
      </c>
      <c r="V451" s="200">
        <f t="array" ref="V451">IF(V$77&gt;" ",(V$628:V$1078),"")</f>
        <v>0</v>
      </c>
      <c r="W451" s="200">
        <f t="array" ref="W451">IF(W$77&gt;" ",(W$628:W$1078),"")</f>
        <v>0</v>
      </c>
      <c r="X451" s="200">
        <f t="array" ref="X451">IF(X$77&gt;" ",(X$628:X$1078),"")</f>
        <v>0</v>
      </c>
      <c r="Y451" s="204">
        <v>0</v>
      </c>
      <c r="Z451" s="198" t="str">
        <f t="shared" si="69"/>
        <v/>
      </c>
      <c r="AA451" s="198" t="str">
        <f t="shared" si="69"/>
        <v/>
      </c>
      <c r="AB451" s="198" t="str">
        <f t="shared" si="69"/>
        <v/>
      </c>
      <c r="AC451" s="198" t="str">
        <f t="shared" si="69"/>
        <v/>
      </c>
      <c r="AD451" s="198" t="str">
        <f t="shared" si="70"/>
        <v/>
      </c>
      <c r="AE451" s="198" t="str">
        <f t="shared" si="70"/>
        <v/>
      </c>
      <c r="AF451" s="198" t="str">
        <f t="shared" si="70"/>
        <v/>
      </c>
      <c r="AG451" s="198" t="str">
        <f t="shared" si="70"/>
        <v/>
      </c>
      <c r="AH451" s="198" t="str">
        <f t="shared" si="73"/>
        <v/>
      </c>
      <c r="AI451" s="200" t="str">
        <f t="shared" si="71"/>
        <v/>
      </c>
      <c r="AJ451" s="208" t="str">
        <f t="shared" si="72"/>
        <v/>
      </c>
      <c r="AK451" s="4"/>
      <c r="AL451" s="162">
        <v>640</v>
      </c>
      <c r="AM451" s="209">
        <v>7.0152615465761455E-3</v>
      </c>
      <c r="AN451" s="183">
        <v>7.1334293961822183E-3</v>
      </c>
      <c r="AO451" s="183">
        <v>7.2106506548096751E-3</v>
      </c>
      <c r="AP451" s="165">
        <v>7.2540563797087896E-3</v>
      </c>
      <c r="AR451" s="210">
        <v>95.763054486265005</v>
      </c>
      <c r="AS451" s="211">
        <v>95.85384733549644</v>
      </c>
      <c r="AT451" s="211">
        <v>95.691563346906435</v>
      </c>
      <c r="AU451" s="211">
        <v>95.360890642882921</v>
      </c>
      <c r="AV451" s="211"/>
      <c r="AW451" s="212"/>
      <c r="AX451" s="210">
        <v>95.72538000333482</v>
      </c>
      <c r="AY451" s="211">
        <v>95.940311249415416</v>
      </c>
      <c r="AZ451" s="213">
        <v>95.041319804033463</v>
      </c>
    </row>
    <row r="452" spans="12:52" x14ac:dyDescent="0.25">
      <c r="L452" s="189">
        <v>635</v>
      </c>
      <c r="M452" s="196">
        <f t="shared" si="76"/>
        <v>0</v>
      </c>
      <c r="N452" s="197">
        <f t="shared" si="76"/>
        <v>0</v>
      </c>
      <c r="O452" s="152">
        <f ca="1"/>
        <v>95.6979911048536</v>
      </c>
      <c r="Q452" s="198">
        <v>0</v>
      </c>
      <c r="R452" s="200">
        <v>0</v>
      </c>
      <c r="S452" s="200">
        <v>0</v>
      </c>
      <c r="T452" s="200">
        <v>0</v>
      </c>
      <c r="U452" s="200">
        <f t="array" ref="U452">IF(U$77&gt;" ",(U$628:U$1078),"")</f>
        <v>0</v>
      </c>
      <c r="V452" s="200">
        <f t="array" ref="V452">IF(V$77&gt;" ",(V$628:V$1078),"")</f>
        <v>0</v>
      </c>
      <c r="W452" s="200">
        <f t="array" ref="W452">IF(W$77&gt;" ",(W$628:W$1078),"")</f>
        <v>0</v>
      </c>
      <c r="X452" s="200">
        <f t="array" ref="X452">IF(X$77&gt;" ",(X$628:X$1078),"")</f>
        <v>0</v>
      </c>
      <c r="Y452" s="204">
        <v>0</v>
      </c>
      <c r="Z452" s="198" t="str">
        <f t="shared" si="69"/>
        <v/>
      </c>
      <c r="AA452" s="198" t="str">
        <f t="shared" si="69"/>
        <v/>
      </c>
      <c r="AB452" s="198" t="str">
        <f t="shared" si="69"/>
        <v/>
      </c>
      <c r="AC452" s="198" t="str">
        <f t="shared" si="69"/>
        <v/>
      </c>
      <c r="AD452" s="198" t="str">
        <f t="shared" si="70"/>
        <v/>
      </c>
      <c r="AE452" s="198" t="str">
        <f t="shared" si="70"/>
        <v/>
      </c>
      <c r="AF452" s="198" t="str">
        <f t="shared" si="70"/>
        <v/>
      </c>
      <c r="AG452" s="198" t="str">
        <f t="shared" si="70"/>
        <v/>
      </c>
      <c r="AH452" s="198" t="str">
        <f t="shared" si="73"/>
        <v/>
      </c>
      <c r="AI452" s="200" t="str">
        <f t="shared" si="71"/>
        <v/>
      </c>
      <c r="AJ452" s="208" t="str">
        <f t="shared" si="72"/>
        <v/>
      </c>
      <c r="AK452" s="4"/>
      <c r="AL452" s="162">
        <v>635</v>
      </c>
      <c r="AM452" s="209">
        <v>7.015922179549737E-3</v>
      </c>
      <c r="AN452" s="183">
        <v>7.2239729249836898E-3</v>
      </c>
      <c r="AO452" s="183">
        <v>7.2699851581058779E-3</v>
      </c>
      <c r="AP452" s="165">
        <v>7.3116993211614972E-3</v>
      </c>
      <c r="AR452" s="210">
        <v>95.77468755134116</v>
      </c>
      <c r="AS452" s="211">
        <v>95.86522530965577</v>
      </c>
      <c r="AT452" s="211">
        <v>95.6979911048536</v>
      </c>
      <c r="AU452" s="211">
        <v>95.377723521669211</v>
      </c>
      <c r="AV452" s="211"/>
      <c r="AW452" s="212"/>
      <c r="AX452" s="210">
        <v>95.689491452815318</v>
      </c>
      <c r="AY452" s="211">
        <v>95.92312554059049</v>
      </c>
      <c r="AZ452" s="213">
        <v>94.961904679850903</v>
      </c>
    </row>
    <row r="453" spans="12:52" x14ac:dyDescent="0.25">
      <c r="L453" s="189">
        <v>630</v>
      </c>
      <c r="M453" s="196">
        <f t="shared" si="76"/>
        <v>0</v>
      </c>
      <c r="N453" s="197">
        <f t="shared" si="76"/>
        <v>0</v>
      </c>
      <c r="O453" s="152">
        <f ca="1"/>
        <v>95.696950909117263</v>
      </c>
      <c r="Q453" s="198">
        <v>0</v>
      </c>
      <c r="R453" s="200">
        <v>0</v>
      </c>
      <c r="S453" s="200">
        <v>0</v>
      </c>
      <c r="T453" s="200">
        <v>0</v>
      </c>
      <c r="U453" s="200">
        <f t="array" ref="U453">IF(U$77&gt;" ",(U$628:U$1078),"")</f>
        <v>0</v>
      </c>
      <c r="V453" s="200">
        <f t="array" ref="V453">IF(V$77&gt;" ",(V$628:V$1078),"")</f>
        <v>0</v>
      </c>
      <c r="W453" s="200">
        <f t="array" ref="W453">IF(W$77&gt;" ",(W$628:W$1078),"")</f>
        <v>0</v>
      </c>
      <c r="X453" s="200">
        <f t="array" ref="X453">IF(X$77&gt;" ",(X$628:X$1078),"")</f>
        <v>0</v>
      </c>
      <c r="Y453" s="204">
        <v>0</v>
      </c>
      <c r="Z453" s="198" t="str">
        <f t="shared" si="69"/>
        <v/>
      </c>
      <c r="AA453" s="198" t="str">
        <f t="shared" si="69"/>
        <v/>
      </c>
      <c r="AB453" s="198" t="str">
        <f t="shared" si="69"/>
        <v/>
      </c>
      <c r="AC453" s="198" t="str">
        <f t="shared" si="69"/>
        <v/>
      </c>
      <c r="AD453" s="198" t="str">
        <f t="shared" si="70"/>
        <v/>
      </c>
      <c r="AE453" s="198" t="str">
        <f t="shared" si="70"/>
        <v/>
      </c>
      <c r="AF453" s="198" t="str">
        <f t="shared" si="70"/>
        <v/>
      </c>
      <c r="AG453" s="198" t="str">
        <f t="shared" si="70"/>
        <v/>
      </c>
      <c r="AH453" s="198" t="str">
        <f t="shared" si="73"/>
        <v/>
      </c>
      <c r="AI453" s="200" t="str">
        <f t="shared" si="71"/>
        <v/>
      </c>
      <c r="AJ453" s="208" t="str">
        <f t="shared" si="72"/>
        <v/>
      </c>
      <c r="AK453" s="4"/>
      <c r="AL453" s="162">
        <v>630</v>
      </c>
      <c r="AM453" s="209">
        <v>7.0165828125233285E-3</v>
      </c>
      <c r="AN453" s="183">
        <v>7.3145164537851606E-3</v>
      </c>
      <c r="AO453" s="183">
        <v>7.0014713889518781E-3</v>
      </c>
      <c r="AP453" s="165">
        <v>7.0453105820208256E-3</v>
      </c>
      <c r="AR453" s="210">
        <v>95.762385418869002</v>
      </c>
      <c r="AS453" s="211">
        <v>95.871302989638181</v>
      </c>
      <c r="AT453" s="211">
        <v>95.696950909117263</v>
      </c>
      <c r="AU453" s="211">
        <v>95.375266222542109</v>
      </c>
      <c r="AV453" s="211"/>
      <c r="AW453" s="212"/>
      <c r="AX453" s="210">
        <v>95.682935035913204</v>
      </c>
      <c r="AY453" s="211">
        <v>95.917941834951947</v>
      </c>
      <c r="AZ453" s="213">
        <v>94.945992045195027</v>
      </c>
    </row>
    <row r="454" spans="12:52" x14ac:dyDescent="0.25">
      <c r="L454" s="189">
        <v>625</v>
      </c>
      <c r="M454" s="196">
        <f t="shared" si="76"/>
        <v>0</v>
      </c>
      <c r="N454" s="197">
        <f t="shared" si="76"/>
        <v>0</v>
      </c>
      <c r="O454" s="152">
        <f ca="1"/>
        <v>95.708964856334788</v>
      </c>
      <c r="Q454" s="198">
        <v>0</v>
      </c>
      <c r="R454" s="200">
        <v>0</v>
      </c>
      <c r="S454" s="200">
        <v>0</v>
      </c>
      <c r="T454" s="200">
        <v>0</v>
      </c>
      <c r="U454" s="200">
        <f t="array" ref="U454">IF(U$77&gt;" ",(U$628:U$1078),"")</f>
        <v>0</v>
      </c>
      <c r="V454" s="200">
        <f t="array" ref="V454">IF(V$77&gt;" ",(V$628:V$1078),"")</f>
        <v>0</v>
      </c>
      <c r="W454" s="200">
        <f t="array" ref="W454">IF(W$77&gt;" ",(W$628:W$1078),"")</f>
        <v>0</v>
      </c>
      <c r="X454" s="200">
        <f t="array" ref="X454">IF(X$77&gt;" ",(X$628:X$1078),"")</f>
        <v>0</v>
      </c>
      <c r="Y454" s="204">
        <v>0</v>
      </c>
      <c r="Z454" s="198" t="str">
        <f t="shared" si="69"/>
        <v/>
      </c>
      <c r="AA454" s="198" t="str">
        <f t="shared" si="69"/>
        <v/>
      </c>
      <c r="AB454" s="198" t="str">
        <f t="shared" si="69"/>
        <v/>
      </c>
      <c r="AC454" s="198" t="str">
        <f t="shared" si="69"/>
        <v/>
      </c>
      <c r="AD454" s="198" t="str">
        <f t="shared" si="70"/>
        <v/>
      </c>
      <c r="AE454" s="198" t="str">
        <f t="shared" si="70"/>
        <v/>
      </c>
      <c r="AF454" s="198" t="str">
        <f t="shared" si="70"/>
        <v/>
      </c>
      <c r="AG454" s="198" t="str">
        <f t="shared" si="70"/>
        <v/>
      </c>
      <c r="AH454" s="198" t="str">
        <f t="shared" si="73"/>
        <v/>
      </c>
      <c r="AI454" s="200" t="str">
        <f t="shared" si="71"/>
        <v/>
      </c>
      <c r="AJ454" s="208" t="str">
        <f t="shared" si="72"/>
        <v/>
      </c>
      <c r="AK454" s="4"/>
      <c r="AL454" s="162">
        <v>625</v>
      </c>
      <c r="AM454" s="209">
        <v>7.0607130951592916E-3</v>
      </c>
      <c r="AN454" s="183">
        <v>7.3737949519231414E-3</v>
      </c>
      <c r="AO454" s="183">
        <v>7.0527605358689342E-3</v>
      </c>
      <c r="AP454" s="165">
        <v>7.0889625182665658E-3</v>
      </c>
      <c r="AR454" s="210">
        <v>95.768732771282217</v>
      </c>
      <c r="AS454" s="211">
        <v>95.89616360953022</v>
      </c>
      <c r="AT454" s="211">
        <v>95.708964856334788</v>
      </c>
      <c r="AU454" s="211">
        <v>95.385359570984178</v>
      </c>
      <c r="AV454" s="211"/>
      <c r="AW454" s="212"/>
      <c r="AX454" s="210">
        <v>95.724947523182109</v>
      </c>
      <c r="AY454" s="211">
        <v>95.89824934270041</v>
      </c>
      <c r="AZ454" s="213">
        <v>94.813750991208408</v>
      </c>
    </row>
    <row r="455" spans="12:52" x14ac:dyDescent="0.25">
      <c r="L455" s="189">
        <v>620</v>
      </c>
      <c r="M455" s="196">
        <f t="shared" si="76"/>
        <v>0</v>
      </c>
      <c r="N455" s="197">
        <f t="shared" si="76"/>
        <v>0</v>
      </c>
      <c r="O455" s="152">
        <f ca="1"/>
        <v>95.683723753386275</v>
      </c>
      <c r="Q455" s="198">
        <v>0</v>
      </c>
      <c r="R455" s="200">
        <v>0</v>
      </c>
      <c r="S455" s="200">
        <v>0</v>
      </c>
      <c r="T455" s="200">
        <v>0</v>
      </c>
      <c r="U455" s="200">
        <f t="array" ref="U455">IF(U$77&gt;" ",(U$628:U$1078),"")</f>
        <v>0</v>
      </c>
      <c r="V455" s="200">
        <f t="array" ref="V455">IF(V$77&gt;" ",(V$628:V$1078),"")</f>
        <v>0</v>
      </c>
      <c r="W455" s="200">
        <f t="array" ref="W455">IF(W$77&gt;" ",(W$628:W$1078),"")</f>
        <v>0</v>
      </c>
      <c r="X455" s="200">
        <f t="array" ref="X455">IF(X$77&gt;" ",(X$628:X$1078),"")</f>
        <v>0</v>
      </c>
      <c r="Y455" s="204">
        <v>0</v>
      </c>
      <c r="Z455" s="198" t="str">
        <f t="shared" si="69"/>
        <v/>
      </c>
      <c r="AA455" s="198" t="str">
        <f t="shared" si="69"/>
        <v/>
      </c>
      <c r="AB455" s="198" t="str">
        <f t="shared" si="69"/>
        <v/>
      </c>
      <c r="AC455" s="198" t="str">
        <f t="shared" si="69"/>
        <v/>
      </c>
      <c r="AD455" s="198" t="str">
        <f t="shared" si="70"/>
        <v/>
      </c>
      <c r="AE455" s="198" t="str">
        <f t="shared" si="70"/>
        <v/>
      </c>
      <c r="AF455" s="198" t="str">
        <f t="shared" si="70"/>
        <v/>
      </c>
      <c r="AG455" s="198" t="str">
        <f t="shared" si="70"/>
        <v/>
      </c>
      <c r="AH455" s="198" t="str">
        <f t="shared" si="73"/>
        <v/>
      </c>
      <c r="AI455" s="200" t="str">
        <f t="shared" si="71"/>
        <v/>
      </c>
      <c r="AJ455" s="208" t="str">
        <f t="shared" si="72"/>
        <v/>
      </c>
      <c r="AK455" s="4"/>
      <c r="AL455" s="162">
        <v>620</v>
      </c>
      <c r="AM455" s="209">
        <v>7.1047773144978961E-3</v>
      </c>
      <c r="AN455" s="183">
        <v>7.4330734500611213E-3</v>
      </c>
      <c r="AO455" s="183">
        <v>7.4112817295146306E-3</v>
      </c>
      <c r="AP455" s="165">
        <v>7.4426551298987188E-3</v>
      </c>
      <c r="AR455" s="210">
        <v>95.749777721607472</v>
      </c>
      <c r="AS455" s="211">
        <v>95.872123248012613</v>
      </c>
      <c r="AT455" s="211">
        <v>95.683723753386275</v>
      </c>
      <c r="AU455" s="211">
        <v>95.361143687571186</v>
      </c>
      <c r="AV455" s="211"/>
      <c r="AW455" s="212"/>
      <c r="AX455" s="210">
        <v>95.742120395990639</v>
      </c>
      <c r="AY455" s="211">
        <v>95.901610412276042</v>
      </c>
      <c r="AZ455" s="213">
        <v>94.652537894206688</v>
      </c>
    </row>
    <row r="456" spans="12:52" x14ac:dyDescent="0.25">
      <c r="L456" s="189">
        <v>615</v>
      </c>
      <c r="M456" s="196">
        <f t="shared" si="76"/>
        <v>0</v>
      </c>
      <c r="N456" s="197">
        <f t="shared" si="76"/>
        <v>0</v>
      </c>
      <c r="O456" s="152">
        <f ca="1"/>
        <v>95.667034371503462</v>
      </c>
      <c r="Q456" s="198">
        <v>0</v>
      </c>
      <c r="R456" s="200">
        <v>0</v>
      </c>
      <c r="S456" s="200">
        <v>0</v>
      </c>
      <c r="T456" s="200">
        <v>0</v>
      </c>
      <c r="U456" s="200">
        <f t="array" ref="U456">IF(U$77&gt;" ",(U$628:U$1078),"")</f>
        <v>0</v>
      </c>
      <c r="V456" s="200">
        <f t="array" ref="V456">IF(V$77&gt;" ",(V$628:V$1078),"")</f>
        <v>0</v>
      </c>
      <c r="W456" s="200">
        <f t="array" ref="W456">IF(W$77&gt;" ",(W$628:W$1078),"")</f>
        <v>0</v>
      </c>
      <c r="X456" s="200">
        <f t="array" ref="X456">IF(X$77&gt;" ",(X$628:X$1078),"")</f>
        <v>0</v>
      </c>
      <c r="Y456" s="204">
        <v>0</v>
      </c>
      <c r="Z456" s="198" t="str">
        <f t="shared" si="69"/>
        <v/>
      </c>
      <c r="AA456" s="198" t="str">
        <f t="shared" si="69"/>
        <v/>
      </c>
      <c r="AB456" s="198" t="str">
        <f t="shared" si="69"/>
        <v/>
      </c>
      <c r="AC456" s="198" t="str">
        <f t="shared" si="69"/>
        <v/>
      </c>
      <c r="AD456" s="198" t="str">
        <f t="shared" si="70"/>
        <v/>
      </c>
      <c r="AE456" s="198" t="str">
        <f t="shared" si="70"/>
        <v/>
      </c>
      <c r="AF456" s="198" t="str">
        <f t="shared" si="70"/>
        <v/>
      </c>
      <c r="AG456" s="198" t="str">
        <f t="shared" si="70"/>
        <v/>
      </c>
      <c r="AH456" s="198" t="str">
        <f t="shared" si="73"/>
        <v/>
      </c>
      <c r="AI456" s="200" t="str">
        <f t="shared" si="71"/>
        <v/>
      </c>
      <c r="AJ456" s="208" t="str">
        <f t="shared" si="72"/>
        <v/>
      </c>
      <c r="AK456" s="4"/>
      <c r="AL456" s="162">
        <v>615</v>
      </c>
      <c r="AM456" s="209">
        <v>7.1489075971338583E-3</v>
      </c>
      <c r="AN456" s="183">
        <v>7.4758440120087774E-3</v>
      </c>
      <c r="AO456" s="183">
        <v>7.3901626690193725E-3</v>
      </c>
      <c r="AP456" s="165">
        <v>7.4174713205261752E-3</v>
      </c>
      <c r="AR456" s="210">
        <v>95.740713401045355</v>
      </c>
      <c r="AS456" s="211">
        <v>95.864353486115007</v>
      </c>
      <c r="AT456" s="211">
        <v>95.667034371503462</v>
      </c>
      <c r="AU456" s="211">
        <v>95.350403927535908</v>
      </c>
      <c r="AV456" s="211"/>
      <c r="AW456" s="212"/>
      <c r="AX456" s="210">
        <v>95.760056646272588</v>
      </c>
      <c r="AY456" s="211">
        <v>95.886088984497306</v>
      </c>
      <c r="AZ456" s="213">
        <v>94.475497052109603</v>
      </c>
    </row>
    <row r="457" spans="12:52" x14ac:dyDescent="0.25">
      <c r="L457" s="189">
        <v>610</v>
      </c>
      <c r="M457" s="196">
        <f t="shared" si="76"/>
        <v>0</v>
      </c>
      <c r="N457" s="197">
        <f t="shared" si="76"/>
        <v>0</v>
      </c>
      <c r="O457" s="152">
        <f ca="1"/>
        <v>95.634031269744298</v>
      </c>
      <c r="Q457" s="198">
        <v>0</v>
      </c>
      <c r="R457" s="200">
        <v>0</v>
      </c>
      <c r="S457" s="200">
        <v>0</v>
      </c>
      <c r="T457" s="200">
        <v>0</v>
      </c>
      <c r="U457" s="200">
        <f t="array" ref="U457">IF(U$77&gt;" ",(U$628:U$1078),"")</f>
        <v>0</v>
      </c>
      <c r="V457" s="200">
        <f t="array" ref="V457">IF(V$77&gt;" ",(V$628:V$1078),"")</f>
        <v>0</v>
      </c>
      <c r="W457" s="200">
        <f t="array" ref="W457">IF(W$77&gt;" ",(W$628:W$1078),"")</f>
        <v>0</v>
      </c>
      <c r="X457" s="200">
        <f t="array" ref="X457">IF(X$77&gt;" ",(X$628:X$1078),"")</f>
        <v>0</v>
      </c>
      <c r="Y457" s="204">
        <v>0</v>
      </c>
      <c r="Z457" s="198" t="str">
        <f t="shared" si="69"/>
        <v/>
      </c>
      <c r="AA457" s="198" t="str">
        <f t="shared" si="69"/>
        <v/>
      </c>
      <c r="AB457" s="198" t="str">
        <f t="shared" si="69"/>
        <v/>
      </c>
      <c r="AC457" s="198" t="str">
        <f t="shared" si="69"/>
        <v/>
      </c>
      <c r="AD457" s="198" t="str">
        <f t="shared" si="70"/>
        <v/>
      </c>
      <c r="AE457" s="198" t="str">
        <f t="shared" si="70"/>
        <v/>
      </c>
      <c r="AF457" s="198" t="str">
        <f t="shared" si="70"/>
        <v/>
      </c>
      <c r="AG457" s="198" t="str">
        <f t="shared" si="70"/>
        <v/>
      </c>
      <c r="AH457" s="198" t="str">
        <f t="shared" si="73"/>
        <v/>
      </c>
      <c r="AI457" s="200" t="str">
        <f t="shared" si="71"/>
        <v/>
      </c>
      <c r="AJ457" s="208" t="str">
        <f t="shared" si="72"/>
        <v/>
      </c>
      <c r="AK457" s="4"/>
      <c r="AL457" s="162">
        <v>610</v>
      </c>
      <c r="AM457" s="209">
        <v>7.1929718164724611E-3</v>
      </c>
      <c r="AN457" s="183">
        <v>7.5186145739564334E-3</v>
      </c>
      <c r="AO457" s="183">
        <v>7.3846314865087092E-3</v>
      </c>
      <c r="AP457" s="165">
        <v>7.4079574369854372E-3</v>
      </c>
      <c r="AR457" s="210">
        <v>95.714274837382035</v>
      </c>
      <c r="AS457" s="211">
        <v>95.84534735153693</v>
      </c>
      <c r="AT457" s="211">
        <v>95.634031269744298</v>
      </c>
      <c r="AU457" s="211">
        <v>95.314109669683319</v>
      </c>
      <c r="AV457" s="211"/>
      <c r="AW457" s="212"/>
      <c r="AX457" s="210">
        <v>95.781450240663659</v>
      </c>
      <c r="AY457" s="211">
        <v>95.892988041835949</v>
      </c>
      <c r="AZ457" s="213">
        <v>94.242211404668794</v>
      </c>
    </row>
    <row r="458" spans="12:52" x14ac:dyDescent="0.25">
      <c r="L458" s="189">
        <v>605</v>
      </c>
      <c r="M458" s="196">
        <f t="shared" si="76"/>
        <v>0</v>
      </c>
      <c r="N458" s="197">
        <f t="shared" si="76"/>
        <v>0</v>
      </c>
      <c r="O458" s="152">
        <f ca="1"/>
        <v>95.64539295605438</v>
      </c>
      <c r="Q458" s="198">
        <v>0</v>
      </c>
      <c r="R458" s="200">
        <v>0</v>
      </c>
      <c r="S458" s="200">
        <v>0</v>
      </c>
      <c r="T458" s="200">
        <v>0</v>
      </c>
      <c r="U458" s="200">
        <f t="array" ref="U458">IF(U$77&gt;" ",(U$628:U$1078),"")</f>
        <v>0</v>
      </c>
      <c r="V458" s="200">
        <f t="array" ref="V458">IF(V$77&gt;" ",(V$628:V$1078),"")</f>
        <v>0</v>
      </c>
      <c r="W458" s="200">
        <f t="array" ref="W458">IF(W$77&gt;" ",(W$628:W$1078),"")</f>
        <v>0</v>
      </c>
      <c r="X458" s="200">
        <f t="array" ref="X458">IF(X$77&gt;" ",(X$628:X$1078),"")</f>
        <v>0</v>
      </c>
      <c r="Y458" s="204">
        <v>0</v>
      </c>
      <c r="Z458" s="198" t="str">
        <f t="shared" si="69"/>
        <v/>
      </c>
      <c r="AA458" s="198" t="str">
        <f t="shared" si="69"/>
        <v/>
      </c>
      <c r="AB458" s="198" t="str">
        <f t="shared" si="69"/>
        <v/>
      </c>
      <c r="AC458" s="198" t="str">
        <f t="shared" si="69"/>
        <v/>
      </c>
      <c r="AD458" s="198" t="str">
        <f t="shared" si="70"/>
        <v/>
      </c>
      <c r="AE458" s="198" t="str">
        <f t="shared" si="70"/>
        <v/>
      </c>
      <c r="AF458" s="198" t="str">
        <f t="shared" si="70"/>
        <v/>
      </c>
      <c r="AG458" s="198" t="str">
        <f t="shared" si="70"/>
        <v/>
      </c>
      <c r="AH458" s="198" t="str">
        <f t="shared" si="73"/>
        <v/>
      </c>
      <c r="AI458" s="200" t="str">
        <f t="shared" si="71"/>
        <v/>
      </c>
      <c r="AJ458" s="208" t="str">
        <f t="shared" si="72"/>
        <v/>
      </c>
      <c r="AK458" s="4"/>
      <c r="AL458" s="162">
        <v>605</v>
      </c>
      <c r="AM458" s="209">
        <v>7.0864777811293902E-3</v>
      </c>
      <c r="AN458" s="183">
        <v>7.4268204439284224E-3</v>
      </c>
      <c r="AO458" s="183">
        <v>7.4897239542113057E-3</v>
      </c>
      <c r="AP458" s="165">
        <v>7.5092523146838867E-3</v>
      </c>
      <c r="AR458" s="210">
        <v>95.713453849761763</v>
      </c>
      <c r="AS458" s="211">
        <v>95.848943492652893</v>
      </c>
      <c r="AT458" s="211">
        <v>95.64539295605438</v>
      </c>
      <c r="AU458" s="211">
        <v>95.306894614727796</v>
      </c>
      <c r="AV458" s="211"/>
      <c r="AW458" s="212"/>
      <c r="AX458" s="210">
        <v>95.801044660234922</v>
      </c>
      <c r="AY458" s="211">
        <v>95.876729372146201</v>
      </c>
      <c r="AZ458" s="213">
        <v>94.467237848152735</v>
      </c>
    </row>
    <row r="459" spans="12:52" x14ac:dyDescent="0.25">
      <c r="L459" s="189">
        <v>600</v>
      </c>
      <c r="M459" s="196">
        <f t="shared" si="76"/>
        <v>0</v>
      </c>
      <c r="N459" s="197">
        <f t="shared" si="76"/>
        <v>0</v>
      </c>
      <c r="O459" s="152">
        <f ca="1"/>
        <v>95.615712245390924</v>
      </c>
      <c r="Q459" s="198">
        <v>0</v>
      </c>
      <c r="R459" s="200">
        <v>0</v>
      </c>
      <c r="S459" s="200">
        <v>0</v>
      </c>
      <c r="T459" s="200">
        <v>0</v>
      </c>
      <c r="U459" s="200">
        <f t="array" ref="U459">IF(U$77&gt;" ",(U$628:U$1078),"")</f>
        <v>0</v>
      </c>
      <c r="V459" s="200">
        <f t="array" ref="V459">IF(V$77&gt;" ",(V$628:V$1078),"")</f>
        <v>0</v>
      </c>
      <c r="W459" s="200">
        <f t="array" ref="W459">IF(W$77&gt;" ",(W$628:W$1078),"")</f>
        <v>0</v>
      </c>
      <c r="X459" s="200">
        <f t="array" ref="X459">IF(X$77&gt;" ",(X$628:X$1078),"")</f>
        <v>0</v>
      </c>
      <c r="Y459" s="204">
        <v>0</v>
      </c>
      <c r="Z459" s="198" t="str">
        <f t="shared" si="69"/>
        <v/>
      </c>
      <c r="AA459" s="198" t="str">
        <f t="shared" si="69"/>
        <v/>
      </c>
      <c r="AB459" s="198" t="str">
        <f t="shared" si="69"/>
        <v/>
      </c>
      <c r="AC459" s="198" t="str">
        <f t="shared" si="69"/>
        <v/>
      </c>
      <c r="AD459" s="198" t="str">
        <f t="shared" si="70"/>
        <v/>
      </c>
      <c r="AE459" s="198" t="str">
        <f t="shared" si="70"/>
        <v/>
      </c>
      <c r="AF459" s="198" t="str">
        <f t="shared" si="70"/>
        <v/>
      </c>
      <c r="AG459" s="198" t="str">
        <f t="shared" si="70"/>
        <v/>
      </c>
      <c r="AH459" s="198" t="str">
        <f t="shared" si="73"/>
        <v/>
      </c>
      <c r="AI459" s="200" t="str">
        <f t="shared" si="71"/>
        <v/>
      </c>
      <c r="AJ459" s="208" t="str">
        <f t="shared" si="72"/>
        <v/>
      </c>
      <c r="AK459" s="4"/>
      <c r="AL459" s="162">
        <v>600</v>
      </c>
      <c r="AM459" s="209">
        <v>6.979917682488959E-3</v>
      </c>
      <c r="AN459" s="183">
        <v>7.3350263139004123E-3</v>
      </c>
      <c r="AO459" s="183">
        <v>7.4183214163463839E-3</v>
      </c>
      <c r="AP459" s="165">
        <v>7.4309026855248657E-3</v>
      </c>
      <c r="AR459" s="210">
        <v>95.699798688354136</v>
      </c>
      <c r="AS459" s="211">
        <v>95.826259638928107</v>
      </c>
      <c r="AT459" s="211">
        <v>95.615712245390924</v>
      </c>
      <c r="AU459" s="211">
        <v>95.267530523651075</v>
      </c>
      <c r="AV459" s="211"/>
      <c r="AW459" s="212"/>
      <c r="AX459" s="210">
        <v>95.774160933405525</v>
      </c>
      <c r="AY459" s="211">
        <v>95.840453213872124</v>
      </c>
      <c r="AZ459" s="213">
        <v>94.475704698681909</v>
      </c>
    </row>
    <row r="460" spans="12:52" x14ac:dyDescent="0.25">
      <c r="L460" s="189">
        <v>595</v>
      </c>
      <c r="M460" s="196">
        <f t="shared" si="76"/>
        <v>0</v>
      </c>
      <c r="N460" s="197">
        <f t="shared" si="76"/>
        <v>0</v>
      </c>
      <c r="O460" s="152">
        <f ca="1"/>
        <v>95.569595270033304</v>
      </c>
      <c r="Q460" s="198">
        <v>0</v>
      </c>
      <c r="R460" s="200">
        <v>0</v>
      </c>
      <c r="S460" s="200">
        <v>0</v>
      </c>
      <c r="T460" s="200">
        <v>0</v>
      </c>
      <c r="U460" s="200">
        <f t="array" ref="U460">IF(U$77&gt;" ",(U$628:U$1078),"")</f>
        <v>0</v>
      </c>
      <c r="V460" s="200">
        <f t="array" ref="V460">IF(V$77&gt;" ",(V$628:V$1078),"")</f>
        <v>0</v>
      </c>
      <c r="W460" s="200">
        <f t="array" ref="W460">IF(W$77&gt;" ",(W$628:W$1078),"")</f>
        <v>0</v>
      </c>
      <c r="X460" s="200">
        <f t="array" ref="X460">IF(X$77&gt;" ",(X$628:X$1078),"")</f>
        <v>0</v>
      </c>
      <c r="Y460" s="204">
        <v>0</v>
      </c>
      <c r="Z460" s="198" t="str">
        <f t="shared" si="69"/>
        <v/>
      </c>
      <c r="AA460" s="198" t="str">
        <f t="shared" si="69"/>
        <v/>
      </c>
      <c r="AB460" s="198" t="str">
        <f t="shared" si="69"/>
        <v/>
      </c>
      <c r="AC460" s="198" t="str">
        <f t="shared" si="69"/>
        <v/>
      </c>
      <c r="AD460" s="198" t="str">
        <f t="shared" si="70"/>
        <v/>
      </c>
      <c r="AE460" s="198" t="str">
        <f t="shared" si="70"/>
        <v/>
      </c>
      <c r="AF460" s="198" t="str">
        <f t="shared" si="70"/>
        <v/>
      </c>
      <c r="AG460" s="198" t="str">
        <f t="shared" si="70"/>
        <v/>
      </c>
      <c r="AH460" s="198" t="str">
        <f t="shared" si="73"/>
        <v/>
      </c>
      <c r="AI460" s="200" t="str">
        <f t="shared" si="71"/>
        <v/>
      </c>
      <c r="AJ460" s="208" t="str">
        <f t="shared" si="72"/>
        <v/>
      </c>
      <c r="AK460" s="4"/>
      <c r="AL460" s="162">
        <v>595</v>
      </c>
      <c r="AM460" s="209">
        <v>6.8734236471458881E-3</v>
      </c>
      <c r="AN460" s="183">
        <v>7.2517362722128711E-3</v>
      </c>
      <c r="AO460" s="183">
        <v>7.1945599420513836E-3</v>
      </c>
      <c r="AP460" s="165">
        <v>7.2025694805471462E-3</v>
      </c>
      <c r="AR460" s="210">
        <v>95.672960977500935</v>
      </c>
      <c r="AS460" s="211">
        <v>95.795999610347863</v>
      </c>
      <c r="AT460" s="211">
        <v>95.569595270033304</v>
      </c>
      <c r="AU460" s="211">
        <v>95.229190394289574</v>
      </c>
      <c r="AV460" s="211"/>
      <c r="AW460" s="212"/>
      <c r="AX460" s="210">
        <v>95.753385754494118</v>
      </c>
      <c r="AY460" s="211">
        <v>95.796971097529578</v>
      </c>
      <c r="AZ460" s="213">
        <v>94.741042083043766</v>
      </c>
    </row>
    <row r="461" spans="12:52" x14ac:dyDescent="0.25">
      <c r="L461" s="189">
        <v>590</v>
      </c>
      <c r="M461" s="196">
        <f t="shared" si="76"/>
        <v>0</v>
      </c>
      <c r="N461" s="197">
        <f t="shared" si="76"/>
        <v>0</v>
      </c>
      <c r="O461" s="152">
        <f ca="1"/>
        <v>95.537349898094604</v>
      </c>
      <c r="Q461" s="198">
        <v>0</v>
      </c>
      <c r="R461" s="200">
        <v>0</v>
      </c>
      <c r="S461" s="200">
        <v>0</v>
      </c>
      <c r="T461" s="200">
        <v>0</v>
      </c>
      <c r="U461" s="200">
        <f t="array" ref="U461">IF(U$77&gt;" ",(U$628:U$1078),"")</f>
        <v>0</v>
      </c>
      <c r="V461" s="200">
        <f t="array" ref="V461">IF(V$77&gt;" ",(V$628:V$1078),"")</f>
        <v>0</v>
      </c>
      <c r="W461" s="200">
        <f t="array" ref="W461">IF(W$77&gt;" ",(W$628:W$1078),"")</f>
        <v>0</v>
      </c>
      <c r="X461" s="200">
        <f t="array" ref="X461">IF(X$77&gt;" ",(X$628:X$1078),"")</f>
        <v>0</v>
      </c>
      <c r="Y461" s="204">
        <v>0</v>
      </c>
      <c r="Z461" s="198" t="str">
        <f t="shared" si="69"/>
        <v/>
      </c>
      <c r="AA461" s="198" t="str">
        <f t="shared" si="69"/>
        <v/>
      </c>
      <c r="AB461" s="198" t="str">
        <f t="shared" si="69"/>
        <v/>
      </c>
      <c r="AC461" s="198" t="str">
        <f t="shared" si="69"/>
        <v/>
      </c>
      <c r="AD461" s="198" t="str">
        <f t="shared" si="70"/>
        <v/>
      </c>
      <c r="AE461" s="198" t="str">
        <f t="shared" si="70"/>
        <v/>
      </c>
      <c r="AF461" s="198" t="str">
        <f t="shared" si="70"/>
        <v/>
      </c>
      <c r="AG461" s="198" t="str">
        <f t="shared" si="70"/>
        <v/>
      </c>
      <c r="AH461" s="198" t="str">
        <f t="shared" si="73"/>
        <v/>
      </c>
      <c r="AI461" s="200" t="str">
        <f t="shared" si="71"/>
        <v/>
      </c>
      <c r="AJ461" s="208" t="str">
        <f t="shared" si="72"/>
        <v/>
      </c>
      <c r="AK461" s="4"/>
      <c r="AL461" s="162">
        <v>590</v>
      </c>
      <c r="AM461" s="209">
        <v>6.7668635485054569E-3</v>
      </c>
      <c r="AN461" s="183">
        <v>7.1684462305253291E-3</v>
      </c>
      <c r="AO461" s="183">
        <v>6.8933619126071016E-3</v>
      </c>
      <c r="AP461" s="165">
        <v>6.8925288051607352E-3</v>
      </c>
      <c r="AR461" s="210">
        <v>95.651005399725193</v>
      </c>
      <c r="AS461" s="211">
        <v>95.770658632680224</v>
      </c>
      <c r="AT461" s="211">
        <v>95.537349898094604</v>
      </c>
      <c r="AU461" s="211">
        <v>95.185985316283606</v>
      </c>
      <c r="AV461" s="211"/>
      <c r="AW461" s="212"/>
      <c r="AX461" s="210">
        <v>95.790406568703915</v>
      </c>
      <c r="AY461" s="211">
        <v>95.79818665973734</v>
      </c>
      <c r="AZ461" s="213">
        <v>94.9598195109524</v>
      </c>
    </row>
    <row r="462" spans="12:52" x14ac:dyDescent="0.25">
      <c r="L462" s="189">
        <v>585</v>
      </c>
      <c r="M462" s="196">
        <f t="shared" si="76"/>
        <v>0</v>
      </c>
      <c r="N462" s="197">
        <f t="shared" si="76"/>
        <v>0</v>
      </c>
      <c r="O462" s="152">
        <f ca="1"/>
        <v>95.529093860101128</v>
      </c>
      <c r="Q462" s="198">
        <v>0</v>
      </c>
      <c r="R462" s="200">
        <v>0</v>
      </c>
      <c r="S462" s="200">
        <v>0</v>
      </c>
      <c r="T462" s="200">
        <v>0</v>
      </c>
      <c r="U462" s="200">
        <f t="array" ref="U462">IF(U$77&gt;" ",(U$628:U$1078),"")</f>
        <v>0</v>
      </c>
      <c r="V462" s="200">
        <f t="array" ref="V462">IF(V$77&gt;" ",(V$628:V$1078),"")</f>
        <v>0</v>
      </c>
      <c r="W462" s="200">
        <f t="array" ref="W462">IF(W$77&gt;" ",(W$628:W$1078),"")</f>
        <v>0</v>
      </c>
      <c r="X462" s="200">
        <f t="array" ref="X462">IF(X$77&gt;" ",(X$628:X$1078),"")</f>
        <v>0</v>
      </c>
      <c r="Y462" s="204">
        <v>0</v>
      </c>
      <c r="Z462" s="198" t="str">
        <f t="shared" si="69"/>
        <v/>
      </c>
      <c r="AA462" s="198" t="str">
        <f t="shared" si="69"/>
        <v/>
      </c>
      <c r="AB462" s="198" t="str">
        <f t="shared" si="69"/>
        <v/>
      </c>
      <c r="AC462" s="198" t="str">
        <f t="shared" si="69"/>
        <v/>
      </c>
      <c r="AD462" s="198" t="str">
        <f t="shared" si="70"/>
        <v/>
      </c>
      <c r="AE462" s="198" t="str">
        <f t="shared" si="70"/>
        <v/>
      </c>
      <c r="AF462" s="198" t="str">
        <f t="shared" si="70"/>
        <v/>
      </c>
      <c r="AG462" s="198" t="str">
        <f t="shared" si="70"/>
        <v/>
      </c>
      <c r="AH462" s="198" t="str">
        <f t="shared" si="73"/>
        <v/>
      </c>
      <c r="AI462" s="200" t="str">
        <f t="shared" si="71"/>
        <v/>
      </c>
      <c r="AJ462" s="208" t="str">
        <f t="shared" si="72"/>
        <v/>
      </c>
      <c r="AK462" s="4"/>
      <c r="AL462" s="162">
        <v>585</v>
      </c>
      <c r="AM462" s="209">
        <v>6.8710453684409558E-3</v>
      </c>
      <c r="AN462" s="183">
        <v>7.2722461323281203E-3</v>
      </c>
      <c r="AO462" s="183">
        <v>7.7054400721271593E-3</v>
      </c>
      <c r="AP462" s="165">
        <v>7.6877775411247984E-3</v>
      </c>
      <c r="AR462" s="210">
        <v>95.628793794880721</v>
      </c>
      <c r="AS462" s="211">
        <v>95.769175886955438</v>
      </c>
      <c r="AT462" s="211">
        <v>95.529093860101128</v>
      </c>
      <c r="AU462" s="211">
        <v>95.178696539410268</v>
      </c>
      <c r="AV462" s="211"/>
      <c r="AW462" s="212"/>
      <c r="AX462" s="210">
        <v>95.746342512451022</v>
      </c>
      <c r="AY462" s="211">
        <v>95.76855846127215</v>
      </c>
      <c r="AZ462" s="213">
        <v>95.082158209628147</v>
      </c>
    </row>
    <row r="463" spans="12:52" x14ac:dyDescent="0.25">
      <c r="L463" s="189">
        <v>580</v>
      </c>
      <c r="M463" s="196">
        <f t="shared" ref="M463:N478" si="77">M1012</f>
        <v>0</v>
      </c>
      <c r="N463" s="197">
        <f t="shared" si="77"/>
        <v>0</v>
      </c>
      <c r="O463" s="152">
        <f ca="1"/>
        <v>95.516388957704521</v>
      </c>
      <c r="Q463" s="198">
        <v>0</v>
      </c>
      <c r="R463" s="200">
        <v>0</v>
      </c>
      <c r="S463" s="200">
        <v>0</v>
      </c>
      <c r="T463" s="200">
        <v>0</v>
      </c>
      <c r="U463" s="200">
        <f t="array" ref="U463">IF(U$77&gt;" ",(U$628:U$1078),"")</f>
        <v>0</v>
      </c>
      <c r="V463" s="200">
        <f t="array" ref="V463">IF(V$77&gt;" ",(V$628:V$1078),"")</f>
        <v>0</v>
      </c>
      <c r="W463" s="200">
        <f t="array" ref="W463">IF(W$77&gt;" ",(W$628:W$1078),"")</f>
        <v>0</v>
      </c>
      <c r="X463" s="200">
        <f t="array" ref="X463">IF(X$77&gt;" ",(X$628:X$1078),"")</f>
        <v>0</v>
      </c>
      <c r="Y463" s="204">
        <v>0</v>
      </c>
      <c r="Z463" s="198" t="str">
        <f t="shared" si="69"/>
        <v/>
      </c>
      <c r="AA463" s="198" t="str">
        <f t="shared" si="69"/>
        <v/>
      </c>
      <c r="AB463" s="198" t="str">
        <f t="shared" si="69"/>
        <v/>
      </c>
      <c r="AC463" s="198" t="str">
        <f t="shared" ref="AC463:AG526" si="78">IF(AND(T463&gt;0,T463&lt;999),(T463-$M463)/($N463-$M463)*$O463,"")</f>
        <v/>
      </c>
      <c r="AD463" s="198" t="str">
        <f t="shared" si="70"/>
        <v/>
      </c>
      <c r="AE463" s="198" t="str">
        <f t="shared" si="70"/>
        <v/>
      </c>
      <c r="AF463" s="198" t="str">
        <f t="shared" si="70"/>
        <v/>
      </c>
      <c r="AG463" s="198" t="str">
        <f t="shared" si="70"/>
        <v/>
      </c>
      <c r="AH463" s="198" t="str">
        <f t="shared" si="73"/>
        <v/>
      </c>
      <c r="AI463" s="200" t="str">
        <f t="shared" si="71"/>
        <v/>
      </c>
      <c r="AJ463" s="208" t="str">
        <f t="shared" si="72"/>
        <v/>
      </c>
      <c r="AK463" s="4"/>
      <c r="AL463" s="162">
        <v>580</v>
      </c>
      <c r="AM463" s="209">
        <v>6.9752932516738133E-3</v>
      </c>
      <c r="AN463" s="183">
        <v>7.3760460341309123E-3</v>
      </c>
      <c r="AO463" s="183">
        <v>7.5525783009233842E-3</v>
      </c>
      <c r="AP463" s="165">
        <v>7.5299590023901984E-3</v>
      </c>
      <c r="AR463" s="210">
        <v>95.616479708203101</v>
      </c>
      <c r="AS463" s="211">
        <v>95.769859655379548</v>
      </c>
      <c r="AT463" s="211">
        <v>95.516388957704521</v>
      </c>
      <c r="AU463" s="211">
        <v>95.168892701225275</v>
      </c>
      <c r="AV463" s="211"/>
      <c r="AW463" s="212"/>
      <c r="AX463" s="210">
        <v>95.725057289772295</v>
      </c>
      <c r="AY463" s="211">
        <v>95.729899016462809</v>
      </c>
      <c r="AZ463" s="213">
        <v>95.172176206477559</v>
      </c>
    </row>
    <row r="464" spans="12:52" x14ac:dyDescent="0.25">
      <c r="L464" s="189">
        <v>575</v>
      </c>
      <c r="M464" s="196">
        <f t="shared" si="77"/>
        <v>0</v>
      </c>
      <c r="N464" s="197">
        <f t="shared" si="77"/>
        <v>0</v>
      </c>
      <c r="O464" s="152">
        <f ca="1"/>
        <v>95.487770718142656</v>
      </c>
      <c r="Q464" s="198">
        <v>0</v>
      </c>
      <c r="R464" s="200">
        <v>0</v>
      </c>
      <c r="S464" s="200">
        <v>0</v>
      </c>
      <c r="T464" s="200">
        <v>0</v>
      </c>
      <c r="U464" s="200">
        <f t="array" ref="U464">IF(U$77&gt;" ",(U$628:U$1078),"")</f>
        <v>0</v>
      </c>
      <c r="V464" s="200">
        <f t="array" ref="V464">IF(V$77&gt;" ",(V$628:V$1078),"")</f>
        <v>0</v>
      </c>
      <c r="W464" s="200">
        <f t="array" ref="W464">IF(W$77&gt;" ",(W$628:W$1078),"")</f>
        <v>0</v>
      </c>
      <c r="X464" s="200">
        <f t="array" ref="X464">IF(X$77&gt;" ",(X$628:X$1078),"")</f>
        <v>0</v>
      </c>
      <c r="Y464" s="204">
        <v>0</v>
      </c>
      <c r="Z464" s="198" t="str">
        <f t="shared" ref="Z464:Z495" si="79">IF(AND(Q464&gt;0,Q464&lt;999),(Q464-$M464)/($N464-$M464)*$O464,"")</f>
        <v/>
      </c>
      <c r="AA464" s="198" t="str">
        <f t="shared" ref="AA464:AA495" si="80">IF(AND(R464&gt;0,R464&lt;999),(R464-$M464)/($N464-$M464)*$O464,"")</f>
        <v/>
      </c>
      <c r="AB464" s="198" t="str">
        <f t="shared" ref="AB464:AB495" si="81">IF(AND(S464&gt;0,S464&lt;999),(S464-$M464)/($N464-$M464)*$O464,"")</f>
        <v/>
      </c>
      <c r="AC464" s="198" t="str">
        <f t="shared" si="78"/>
        <v/>
      </c>
      <c r="AD464" s="198" t="str">
        <f t="shared" si="78"/>
        <v/>
      </c>
      <c r="AE464" s="198" t="str">
        <f t="shared" si="78"/>
        <v/>
      </c>
      <c r="AF464" s="198" t="str">
        <f t="shared" si="78"/>
        <v/>
      </c>
      <c r="AG464" s="198" t="str">
        <f t="shared" si="78"/>
        <v/>
      </c>
      <c r="AH464" s="198" t="str">
        <f t="shared" si="73"/>
        <v/>
      </c>
      <c r="AI464" s="200" t="str">
        <f t="shared" ref="AI464:AI527" si="82">IFERROR(AVERAGE(Z464:AA464),"")</f>
        <v/>
      </c>
      <c r="AJ464" s="208" t="str">
        <f t="shared" ref="AJ464:AJ527" si="83">IFERROR(AI464/100,"")</f>
        <v/>
      </c>
      <c r="AK464" s="4"/>
      <c r="AL464" s="162">
        <v>575</v>
      </c>
      <c r="AM464" s="209">
        <v>7.0795411349066717E-3</v>
      </c>
      <c r="AN464" s="183">
        <v>7.5038574794832648E-3</v>
      </c>
      <c r="AO464" s="183">
        <v>7.4303894509151029E-3</v>
      </c>
      <c r="AP464" s="165">
        <v>7.4012417544860928E-3</v>
      </c>
      <c r="AR464" s="210">
        <v>95.589323553864361</v>
      </c>
      <c r="AS464" s="211">
        <v>95.736762332004915</v>
      </c>
      <c r="AT464" s="211">
        <v>95.487770718142656</v>
      </c>
      <c r="AU464" s="211">
        <v>95.132637674316769</v>
      </c>
      <c r="AV464" s="211"/>
      <c r="AW464" s="212"/>
      <c r="AX464" s="210">
        <v>95.733776574516824</v>
      </c>
      <c r="AY464" s="211">
        <v>95.703435050895607</v>
      </c>
      <c r="AZ464" s="213">
        <v>95.578152472153789</v>
      </c>
    </row>
    <row r="465" spans="12:52" x14ac:dyDescent="0.25">
      <c r="L465" s="189">
        <v>570</v>
      </c>
      <c r="M465" s="196">
        <f t="shared" si="77"/>
        <v>0</v>
      </c>
      <c r="N465" s="197">
        <f t="shared" si="77"/>
        <v>0</v>
      </c>
      <c r="O465" s="152">
        <f ca="1"/>
        <v>95.428385859839906</v>
      </c>
      <c r="Q465" s="198">
        <v>0</v>
      </c>
      <c r="R465" s="200">
        <v>0</v>
      </c>
      <c r="S465" s="200">
        <v>0</v>
      </c>
      <c r="T465" s="200">
        <v>0</v>
      </c>
      <c r="U465" s="200">
        <f t="array" ref="U465">IF(U$77&gt;" ",(U$628:U$1078),"")</f>
        <v>0</v>
      </c>
      <c r="V465" s="200">
        <f t="array" ref="V465">IF(V$77&gt;" ",(V$628:V$1078),"")</f>
        <v>0</v>
      </c>
      <c r="W465" s="200">
        <f t="array" ref="W465">IF(W$77&gt;" ",(W$628:W$1078),"")</f>
        <v>0</v>
      </c>
      <c r="X465" s="200">
        <f t="array" ref="X465">IF(X$77&gt;" ",(X$628:X$1078),"")</f>
        <v>0</v>
      </c>
      <c r="Y465" s="204">
        <v>0</v>
      </c>
      <c r="Z465" s="198" t="str">
        <f t="shared" si="79"/>
        <v/>
      </c>
      <c r="AA465" s="198" t="str">
        <f t="shared" si="80"/>
        <v/>
      </c>
      <c r="AB465" s="198" t="str">
        <f t="shared" si="81"/>
        <v/>
      </c>
      <c r="AC465" s="198" t="str">
        <f t="shared" si="78"/>
        <v/>
      </c>
      <c r="AD465" s="198" t="str">
        <f t="shared" si="78"/>
        <v/>
      </c>
      <c r="AE465" s="198" t="str">
        <f t="shared" si="78"/>
        <v/>
      </c>
      <c r="AF465" s="198" t="str">
        <f t="shared" si="78"/>
        <v/>
      </c>
      <c r="AG465" s="198" t="str">
        <f t="shared" si="78"/>
        <v/>
      </c>
      <c r="AH465" s="198" t="str">
        <f t="shared" si="73"/>
        <v/>
      </c>
      <c r="AI465" s="200" t="str">
        <f t="shared" si="82"/>
        <v/>
      </c>
      <c r="AJ465" s="208" t="str">
        <f t="shared" si="83"/>
        <v/>
      </c>
      <c r="AK465" s="4"/>
      <c r="AL465" s="162">
        <v>570</v>
      </c>
      <c r="AM465" s="209">
        <v>7.1837229548421706E-3</v>
      </c>
      <c r="AN465" s="183">
        <v>7.631668924835619E-3</v>
      </c>
      <c r="AO465" s="183">
        <v>7.4500000070892719E-3</v>
      </c>
      <c r="AP465" s="165">
        <v>7.4096363576102737E-3</v>
      </c>
      <c r="AR465" s="210">
        <v>95.546752910753014</v>
      </c>
      <c r="AS465" s="211">
        <v>95.679670565731442</v>
      </c>
      <c r="AT465" s="211">
        <v>95.428385859839906</v>
      </c>
      <c r="AU465" s="211">
        <v>95.074522414085365</v>
      </c>
      <c r="AV465" s="211"/>
      <c r="AW465" s="212"/>
      <c r="AX465" s="210">
        <v>95.686194122023821</v>
      </c>
      <c r="AY465" s="211">
        <v>95.651158572418808</v>
      </c>
      <c r="AZ465" s="213">
        <v>95.694149155335822</v>
      </c>
    </row>
    <row r="466" spans="12:52" x14ac:dyDescent="0.25">
      <c r="L466" s="189">
        <v>565</v>
      </c>
      <c r="M466" s="196">
        <f t="shared" si="77"/>
        <v>0</v>
      </c>
      <c r="N466" s="197">
        <f t="shared" si="77"/>
        <v>0</v>
      </c>
      <c r="O466" s="152">
        <f ca="1"/>
        <v>95.408089597350738</v>
      </c>
      <c r="Q466" s="198">
        <v>0</v>
      </c>
      <c r="R466" s="200">
        <v>0</v>
      </c>
      <c r="S466" s="200">
        <v>0</v>
      </c>
      <c r="T466" s="200">
        <v>0</v>
      </c>
      <c r="U466" s="200">
        <f t="array" ref="U466">IF(U$77&gt;" ",(U$628:U$1078),"")</f>
        <v>0</v>
      </c>
      <c r="V466" s="200">
        <f t="array" ref="V466">IF(V$77&gt;" ",(V$628:V$1078),"")</f>
        <v>0</v>
      </c>
      <c r="W466" s="200">
        <f t="array" ref="W466">IF(W$77&gt;" ",(W$628:W$1078),"")</f>
        <v>0</v>
      </c>
      <c r="X466" s="200">
        <f t="array" ref="X466">IF(X$77&gt;" ",(X$628:X$1078),"")</f>
        <v>0</v>
      </c>
      <c r="Y466" s="204">
        <v>0</v>
      </c>
      <c r="Z466" s="198" t="str">
        <f t="shared" si="79"/>
        <v/>
      </c>
      <c r="AA466" s="198" t="str">
        <f t="shared" si="80"/>
        <v/>
      </c>
      <c r="AB466" s="198" t="str">
        <f t="shared" si="81"/>
        <v/>
      </c>
      <c r="AC466" s="198" t="str">
        <f t="shared" si="78"/>
        <v/>
      </c>
      <c r="AD466" s="198" t="str">
        <f t="shared" si="78"/>
        <v/>
      </c>
      <c r="AE466" s="198" t="str">
        <f t="shared" si="78"/>
        <v/>
      </c>
      <c r="AF466" s="198" t="str">
        <f t="shared" si="78"/>
        <v/>
      </c>
      <c r="AG466" s="198" t="str">
        <f t="shared" ref="AG466:AH529" si="84">IF(AND(X466&gt;0,X466&lt;999),(X466-$M466)/($N466-$M466)*$O466,"")</f>
        <v/>
      </c>
      <c r="AH466" s="198" t="str">
        <f t="shared" si="73"/>
        <v/>
      </c>
      <c r="AI466" s="200" t="str">
        <f t="shared" si="82"/>
        <v/>
      </c>
      <c r="AJ466" s="208" t="str">
        <f t="shared" si="83"/>
        <v/>
      </c>
      <c r="AK466" s="4"/>
      <c r="AL466" s="162">
        <v>565</v>
      </c>
      <c r="AM466" s="209">
        <v>7.2081663748650828E-3</v>
      </c>
      <c r="AN466" s="183">
        <v>7.7152090867684681E-3</v>
      </c>
      <c r="AO466" s="183">
        <v>7.6435913949624741E-3</v>
      </c>
      <c r="AP466" s="165">
        <v>7.5859230232180703E-3</v>
      </c>
      <c r="AR466" s="210">
        <v>95.520727228160382</v>
      </c>
      <c r="AS466" s="211">
        <v>95.663985383806747</v>
      </c>
      <c r="AT466" s="211">
        <v>95.408089597350738</v>
      </c>
      <c r="AU466" s="211">
        <v>95.029802304816556</v>
      </c>
      <c r="AV466" s="211"/>
      <c r="AW466" s="212"/>
      <c r="AX466" s="210">
        <v>95.702783413380345</v>
      </c>
      <c r="AY466" s="211">
        <v>95.61458889720889</v>
      </c>
      <c r="AZ466" s="213">
        <v>96.288545749460624</v>
      </c>
    </row>
    <row r="467" spans="12:52" x14ac:dyDescent="0.25">
      <c r="L467" s="189">
        <v>560</v>
      </c>
      <c r="M467" s="196">
        <f t="shared" si="77"/>
        <v>0</v>
      </c>
      <c r="N467" s="197">
        <f t="shared" si="77"/>
        <v>0</v>
      </c>
      <c r="O467" s="152">
        <f ca="1"/>
        <v>95.354714459054051</v>
      </c>
      <c r="Q467" s="198">
        <v>0</v>
      </c>
      <c r="R467" s="200">
        <v>0</v>
      </c>
      <c r="S467" s="200">
        <v>0</v>
      </c>
      <c r="T467" s="200">
        <v>0</v>
      </c>
      <c r="U467" s="200">
        <f t="array" ref="U467">IF(U$77&gt;" ",(U$628:U$1078),"")</f>
        <v>0</v>
      </c>
      <c r="V467" s="200">
        <f t="array" ref="V467">IF(V$77&gt;" ",(V$628:V$1078),"")</f>
        <v>0</v>
      </c>
      <c r="W467" s="200">
        <f t="array" ref="W467">IF(W$77&gt;" ",(W$628:W$1078),"")</f>
        <v>0</v>
      </c>
      <c r="X467" s="200">
        <f t="array" ref="X467">IF(X$77&gt;" ",(X$628:X$1078),"")</f>
        <v>0</v>
      </c>
      <c r="Y467" s="204">
        <v>0</v>
      </c>
      <c r="Z467" s="198" t="str">
        <f t="shared" si="79"/>
        <v/>
      </c>
      <c r="AA467" s="198" t="str">
        <f t="shared" si="80"/>
        <v/>
      </c>
      <c r="AB467" s="198" t="str">
        <f t="shared" si="81"/>
        <v/>
      </c>
      <c r="AC467" s="198" t="str">
        <f t="shared" si="78"/>
        <v/>
      </c>
      <c r="AD467" s="198" t="str">
        <f t="shared" si="78"/>
        <v/>
      </c>
      <c r="AE467" s="198" t="str">
        <f t="shared" si="78"/>
        <v/>
      </c>
      <c r="AF467" s="198" t="str">
        <f t="shared" si="78"/>
        <v/>
      </c>
      <c r="AG467" s="198" t="str">
        <f t="shared" si="84"/>
        <v/>
      </c>
      <c r="AH467" s="198" t="str">
        <f t="shared" si="84"/>
        <v/>
      </c>
      <c r="AI467" s="200" t="str">
        <f t="shared" si="82"/>
        <v/>
      </c>
      <c r="AJ467" s="208" t="str">
        <f t="shared" si="83"/>
        <v/>
      </c>
      <c r="AK467" s="4"/>
      <c r="AL467" s="162">
        <v>560</v>
      </c>
      <c r="AM467" s="209">
        <v>7.2326097948879958E-3</v>
      </c>
      <c r="AN467" s="183">
        <v>7.7987492487013171E-3</v>
      </c>
      <c r="AO467" s="183">
        <v>7.4117845642883273E-3</v>
      </c>
      <c r="AP467" s="165">
        <v>7.341360252200271E-3</v>
      </c>
      <c r="AR467" s="210">
        <v>95.493261248481957</v>
      </c>
      <c r="AS467" s="211">
        <v>95.620320414086493</v>
      </c>
      <c r="AT467" s="211">
        <v>95.354714459054051</v>
      </c>
      <c r="AU467" s="211">
        <v>94.970876670407691</v>
      </c>
      <c r="AV467" s="211"/>
      <c r="AW467" s="212"/>
      <c r="AX467" s="210">
        <v>95.635488761567501</v>
      </c>
      <c r="AY467" s="211">
        <v>95.570331201685647</v>
      </c>
      <c r="AZ467" s="213">
        <v>96.090530649746285</v>
      </c>
    </row>
    <row r="468" spans="12:52" x14ac:dyDescent="0.25">
      <c r="L468" s="189">
        <v>555</v>
      </c>
      <c r="M468" s="196">
        <f t="shared" si="77"/>
        <v>0</v>
      </c>
      <c r="N468" s="197">
        <f t="shared" si="77"/>
        <v>0</v>
      </c>
      <c r="O468" s="152">
        <f ca="1"/>
        <v>95.306101270655134</v>
      </c>
      <c r="Q468" s="198">
        <v>0</v>
      </c>
      <c r="R468" s="200">
        <v>0</v>
      </c>
      <c r="S468" s="200">
        <v>0</v>
      </c>
      <c r="T468" s="200">
        <v>0</v>
      </c>
      <c r="U468" s="200">
        <f t="array" ref="U468">IF(U$77&gt;" ",(U$628:U$1078),"")</f>
        <v>0</v>
      </c>
      <c r="V468" s="200">
        <f t="array" ref="V468">IF(V$77&gt;" ",(V$628:V$1078),"")</f>
        <v>0</v>
      </c>
      <c r="W468" s="200">
        <f t="array" ref="W468">IF(W$77&gt;" ",(W$628:W$1078),"")</f>
        <v>0</v>
      </c>
      <c r="X468" s="200">
        <f t="array" ref="X468">IF(X$77&gt;" ",(X$628:X$1078),"")</f>
        <v>0</v>
      </c>
      <c r="Y468" s="204">
        <v>0</v>
      </c>
      <c r="Z468" s="198" t="str">
        <f t="shared" si="79"/>
        <v/>
      </c>
      <c r="AA468" s="198" t="str">
        <f t="shared" si="80"/>
        <v/>
      </c>
      <c r="AB468" s="198" t="str">
        <f t="shared" si="81"/>
        <v/>
      </c>
      <c r="AC468" s="198" t="str">
        <f t="shared" si="78"/>
        <v/>
      </c>
      <c r="AD468" s="198" t="str">
        <f t="shared" si="78"/>
        <v/>
      </c>
      <c r="AE468" s="198" t="str">
        <f t="shared" si="78"/>
        <v/>
      </c>
      <c r="AF468" s="198" t="str">
        <f t="shared" si="78"/>
        <v/>
      </c>
      <c r="AG468" s="198" t="str">
        <f t="shared" si="84"/>
        <v/>
      </c>
      <c r="AH468" s="198" t="str">
        <f t="shared" si="84"/>
        <v/>
      </c>
      <c r="AI468" s="200" t="str">
        <f t="shared" si="82"/>
        <v/>
      </c>
      <c r="AJ468" s="208" t="str">
        <f t="shared" si="83"/>
        <v/>
      </c>
      <c r="AK468" s="4"/>
      <c r="AL468" s="162">
        <v>555</v>
      </c>
      <c r="AM468" s="209">
        <v>7.2570532149109097E-3</v>
      </c>
      <c r="AN468" s="183">
        <v>7.862279791009532E-3</v>
      </c>
      <c r="AO468" s="183">
        <v>7.8613188519731144E-3</v>
      </c>
      <c r="AP468" s="165">
        <v>7.7694850115334925E-3</v>
      </c>
      <c r="AR468" s="210">
        <v>95.450232166811361</v>
      </c>
      <c r="AS468" s="211">
        <v>95.591519170390185</v>
      </c>
      <c r="AT468" s="211">
        <v>95.306101270655134</v>
      </c>
      <c r="AU468" s="211">
        <v>94.930374654499801</v>
      </c>
      <c r="AV468" s="211"/>
      <c r="AW468" s="212"/>
      <c r="AX468" s="210">
        <v>95.607355146626432</v>
      </c>
      <c r="AY468" s="211">
        <v>95.489128936077805</v>
      </c>
      <c r="AZ468" s="213">
        <v>96.305740668617716</v>
      </c>
    </row>
    <row r="469" spans="12:52" x14ac:dyDescent="0.25">
      <c r="L469" s="189">
        <v>550</v>
      </c>
      <c r="M469" s="196">
        <f t="shared" si="77"/>
        <v>0</v>
      </c>
      <c r="N469" s="197">
        <f t="shared" si="77"/>
        <v>0</v>
      </c>
      <c r="O469" s="152">
        <f ca="1"/>
        <v>95.232656705858702</v>
      </c>
      <c r="Q469" s="198">
        <v>0</v>
      </c>
      <c r="R469" s="200">
        <v>0</v>
      </c>
      <c r="S469" s="200">
        <v>0</v>
      </c>
      <c r="T469" s="200">
        <v>0</v>
      </c>
      <c r="U469" s="200">
        <f t="array" ref="U469">IF(U$77&gt;" ",(U$628:U$1078),"")</f>
        <v>0</v>
      </c>
      <c r="V469" s="200">
        <f t="array" ref="V469">IF(V$77&gt;" ",(V$628:V$1078),"")</f>
        <v>0</v>
      </c>
      <c r="W469" s="200">
        <f t="array" ref="W469">IF(W$77&gt;" ",(W$628:W$1078),"")</f>
        <v>0</v>
      </c>
      <c r="X469" s="200">
        <f t="array" ref="X469">IF(X$77&gt;" ",(X$628:X$1078),"")</f>
        <v>0</v>
      </c>
      <c r="Y469" s="204">
        <v>0</v>
      </c>
      <c r="Z469" s="198" t="str">
        <f t="shared" si="79"/>
        <v/>
      </c>
      <c r="AA469" s="198" t="str">
        <f t="shared" si="80"/>
        <v/>
      </c>
      <c r="AB469" s="198" t="str">
        <f t="shared" si="81"/>
        <v/>
      </c>
      <c r="AC469" s="198" t="str">
        <f t="shared" si="78"/>
        <v/>
      </c>
      <c r="AD469" s="198" t="str">
        <f t="shared" si="78"/>
        <v/>
      </c>
      <c r="AE469" s="198" t="str">
        <f t="shared" si="78"/>
        <v/>
      </c>
      <c r="AF469" s="198" t="str">
        <f t="shared" si="78"/>
        <v/>
      </c>
      <c r="AG469" s="198" t="str">
        <f t="shared" si="84"/>
        <v/>
      </c>
      <c r="AH469" s="198" t="str">
        <f t="shared" si="84"/>
        <v/>
      </c>
      <c r="AI469" s="200" t="str">
        <f t="shared" si="82"/>
        <v/>
      </c>
      <c r="AJ469" s="208" t="str">
        <f t="shared" si="83"/>
        <v/>
      </c>
      <c r="AK469" s="4"/>
      <c r="AL469" s="162">
        <v>550</v>
      </c>
      <c r="AM469" s="209">
        <v>7.2814966349338235E-3</v>
      </c>
      <c r="AN469" s="183">
        <v>7.9258103333177468E-3</v>
      </c>
      <c r="AO469" s="183">
        <v>7.7431526801544073E-3</v>
      </c>
      <c r="AP469" s="165">
        <v>7.6379695625879923E-3</v>
      </c>
      <c r="AR469" s="210">
        <v>95.388760983522928</v>
      </c>
      <c r="AS469" s="211">
        <v>95.529947756072104</v>
      </c>
      <c r="AT469" s="211">
        <v>95.232656705858702</v>
      </c>
      <c r="AU469" s="211">
        <v>94.848402349964559</v>
      </c>
      <c r="AV469" s="211"/>
      <c r="AW469" s="212"/>
      <c r="AX469" s="210">
        <v>95.550349759511235</v>
      </c>
      <c r="AY469" s="211">
        <v>95.442668620704808</v>
      </c>
      <c r="AZ469" s="213">
        <v>96.496558483332109</v>
      </c>
    </row>
    <row r="470" spans="12:52" x14ac:dyDescent="0.25">
      <c r="L470" s="189">
        <v>545</v>
      </c>
      <c r="M470" s="196">
        <f t="shared" si="77"/>
        <v>0</v>
      </c>
      <c r="N470" s="197">
        <f t="shared" si="77"/>
        <v>0</v>
      </c>
      <c r="O470" s="152">
        <f ca="1"/>
        <v>95.187096358303549</v>
      </c>
      <c r="Q470" s="198">
        <v>0</v>
      </c>
      <c r="R470" s="200">
        <v>0</v>
      </c>
      <c r="S470" s="200">
        <v>0</v>
      </c>
      <c r="T470" s="200">
        <v>0</v>
      </c>
      <c r="U470" s="200">
        <f t="array" ref="U470">IF(U$77&gt;" ",(U$628:U$1078),"")</f>
        <v>0</v>
      </c>
      <c r="V470" s="200">
        <f t="array" ref="V470">IF(V$77&gt;" ",(V$628:V$1078),"")</f>
        <v>0</v>
      </c>
      <c r="W470" s="200">
        <f t="array" ref="W470">IF(W$77&gt;" ",(W$628:W$1078),"")</f>
        <v>0</v>
      </c>
      <c r="X470" s="200">
        <f t="array" ref="X470">IF(X$77&gt;" ",(X$628:X$1078),"")</f>
        <v>0</v>
      </c>
      <c r="Y470" s="204">
        <v>0</v>
      </c>
      <c r="Z470" s="198" t="str">
        <f t="shared" si="79"/>
        <v/>
      </c>
      <c r="AA470" s="198" t="str">
        <f t="shared" si="80"/>
        <v/>
      </c>
      <c r="AB470" s="198" t="str">
        <f t="shared" si="81"/>
        <v/>
      </c>
      <c r="AC470" s="198" t="str">
        <f t="shared" si="78"/>
        <v/>
      </c>
      <c r="AD470" s="198" t="str">
        <f t="shared" si="78"/>
        <v/>
      </c>
      <c r="AE470" s="198" t="str">
        <f t="shared" si="78"/>
        <v/>
      </c>
      <c r="AF470" s="198" t="str">
        <f t="shared" si="78"/>
        <v/>
      </c>
      <c r="AG470" s="198" t="str">
        <f t="shared" si="84"/>
        <v/>
      </c>
      <c r="AH470" s="198" t="str">
        <f t="shared" si="84"/>
        <v/>
      </c>
      <c r="AI470" s="200" t="str">
        <f t="shared" si="82"/>
        <v/>
      </c>
      <c r="AJ470" s="208" t="str">
        <f t="shared" si="83"/>
        <v/>
      </c>
      <c r="AK470" s="4"/>
      <c r="AL470" s="162">
        <v>545</v>
      </c>
      <c r="AM470" s="209">
        <v>7.2160939705481902E-3</v>
      </c>
      <c r="AN470" s="183">
        <v>7.9215582891475119E-3</v>
      </c>
      <c r="AO470" s="183">
        <v>7.7612547320074863E-3</v>
      </c>
      <c r="AP470" s="165">
        <v>7.6430063244624993E-3</v>
      </c>
      <c r="AR470" s="210">
        <v>95.33525539694088</v>
      </c>
      <c r="AS470" s="211">
        <v>95.4952211427847</v>
      </c>
      <c r="AT470" s="211">
        <v>95.187096358303549</v>
      </c>
      <c r="AU470" s="211">
        <v>94.789391967094204</v>
      </c>
      <c r="AV470" s="211"/>
      <c r="AW470" s="212"/>
      <c r="AX470" s="210">
        <v>95.510786805981752</v>
      </c>
      <c r="AY470" s="211">
        <v>95.371540573538539</v>
      </c>
      <c r="AZ470" s="213">
        <v>96.483668977593879</v>
      </c>
    </row>
    <row r="471" spans="12:52" x14ac:dyDescent="0.25">
      <c r="L471" s="189">
        <v>540</v>
      </c>
      <c r="M471" s="196">
        <f t="shared" si="77"/>
        <v>0</v>
      </c>
      <c r="N471" s="197">
        <f t="shared" si="77"/>
        <v>0</v>
      </c>
      <c r="O471" s="152">
        <f ca="1"/>
        <v>95.127535792491003</v>
      </c>
      <c r="Q471" s="198">
        <v>0</v>
      </c>
      <c r="R471" s="200">
        <v>0</v>
      </c>
      <c r="S471" s="200">
        <v>0</v>
      </c>
      <c r="T471" s="200">
        <v>0</v>
      </c>
      <c r="U471" s="200">
        <f t="array" ref="U471">IF(U$77&gt;" ",(U$628:U$1078),"")</f>
        <v>0</v>
      </c>
      <c r="V471" s="200">
        <f t="array" ref="V471">IF(V$77&gt;" ",(V$628:V$1078),"")</f>
        <v>0</v>
      </c>
      <c r="W471" s="200">
        <f t="array" ref="W471">IF(W$77&gt;" ",(W$628:W$1078),"")</f>
        <v>0</v>
      </c>
      <c r="X471" s="200">
        <f t="array" ref="X471">IF(X$77&gt;" ",(X$628:X$1078),"")</f>
        <v>0</v>
      </c>
      <c r="Y471" s="204">
        <v>0</v>
      </c>
      <c r="Z471" s="198" t="str">
        <f t="shared" si="79"/>
        <v/>
      </c>
      <c r="AA471" s="198" t="str">
        <f t="shared" si="80"/>
        <v/>
      </c>
      <c r="AB471" s="198" t="str">
        <f t="shared" si="81"/>
        <v/>
      </c>
      <c r="AC471" s="198" t="str">
        <f t="shared" si="78"/>
        <v/>
      </c>
      <c r="AD471" s="198" t="str">
        <f t="shared" si="78"/>
        <v/>
      </c>
      <c r="AE471" s="198" t="str">
        <f t="shared" si="78"/>
        <v/>
      </c>
      <c r="AF471" s="198" t="str">
        <f t="shared" si="78"/>
        <v/>
      </c>
      <c r="AG471" s="198" t="str">
        <f t="shared" si="84"/>
        <v/>
      </c>
      <c r="AH471" s="198" t="str">
        <f t="shared" si="84"/>
        <v/>
      </c>
      <c r="AI471" s="200" t="str">
        <f t="shared" si="82"/>
        <v/>
      </c>
      <c r="AJ471" s="208" t="str">
        <f t="shared" si="83"/>
        <v/>
      </c>
      <c r="AK471" s="4"/>
      <c r="AL471" s="162">
        <v>540</v>
      </c>
      <c r="AM471" s="209">
        <v>7.1506913061625578E-3</v>
      </c>
      <c r="AN471" s="183">
        <v>7.917306244977277E-3</v>
      </c>
      <c r="AO471" s="183">
        <v>7.454525520052541E-3</v>
      </c>
      <c r="AP471" s="165">
        <v>7.3290481676181385E-3</v>
      </c>
      <c r="AR471" s="210">
        <v>95.289906374357059</v>
      </c>
      <c r="AS471" s="211">
        <v>95.443766205709338</v>
      </c>
      <c r="AT471" s="211">
        <v>95.127535792491003</v>
      </c>
      <c r="AU471" s="211">
        <v>94.725804138345993</v>
      </c>
      <c r="AV471" s="211"/>
      <c r="AW471" s="212"/>
      <c r="AX471" s="210">
        <v>95.435539979458255</v>
      </c>
      <c r="AY471" s="211">
        <v>95.28052654747394</v>
      </c>
      <c r="AZ471" s="213">
        <v>96.473787246094489</v>
      </c>
    </row>
    <row r="472" spans="12:52" x14ac:dyDescent="0.25">
      <c r="L472" s="189">
        <v>535</v>
      </c>
      <c r="M472" s="196">
        <f t="shared" si="77"/>
        <v>0</v>
      </c>
      <c r="N472" s="197">
        <f t="shared" si="77"/>
        <v>0</v>
      </c>
      <c r="O472" s="152">
        <f ca="1"/>
        <v>95.036576346192007</v>
      </c>
      <c r="Q472" s="198">
        <v>0</v>
      </c>
      <c r="R472" s="200">
        <v>0</v>
      </c>
      <c r="S472" s="200">
        <v>0</v>
      </c>
      <c r="T472" s="200">
        <v>0</v>
      </c>
      <c r="U472" s="200">
        <f t="array" ref="U472">IF(U$77&gt;" ",(U$628:U$1078),"")</f>
        <v>0</v>
      </c>
      <c r="V472" s="200">
        <f t="array" ref="V472">IF(V$77&gt;" ",(V$628:V$1078),"")</f>
        <v>0</v>
      </c>
      <c r="W472" s="200">
        <f t="array" ref="W472">IF(W$77&gt;" ",(W$628:W$1078),"")</f>
        <v>0</v>
      </c>
      <c r="X472" s="200">
        <f t="array" ref="X472">IF(X$77&gt;" ",(X$628:X$1078),"")</f>
        <v>0</v>
      </c>
      <c r="Y472" s="204">
        <v>0</v>
      </c>
      <c r="Z472" s="198" t="str">
        <f t="shared" si="79"/>
        <v/>
      </c>
      <c r="AA472" s="198" t="str">
        <f t="shared" si="80"/>
        <v/>
      </c>
      <c r="AB472" s="198" t="str">
        <f t="shared" si="81"/>
        <v/>
      </c>
      <c r="AC472" s="198" t="str">
        <f t="shared" si="78"/>
        <v/>
      </c>
      <c r="AD472" s="198" t="str">
        <f t="shared" si="78"/>
        <v/>
      </c>
      <c r="AE472" s="198" t="str">
        <f t="shared" si="78"/>
        <v/>
      </c>
      <c r="AF472" s="198" t="str">
        <f t="shared" si="78"/>
        <v/>
      </c>
      <c r="AG472" s="198" t="str">
        <f t="shared" si="84"/>
        <v/>
      </c>
      <c r="AH472" s="198" t="str">
        <f t="shared" si="84"/>
        <v/>
      </c>
      <c r="AI472" s="200" t="str">
        <f t="shared" si="82"/>
        <v/>
      </c>
      <c r="AJ472" s="208" t="str">
        <f t="shared" si="83"/>
        <v/>
      </c>
      <c r="AK472" s="4"/>
      <c r="AL472" s="162">
        <v>535</v>
      </c>
      <c r="AM472" s="209">
        <v>7.158949218332461E-3</v>
      </c>
      <c r="AN472" s="183">
        <v>7.9273110547895941E-3</v>
      </c>
      <c r="AO472" s="183">
        <v>7.8115382093771491E-3</v>
      </c>
      <c r="AP472" s="165">
        <v>7.6676304936267644E-3</v>
      </c>
      <c r="AR472" s="210">
        <v>95.208521983228351</v>
      </c>
      <c r="AS472" s="211">
        <v>95.360662680739892</v>
      </c>
      <c r="AT472" s="211">
        <v>95.036576346192007</v>
      </c>
      <c r="AU472" s="211">
        <v>94.623640328821907</v>
      </c>
      <c r="AV472" s="211"/>
      <c r="AW472" s="212"/>
      <c r="AX472" s="210">
        <v>95.370800896674368</v>
      </c>
      <c r="AY472" s="211">
        <v>95.194624395239416</v>
      </c>
      <c r="AZ472" s="213">
        <v>96.485156279006333</v>
      </c>
    </row>
    <row r="473" spans="12:52" x14ac:dyDescent="0.25">
      <c r="L473" s="189">
        <v>530</v>
      </c>
      <c r="M473" s="196">
        <f t="shared" si="77"/>
        <v>0</v>
      </c>
      <c r="N473" s="197">
        <f t="shared" si="77"/>
        <v>0</v>
      </c>
      <c r="O473" s="152">
        <f ca="1"/>
        <v>94.956244003946608</v>
      </c>
      <c r="Q473" s="198">
        <v>0</v>
      </c>
      <c r="R473" s="200">
        <v>0</v>
      </c>
      <c r="S473" s="200">
        <v>0</v>
      </c>
      <c r="T473" s="200">
        <v>0</v>
      </c>
      <c r="U473" s="200">
        <f t="array" ref="U473">IF(U$77&gt;" ",(U$628:U$1078),"")</f>
        <v>0</v>
      </c>
      <c r="V473" s="200">
        <f t="array" ref="V473">IF(V$77&gt;" ",(V$628:V$1078),"")</f>
        <v>0</v>
      </c>
      <c r="W473" s="200">
        <f t="array" ref="W473">IF(W$77&gt;" ",(W$628:W$1078),"")</f>
        <v>0</v>
      </c>
      <c r="X473" s="200">
        <f t="array" ref="X473">IF(X$77&gt;" ",(X$628:X$1078),"")</f>
        <v>0</v>
      </c>
      <c r="Y473" s="204">
        <v>0</v>
      </c>
      <c r="Z473" s="198" t="str">
        <f t="shared" si="79"/>
        <v/>
      </c>
      <c r="AA473" s="198" t="str">
        <f t="shared" si="80"/>
        <v/>
      </c>
      <c r="AB473" s="198" t="str">
        <f t="shared" si="81"/>
        <v/>
      </c>
      <c r="AC473" s="198" t="str">
        <f t="shared" si="78"/>
        <v/>
      </c>
      <c r="AD473" s="198" t="str">
        <f t="shared" si="78"/>
        <v/>
      </c>
      <c r="AE473" s="198" t="str">
        <f t="shared" si="78"/>
        <v/>
      </c>
      <c r="AF473" s="198" t="str">
        <f t="shared" si="78"/>
        <v/>
      </c>
      <c r="AG473" s="198" t="str">
        <f t="shared" si="84"/>
        <v/>
      </c>
      <c r="AH473" s="198" t="str">
        <f t="shared" si="84"/>
        <v/>
      </c>
      <c r="AI473" s="200" t="str">
        <f t="shared" si="82"/>
        <v/>
      </c>
      <c r="AJ473" s="208" t="str">
        <f t="shared" si="83"/>
        <v/>
      </c>
      <c r="AK473" s="4"/>
      <c r="AL473" s="162">
        <v>530</v>
      </c>
      <c r="AM473" s="209">
        <v>7.1672071305023642E-3</v>
      </c>
      <c r="AN473" s="183">
        <v>7.9373158646019112E-3</v>
      </c>
      <c r="AO473" s="183">
        <v>7.7667859145181487E-3</v>
      </c>
      <c r="AP473" s="165">
        <v>7.609987552174056E-3</v>
      </c>
      <c r="AR473" s="210">
        <v>95.133995425515266</v>
      </c>
      <c r="AS473" s="211">
        <v>95.284204910488072</v>
      </c>
      <c r="AT473" s="211">
        <v>94.956244003946608</v>
      </c>
      <c r="AU473" s="211">
        <v>94.531220470303069</v>
      </c>
      <c r="AV473" s="211"/>
      <c r="AW473" s="212"/>
      <c r="AX473" s="210">
        <v>95.316203271432286</v>
      </c>
      <c r="AY473" s="211">
        <v>95.134069025952769</v>
      </c>
      <c r="AZ473" s="213">
        <v>96.987657250688656</v>
      </c>
    </row>
    <row r="474" spans="12:52" x14ac:dyDescent="0.25">
      <c r="L474" s="189">
        <v>525</v>
      </c>
      <c r="M474" s="196">
        <f t="shared" si="77"/>
        <v>0</v>
      </c>
      <c r="N474" s="197">
        <f t="shared" si="77"/>
        <v>0</v>
      </c>
      <c r="O474" s="152">
        <f ca="1"/>
        <v>94.877860954449503</v>
      </c>
      <c r="Q474" s="198">
        <v>0</v>
      </c>
      <c r="R474" s="200">
        <v>0</v>
      </c>
      <c r="S474" s="200">
        <v>0</v>
      </c>
      <c r="T474" s="200">
        <v>0</v>
      </c>
      <c r="U474" s="200">
        <f t="array" ref="U474">IF(U$77&gt;" ",(U$628:U$1078),"")</f>
        <v>0</v>
      </c>
      <c r="V474" s="200">
        <f t="array" ref="V474">IF(V$77&gt;" ",(V$628:V$1078),"")</f>
        <v>0</v>
      </c>
      <c r="W474" s="200">
        <f t="array" ref="W474">IF(W$77&gt;" ",(W$628:W$1078),"")</f>
        <v>0</v>
      </c>
      <c r="X474" s="200">
        <f t="array" ref="X474">IF(X$77&gt;" ",(X$628:X$1078),"")</f>
        <v>0</v>
      </c>
      <c r="Y474" s="204">
        <v>0</v>
      </c>
      <c r="Z474" s="198" t="str">
        <f t="shared" si="79"/>
        <v/>
      </c>
      <c r="AA474" s="198" t="str">
        <f t="shared" si="80"/>
        <v/>
      </c>
      <c r="AB474" s="198" t="str">
        <f t="shared" si="81"/>
        <v/>
      </c>
      <c r="AC474" s="198" t="str">
        <f t="shared" si="78"/>
        <v/>
      </c>
      <c r="AD474" s="198" t="str">
        <f t="shared" si="78"/>
        <v/>
      </c>
      <c r="AE474" s="198" t="str">
        <f t="shared" si="78"/>
        <v/>
      </c>
      <c r="AF474" s="198" t="str">
        <f t="shared" si="78"/>
        <v/>
      </c>
      <c r="AG474" s="198" t="str">
        <f t="shared" si="84"/>
        <v/>
      </c>
      <c r="AH474" s="198" t="str">
        <f t="shared" si="84"/>
        <v/>
      </c>
      <c r="AI474" s="200" t="str">
        <f t="shared" si="82"/>
        <v/>
      </c>
      <c r="AJ474" s="208" t="str">
        <f t="shared" si="83"/>
        <v/>
      </c>
      <c r="AK474" s="4"/>
      <c r="AL474" s="162">
        <v>525</v>
      </c>
      <c r="AM474" s="209">
        <v>6.9247548291940068E-3</v>
      </c>
      <c r="AN474" s="183">
        <v>7.8097545394948658E-3</v>
      </c>
      <c r="AO474" s="183">
        <v>7.9352355637065195E-3</v>
      </c>
      <c r="AP474" s="165">
        <v>7.756053646534802E-3</v>
      </c>
      <c r="AR474" s="210">
        <v>95.054998589295934</v>
      </c>
      <c r="AS474" s="211">
        <v>95.215271729987066</v>
      </c>
      <c r="AT474" s="211">
        <v>94.877860954449503</v>
      </c>
      <c r="AU474" s="211">
        <v>94.442829540701084</v>
      </c>
      <c r="AV474" s="211"/>
      <c r="AW474" s="212"/>
      <c r="AX474" s="210">
        <v>95.117753208811294</v>
      </c>
      <c r="AY474" s="211">
        <v>94.926219102712139</v>
      </c>
      <c r="AZ474" s="213">
        <v>96.691815649955515</v>
      </c>
    </row>
    <row r="475" spans="12:52" x14ac:dyDescent="0.25">
      <c r="L475" s="189">
        <v>520</v>
      </c>
      <c r="M475" s="196">
        <f t="shared" si="77"/>
        <v>0</v>
      </c>
      <c r="N475" s="197">
        <f t="shared" si="77"/>
        <v>0</v>
      </c>
      <c r="O475" s="152">
        <f ca="1"/>
        <v>94.802974180244121</v>
      </c>
      <c r="Q475" s="198">
        <v>0</v>
      </c>
      <c r="R475" s="200">
        <v>0</v>
      </c>
      <c r="S475" s="200">
        <v>0</v>
      </c>
      <c r="T475" s="200">
        <v>0</v>
      </c>
      <c r="U475" s="200">
        <f t="array" ref="U475">IF(U$77&gt;" ",(U$628:U$1078),"")</f>
        <v>0</v>
      </c>
      <c r="V475" s="200">
        <f t="array" ref="V475">IF(V$77&gt;" ",(V$628:V$1078),"")</f>
        <v>0</v>
      </c>
      <c r="W475" s="200">
        <f t="array" ref="W475">IF(W$77&gt;" ",(W$628:W$1078),"")</f>
        <v>0</v>
      </c>
      <c r="X475" s="200">
        <f t="array" ref="X475">IF(X$77&gt;" ",(X$628:X$1078),"")</f>
        <v>0</v>
      </c>
      <c r="Y475" s="204">
        <v>0</v>
      </c>
      <c r="Z475" s="198" t="str">
        <f t="shared" si="79"/>
        <v/>
      </c>
      <c r="AA475" s="198" t="str">
        <f t="shared" si="80"/>
        <v/>
      </c>
      <c r="AB475" s="198" t="str">
        <f t="shared" si="81"/>
        <v/>
      </c>
      <c r="AC475" s="198" t="str">
        <f t="shared" si="78"/>
        <v/>
      </c>
      <c r="AD475" s="198" t="str">
        <f t="shared" si="78"/>
        <v/>
      </c>
      <c r="AE475" s="198" t="str">
        <f t="shared" si="78"/>
        <v/>
      </c>
      <c r="AF475" s="198" t="str">
        <f t="shared" si="78"/>
        <v/>
      </c>
      <c r="AG475" s="198" t="str">
        <f t="shared" si="84"/>
        <v/>
      </c>
      <c r="AH475" s="198" t="str">
        <f t="shared" si="84"/>
        <v/>
      </c>
      <c r="AI475" s="200" t="str">
        <f t="shared" si="82"/>
        <v/>
      </c>
      <c r="AJ475" s="208" t="str">
        <f t="shared" si="83"/>
        <v/>
      </c>
      <c r="AK475" s="4"/>
      <c r="AL475" s="162">
        <v>520</v>
      </c>
      <c r="AM475" s="209">
        <v>6.6823025278856486E-3</v>
      </c>
      <c r="AN475" s="183">
        <v>7.6821932143878212E-3</v>
      </c>
      <c r="AO475" s="183">
        <v>7.6611906120418564E-3</v>
      </c>
      <c r="AP475" s="165">
        <v>7.4706371403126543E-3</v>
      </c>
      <c r="AR475" s="210">
        <v>94.972623863755018</v>
      </c>
      <c r="AS475" s="211">
        <v>95.152462174314039</v>
      </c>
      <c r="AT475" s="211">
        <v>94.802974180244121</v>
      </c>
      <c r="AU475" s="211">
        <v>94.353529123181659</v>
      </c>
      <c r="AV475" s="211"/>
      <c r="AW475" s="212"/>
      <c r="AX475" s="210">
        <v>94.962167375108947</v>
      </c>
      <c r="AY475" s="211">
        <v>94.750007024611023</v>
      </c>
      <c r="AZ475" s="213">
        <v>96.726354491669156</v>
      </c>
    </row>
    <row r="476" spans="12:52" x14ac:dyDescent="0.25">
      <c r="L476" s="189">
        <v>515</v>
      </c>
      <c r="M476" s="196">
        <f t="shared" si="77"/>
        <v>0</v>
      </c>
      <c r="N476" s="197">
        <f t="shared" si="77"/>
        <v>0</v>
      </c>
      <c r="O476" s="152">
        <f ca="1"/>
        <v>94.7183116470203</v>
      </c>
      <c r="Q476" s="198">
        <v>0</v>
      </c>
      <c r="R476" s="200">
        <v>0</v>
      </c>
      <c r="S476" s="200">
        <v>0</v>
      </c>
      <c r="T476" s="200">
        <v>0</v>
      </c>
      <c r="U476" s="200">
        <f t="array" ref="U476">IF(U$77&gt;" ",(U$628:U$1078),"")</f>
        <v>0</v>
      </c>
      <c r="V476" s="200">
        <f t="array" ref="V476">IF(V$77&gt;" ",(V$628:V$1078),"")</f>
        <v>0</v>
      </c>
      <c r="W476" s="200">
        <f t="array" ref="W476">IF(W$77&gt;" ",(W$628:W$1078),"")</f>
        <v>0</v>
      </c>
      <c r="X476" s="200">
        <f t="array" ref="X476">IF(X$77&gt;" ",(X$628:X$1078),"")</f>
        <v>0</v>
      </c>
      <c r="Y476" s="204">
        <v>0</v>
      </c>
      <c r="Z476" s="198" t="str">
        <f t="shared" si="79"/>
        <v/>
      </c>
      <c r="AA476" s="198" t="str">
        <f t="shared" si="80"/>
        <v/>
      </c>
      <c r="AB476" s="198" t="str">
        <f t="shared" si="81"/>
        <v/>
      </c>
      <c r="AC476" s="198" t="str">
        <f t="shared" si="78"/>
        <v/>
      </c>
      <c r="AD476" s="198" t="str">
        <f t="shared" si="78"/>
        <v/>
      </c>
      <c r="AE476" s="198" t="str">
        <f t="shared" si="78"/>
        <v/>
      </c>
      <c r="AF476" s="198" t="str">
        <f t="shared" si="78"/>
        <v/>
      </c>
      <c r="AG476" s="198" t="str">
        <f t="shared" si="84"/>
        <v/>
      </c>
      <c r="AH476" s="198" t="str">
        <f t="shared" si="84"/>
        <v/>
      </c>
      <c r="AI476" s="200" t="str">
        <f t="shared" si="82"/>
        <v/>
      </c>
      <c r="AJ476" s="208" t="str">
        <f t="shared" si="83"/>
        <v/>
      </c>
      <c r="AK476" s="4"/>
      <c r="AL476" s="162">
        <v>515</v>
      </c>
      <c r="AM476" s="209">
        <v>6.8646372285971107E-3</v>
      </c>
      <c r="AN476" s="183">
        <v>7.8362672854975068E-3</v>
      </c>
      <c r="AO476" s="183">
        <v>7.7004117243901936E-3</v>
      </c>
      <c r="AP476" s="165">
        <v>7.4907841878106892E-3</v>
      </c>
      <c r="AR476" s="210">
        <v>94.894992120421009</v>
      </c>
      <c r="AS476" s="211">
        <v>95.079154471011648</v>
      </c>
      <c r="AT476" s="211">
        <v>94.7183116470203</v>
      </c>
      <c r="AU476" s="211">
        <v>94.258972463878024</v>
      </c>
      <c r="AV476" s="211"/>
      <c r="AW476" s="212"/>
      <c r="AX476" s="210">
        <v>94.835473531708843</v>
      </c>
      <c r="AY476" s="211">
        <v>94.59785264218867</v>
      </c>
      <c r="AZ476" s="213">
        <v>96.725136714806638</v>
      </c>
    </row>
    <row r="477" spans="12:52" x14ac:dyDescent="0.25">
      <c r="L477" s="189">
        <v>510</v>
      </c>
      <c r="M477" s="196">
        <f t="shared" si="77"/>
        <v>0</v>
      </c>
      <c r="N477" s="197">
        <f t="shared" si="77"/>
        <v>0</v>
      </c>
      <c r="O477" s="152">
        <f ca="1"/>
        <v>94.610771699067996</v>
      </c>
      <c r="Q477" s="198">
        <v>0</v>
      </c>
      <c r="R477" s="200">
        <v>0</v>
      </c>
      <c r="S477" s="200">
        <v>0</v>
      </c>
      <c r="T477" s="200">
        <v>0</v>
      </c>
      <c r="U477" s="200">
        <f t="array" ref="U477">IF(U$77&gt;" ",(U$628:U$1078),"")</f>
        <v>0</v>
      </c>
      <c r="V477" s="200">
        <f t="array" ref="V477">IF(V$77&gt;" ",(V$628:V$1078),"")</f>
        <v>0</v>
      </c>
      <c r="W477" s="200">
        <f t="array" ref="W477">IF(W$77&gt;" ",(W$628:W$1078),"")</f>
        <v>0</v>
      </c>
      <c r="X477" s="200">
        <f t="array" ref="X477">IF(X$77&gt;" ",(X$628:X$1078),"")</f>
        <v>0</v>
      </c>
      <c r="Y477" s="204">
        <v>0</v>
      </c>
      <c r="Z477" s="198" t="str">
        <f t="shared" si="79"/>
        <v/>
      </c>
      <c r="AA477" s="198" t="str">
        <f t="shared" si="80"/>
        <v/>
      </c>
      <c r="AB477" s="198" t="str">
        <f t="shared" si="81"/>
        <v/>
      </c>
      <c r="AC477" s="198" t="str">
        <f t="shared" si="78"/>
        <v/>
      </c>
      <c r="AD477" s="198" t="str">
        <f t="shared" si="78"/>
        <v/>
      </c>
      <c r="AE477" s="198" t="str">
        <f t="shared" si="78"/>
        <v/>
      </c>
      <c r="AF477" s="198" t="str">
        <f t="shared" si="78"/>
        <v/>
      </c>
      <c r="AG477" s="198" t="str">
        <f t="shared" si="84"/>
        <v/>
      </c>
      <c r="AH477" s="198" t="str">
        <f t="shared" si="84"/>
        <v/>
      </c>
      <c r="AI477" s="200" t="str">
        <f t="shared" si="82"/>
        <v/>
      </c>
      <c r="AJ477" s="208" t="str">
        <f t="shared" si="83"/>
        <v/>
      </c>
      <c r="AK477" s="4"/>
      <c r="AL477" s="162">
        <v>510</v>
      </c>
      <c r="AM477" s="209">
        <v>7.0469719293085736E-3</v>
      </c>
      <c r="AN477" s="183">
        <v>7.9903413566071932E-3</v>
      </c>
      <c r="AO477" s="183">
        <v>7.7843851315975311E-3</v>
      </c>
      <c r="AP477" s="165">
        <v>7.5534638911379038E-3</v>
      </c>
      <c r="AR477" s="210">
        <v>94.809160194298499</v>
      </c>
      <c r="AS477" s="211">
        <v>94.986258509418121</v>
      </c>
      <c r="AT477" s="211">
        <v>94.610771699067996</v>
      </c>
      <c r="AU477" s="211">
        <v>94.139838912248891</v>
      </c>
      <c r="AV477" s="211"/>
      <c r="AW477" s="212"/>
      <c r="AX477" s="210">
        <v>94.958236538953045</v>
      </c>
      <c r="AY477" s="211">
        <v>94.714656662593981</v>
      </c>
      <c r="AZ477" s="213">
        <v>96.706188933509992</v>
      </c>
    </row>
    <row r="478" spans="12:52" x14ac:dyDescent="0.25">
      <c r="L478" s="189">
        <v>505</v>
      </c>
      <c r="M478" s="196">
        <f t="shared" si="77"/>
        <v>0</v>
      </c>
      <c r="N478" s="197">
        <f t="shared" si="77"/>
        <v>0</v>
      </c>
      <c r="O478" s="152">
        <f ca="1"/>
        <v>94.494921219837423</v>
      </c>
      <c r="Q478" s="198">
        <v>0</v>
      </c>
      <c r="R478" s="200">
        <v>0</v>
      </c>
      <c r="S478" s="200">
        <v>0</v>
      </c>
      <c r="T478" s="200">
        <v>0</v>
      </c>
      <c r="U478" s="200">
        <f t="array" ref="U478">IF(U$77&gt;" ",(U$628:U$1078),"")</f>
        <v>0</v>
      </c>
      <c r="V478" s="200">
        <f t="array" ref="V478">IF(V$77&gt;" ",(V$628:V$1078),"")</f>
        <v>0</v>
      </c>
      <c r="W478" s="200">
        <f t="array" ref="W478">IF(W$77&gt;" ",(W$628:W$1078),"")</f>
        <v>0</v>
      </c>
      <c r="X478" s="200">
        <f t="array" ref="X478">IF(X$77&gt;" ",(X$628:X$1078),"")</f>
        <v>0</v>
      </c>
      <c r="Y478" s="204">
        <v>0</v>
      </c>
      <c r="Z478" s="198" t="str">
        <f t="shared" si="79"/>
        <v/>
      </c>
      <c r="AA478" s="198" t="str">
        <f t="shared" si="80"/>
        <v/>
      </c>
      <c r="AB478" s="198" t="str">
        <f t="shared" si="81"/>
        <v/>
      </c>
      <c r="AC478" s="198" t="str">
        <f t="shared" si="78"/>
        <v/>
      </c>
      <c r="AD478" s="198" t="str">
        <f t="shared" si="78"/>
        <v/>
      </c>
      <c r="AE478" s="198" t="str">
        <f t="shared" si="78"/>
        <v/>
      </c>
      <c r="AF478" s="198" t="str">
        <f t="shared" si="78"/>
        <v/>
      </c>
      <c r="AG478" s="198" t="str">
        <f t="shared" si="84"/>
        <v/>
      </c>
      <c r="AH478" s="198" t="str">
        <f t="shared" si="84"/>
        <v/>
      </c>
      <c r="AI478" s="200" t="str">
        <f t="shared" si="82"/>
        <v/>
      </c>
      <c r="AJ478" s="208" t="str">
        <f t="shared" si="83"/>
        <v/>
      </c>
      <c r="AK478" s="4"/>
      <c r="AL478" s="162">
        <v>505</v>
      </c>
      <c r="AM478" s="209">
        <v>6.9148453345901223E-3</v>
      </c>
      <c r="AN478" s="183">
        <v>7.9473206744142284E-3</v>
      </c>
      <c r="AO478" s="183">
        <v>7.8618216867468102E-3</v>
      </c>
      <c r="AP478" s="165">
        <v>7.609987552174056E-3</v>
      </c>
      <c r="AR478" s="210">
        <v>94.711613951504674</v>
      </c>
      <c r="AS478" s="211">
        <v>94.872205975956376</v>
      </c>
      <c r="AT478" s="211">
        <v>94.494921219837423</v>
      </c>
      <c r="AU478" s="211">
        <v>94.013415149886001</v>
      </c>
      <c r="AV478" s="211"/>
      <c r="AW478" s="212"/>
      <c r="AX478" s="210">
        <v>94.852239061719459</v>
      </c>
      <c r="AY478" s="211">
        <v>94.595175735347027</v>
      </c>
      <c r="AZ478" s="213">
        <v>96.838210075581515</v>
      </c>
    </row>
    <row r="479" spans="12:52" x14ac:dyDescent="0.25">
      <c r="L479" s="189">
        <v>500</v>
      </c>
      <c r="M479" s="196">
        <f t="shared" ref="M479:N494" si="85">M1028</f>
        <v>0</v>
      </c>
      <c r="N479" s="197">
        <f t="shared" si="85"/>
        <v>0</v>
      </c>
      <c r="O479" s="152">
        <f ca="1"/>
        <v>94.401060054664185</v>
      </c>
      <c r="Q479" s="198">
        <v>0</v>
      </c>
      <c r="R479" s="200">
        <v>0</v>
      </c>
      <c r="S479" s="200">
        <v>0</v>
      </c>
      <c r="T479" s="200">
        <v>0</v>
      </c>
      <c r="U479" s="200">
        <f t="array" ref="U479">IF(U$77&gt;" ",(U$628:U$1078),"")</f>
        <v>0</v>
      </c>
      <c r="V479" s="200">
        <f t="array" ref="V479">IF(V$77&gt;" ",(V$628:V$1078),"")</f>
        <v>0</v>
      </c>
      <c r="W479" s="200">
        <f t="array" ref="W479">IF(W$77&gt;" ",(W$628:W$1078),"")</f>
        <v>0</v>
      </c>
      <c r="X479" s="200">
        <f t="array" ref="X479">IF(X$77&gt;" ",(X$628:X$1078),"")</f>
        <v>0</v>
      </c>
      <c r="Y479" s="204">
        <v>0</v>
      </c>
      <c r="Z479" s="198" t="str">
        <f t="shared" si="79"/>
        <v/>
      </c>
      <c r="AA479" s="198" t="str">
        <f t="shared" si="80"/>
        <v/>
      </c>
      <c r="AB479" s="198" t="str">
        <f t="shared" si="81"/>
        <v/>
      </c>
      <c r="AC479" s="198" t="str">
        <f t="shared" si="78"/>
        <v/>
      </c>
      <c r="AD479" s="198" t="str">
        <f t="shared" si="78"/>
        <v/>
      </c>
      <c r="AE479" s="198" t="str">
        <f t="shared" si="78"/>
        <v/>
      </c>
      <c r="AF479" s="198" t="str">
        <f t="shared" si="78"/>
        <v/>
      </c>
      <c r="AG479" s="198" t="str">
        <f t="shared" si="84"/>
        <v/>
      </c>
      <c r="AH479" s="198" t="str">
        <f t="shared" si="84"/>
        <v/>
      </c>
      <c r="AI479" s="200" t="str">
        <f t="shared" si="82"/>
        <v/>
      </c>
      <c r="AJ479" s="208" t="str">
        <f t="shared" si="83"/>
        <v/>
      </c>
      <c r="AK479" s="4"/>
      <c r="AL479" s="162">
        <v>500</v>
      </c>
      <c r="AM479" s="209">
        <v>6.7827187398716718E-3</v>
      </c>
      <c r="AN479" s="183">
        <v>7.9042999922212635E-3</v>
      </c>
      <c r="AO479" s="183">
        <v>7.7693000883866312E-3</v>
      </c>
      <c r="AP479" s="165">
        <v>7.4941420290603605E-3</v>
      </c>
      <c r="AR479" s="210">
        <v>94.60729885954153</v>
      </c>
      <c r="AS479" s="211">
        <v>94.792931832834711</v>
      </c>
      <c r="AT479" s="211">
        <v>94.401060054664185</v>
      </c>
      <c r="AU479" s="211">
        <v>93.899390779731334</v>
      </c>
      <c r="AV479" s="211"/>
      <c r="AW479" s="212"/>
      <c r="AX479" s="210">
        <v>94.773641852322456</v>
      </c>
      <c r="AY479" s="211">
        <v>94.49922982891529</v>
      </c>
      <c r="AZ479" s="213">
        <v>96.656941405006648</v>
      </c>
    </row>
    <row r="480" spans="12:52" x14ac:dyDescent="0.25">
      <c r="L480" s="189">
        <v>495</v>
      </c>
      <c r="M480" s="196">
        <f t="shared" si="85"/>
        <v>0</v>
      </c>
      <c r="N480" s="197">
        <f t="shared" si="85"/>
        <v>0</v>
      </c>
      <c r="O480" s="152">
        <f ca="1"/>
        <v>94.295066869065792</v>
      </c>
      <c r="Q480" s="198">
        <v>0</v>
      </c>
      <c r="R480" s="200">
        <v>0</v>
      </c>
      <c r="S480" s="200">
        <v>0</v>
      </c>
      <c r="T480" s="200">
        <v>0</v>
      </c>
      <c r="U480" s="200">
        <f t="array" ref="U480">IF(U$77&gt;" ",(U$628:U$1078),"")</f>
        <v>0</v>
      </c>
      <c r="V480" s="200">
        <f t="array" ref="V480">IF(V$77&gt;" ",(V$628:V$1078),"")</f>
        <v>0</v>
      </c>
      <c r="W480" s="200">
        <f t="array" ref="W480">IF(W$77&gt;" ",(W$628:W$1078),"")</f>
        <v>0</v>
      </c>
      <c r="X480" s="200">
        <f t="array" ref="X480">IF(X$77&gt;" ",(X$628:X$1078),"")</f>
        <v>0</v>
      </c>
      <c r="Y480" s="204">
        <v>0</v>
      </c>
      <c r="Z480" s="198" t="str">
        <f t="shared" si="79"/>
        <v/>
      </c>
      <c r="AA480" s="198" t="str">
        <f t="shared" si="80"/>
        <v/>
      </c>
      <c r="AB480" s="198" t="str">
        <f t="shared" si="81"/>
        <v/>
      </c>
      <c r="AC480" s="198" t="str">
        <f t="shared" si="78"/>
        <v/>
      </c>
      <c r="AD480" s="198" t="str">
        <f t="shared" si="78"/>
        <v/>
      </c>
      <c r="AE480" s="198" t="str">
        <f t="shared" si="78"/>
        <v/>
      </c>
      <c r="AF480" s="198" t="str">
        <f t="shared" si="78"/>
        <v/>
      </c>
      <c r="AG480" s="198" t="str">
        <f t="shared" si="84"/>
        <v/>
      </c>
      <c r="AH480" s="198" t="str">
        <f t="shared" si="84"/>
        <v/>
      </c>
      <c r="AI480" s="200" t="str">
        <f t="shared" si="82"/>
        <v/>
      </c>
      <c r="AJ480" s="208" t="str">
        <f t="shared" si="83"/>
        <v/>
      </c>
      <c r="AK480" s="4"/>
      <c r="AL480" s="162">
        <v>495</v>
      </c>
      <c r="AM480" s="209">
        <v>6.7113703787237081E-3</v>
      </c>
      <c r="AN480" s="183">
        <v>7.9025491505041075E-3</v>
      </c>
      <c r="AO480" s="183">
        <v>8.2892312443889477E-3</v>
      </c>
      <c r="AP480" s="165">
        <v>7.9681572854724374E-3</v>
      </c>
      <c r="AR480" s="210">
        <v>94.496391317295974</v>
      </c>
      <c r="AS480" s="211">
        <v>94.6968105296978</v>
      </c>
      <c r="AT480" s="211">
        <v>94.295066869065792</v>
      </c>
      <c r="AU480" s="211">
        <v>93.765684956633166</v>
      </c>
      <c r="AV480" s="211"/>
      <c r="AW480" s="212"/>
      <c r="AX480" s="210">
        <v>94.659655322668982</v>
      </c>
      <c r="AY480" s="211">
        <v>94.368320802286988</v>
      </c>
      <c r="AZ480" s="213">
        <v>96.740502942196329</v>
      </c>
    </row>
    <row r="481" spans="4:52" x14ac:dyDescent="0.25">
      <c r="L481" s="189">
        <v>490</v>
      </c>
      <c r="M481" s="196">
        <f t="shared" si="85"/>
        <v>0</v>
      </c>
      <c r="N481" s="197">
        <f t="shared" si="85"/>
        <v>0</v>
      </c>
      <c r="O481" s="152">
        <f ca="1"/>
        <v>94.17809151813249</v>
      </c>
      <c r="Q481" s="198">
        <v>0</v>
      </c>
      <c r="R481" s="200">
        <v>0</v>
      </c>
      <c r="S481" s="200">
        <v>0</v>
      </c>
      <c r="T481" s="200">
        <v>0</v>
      </c>
      <c r="U481" s="200">
        <f t="array" ref="U481">IF(U$77&gt;" ",(U$628:U$1078),"")</f>
        <v>0</v>
      </c>
      <c r="V481" s="200">
        <f t="array" ref="V481">IF(V$77&gt;" ",(V$628:V$1078),"")</f>
        <v>0</v>
      </c>
      <c r="W481" s="200">
        <f t="array" ref="W481">IF(W$77&gt;" ",(W$628:W$1078),"")</f>
        <v>0</v>
      </c>
      <c r="X481" s="200">
        <f t="array" ref="X481">IF(X$77&gt;" ",(X$628:X$1078),"")</f>
        <v>0</v>
      </c>
      <c r="Y481" s="204">
        <v>0</v>
      </c>
      <c r="Z481" s="198" t="str">
        <f t="shared" si="79"/>
        <v/>
      </c>
      <c r="AA481" s="198" t="str">
        <f t="shared" si="80"/>
        <v/>
      </c>
      <c r="AB481" s="198" t="str">
        <f t="shared" si="81"/>
        <v/>
      </c>
      <c r="AC481" s="198" t="str">
        <f t="shared" si="78"/>
        <v/>
      </c>
      <c r="AD481" s="198" t="str">
        <f t="shared" si="78"/>
        <v/>
      </c>
      <c r="AE481" s="198" t="str">
        <f t="shared" si="78"/>
        <v/>
      </c>
      <c r="AF481" s="198" t="str">
        <f t="shared" si="78"/>
        <v/>
      </c>
      <c r="AG481" s="198" t="str">
        <f t="shared" si="84"/>
        <v/>
      </c>
      <c r="AH481" s="198" t="str">
        <f t="shared" si="84"/>
        <v/>
      </c>
      <c r="AI481" s="200" t="str">
        <f t="shared" si="82"/>
        <v/>
      </c>
      <c r="AJ481" s="208" t="str">
        <f t="shared" si="83"/>
        <v/>
      </c>
      <c r="AK481" s="4"/>
      <c r="AL481" s="162">
        <v>490</v>
      </c>
      <c r="AM481" s="209">
        <v>6.6400220175757444E-3</v>
      </c>
      <c r="AN481" s="183">
        <v>7.9007983087869531E-3</v>
      </c>
      <c r="AO481" s="183">
        <v>8.1579913684541264E-3</v>
      </c>
      <c r="AP481" s="165">
        <v>7.8170544292371826E-3</v>
      </c>
      <c r="AR481" s="210">
        <v>94.373490978672692</v>
      </c>
      <c r="AS481" s="211">
        <v>94.606414882618466</v>
      </c>
      <c r="AT481" s="211">
        <v>94.17809151813249</v>
      </c>
      <c r="AU481" s="211">
        <v>93.635833049273927</v>
      </c>
      <c r="AV481" s="211"/>
      <c r="AW481" s="212"/>
      <c r="AX481" s="210">
        <v>94.565165251827167</v>
      </c>
      <c r="AY481" s="211">
        <v>94.262273082362412</v>
      </c>
      <c r="AZ481" s="213">
        <v>96.443896999328885</v>
      </c>
    </row>
    <row r="482" spans="4:52" x14ac:dyDescent="0.25">
      <c r="L482" s="189">
        <v>485</v>
      </c>
      <c r="M482" s="196">
        <f t="shared" si="85"/>
        <v>0</v>
      </c>
      <c r="N482" s="197">
        <f t="shared" si="85"/>
        <v>0</v>
      </c>
      <c r="O482" s="152">
        <f ca="1"/>
        <v>94.027478356035274</v>
      </c>
      <c r="Q482" s="198">
        <v>0</v>
      </c>
      <c r="R482" s="200">
        <v>0</v>
      </c>
      <c r="S482" s="200">
        <v>0</v>
      </c>
      <c r="T482" s="200">
        <v>0</v>
      </c>
      <c r="U482" s="200">
        <f t="array" ref="U482">IF(U$77&gt;" ",(U$628:U$1078),"")</f>
        <v>0</v>
      </c>
      <c r="V482" s="200">
        <f t="array" ref="V482">IF(V$77&gt;" ",(V$628:V$1078),"")</f>
        <v>0</v>
      </c>
      <c r="W482" s="200">
        <f t="array" ref="W482">IF(W$77&gt;" ",(W$628:W$1078),"")</f>
        <v>0</v>
      </c>
      <c r="X482" s="200">
        <f t="array" ref="X482">IF(X$77&gt;" ",(X$628:X$1078),"")</f>
        <v>0</v>
      </c>
      <c r="Y482" s="204">
        <v>0</v>
      </c>
      <c r="Z482" s="198" t="str">
        <f t="shared" si="79"/>
        <v/>
      </c>
      <c r="AA482" s="198" t="str">
        <f t="shared" si="80"/>
        <v/>
      </c>
      <c r="AB482" s="198" t="str">
        <f t="shared" si="81"/>
        <v/>
      </c>
      <c r="AC482" s="198" t="str">
        <f t="shared" si="78"/>
        <v/>
      </c>
      <c r="AD482" s="198" t="str">
        <f t="shared" si="78"/>
        <v/>
      </c>
      <c r="AE482" s="198" t="str">
        <f t="shared" si="78"/>
        <v/>
      </c>
      <c r="AF482" s="198" t="str">
        <f t="shared" si="78"/>
        <v/>
      </c>
      <c r="AG482" s="198" t="str">
        <f t="shared" si="84"/>
        <v/>
      </c>
      <c r="AH482" s="198" t="str">
        <f t="shared" si="84"/>
        <v/>
      </c>
      <c r="AI482" s="200" t="str">
        <f t="shared" si="82"/>
        <v/>
      </c>
      <c r="AJ482" s="208" t="str">
        <f t="shared" si="83"/>
        <v/>
      </c>
      <c r="AK482" s="4"/>
      <c r="AL482" s="162">
        <v>485</v>
      </c>
      <c r="AM482" s="209">
        <v>6.7754517771621559E-3</v>
      </c>
      <c r="AN482" s="183">
        <v>8.0528714179341765E-3</v>
      </c>
      <c r="AO482" s="183">
        <v>7.88595775588425E-3</v>
      </c>
      <c r="AP482" s="165">
        <v>7.5310782828067555E-3</v>
      </c>
      <c r="AR482" s="210">
        <v>94.237604778587155</v>
      </c>
      <c r="AS482" s="211">
        <v>94.469271738247301</v>
      </c>
      <c r="AT482" s="211">
        <v>94.027478356035274</v>
      </c>
      <c r="AU482" s="211">
        <v>93.452163982536675</v>
      </c>
      <c r="AV482" s="211"/>
      <c r="AW482" s="212"/>
      <c r="AX482" s="210">
        <v>94.399213348179657</v>
      </c>
      <c r="AY482" s="211">
        <v>94.128274480948562</v>
      </c>
      <c r="AZ482" s="213">
        <v>96.549053653471134</v>
      </c>
    </row>
    <row r="483" spans="4:52" x14ac:dyDescent="0.25">
      <c r="L483" s="189">
        <v>480</v>
      </c>
      <c r="M483" s="196">
        <f t="shared" si="85"/>
        <v>0</v>
      </c>
      <c r="N483" s="197">
        <f t="shared" si="85"/>
        <v>0</v>
      </c>
      <c r="O483" s="152">
        <f ca="1"/>
        <v>93.886550604198533</v>
      </c>
      <c r="Q483" s="198">
        <v>0</v>
      </c>
      <c r="R483" s="200">
        <v>0</v>
      </c>
      <c r="S483" s="200">
        <v>0</v>
      </c>
      <c r="T483" s="200">
        <v>0</v>
      </c>
      <c r="U483" s="200">
        <f t="array" ref="U483">IF(U$77&gt;" ",(U$628:U$1078),"")</f>
        <v>0</v>
      </c>
      <c r="V483" s="200">
        <f t="array" ref="V483">IF(V$77&gt;" ",(V$628:V$1078),"")</f>
        <v>0</v>
      </c>
      <c r="W483" s="200">
        <f t="array" ref="W483">IF(W$77&gt;" ",(W$628:W$1078),"")</f>
        <v>0</v>
      </c>
      <c r="X483" s="200">
        <f t="array" ref="X483">IF(X$77&gt;" ",(X$628:X$1078),"")</f>
        <v>0</v>
      </c>
      <c r="Y483" s="204">
        <v>0</v>
      </c>
      <c r="Z483" s="198" t="str">
        <f t="shared" si="79"/>
        <v/>
      </c>
      <c r="AA483" s="198" t="str">
        <f t="shared" si="80"/>
        <v/>
      </c>
      <c r="AB483" s="198" t="str">
        <f t="shared" si="81"/>
        <v/>
      </c>
      <c r="AC483" s="198" t="str">
        <f t="shared" si="78"/>
        <v/>
      </c>
      <c r="AD483" s="198" t="str">
        <f t="shared" si="78"/>
        <v/>
      </c>
      <c r="AE483" s="198" t="str">
        <f t="shared" si="78"/>
        <v/>
      </c>
      <c r="AF483" s="198" t="str">
        <f t="shared" si="78"/>
        <v/>
      </c>
      <c r="AG483" s="198" t="str">
        <f t="shared" si="84"/>
        <v/>
      </c>
      <c r="AH483" s="198" t="str">
        <f t="shared" si="84"/>
        <v/>
      </c>
      <c r="AI483" s="200" t="str">
        <f t="shared" si="82"/>
        <v/>
      </c>
      <c r="AJ483" s="208" t="str">
        <f t="shared" si="83"/>
        <v/>
      </c>
      <c r="AK483" s="4"/>
      <c r="AL483" s="162">
        <v>480</v>
      </c>
      <c r="AM483" s="209">
        <v>6.9108815367485681E-3</v>
      </c>
      <c r="AN483" s="183">
        <v>8.2049445270813998E-3</v>
      </c>
      <c r="AO483" s="183">
        <v>8.1363694731851725E-3</v>
      </c>
      <c r="AP483" s="165">
        <v>7.7370258794533259E-3</v>
      </c>
      <c r="AR483" s="210">
        <v>94.104597761652641</v>
      </c>
      <c r="AS483" s="211">
        <v>94.336850241630145</v>
      </c>
      <c r="AT483" s="211">
        <v>93.886550604198533</v>
      </c>
      <c r="AU483" s="211">
        <v>93.283293869233489</v>
      </c>
      <c r="AV483" s="211"/>
      <c r="AW483" s="212"/>
      <c r="AX483" s="210">
        <v>94.273760608838117</v>
      </c>
      <c r="AY483" s="211">
        <v>93.95363158197523</v>
      </c>
      <c r="AZ483" s="213">
        <v>96.639489985679674</v>
      </c>
    </row>
    <row r="484" spans="4:52" x14ac:dyDescent="0.25">
      <c r="L484" s="189">
        <v>475</v>
      </c>
      <c r="M484" s="196">
        <f t="shared" si="85"/>
        <v>0</v>
      </c>
      <c r="N484" s="197">
        <f t="shared" si="85"/>
        <v>0</v>
      </c>
      <c r="O484" s="152">
        <f ca="1"/>
        <v>93.743440535456998</v>
      </c>
      <c r="Q484" s="198">
        <v>0</v>
      </c>
      <c r="R484" s="200">
        <v>0</v>
      </c>
      <c r="S484" s="200">
        <v>0</v>
      </c>
      <c r="T484" s="200">
        <v>0</v>
      </c>
      <c r="U484" s="200">
        <f t="array" ref="U484">IF(U$77&gt;" ",(U$628:U$1078),"")</f>
        <v>0</v>
      </c>
      <c r="V484" s="200">
        <f t="array" ref="V484">IF(V$77&gt;" ",(V$628:V$1078),"")</f>
        <v>0</v>
      </c>
      <c r="W484" s="200">
        <f t="array" ref="W484">IF(W$77&gt;" ",(W$628:W$1078),"")</f>
        <v>0</v>
      </c>
      <c r="X484" s="200">
        <f t="array" ref="X484">IF(X$77&gt;" ",(X$628:X$1078),"")</f>
        <v>0</v>
      </c>
      <c r="Y484" s="204">
        <v>0</v>
      </c>
      <c r="Z484" s="198" t="str">
        <f t="shared" si="79"/>
        <v/>
      </c>
      <c r="AA484" s="198" t="str">
        <f t="shared" si="80"/>
        <v/>
      </c>
      <c r="AB484" s="198" t="str">
        <f t="shared" si="81"/>
        <v/>
      </c>
      <c r="AC484" s="198" t="str">
        <f t="shared" si="78"/>
        <v/>
      </c>
      <c r="AD484" s="198" t="str">
        <f t="shared" si="78"/>
        <v/>
      </c>
      <c r="AE484" s="198" t="str">
        <f t="shared" si="78"/>
        <v/>
      </c>
      <c r="AF484" s="198" t="str">
        <f t="shared" si="78"/>
        <v/>
      </c>
      <c r="AG484" s="198" t="str">
        <f t="shared" si="84"/>
        <v/>
      </c>
      <c r="AH484" s="198" t="str">
        <f t="shared" si="84"/>
        <v/>
      </c>
      <c r="AI484" s="200" t="str">
        <f t="shared" si="82"/>
        <v/>
      </c>
      <c r="AJ484" s="208" t="str">
        <f t="shared" si="83"/>
        <v/>
      </c>
      <c r="AK484" s="4"/>
      <c r="AL484" s="162">
        <v>475</v>
      </c>
      <c r="AM484" s="209">
        <v>6.7519993065996318E-3</v>
      </c>
      <c r="AN484" s="183">
        <v>8.1489175921324215E-3</v>
      </c>
      <c r="AO484" s="183">
        <v>8.1383808122799592E-3</v>
      </c>
      <c r="AP484" s="165">
        <v>7.697851064873815E-3</v>
      </c>
      <c r="AR484" s="210">
        <v>93.949177717178685</v>
      </c>
      <c r="AS484" s="211">
        <v>94.205111632058106</v>
      </c>
      <c r="AT484" s="211">
        <v>93.743440535456998</v>
      </c>
      <c r="AU484" s="211">
        <v>93.103047336013447</v>
      </c>
      <c r="AV484" s="211"/>
      <c r="AW484" s="212"/>
      <c r="AX484" s="210">
        <v>94.113410534117477</v>
      </c>
      <c r="AY484" s="211">
        <v>93.797254327915354</v>
      </c>
      <c r="AZ484" s="213">
        <v>96.569024970324733</v>
      </c>
    </row>
    <row r="485" spans="4:52" x14ac:dyDescent="0.25">
      <c r="L485" s="189">
        <v>470</v>
      </c>
      <c r="M485" s="196">
        <f t="shared" si="85"/>
        <v>0</v>
      </c>
      <c r="N485" s="197">
        <f t="shared" si="85"/>
        <v>0</v>
      </c>
      <c r="O485" s="152">
        <f ca="1"/>
        <v>93.569088849072614</v>
      </c>
      <c r="Q485" s="198">
        <v>0</v>
      </c>
      <c r="R485" s="200">
        <v>0</v>
      </c>
      <c r="S485" s="200">
        <v>0</v>
      </c>
      <c r="T485" s="200">
        <v>0</v>
      </c>
      <c r="U485" s="200">
        <f t="array" ref="U485">IF(U$77&gt;" ",(U$628:U$1078),"")</f>
        <v>0</v>
      </c>
      <c r="V485" s="200">
        <f t="array" ref="V485">IF(V$77&gt;" ",(V$628:V$1078),"")</f>
        <v>0</v>
      </c>
      <c r="W485" s="200">
        <f t="array" ref="W485">IF(W$77&gt;" ",(W$628:W$1078),"")</f>
        <v>0</v>
      </c>
      <c r="X485" s="200">
        <f t="array" ref="X485">IF(X$77&gt;" ",(X$628:X$1078),"")</f>
        <v>0</v>
      </c>
      <c r="Y485" s="204">
        <v>0</v>
      </c>
      <c r="Z485" s="198" t="str">
        <f t="shared" si="79"/>
        <v/>
      </c>
      <c r="AA485" s="198" t="str">
        <f t="shared" si="80"/>
        <v/>
      </c>
      <c r="AB485" s="198" t="str">
        <f t="shared" si="81"/>
        <v/>
      </c>
      <c r="AC485" s="198" t="str">
        <f t="shared" si="78"/>
        <v/>
      </c>
      <c r="AD485" s="198" t="str">
        <f t="shared" si="78"/>
        <v/>
      </c>
      <c r="AE485" s="198" t="str">
        <f t="shared" si="78"/>
        <v/>
      </c>
      <c r="AF485" s="198" t="str">
        <f t="shared" si="78"/>
        <v/>
      </c>
      <c r="AG485" s="198" t="str">
        <f t="shared" si="84"/>
        <v/>
      </c>
      <c r="AH485" s="198" t="str">
        <f t="shared" si="84"/>
        <v/>
      </c>
      <c r="AI485" s="200" t="str">
        <f t="shared" si="82"/>
        <v/>
      </c>
      <c r="AJ485" s="208" t="str">
        <f t="shared" si="83"/>
        <v/>
      </c>
      <c r="AK485" s="4"/>
      <c r="AL485" s="162">
        <v>470</v>
      </c>
      <c r="AM485" s="209">
        <v>6.5931170764506946E-3</v>
      </c>
      <c r="AN485" s="183">
        <v>8.0928906571834467E-3</v>
      </c>
      <c r="AO485" s="183">
        <v>7.5812398830240922E-3</v>
      </c>
      <c r="AP485" s="165">
        <v>7.1348530153454203E-3</v>
      </c>
      <c r="AR485" s="210">
        <v>93.78388776896989</v>
      </c>
      <c r="AS485" s="211">
        <v>94.057270949290441</v>
      </c>
      <c r="AT485" s="211">
        <v>93.569088849072614</v>
      </c>
      <c r="AU485" s="211">
        <v>92.912619998718014</v>
      </c>
      <c r="AV485" s="211"/>
      <c r="AW485" s="212"/>
      <c r="AX485" s="210">
        <v>93.962856101286278</v>
      </c>
      <c r="AY485" s="211">
        <v>93.623880694554032</v>
      </c>
      <c r="AZ485" s="213">
        <v>96.470059450859509</v>
      </c>
    </row>
    <row r="486" spans="4:52" x14ac:dyDescent="0.25">
      <c r="L486" s="189">
        <v>465</v>
      </c>
      <c r="M486" s="196">
        <f t="shared" si="85"/>
        <v>0</v>
      </c>
      <c r="N486" s="197">
        <f t="shared" si="85"/>
        <v>0</v>
      </c>
      <c r="O486" s="152">
        <f ca="1"/>
        <v>93.413595525420575</v>
      </c>
      <c r="Q486" s="198">
        <v>0</v>
      </c>
      <c r="R486" s="200">
        <v>0</v>
      </c>
      <c r="S486" s="200">
        <v>0</v>
      </c>
      <c r="T486" s="200">
        <v>0</v>
      </c>
      <c r="U486" s="200">
        <f t="array" ref="U486">IF(U$77&gt;" ",(U$628:U$1078),"")</f>
        <v>0</v>
      </c>
      <c r="V486" s="200">
        <f t="array" ref="V486">IF(V$77&gt;" ",(V$628:V$1078),"")</f>
        <v>0</v>
      </c>
      <c r="W486" s="200">
        <f t="array" ref="W486">IF(W$77&gt;" ",(W$628:W$1078),"")</f>
        <v>0</v>
      </c>
      <c r="X486" s="200">
        <f t="array" ref="X486">IF(X$77&gt;" ",(X$628:X$1078),"")</f>
        <v>0</v>
      </c>
      <c r="Y486" s="204">
        <v>0</v>
      </c>
      <c r="Z486" s="198" t="str">
        <f t="shared" si="79"/>
        <v/>
      </c>
      <c r="AA486" s="198" t="str">
        <f t="shared" si="80"/>
        <v/>
      </c>
      <c r="AB486" s="198" t="str">
        <f t="shared" si="81"/>
        <v/>
      </c>
      <c r="AC486" s="198" t="str">
        <f t="shared" si="78"/>
        <v/>
      </c>
      <c r="AD486" s="198" t="str">
        <f t="shared" si="78"/>
        <v/>
      </c>
      <c r="AE486" s="198" t="str">
        <f t="shared" si="78"/>
        <v/>
      </c>
      <c r="AF486" s="198" t="str">
        <f t="shared" si="78"/>
        <v/>
      </c>
      <c r="AG486" s="198" t="str">
        <f t="shared" si="84"/>
        <v/>
      </c>
      <c r="AH486" s="198" t="str">
        <f t="shared" si="84"/>
        <v/>
      </c>
      <c r="AI486" s="200" t="str">
        <f t="shared" si="82"/>
        <v/>
      </c>
      <c r="AJ486" s="208" t="str">
        <f t="shared" si="83"/>
        <v/>
      </c>
      <c r="AK486" s="4"/>
      <c r="AL486" s="162">
        <v>465</v>
      </c>
      <c r="AM486" s="209">
        <v>6.5666917575070045E-3</v>
      </c>
      <c r="AN486" s="183">
        <v>8.0898892142397504E-3</v>
      </c>
      <c r="AO486" s="183">
        <v>7.7185137762432717E-3</v>
      </c>
      <c r="AP486" s="165">
        <v>7.2221568878369016E-3</v>
      </c>
      <c r="AR486" s="210">
        <v>93.597128682730769</v>
      </c>
      <c r="AS486" s="211">
        <v>93.902275487126403</v>
      </c>
      <c r="AT486" s="211">
        <v>93.413595525420575</v>
      </c>
      <c r="AU486" s="211">
        <v>92.687793009988539</v>
      </c>
      <c r="AV486" s="211"/>
      <c r="AW486" s="212"/>
      <c r="AX486" s="210">
        <v>93.758828966282849</v>
      </c>
      <c r="AY486" s="211">
        <v>93.420160208201821</v>
      </c>
      <c r="AZ486" s="213">
        <v>96.381536722151168</v>
      </c>
    </row>
    <row r="487" spans="4:52" x14ac:dyDescent="0.25">
      <c r="L487" s="189">
        <v>460</v>
      </c>
      <c r="M487" s="196">
        <f t="shared" si="85"/>
        <v>0</v>
      </c>
      <c r="N487" s="197">
        <f t="shared" si="85"/>
        <v>0</v>
      </c>
      <c r="O487" s="152">
        <f ca="1"/>
        <v>93.221689372087383</v>
      </c>
      <c r="Q487" s="198">
        <v>0</v>
      </c>
      <c r="R487" s="200">
        <v>0</v>
      </c>
      <c r="S487" s="200">
        <v>0</v>
      </c>
      <c r="T487" s="200">
        <v>0</v>
      </c>
      <c r="U487" s="200">
        <f t="array" ref="U487">IF(U$77&gt;" ",(U$628:U$1078),"")</f>
        <v>0</v>
      </c>
      <c r="V487" s="200">
        <f t="array" ref="V487">IF(V$77&gt;" ",(V$628:V$1078),"")</f>
        <v>0</v>
      </c>
      <c r="W487" s="200">
        <f t="array" ref="W487">IF(W$77&gt;" ",(W$628:W$1078),"")</f>
        <v>0</v>
      </c>
      <c r="X487" s="200">
        <f t="array" ref="X487">IF(X$77&gt;" ",(X$628:X$1078),"")</f>
        <v>0</v>
      </c>
      <c r="Y487" s="204">
        <v>0</v>
      </c>
      <c r="Z487" s="198" t="str">
        <f t="shared" si="79"/>
        <v/>
      </c>
      <c r="AA487" s="198" t="str">
        <f t="shared" si="80"/>
        <v/>
      </c>
      <c r="AB487" s="198" t="str">
        <f t="shared" si="81"/>
        <v/>
      </c>
      <c r="AC487" s="198" t="str">
        <f t="shared" si="78"/>
        <v/>
      </c>
      <c r="AD487" s="198" t="str">
        <f t="shared" si="78"/>
        <v/>
      </c>
      <c r="AE487" s="198" t="str">
        <f t="shared" si="78"/>
        <v/>
      </c>
      <c r="AF487" s="198" t="str">
        <f t="shared" si="78"/>
        <v/>
      </c>
      <c r="AG487" s="198" t="str">
        <f t="shared" si="84"/>
        <v/>
      </c>
      <c r="AH487" s="198" t="str">
        <f t="shared" si="84"/>
        <v/>
      </c>
      <c r="AI487" s="200" t="str">
        <f t="shared" si="82"/>
        <v/>
      </c>
      <c r="AJ487" s="208" t="str">
        <f t="shared" si="83"/>
        <v/>
      </c>
      <c r="AK487" s="4"/>
      <c r="AL487" s="162">
        <v>460</v>
      </c>
      <c r="AM487" s="209">
        <v>6.5402664385633144E-3</v>
      </c>
      <c r="AN487" s="183">
        <v>8.0868877712960557E-3</v>
      </c>
      <c r="AO487" s="183">
        <v>7.6888465245951703E-3</v>
      </c>
      <c r="AP487" s="165">
        <v>7.1583579040931274E-3</v>
      </c>
      <c r="AR487" s="210">
        <v>93.409783720999656</v>
      </c>
      <c r="AS487" s="211">
        <v>93.731036353386926</v>
      </c>
      <c r="AT487" s="211">
        <v>93.221689372087383</v>
      </c>
      <c r="AU487" s="211">
        <v>92.449214883496325</v>
      </c>
      <c r="AV487" s="211"/>
      <c r="AW487" s="212"/>
      <c r="AX487" s="210">
        <v>93.57026532022843</v>
      </c>
      <c r="AY487" s="211">
        <v>93.24838584389488</v>
      </c>
      <c r="AZ487" s="213">
        <v>96.538236024180904</v>
      </c>
    </row>
    <row r="488" spans="4:52" x14ac:dyDescent="0.25">
      <c r="L488" s="189">
        <v>455</v>
      </c>
      <c r="M488" s="196">
        <f t="shared" si="85"/>
        <v>0</v>
      </c>
      <c r="N488" s="197">
        <f t="shared" si="85"/>
        <v>0</v>
      </c>
      <c r="O488" s="152">
        <f ca="1"/>
        <v>92.978287957032606</v>
      </c>
      <c r="Q488" s="198">
        <v>0</v>
      </c>
      <c r="R488" s="200">
        <v>0</v>
      </c>
      <c r="S488" s="200">
        <v>0</v>
      </c>
      <c r="T488" s="200">
        <v>0</v>
      </c>
      <c r="U488" s="200">
        <f t="array" ref="U488">IF(U$77&gt;" ",(U$628:U$1078),"")</f>
        <v>0</v>
      </c>
      <c r="V488" s="200">
        <f t="array" ref="V488">IF(V$77&gt;" ",(V$628:V$1078),"")</f>
        <v>0</v>
      </c>
      <c r="W488" s="200">
        <f t="array" ref="W488">IF(W$77&gt;" ",(W$628:W$1078),"")</f>
        <v>0</v>
      </c>
      <c r="X488" s="200">
        <f t="array" ref="X488">IF(X$77&gt;" ",(X$628:X$1078),"")</f>
        <v>0</v>
      </c>
      <c r="Y488" s="204">
        <v>0</v>
      </c>
      <c r="Z488" s="198" t="str">
        <f t="shared" si="79"/>
        <v/>
      </c>
      <c r="AA488" s="198" t="str">
        <f t="shared" si="80"/>
        <v/>
      </c>
      <c r="AB488" s="198" t="str">
        <f t="shared" si="81"/>
        <v/>
      </c>
      <c r="AC488" s="198" t="str">
        <f t="shared" si="78"/>
        <v/>
      </c>
      <c r="AD488" s="198" t="str">
        <f t="shared" si="78"/>
        <v/>
      </c>
      <c r="AE488" s="198" t="str">
        <f t="shared" si="78"/>
        <v/>
      </c>
      <c r="AF488" s="198" t="str">
        <f t="shared" si="78"/>
        <v/>
      </c>
      <c r="AG488" s="198" t="str">
        <f t="shared" si="84"/>
        <v/>
      </c>
      <c r="AH488" s="198" t="str">
        <f t="shared" si="84"/>
        <v/>
      </c>
      <c r="AI488" s="200" t="str">
        <f t="shared" si="82"/>
        <v/>
      </c>
      <c r="AJ488" s="208" t="str">
        <f t="shared" si="83"/>
        <v/>
      </c>
      <c r="AK488" s="4"/>
      <c r="AL488" s="162">
        <v>455</v>
      </c>
      <c r="AM488" s="209">
        <v>6.4299407319734075E-3</v>
      </c>
      <c r="AN488" s="183">
        <v>7.8810388094076277E-3</v>
      </c>
      <c r="AO488" s="183">
        <v>7.6551565947574965E-3</v>
      </c>
      <c r="AP488" s="165">
        <v>7.0822468357672214E-3</v>
      </c>
      <c r="AR488" s="210">
        <v>93.184910857934668</v>
      </c>
      <c r="AS488" s="211">
        <v>93.509840575747887</v>
      </c>
      <c r="AT488" s="211">
        <v>92.978287957032606</v>
      </c>
      <c r="AU488" s="211">
        <v>92.186153207100958</v>
      </c>
      <c r="AV488" s="211"/>
      <c r="AW488" s="212"/>
      <c r="AX488" s="210">
        <v>93.403341567283107</v>
      </c>
      <c r="AY488" s="211">
        <v>93.039718153277974</v>
      </c>
      <c r="AZ488" s="213">
        <v>96.739014364160965</v>
      </c>
    </row>
    <row r="489" spans="4:52" s="9" customFormat="1" x14ac:dyDescent="0.25">
      <c r="D489" s="243"/>
      <c r="E489" s="244"/>
      <c r="F489" s="126"/>
      <c r="G489" s="126"/>
      <c r="H489" s="126"/>
      <c r="I489" s="126"/>
      <c r="L489" s="225">
        <v>450</v>
      </c>
      <c r="M489" s="226">
        <f t="shared" si="85"/>
        <v>0</v>
      </c>
      <c r="N489" s="227">
        <f t="shared" si="85"/>
        <v>0</v>
      </c>
      <c r="O489" s="152">
        <f ca="1"/>
        <v>92.749860970617348</v>
      </c>
      <c r="Q489" s="199">
        <v>0</v>
      </c>
      <c r="R489" s="201">
        <v>0</v>
      </c>
      <c r="S489" s="201">
        <v>0</v>
      </c>
      <c r="T489" s="201">
        <v>0</v>
      </c>
      <c r="U489" s="200">
        <f t="array" ref="U489">IF(U$77&gt;" ",(U$628:U$1078),"")</f>
        <v>0</v>
      </c>
      <c r="V489" s="200">
        <f t="array" ref="V489">IF(V$77&gt;" ",(V$628:V$1078),"")</f>
        <v>0</v>
      </c>
      <c r="W489" s="200">
        <f t="array" ref="W489">IF(W$77&gt;" ",(W$628:W$1078),"")</f>
        <v>0</v>
      </c>
      <c r="X489" s="200">
        <f t="array" ref="X489">IF(X$77&gt;" ",(X$628:X$1078),"")</f>
        <v>0</v>
      </c>
      <c r="Y489" s="205">
        <v>0</v>
      </c>
      <c r="Z489" s="198" t="str">
        <f t="shared" si="79"/>
        <v/>
      </c>
      <c r="AA489" s="198" t="str">
        <f t="shared" si="80"/>
        <v/>
      </c>
      <c r="AB489" s="198" t="str">
        <f t="shared" si="81"/>
        <v/>
      </c>
      <c r="AC489" s="198" t="str">
        <f t="shared" si="78"/>
        <v/>
      </c>
      <c r="AD489" s="198" t="str">
        <f t="shared" si="78"/>
        <v/>
      </c>
      <c r="AE489" s="198" t="str">
        <f t="shared" si="78"/>
        <v/>
      </c>
      <c r="AF489" s="198" t="str">
        <f t="shared" si="78"/>
        <v/>
      </c>
      <c r="AG489" s="198" t="str">
        <f t="shared" si="84"/>
        <v/>
      </c>
      <c r="AH489" s="198" t="str">
        <f t="shared" si="84"/>
        <v/>
      </c>
      <c r="AI489" s="200" t="str">
        <f t="shared" si="82"/>
        <v/>
      </c>
      <c r="AJ489" s="208" t="str">
        <f t="shared" si="83"/>
        <v/>
      </c>
      <c r="AK489" s="126"/>
      <c r="AL489" s="162">
        <v>450</v>
      </c>
      <c r="AM489" s="209">
        <v>6.3196150253835015E-3</v>
      </c>
      <c r="AN489" s="183">
        <v>7.6751898475191987E-3</v>
      </c>
      <c r="AO489" s="183">
        <v>7.8417082957989472E-3</v>
      </c>
      <c r="AP489" s="165">
        <v>7.208725522838212E-3</v>
      </c>
      <c r="AR489" s="228">
        <v>92.948886469049</v>
      </c>
      <c r="AS489" s="229">
        <v>93.315499695979824</v>
      </c>
      <c r="AT489" s="211">
        <v>92.749860970617348</v>
      </c>
      <c r="AU489" s="211">
        <v>91.906888667931</v>
      </c>
      <c r="AV489" s="229"/>
      <c r="AW489" s="245"/>
      <c r="AX489" s="228">
        <v>93.21615329186811</v>
      </c>
      <c r="AY489" s="211">
        <v>92.816023935446978</v>
      </c>
      <c r="AZ489" s="213">
        <v>95.99467062354428</v>
      </c>
    </row>
    <row r="490" spans="4:52" x14ac:dyDescent="0.25">
      <c r="L490" s="189">
        <v>445</v>
      </c>
      <c r="M490" s="196">
        <f t="shared" si="85"/>
        <v>0</v>
      </c>
      <c r="N490" s="197">
        <f t="shared" si="85"/>
        <v>0</v>
      </c>
      <c r="O490" s="152">
        <f ca="1"/>
        <v>92.540380918123049</v>
      </c>
      <c r="Q490" s="198">
        <v>0</v>
      </c>
      <c r="R490" s="200">
        <v>0</v>
      </c>
      <c r="S490" s="200">
        <v>0</v>
      </c>
      <c r="T490" s="200">
        <v>0</v>
      </c>
      <c r="U490" s="200">
        <f t="array" ref="U490">IF(U$77&gt;" ",(U$628:U$1078),"")</f>
        <v>0</v>
      </c>
      <c r="V490" s="200">
        <f t="array" ref="V490">IF(V$77&gt;" ",(V$628:V$1078),"")</f>
        <v>0</v>
      </c>
      <c r="W490" s="200">
        <f t="array" ref="W490">IF(W$77&gt;" ",(W$628:W$1078),"")</f>
        <v>0</v>
      </c>
      <c r="X490" s="200">
        <f t="array" ref="X490">IF(X$77&gt;" ",(X$628:X$1078),"")</f>
        <v>0</v>
      </c>
      <c r="Y490" s="204">
        <v>0</v>
      </c>
      <c r="Z490" s="198" t="str">
        <f t="shared" si="79"/>
        <v/>
      </c>
      <c r="AA490" s="198" t="str">
        <f t="shared" si="80"/>
        <v/>
      </c>
      <c r="AB490" s="198" t="str">
        <f t="shared" si="81"/>
        <v/>
      </c>
      <c r="AC490" s="198" t="str">
        <f t="shared" si="78"/>
        <v/>
      </c>
      <c r="AD490" s="198" t="str">
        <f t="shared" si="78"/>
        <v/>
      </c>
      <c r="AE490" s="198" t="str">
        <f t="shared" si="78"/>
        <v/>
      </c>
      <c r="AF490" s="198" t="str">
        <f t="shared" si="78"/>
        <v/>
      </c>
      <c r="AG490" s="198" t="str">
        <f t="shared" si="84"/>
        <v/>
      </c>
      <c r="AH490" s="198" t="str">
        <f t="shared" si="84"/>
        <v/>
      </c>
      <c r="AI490" s="200" t="str">
        <f t="shared" si="82"/>
        <v/>
      </c>
      <c r="AJ490" s="208" t="str">
        <f t="shared" si="83"/>
        <v/>
      </c>
      <c r="AK490" s="4"/>
      <c r="AL490" s="162">
        <v>445</v>
      </c>
      <c r="AM490" s="209">
        <v>5.7973846597588249E-3</v>
      </c>
      <c r="AN490" s="183">
        <v>7.1506876931084666E-3</v>
      </c>
      <c r="AO490" s="183">
        <v>7.3509415566710354E-3</v>
      </c>
      <c r="AP490" s="165">
        <v>6.7112053776784298E-3</v>
      </c>
      <c r="AR490" s="210">
        <v>92.727536205763784</v>
      </c>
      <c r="AS490" s="211">
        <v>93.141904049867705</v>
      </c>
      <c r="AT490" s="211">
        <v>92.540380918123049</v>
      </c>
      <c r="AU490" s="211">
        <v>91.635575661390249</v>
      </c>
      <c r="AV490" s="211"/>
      <c r="AW490" s="212"/>
      <c r="AX490" s="210">
        <v>92.985575100177201</v>
      </c>
      <c r="AY490" s="211">
        <v>92.594762445644065</v>
      </c>
      <c r="AZ490" s="213">
        <v>96.092334461442206</v>
      </c>
    </row>
    <row r="491" spans="4:52" x14ac:dyDescent="0.25">
      <c r="L491" s="189">
        <v>440</v>
      </c>
      <c r="M491" s="196">
        <f t="shared" si="85"/>
        <v>0</v>
      </c>
      <c r="N491" s="197">
        <f t="shared" si="85"/>
        <v>0</v>
      </c>
      <c r="O491" s="152">
        <f ca="1"/>
        <v>92.279953230800174</v>
      </c>
      <c r="Q491" s="198">
        <v>0</v>
      </c>
      <c r="R491" s="200">
        <v>0</v>
      </c>
      <c r="S491" s="200">
        <v>0</v>
      </c>
      <c r="T491" s="200">
        <v>0</v>
      </c>
      <c r="U491" s="200">
        <f t="array" ref="U491">IF(U$77&gt;" ",(U$628:U$1078),"")</f>
        <v>0</v>
      </c>
      <c r="V491" s="200">
        <f t="array" ref="V491">IF(V$77&gt;" ",(V$628:V$1078),"")</f>
        <v>0</v>
      </c>
      <c r="W491" s="200">
        <f t="array" ref="W491">IF(W$77&gt;" ",(W$628:W$1078),"")</f>
        <v>0</v>
      </c>
      <c r="X491" s="200">
        <f t="array" ref="X491">IF(X$77&gt;" ",(X$628:X$1078),"")</f>
        <v>0</v>
      </c>
      <c r="Y491" s="204">
        <v>0</v>
      </c>
      <c r="Z491" s="198" t="str">
        <f t="shared" si="79"/>
        <v/>
      </c>
      <c r="AA491" s="198" t="str">
        <f t="shared" si="80"/>
        <v/>
      </c>
      <c r="AB491" s="198" t="str">
        <f t="shared" si="81"/>
        <v/>
      </c>
      <c r="AC491" s="198" t="str">
        <f t="shared" si="78"/>
        <v/>
      </c>
      <c r="AD491" s="198" t="str">
        <f t="shared" si="78"/>
        <v/>
      </c>
      <c r="AE491" s="198" t="str">
        <f t="shared" si="78"/>
        <v/>
      </c>
      <c r="AF491" s="198" t="str">
        <f t="shared" si="78"/>
        <v/>
      </c>
      <c r="AG491" s="198" t="str">
        <f t="shared" si="84"/>
        <v/>
      </c>
      <c r="AH491" s="198" t="str">
        <f t="shared" si="84"/>
        <v/>
      </c>
      <c r="AI491" s="200" t="str">
        <f t="shared" si="82"/>
        <v/>
      </c>
      <c r="AJ491" s="208" t="str">
        <f t="shared" si="83"/>
        <v/>
      </c>
      <c r="AK491" s="4"/>
      <c r="AL491" s="162">
        <v>440</v>
      </c>
      <c r="AM491" s="209">
        <v>5.2751542941341482E-3</v>
      </c>
      <c r="AN491" s="183">
        <v>6.6261855386977328E-3</v>
      </c>
      <c r="AO491" s="183">
        <v>6.7877666101308102E-3</v>
      </c>
      <c r="AP491" s="165">
        <v>6.1521248096079858E-3</v>
      </c>
      <c r="AR491" s="210">
        <v>92.4688817044903</v>
      </c>
      <c r="AS491" s="211">
        <v>92.909584007713761</v>
      </c>
      <c r="AT491" s="211">
        <v>92.279953230800174</v>
      </c>
      <c r="AU491" s="211">
        <v>91.322693495038152</v>
      </c>
      <c r="AV491" s="211"/>
      <c r="AW491" s="212"/>
      <c r="AX491" s="210">
        <v>92.814627690455481</v>
      </c>
      <c r="AY491" s="211">
        <v>92.385516676888756</v>
      </c>
      <c r="AZ491" s="213">
        <v>96.017211965341986</v>
      </c>
    </row>
    <row r="492" spans="4:52" x14ac:dyDescent="0.25">
      <c r="L492" s="189">
        <v>435</v>
      </c>
      <c r="M492" s="196">
        <f t="shared" si="85"/>
        <v>0</v>
      </c>
      <c r="N492" s="197">
        <f t="shared" si="85"/>
        <v>0</v>
      </c>
      <c r="O492" s="152">
        <f ca="1"/>
        <v>92.022207974107062</v>
      </c>
      <c r="Q492" s="198">
        <v>0</v>
      </c>
      <c r="R492" s="201">
        <v>0</v>
      </c>
      <c r="S492" s="200">
        <v>0</v>
      </c>
      <c r="T492" s="200">
        <v>0</v>
      </c>
      <c r="U492" s="200">
        <f t="array" ref="U492">IF(U$77&gt;" ",(U$628:U$1078),"")</f>
        <v>0</v>
      </c>
      <c r="V492" s="200">
        <f t="array" ref="V492">IF(V$77&gt;" ",(V$628:V$1078),"")</f>
        <v>0</v>
      </c>
      <c r="W492" s="200">
        <f t="array" ref="W492">IF(W$77&gt;" ",(W$628:W$1078),"")</f>
        <v>0</v>
      </c>
      <c r="X492" s="200">
        <f t="array" ref="X492">IF(X$77&gt;" ",(X$628:X$1078),"")</f>
        <v>0</v>
      </c>
      <c r="Y492" s="204">
        <v>0</v>
      </c>
      <c r="Z492" s="198" t="str">
        <f t="shared" si="79"/>
        <v/>
      </c>
      <c r="AA492" s="198" t="str">
        <f t="shared" si="80"/>
        <v/>
      </c>
      <c r="AB492" s="198" t="str">
        <f t="shared" si="81"/>
        <v/>
      </c>
      <c r="AC492" s="198" t="str">
        <f t="shared" si="78"/>
        <v/>
      </c>
      <c r="AD492" s="198" t="str">
        <f t="shared" si="78"/>
        <v/>
      </c>
      <c r="AE492" s="198" t="str">
        <f t="shared" si="78"/>
        <v/>
      </c>
      <c r="AF492" s="198" t="str">
        <f t="shared" si="78"/>
        <v/>
      </c>
      <c r="AG492" s="198" t="str">
        <f t="shared" si="84"/>
        <v/>
      </c>
      <c r="AH492" s="198" t="str">
        <f t="shared" si="84"/>
        <v/>
      </c>
      <c r="AI492" s="200" t="str">
        <f t="shared" si="82"/>
        <v/>
      </c>
      <c r="AJ492" s="208" t="str">
        <f t="shared" si="83"/>
        <v/>
      </c>
      <c r="AK492" s="4"/>
      <c r="AL492" s="162">
        <v>435</v>
      </c>
      <c r="AM492" s="209">
        <v>4.757878675811413E-3</v>
      </c>
      <c r="AN492" s="183">
        <v>6.1512071928579697E-3</v>
      </c>
      <c r="AO492" s="183">
        <v>6.261298602070438E-3</v>
      </c>
      <c r="AP492" s="165">
        <v>5.635576897366725E-3</v>
      </c>
      <c r="AR492" s="210">
        <v>92.211784698790694</v>
      </c>
      <c r="AS492" s="211">
        <v>92.685304021778748</v>
      </c>
      <c r="AT492" s="211">
        <v>92.022207974107062</v>
      </c>
      <c r="AU492" s="211">
        <v>91.002742690238463</v>
      </c>
      <c r="AV492" s="211"/>
      <c r="AW492" s="212"/>
      <c r="AX492" s="210">
        <v>92.577346100176371</v>
      </c>
      <c r="AY492" s="211">
        <v>92.121513778970737</v>
      </c>
      <c r="AZ492" s="213">
        <v>95.920047668418789</v>
      </c>
    </row>
    <row r="493" spans="4:52" x14ac:dyDescent="0.25">
      <c r="L493" s="189">
        <v>430</v>
      </c>
      <c r="M493" s="196">
        <f t="shared" si="85"/>
        <v>0</v>
      </c>
      <c r="N493" s="197">
        <f t="shared" si="85"/>
        <v>0</v>
      </c>
      <c r="O493" s="152">
        <f ca="1"/>
        <v>91.764683969756788</v>
      </c>
      <c r="Q493" s="198">
        <v>0</v>
      </c>
      <c r="R493" s="200">
        <v>0</v>
      </c>
      <c r="S493" s="200">
        <v>0</v>
      </c>
      <c r="T493" s="200">
        <v>0</v>
      </c>
      <c r="U493" s="200">
        <f t="array" ref="U493">IF(U$77&gt;" ",(U$628:U$1078),"")</f>
        <v>0</v>
      </c>
      <c r="V493" s="200">
        <f t="array" ref="V493">IF(V$77&gt;" ",(V$628:V$1078),"")</f>
        <v>0</v>
      </c>
      <c r="W493" s="200">
        <f t="array" ref="W493">IF(W$77&gt;" ",(W$628:W$1078),"")</f>
        <v>0</v>
      </c>
      <c r="X493" s="200">
        <f t="array" ref="X493">IF(X$77&gt;" ",(X$628:X$1078),"")</f>
        <v>0</v>
      </c>
      <c r="Y493" s="204">
        <v>0</v>
      </c>
      <c r="Z493" s="198" t="str">
        <f t="shared" si="79"/>
        <v/>
      </c>
      <c r="AA493" s="198" t="str">
        <f t="shared" si="80"/>
        <v/>
      </c>
      <c r="AB493" s="198" t="str">
        <f t="shared" si="81"/>
        <v/>
      </c>
      <c r="AC493" s="198" t="str">
        <f t="shared" si="78"/>
        <v/>
      </c>
      <c r="AD493" s="198" t="str">
        <f t="shared" si="78"/>
        <v/>
      </c>
      <c r="AE493" s="198" t="str">
        <f t="shared" si="78"/>
        <v/>
      </c>
      <c r="AF493" s="198" t="str">
        <f t="shared" si="78"/>
        <v/>
      </c>
      <c r="AG493" s="198" t="str">
        <f t="shared" si="84"/>
        <v/>
      </c>
      <c r="AH493" s="198" t="str">
        <f t="shared" si="84"/>
        <v/>
      </c>
      <c r="AI493" s="200" t="str">
        <f t="shared" si="82"/>
        <v/>
      </c>
      <c r="AJ493" s="208" t="str">
        <f t="shared" si="83"/>
        <v/>
      </c>
      <c r="AK493" s="4"/>
      <c r="AL493" s="162">
        <v>430</v>
      </c>
      <c r="AM493" s="209">
        <v>4.2406030574886778E-3</v>
      </c>
      <c r="AN493" s="183">
        <v>5.6762288470182075E-3</v>
      </c>
      <c r="AO493" s="183">
        <v>4.3978934977054662E-3</v>
      </c>
      <c r="AP493" s="165">
        <v>3.9249806367419862E-3</v>
      </c>
      <c r="AR493" s="210">
        <v>91.936330440809471</v>
      </c>
      <c r="AS493" s="211">
        <v>92.471699646671937</v>
      </c>
      <c r="AT493" s="211">
        <v>91.764683969756788</v>
      </c>
      <c r="AU493" s="211">
        <v>90.691018394232287</v>
      </c>
      <c r="AV493" s="211"/>
      <c r="AW493" s="212"/>
      <c r="AX493" s="210">
        <v>92.407009772453591</v>
      </c>
      <c r="AY493" s="211">
        <v>91.920037769207013</v>
      </c>
      <c r="AZ493" s="213">
        <v>95.739349197099443</v>
      </c>
    </row>
    <row r="494" spans="4:52" x14ac:dyDescent="0.25">
      <c r="L494" s="189">
        <v>425</v>
      </c>
      <c r="M494" s="196">
        <f t="shared" si="85"/>
        <v>0</v>
      </c>
      <c r="N494" s="197">
        <f t="shared" si="85"/>
        <v>0</v>
      </c>
      <c r="O494" s="152">
        <f ca="1"/>
        <v>91.473074311344575</v>
      </c>
      <c r="Q494" s="198">
        <v>0</v>
      </c>
      <c r="R494" s="200">
        <v>0</v>
      </c>
      <c r="S494" s="200">
        <v>0</v>
      </c>
      <c r="T494" s="200">
        <v>0</v>
      </c>
      <c r="U494" s="200">
        <f t="array" ref="U494">IF(U$77&gt;" ",(U$628:U$1078),"")</f>
        <v>0</v>
      </c>
      <c r="V494" s="200">
        <f t="array" ref="V494">IF(V$77&gt;" ",(V$628:V$1078),"")</f>
        <v>0</v>
      </c>
      <c r="W494" s="200">
        <f t="array" ref="W494">IF(W$77&gt;" ",(W$628:W$1078),"")</f>
        <v>0</v>
      </c>
      <c r="X494" s="200">
        <f t="array" ref="X494">IF(X$77&gt;" ",(X$628:X$1078),"")</f>
        <v>0</v>
      </c>
      <c r="Y494" s="204">
        <v>0</v>
      </c>
      <c r="Z494" s="198" t="str">
        <f t="shared" si="79"/>
        <v/>
      </c>
      <c r="AA494" s="198" t="str">
        <f t="shared" si="80"/>
        <v/>
      </c>
      <c r="AB494" s="198" t="str">
        <f t="shared" si="81"/>
        <v/>
      </c>
      <c r="AC494" s="198" t="str">
        <f t="shared" si="78"/>
        <v/>
      </c>
      <c r="AD494" s="198" t="str">
        <f t="shared" si="78"/>
        <v/>
      </c>
      <c r="AE494" s="198" t="str">
        <f t="shared" si="78"/>
        <v/>
      </c>
      <c r="AF494" s="198" t="str">
        <f t="shared" si="78"/>
        <v/>
      </c>
      <c r="AG494" s="198" t="str">
        <f t="shared" si="84"/>
        <v/>
      </c>
      <c r="AH494" s="198" t="str">
        <f t="shared" si="84"/>
        <v/>
      </c>
      <c r="AI494" s="200" t="str">
        <f t="shared" si="82"/>
        <v/>
      </c>
      <c r="AJ494" s="208" t="str">
        <f t="shared" si="83"/>
        <v/>
      </c>
      <c r="AK494" s="4"/>
      <c r="AL494" s="162">
        <v>425</v>
      </c>
      <c r="AM494" s="209">
        <v>4.4021278195319844E-3</v>
      </c>
      <c r="AN494" s="183">
        <v>5.8087925770314106E-3</v>
      </c>
      <c r="AO494" s="183">
        <v>6.2794006539235161E-3</v>
      </c>
      <c r="AP494" s="165">
        <v>5.5578988364576396E-3</v>
      </c>
      <c r="AR494" s="210">
        <v>91.626531665194918</v>
      </c>
      <c r="AS494" s="211">
        <v>92.212813584712435</v>
      </c>
      <c r="AT494" s="211">
        <v>91.473074311344575</v>
      </c>
      <c r="AU494" s="211">
        <v>90.341424387335266</v>
      </c>
      <c r="AV494" s="211"/>
      <c r="AW494" s="212"/>
      <c r="AX494" s="210">
        <v>92.198683902751768</v>
      </c>
      <c r="AY494" s="211">
        <v>91.670108032290045</v>
      </c>
      <c r="AZ494" s="213">
        <v>95.469874358618313</v>
      </c>
    </row>
    <row r="495" spans="4:52" x14ac:dyDescent="0.25">
      <c r="L495" s="189">
        <v>420</v>
      </c>
      <c r="M495" s="196">
        <f t="shared" ref="M495:N510" si="86">M1044</f>
        <v>0</v>
      </c>
      <c r="N495" s="197">
        <f t="shared" si="86"/>
        <v>0</v>
      </c>
      <c r="O495" s="152">
        <f ca="1"/>
        <v>91.162017707662741</v>
      </c>
      <c r="Q495" s="198">
        <v>0</v>
      </c>
      <c r="R495" s="200">
        <v>0</v>
      </c>
      <c r="S495" s="200">
        <v>0</v>
      </c>
      <c r="T495" s="200">
        <v>0</v>
      </c>
      <c r="U495" s="200">
        <f t="array" ref="U495">IF(U$77&gt;" ",(U$628:U$1078),"")</f>
        <v>0</v>
      </c>
      <c r="V495" s="200">
        <f t="array" ref="V495">IF(V$77&gt;" ",(V$628:V$1078),"")</f>
        <v>0</v>
      </c>
      <c r="W495" s="200">
        <f t="array" ref="W495">IF(W$77&gt;" ",(W$628:W$1078),"")</f>
        <v>0</v>
      </c>
      <c r="X495" s="200">
        <f t="array" ref="X495">IF(X$77&gt;" ",(X$628:X$1078),"")</f>
        <v>0</v>
      </c>
      <c r="Y495" s="204">
        <v>0</v>
      </c>
      <c r="Z495" s="198" t="str">
        <f t="shared" si="79"/>
        <v/>
      </c>
      <c r="AA495" s="198" t="str">
        <f t="shared" si="80"/>
        <v/>
      </c>
      <c r="AB495" s="198" t="str">
        <f t="shared" si="81"/>
        <v/>
      </c>
      <c r="AC495" s="198" t="str">
        <f t="shared" si="78"/>
        <v/>
      </c>
      <c r="AD495" s="198" t="str">
        <f t="shared" si="78"/>
        <v/>
      </c>
      <c r="AE495" s="198" t="str">
        <f t="shared" si="78"/>
        <v/>
      </c>
      <c r="AF495" s="198" t="str">
        <f t="shared" si="78"/>
        <v/>
      </c>
      <c r="AG495" s="198" t="str">
        <f t="shared" si="84"/>
        <v/>
      </c>
      <c r="AH495" s="198" t="str">
        <f t="shared" si="84"/>
        <v/>
      </c>
      <c r="AI495" s="200" t="str">
        <f t="shared" si="82"/>
        <v/>
      </c>
      <c r="AJ495" s="208" t="str">
        <f t="shared" si="83"/>
        <v/>
      </c>
      <c r="AK495" s="4"/>
      <c r="AL495" s="162">
        <v>420</v>
      </c>
      <c r="AM495" s="209">
        <v>4.5636525815752902E-3</v>
      </c>
      <c r="AN495" s="183">
        <v>5.9413563070446146E-3</v>
      </c>
      <c r="AO495" s="183">
        <v>5.6478401781605491E-3</v>
      </c>
      <c r="AP495" s="165">
        <v>4.9509690305793658E-3</v>
      </c>
      <c r="AR495" s="210">
        <v>91.298118697190958</v>
      </c>
      <c r="AS495" s="211">
        <v>91.953280077728536</v>
      </c>
      <c r="AT495" s="211">
        <v>91.162017707662741</v>
      </c>
      <c r="AU495" s="211">
        <v>89.958530150293953</v>
      </c>
      <c r="AV495" s="211"/>
      <c r="AW495" s="212"/>
      <c r="AX495" s="210">
        <v>91.988618028936216</v>
      </c>
      <c r="AY495" s="211">
        <v>91.437130916630466</v>
      </c>
      <c r="AZ495" s="213">
        <v>95.370732501941831</v>
      </c>
    </row>
    <row r="496" spans="4:52" x14ac:dyDescent="0.25">
      <c r="L496" s="189">
        <v>415</v>
      </c>
      <c r="M496" s="196">
        <f t="shared" si="86"/>
        <v>0</v>
      </c>
      <c r="N496" s="197">
        <f t="shared" si="86"/>
        <v>0</v>
      </c>
      <c r="O496" s="152">
        <f ca="1"/>
        <v>90.792143002591274</v>
      </c>
      <c r="Q496" s="198">
        <v>0</v>
      </c>
      <c r="R496" s="200">
        <v>0</v>
      </c>
      <c r="S496" s="200">
        <v>0</v>
      </c>
      <c r="T496" s="200">
        <v>0</v>
      </c>
      <c r="U496" s="200">
        <f t="array" ref="U496">IF(U$77&gt;" ",(U$628:U$1078),"")</f>
        <v>0</v>
      </c>
      <c r="V496" s="200">
        <f t="array" ref="V496">IF(V$77&gt;" ",(V$628:V$1078),"")</f>
        <v>0</v>
      </c>
      <c r="W496" s="200">
        <f t="array" ref="W496">IF(W$77&gt;" ",(W$628:W$1078),"")</f>
        <v>0</v>
      </c>
      <c r="X496" s="200">
        <f t="array" ref="X496">IF(X$77&gt;" ",(X$628:X$1078),"")</f>
        <v>0</v>
      </c>
      <c r="Y496" s="204">
        <v>0</v>
      </c>
      <c r="Z496" s="198" t="str">
        <f t="shared" ref="Z496:Z527" si="87">IF(AND(Q496&gt;0,Q496&lt;999),(Q496-$M496)/($N496-$M496)*$O496,"")</f>
        <v/>
      </c>
      <c r="AA496" s="198" t="str">
        <f t="shared" ref="AA496:AA527" si="88">IF(AND(R496&gt;0,R496&lt;999),(R496-$M496)/($N496-$M496)*$O496,"")</f>
        <v/>
      </c>
      <c r="AB496" s="198" t="str">
        <f t="shared" ref="AB496:AB527" si="89">IF(AND(S496&gt;0,S496&lt;999),(S496-$M496)/($N496-$M496)*$O496,"")</f>
        <v/>
      </c>
      <c r="AC496" s="198" t="str">
        <f t="shared" si="78"/>
        <v/>
      </c>
      <c r="AD496" s="198" t="str">
        <f t="shared" si="78"/>
        <v/>
      </c>
      <c r="AE496" s="198" t="str">
        <f t="shared" si="78"/>
        <v/>
      </c>
      <c r="AF496" s="198" t="str">
        <f t="shared" si="78"/>
        <v/>
      </c>
      <c r="AG496" s="198" t="str">
        <f t="shared" si="84"/>
        <v/>
      </c>
      <c r="AH496" s="198" t="str">
        <f t="shared" si="84"/>
        <v/>
      </c>
      <c r="AI496" s="200" t="str">
        <f t="shared" si="82"/>
        <v/>
      </c>
      <c r="AJ496" s="208" t="str">
        <f t="shared" si="83"/>
        <v/>
      </c>
      <c r="AK496" s="4"/>
      <c r="AL496" s="162">
        <v>415</v>
      </c>
      <c r="AM496" s="209">
        <v>4.4496933936306266E-3</v>
      </c>
      <c r="AN496" s="183">
        <v>5.8815775684160198E-3</v>
      </c>
      <c r="AO496" s="183">
        <v>6.1637486559732915E-3</v>
      </c>
      <c r="AP496" s="165">
        <v>5.3484255064989144E-3</v>
      </c>
      <c r="AR496" s="210">
        <v>90.903610440808563</v>
      </c>
      <c r="AS496" s="211">
        <v>91.583178899012367</v>
      </c>
      <c r="AT496" s="211">
        <v>90.792143002591274</v>
      </c>
      <c r="AU496" s="211">
        <v>89.500724740832268</v>
      </c>
      <c r="AV496" s="211"/>
      <c r="AW496" s="212"/>
      <c r="AX496" s="210">
        <v>91.678021938506348</v>
      </c>
      <c r="AY496" s="211">
        <v>91.136280857268744</v>
      </c>
      <c r="AZ496" s="213">
        <v>95.191271806667984</v>
      </c>
    </row>
    <row r="497" spans="12:52" x14ac:dyDescent="0.25">
      <c r="L497" s="189">
        <v>410</v>
      </c>
      <c r="M497" s="196">
        <f t="shared" si="86"/>
        <v>0</v>
      </c>
      <c r="N497" s="197">
        <f t="shared" si="86"/>
        <v>0</v>
      </c>
      <c r="O497" s="152">
        <f ca="1"/>
        <v>90.395632408845429</v>
      </c>
      <c r="Q497" s="198">
        <v>0</v>
      </c>
      <c r="R497" s="200">
        <v>0</v>
      </c>
      <c r="S497" s="200">
        <v>0</v>
      </c>
      <c r="T497" s="200">
        <v>0</v>
      </c>
      <c r="U497" s="200">
        <f t="array" ref="U497">IF(U$77&gt;" ",(U$628:U$1078),"")</f>
        <v>0</v>
      </c>
      <c r="V497" s="200">
        <f t="array" ref="V497">IF(V$77&gt;" ",(V$628:V$1078),"")</f>
        <v>0</v>
      </c>
      <c r="W497" s="200">
        <f t="array" ref="W497">IF(W$77&gt;" ",(W$628:W$1078),"")</f>
        <v>0</v>
      </c>
      <c r="X497" s="200">
        <f t="array" ref="X497">IF(X$77&gt;" ",(X$628:X$1078),"")</f>
        <v>0</v>
      </c>
      <c r="Y497" s="204">
        <v>0</v>
      </c>
      <c r="Z497" s="198" t="str">
        <f t="shared" si="87"/>
        <v/>
      </c>
      <c r="AA497" s="198" t="str">
        <f t="shared" si="88"/>
        <v/>
      </c>
      <c r="AB497" s="198" t="str">
        <f t="shared" si="89"/>
        <v/>
      </c>
      <c r="AC497" s="198" t="str">
        <f t="shared" si="78"/>
        <v/>
      </c>
      <c r="AD497" s="198" t="str">
        <f t="shared" si="78"/>
        <v/>
      </c>
      <c r="AE497" s="198" t="str">
        <f t="shared" si="78"/>
        <v/>
      </c>
      <c r="AF497" s="198" t="str">
        <f t="shared" si="78"/>
        <v/>
      </c>
      <c r="AG497" s="198" t="str">
        <f t="shared" si="84"/>
        <v/>
      </c>
      <c r="AH497" s="198" t="str">
        <f t="shared" si="84"/>
        <v/>
      </c>
      <c r="AI497" s="200" t="str">
        <f t="shared" si="82"/>
        <v/>
      </c>
      <c r="AJ497" s="208" t="str">
        <f t="shared" si="83"/>
        <v/>
      </c>
      <c r="AK497" s="4"/>
      <c r="AL497" s="162">
        <v>410</v>
      </c>
      <c r="AM497" s="209">
        <v>4.3357342056859621E-3</v>
      </c>
      <c r="AN497" s="183">
        <v>5.8217988297874241E-3</v>
      </c>
      <c r="AO497" s="183">
        <v>5.2722226022091662E-3</v>
      </c>
      <c r="AP497" s="165">
        <v>4.5280489251831365E-3</v>
      </c>
      <c r="AR497" s="210">
        <v>90.499013936617544</v>
      </c>
      <c r="AS497" s="211">
        <v>91.260691659162504</v>
      </c>
      <c r="AT497" s="211">
        <v>90.395632408845429</v>
      </c>
      <c r="AU497" s="211">
        <v>89.044921101096193</v>
      </c>
      <c r="AV497" s="211"/>
      <c r="AW497" s="212"/>
      <c r="AX497" s="210">
        <v>91.455872774278717</v>
      </c>
      <c r="AY497" s="211">
        <v>90.897065795406562</v>
      </c>
      <c r="AZ497" s="213">
        <v>95.188038966151979</v>
      </c>
    </row>
    <row r="498" spans="12:52" x14ac:dyDescent="0.25">
      <c r="L498" s="189">
        <v>405</v>
      </c>
      <c r="M498" s="196">
        <f t="shared" si="86"/>
        <v>0</v>
      </c>
      <c r="N498" s="197">
        <f t="shared" si="86"/>
        <v>0</v>
      </c>
      <c r="O498" s="152">
        <f ca="1"/>
        <v>89.908082154691215</v>
      </c>
      <c r="Q498" s="198">
        <v>0</v>
      </c>
      <c r="R498" s="200">
        <v>0</v>
      </c>
      <c r="S498" s="200">
        <v>0</v>
      </c>
      <c r="T498" s="200">
        <v>0</v>
      </c>
      <c r="U498" s="200">
        <f t="array" ref="U498">IF(U$77&gt;" ",(U$628:U$1078),"")</f>
        <v>0</v>
      </c>
      <c r="V498" s="200">
        <f t="array" ref="V498">IF(V$77&gt;" ",(V$628:V$1078),"")</f>
        <v>0</v>
      </c>
      <c r="W498" s="200">
        <f t="array" ref="W498">IF(W$77&gt;" ",(W$628:W$1078),"")</f>
        <v>0</v>
      </c>
      <c r="X498" s="200">
        <f t="array" ref="X498">IF(X$77&gt;" ",(X$628:X$1078),"")</f>
        <v>0</v>
      </c>
      <c r="Y498" s="204">
        <v>0</v>
      </c>
      <c r="Z498" s="198" t="str">
        <f t="shared" si="87"/>
        <v/>
      </c>
      <c r="AA498" s="198" t="str">
        <f t="shared" si="88"/>
        <v/>
      </c>
      <c r="AB498" s="198" t="str">
        <f t="shared" si="89"/>
        <v/>
      </c>
      <c r="AC498" s="198" t="str">
        <f t="shared" si="78"/>
        <v/>
      </c>
      <c r="AD498" s="198" t="str">
        <f t="shared" si="78"/>
        <v/>
      </c>
      <c r="AE498" s="198" t="str">
        <f t="shared" si="78"/>
        <v/>
      </c>
      <c r="AF498" s="198" t="str">
        <f t="shared" si="78"/>
        <v/>
      </c>
      <c r="AG498" s="198" t="str">
        <f t="shared" si="84"/>
        <v/>
      </c>
      <c r="AH498" s="198" t="str">
        <f t="shared" si="84"/>
        <v/>
      </c>
      <c r="AI498" s="200" t="str">
        <f t="shared" si="82"/>
        <v/>
      </c>
      <c r="AJ498" s="208" t="str">
        <f t="shared" si="83"/>
        <v/>
      </c>
      <c r="AK498" s="4"/>
      <c r="AL498" s="162">
        <v>405</v>
      </c>
      <c r="AM498" s="209">
        <v>4.0044267694294474E-3</v>
      </c>
      <c r="AN498" s="183">
        <v>5.516151890021131E-3</v>
      </c>
      <c r="AO498" s="183">
        <v>5.7881310800219094E-3</v>
      </c>
      <c r="AP498" s="165">
        <v>4.9163832657077404E-3</v>
      </c>
      <c r="AR498" s="210">
        <v>90.015138063911962</v>
      </c>
      <c r="AS498" s="211">
        <v>90.831593706891724</v>
      </c>
      <c r="AT498" s="211">
        <v>89.908082154691215</v>
      </c>
      <c r="AU498" s="211">
        <v>88.479646149634348</v>
      </c>
      <c r="AV498" s="211"/>
      <c r="AW498" s="212"/>
      <c r="AX498" s="210">
        <v>91.09450104455243</v>
      </c>
      <c r="AY498" s="211">
        <v>90.545405918905331</v>
      </c>
      <c r="AZ498" s="213">
        <v>95.367497772974616</v>
      </c>
    </row>
    <row r="499" spans="12:52" x14ac:dyDescent="0.25">
      <c r="L499" s="189">
        <v>400</v>
      </c>
      <c r="M499" s="196">
        <f t="shared" si="86"/>
        <v>0</v>
      </c>
      <c r="N499" s="197">
        <f t="shared" si="86"/>
        <v>0</v>
      </c>
      <c r="O499" s="152">
        <f ca="1"/>
        <v>89.405138586369461</v>
      </c>
      <c r="Q499" s="198">
        <v>0</v>
      </c>
      <c r="R499" s="200">
        <v>0</v>
      </c>
      <c r="S499" s="200">
        <v>0</v>
      </c>
      <c r="T499" s="200">
        <v>0</v>
      </c>
      <c r="U499" s="200">
        <f t="array" ref="U499">IF(U$77&gt;" ",(U$628:U$1078),"")</f>
        <v>0</v>
      </c>
      <c r="V499" s="200">
        <f t="array" ref="V499">IF(V$77&gt;" ",(V$628:V$1078),"")</f>
        <v>0</v>
      </c>
      <c r="W499" s="200">
        <f t="array" ref="W499">IF(W$77&gt;" ",(W$628:W$1078),"")</f>
        <v>0</v>
      </c>
      <c r="X499" s="200">
        <f t="array" ref="X499">IF(X$77&gt;" ",(X$628:X$1078),"")</f>
        <v>0</v>
      </c>
      <c r="Y499" s="204">
        <v>0</v>
      </c>
      <c r="Z499" s="198" t="str">
        <f t="shared" si="87"/>
        <v/>
      </c>
      <c r="AA499" s="198" t="str">
        <f t="shared" si="88"/>
        <v/>
      </c>
      <c r="AB499" s="198" t="str">
        <f t="shared" si="89"/>
        <v/>
      </c>
      <c r="AC499" s="198" t="str">
        <f t="shared" si="78"/>
        <v/>
      </c>
      <c r="AD499" s="198" t="str">
        <f t="shared" si="78"/>
        <v/>
      </c>
      <c r="AE499" s="198" t="str">
        <f t="shared" si="78"/>
        <v/>
      </c>
      <c r="AF499" s="198" t="str">
        <f t="shared" si="78"/>
        <v/>
      </c>
      <c r="AG499" s="198" t="str">
        <f t="shared" si="84"/>
        <v/>
      </c>
      <c r="AH499" s="198" t="str">
        <f t="shared" si="84"/>
        <v/>
      </c>
      <c r="AI499" s="200" t="str">
        <f t="shared" si="82"/>
        <v/>
      </c>
      <c r="AJ499" s="208" t="str">
        <f t="shared" si="83"/>
        <v/>
      </c>
      <c r="AK499" s="4"/>
      <c r="AL499" s="162">
        <v>400</v>
      </c>
      <c r="AM499" s="209">
        <v>3.6731193331729322E-3</v>
      </c>
      <c r="AN499" s="183">
        <v>5.2105049502548378E-3</v>
      </c>
      <c r="AO499" s="183">
        <v>5.6020822137541563E-3</v>
      </c>
      <c r="AP499" s="165">
        <v>4.7003621453121543E-3</v>
      </c>
      <c r="AR499" s="210">
        <v>89.438160314018361</v>
      </c>
      <c r="AS499" s="211">
        <v>90.344406560688924</v>
      </c>
      <c r="AT499" s="211">
        <v>89.405138586369461</v>
      </c>
      <c r="AU499" s="211">
        <v>87.903899205051673</v>
      </c>
      <c r="AV499" s="211"/>
      <c r="AW499" s="212"/>
      <c r="AX499" s="210">
        <v>90.677428276060255</v>
      </c>
      <c r="AY499" s="211">
        <v>90.167492176435815</v>
      </c>
      <c r="AZ499" s="213">
        <v>94.706508012969934</v>
      </c>
    </row>
    <row r="500" spans="12:52" x14ac:dyDescent="0.25">
      <c r="L500" s="189">
        <v>395</v>
      </c>
      <c r="M500" s="196">
        <f t="shared" si="86"/>
        <v>0</v>
      </c>
      <c r="N500" s="197">
        <f t="shared" si="86"/>
        <v>0</v>
      </c>
      <c r="O500" s="152">
        <f ca="1"/>
        <v>88.739028700226939</v>
      </c>
      <c r="Q500" s="198">
        <v>0</v>
      </c>
      <c r="R500" s="200">
        <v>0</v>
      </c>
      <c r="S500" s="200">
        <v>0</v>
      </c>
      <c r="T500" s="200">
        <v>0</v>
      </c>
      <c r="U500" s="200">
        <f t="array" ref="U500">IF(U$77&gt;" ",(U$628:U$1078),"")</f>
        <v>0</v>
      </c>
      <c r="V500" s="200">
        <f t="array" ref="V500">IF(V$77&gt;" ",(V$628:V$1078),"")</f>
        <v>0</v>
      </c>
      <c r="W500" s="200">
        <f t="array" ref="W500">IF(W$77&gt;" ",(W$628:W$1078),"")</f>
        <v>0</v>
      </c>
      <c r="X500" s="200">
        <f t="array" ref="X500">IF(X$77&gt;" ",(X$628:X$1078),"")</f>
        <v>0</v>
      </c>
      <c r="Y500" s="204">
        <v>0</v>
      </c>
      <c r="Z500" s="198" t="str">
        <f t="shared" si="87"/>
        <v/>
      </c>
      <c r="AA500" s="198" t="str">
        <f t="shared" si="88"/>
        <v/>
      </c>
      <c r="AB500" s="198" t="str">
        <f t="shared" si="89"/>
        <v/>
      </c>
      <c r="AC500" s="198" t="str">
        <f t="shared" si="78"/>
        <v/>
      </c>
      <c r="AD500" s="198" t="str">
        <f t="shared" si="78"/>
        <v/>
      </c>
      <c r="AE500" s="198" t="str">
        <f t="shared" si="78"/>
        <v/>
      </c>
      <c r="AF500" s="198" t="str">
        <f t="shared" si="78"/>
        <v/>
      </c>
      <c r="AG500" s="198" t="str">
        <f t="shared" si="84"/>
        <v/>
      </c>
      <c r="AH500" s="198" t="str">
        <f t="shared" si="84"/>
        <v/>
      </c>
      <c r="AI500" s="200" t="str">
        <f t="shared" si="82"/>
        <v/>
      </c>
      <c r="AJ500" s="208" t="str">
        <f t="shared" si="83"/>
        <v/>
      </c>
      <c r="AK500" s="4"/>
      <c r="AL500" s="162">
        <v>395</v>
      </c>
      <c r="AM500" s="209">
        <v>3.0973776966872831E-3</v>
      </c>
      <c r="AN500" s="183">
        <v>4.296065333409039E-3</v>
      </c>
      <c r="AO500" s="183">
        <v>4.0614970341024204E-3</v>
      </c>
      <c r="AP500" s="165">
        <v>3.3632137956718052E-3</v>
      </c>
      <c r="AR500" s="210">
        <v>88.749105219078345</v>
      </c>
      <c r="AS500" s="211">
        <v>89.724422006411487</v>
      </c>
      <c r="AT500" s="211">
        <v>88.739028700226939</v>
      </c>
      <c r="AU500" s="211">
        <v>87.164595189066461</v>
      </c>
      <c r="AV500" s="211"/>
      <c r="AW500" s="212"/>
      <c r="AX500" s="210">
        <v>90.059230877729661</v>
      </c>
      <c r="AY500" s="211">
        <v>89.606497890376701</v>
      </c>
      <c r="AZ500" s="213">
        <v>94.945290122902421</v>
      </c>
    </row>
    <row r="501" spans="12:52" x14ac:dyDescent="0.25">
      <c r="L501" s="189">
        <v>390</v>
      </c>
      <c r="M501" s="196">
        <f t="shared" si="86"/>
        <v>0</v>
      </c>
      <c r="N501" s="197">
        <f t="shared" si="86"/>
        <v>0</v>
      </c>
      <c r="O501" s="152">
        <f ca="1"/>
        <v>87.893436903116779</v>
      </c>
      <c r="Q501" s="198">
        <v>0</v>
      </c>
      <c r="R501" s="200">
        <v>0</v>
      </c>
      <c r="S501" s="200">
        <v>0</v>
      </c>
      <c r="T501" s="200">
        <v>0</v>
      </c>
      <c r="U501" s="200">
        <f t="array" ref="U501">IF(U$77&gt;" ",(U$628:U$1078),"")</f>
        <v>0</v>
      </c>
      <c r="V501" s="200">
        <f t="array" ref="V501">IF(V$77&gt;" ",(V$628:V$1078),"")</f>
        <v>0</v>
      </c>
      <c r="W501" s="200">
        <f t="array" ref="W501">IF(W$77&gt;" ",(W$628:W$1078),"")</f>
        <v>0</v>
      </c>
      <c r="X501" s="200">
        <f t="array" ref="X501">IF(X$77&gt;" ",(X$628:X$1078),"")</f>
        <v>0</v>
      </c>
      <c r="Y501" s="204">
        <v>0</v>
      </c>
      <c r="Z501" s="198" t="str">
        <f t="shared" si="87"/>
        <v/>
      </c>
      <c r="AA501" s="198" t="str">
        <f t="shared" si="88"/>
        <v/>
      </c>
      <c r="AB501" s="198" t="str">
        <f t="shared" si="89"/>
        <v/>
      </c>
      <c r="AC501" s="198" t="str">
        <f t="shared" si="78"/>
        <v/>
      </c>
      <c r="AD501" s="198" t="str">
        <f t="shared" si="78"/>
        <v/>
      </c>
      <c r="AE501" s="198" t="str">
        <f t="shared" si="78"/>
        <v/>
      </c>
      <c r="AF501" s="198" t="str">
        <f t="shared" si="78"/>
        <v/>
      </c>
      <c r="AG501" s="198" t="str">
        <f t="shared" si="84"/>
        <v/>
      </c>
      <c r="AH501" s="198" t="str">
        <f t="shared" si="84"/>
        <v/>
      </c>
      <c r="AI501" s="200" t="str">
        <f t="shared" si="82"/>
        <v/>
      </c>
      <c r="AJ501" s="208" t="str">
        <f t="shared" si="83"/>
        <v/>
      </c>
      <c r="AK501" s="4"/>
      <c r="AL501" s="162">
        <v>390</v>
      </c>
      <c r="AM501" s="209">
        <v>2.5216360602016335E-3</v>
      </c>
      <c r="AN501" s="183">
        <v>3.5527079643538646E-3</v>
      </c>
      <c r="AO501" s="183">
        <v>4.0075428628847717E-3</v>
      </c>
      <c r="AP501" s="165">
        <v>3.2714887655349231E-3</v>
      </c>
      <c r="AR501" s="210">
        <v>87.881389730583876</v>
      </c>
      <c r="AS501" s="211">
        <v>88.920901493205534</v>
      </c>
      <c r="AT501" s="211">
        <v>87.893436903116779</v>
      </c>
      <c r="AU501" s="211">
        <v>86.259798247699948</v>
      </c>
      <c r="AV501" s="211"/>
      <c r="AW501" s="212"/>
      <c r="AX501" s="210">
        <v>89.479163512854484</v>
      </c>
      <c r="AY501" s="211">
        <v>89.077609563756255</v>
      </c>
      <c r="AZ501" s="213">
        <v>94.954257467824732</v>
      </c>
    </row>
    <row r="502" spans="12:52" x14ac:dyDescent="0.25">
      <c r="L502" s="189">
        <v>385</v>
      </c>
      <c r="M502" s="196">
        <f t="shared" si="86"/>
        <v>0</v>
      </c>
      <c r="N502" s="197">
        <f t="shared" si="86"/>
        <v>0</v>
      </c>
      <c r="O502" s="152">
        <f ca="1"/>
        <v>86.904900409121851</v>
      </c>
      <c r="Q502" s="198">
        <v>0</v>
      </c>
      <c r="R502" s="200">
        <v>0</v>
      </c>
      <c r="S502" s="200">
        <v>0</v>
      </c>
      <c r="T502" s="200">
        <v>0</v>
      </c>
      <c r="U502" s="200">
        <f t="array" ref="U502">IF(U$77&gt;" ",(U$628:U$1078),"")</f>
        <v>0</v>
      </c>
      <c r="V502" s="200">
        <f t="array" ref="V502">IF(V$77&gt;" ",(V$628:V$1078),"")</f>
        <v>0</v>
      </c>
      <c r="W502" s="200">
        <f t="array" ref="W502">IF(W$77&gt;" ",(W$628:W$1078),"")</f>
        <v>0</v>
      </c>
      <c r="X502" s="200">
        <f t="array" ref="X502">IF(X$77&gt;" ",(X$628:X$1078),"")</f>
        <v>0</v>
      </c>
      <c r="Y502" s="204">
        <v>0</v>
      </c>
      <c r="Z502" s="198" t="str">
        <f t="shared" si="87"/>
        <v/>
      </c>
      <c r="AA502" s="198" t="str">
        <f t="shared" si="88"/>
        <v/>
      </c>
      <c r="AB502" s="198" t="str">
        <f t="shared" si="89"/>
        <v/>
      </c>
      <c r="AC502" s="198" t="str">
        <f t="shared" si="78"/>
        <v/>
      </c>
      <c r="AD502" s="198" t="str">
        <f t="shared" si="78"/>
        <v/>
      </c>
      <c r="AE502" s="198" t="str">
        <f t="shared" si="78"/>
        <v/>
      </c>
      <c r="AF502" s="198" t="str">
        <f t="shared" si="78"/>
        <v/>
      </c>
      <c r="AG502" s="198" t="str">
        <f t="shared" si="84"/>
        <v/>
      </c>
      <c r="AH502" s="198" t="str">
        <f t="shared" si="84"/>
        <v/>
      </c>
      <c r="AI502" s="200" t="str">
        <f t="shared" si="82"/>
        <v/>
      </c>
      <c r="AJ502" s="208" t="str">
        <f t="shared" si="83"/>
        <v/>
      </c>
      <c r="AK502" s="4"/>
      <c r="AL502" s="162">
        <v>385</v>
      </c>
      <c r="AM502" s="209">
        <v>2.457884978249981E-3</v>
      </c>
      <c r="AN502" s="183">
        <v>3.5306973827667668E-3</v>
      </c>
      <c r="AO502" s="183">
        <v>3.3868436182336518E-3</v>
      </c>
      <c r="AP502" s="165">
        <v>2.7219780450260457E-3</v>
      </c>
      <c r="AR502" s="210">
        <v>86.881246119249923</v>
      </c>
      <c r="AS502" s="211">
        <v>87.993958323529355</v>
      </c>
      <c r="AT502" s="211">
        <v>86.904900409121851</v>
      </c>
      <c r="AU502" s="211">
        <v>85.252552203538528</v>
      </c>
      <c r="AV502" s="211"/>
      <c r="AW502" s="212"/>
      <c r="AX502" s="210">
        <v>88.53747855212653</v>
      </c>
      <c r="AY502" s="211">
        <v>88.249151638817807</v>
      </c>
      <c r="AZ502" s="213">
        <v>94.808441510776589</v>
      </c>
    </row>
    <row r="503" spans="12:52" x14ac:dyDescent="0.25">
      <c r="L503" s="189">
        <v>380</v>
      </c>
      <c r="M503" s="196">
        <f t="shared" si="86"/>
        <v>0</v>
      </c>
      <c r="N503" s="197">
        <f t="shared" si="86"/>
        <v>0</v>
      </c>
      <c r="O503" s="152">
        <f ca="1"/>
        <v>85.974529658473443</v>
      </c>
      <c r="Q503" s="198">
        <v>0</v>
      </c>
      <c r="R503" s="200">
        <v>0</v>
      </c>
      <c r="S503" s="200">
        <v>0</v>
      </c>
      <c r="T503" s="200">
        <v>0</v>
      </c>
      <c r="U503" s="200">
        <f t="array" ref="U503">IF(U$77&gt;" ",(U$628:U$1078),"")</f>
        <v>0</v>
      </c>
      <c r="V503" s="200">
        <f t="array" ref="V503">IF(V$77&gt;" ",(V$628:V$1078),"")</f>
        <v>0</v>
      </c>
      <c r="W503" s="200">
        <f t="array" ref="W503">IF(W$77&gt;" ",(W$628:W$1078),"")</f>
        <v>0</v>
      </c>
      <c r="X503" s="200">
        <f t="array" ref="X503">IF(X$77&gt;" ",(X$628:X$1078),"")</f>
        <v>0</v>
      </c>
      <c r="Y503" s="204">
        <v>0</v>
      </c>
      <c r="Z503" s="198" t="str">
        <f t="shared" si="87"/>
        <v/>
      </c>
      <c r="AA503" s="198" t="str">
        <f t="shared" si="88"/>
        <v/>
      </c>
      <c r="AB503" s="198" t="str">
        <f t="shared" si="89"/>
        <v/>
      </c>
      <c r="AC503" s="198" t="str">
        <f t="shared" si="78"/>
        <v/>
      </c>
      <c r="AD503" s="198" t="str">
        <f t="shared" si="78"/>
        <v/>
      </c>
      <c r="AE503" s="198" t="str">
        <f t="shared" si="78"/>
        <v/>
      </c>
      <c r="AF503" s="198" t="str">
        <f t="shared" si="78"/>
        <v/>
      </c>
      <c r="AG503" s="198" t="str">
        <f t="shared" si="84"/>
        <v/>
      </c>
      <c r="AH503" s="198" t="str">
        <f t="shared" si="84"/>
        <v/>
      </c>
      <c r="AI503" s="200" t="str">
        <f t="shared" si="82"/>
        <v/>
      </c>
      <c r="AJ503" s="208" t="str">
        <f t="shared" si="83"/>
        <v/>
      </c>
      <c r="AK503" s="4"/>
      <c r="AL503" s="162">
        <v>380</v>
      </c>
      <c r="AM503" s="209">
        <v>2.3941338962983282E-3</v>
      </c>
      <c r="AN503" s="183">
        <v>3.6017315324342195E-3</v>
      </c>
      <c r="AO503" s="183">
        <v>3.523715243633875E-3</v>
      </c>
      <c r="AP503" s="165">
        <v>2.7842660002074674E-3</v>
      </c>
      <c r="AR503" s="210">
        <v>85.989926248714696</v>
      </c>
      <c r="AS503" s="211">
        <v>87.085927534002437</v>
      </c>
      <c r="AT503" s="211">
        <v>85.974529658473443</v>
      </c>
      <c r="AU503" s="211">
        <v>84.318897103925437</v>
      </c>
      <c r="AV503" s="211"/>
      <c r="AW503" s="212"/>
      <c r="AX503" s="210">
        <v>87.773629766453269</v>
      </c>
      <c r="AY503" s="211">
        <v>87.596751041875493</v>
      </c>
      <c r="AZ503" s="213">
        <v>94.849525542717984</v>
      </c>
    </row>
    <row r="504" spans="12:52" x14ac:dyDescent="0.25">
      <c r="L504" s="189">
        <v>375</v>
      </c>
      <c r="M504" s="196">
        <f t="shared" si="86"/>
        <v>0</v>
      </c>
      <c r="N504" s="197">
        <f t="shared" si="86"/>
        <v>0</v>
      </c>
      <c r="O504" s="152">
        <f ca="1"/>
        <v>85.229744737492197</v>
      </c>
      <c r="Q504" s="198">
        <v>0</v>
      </c>
      <c r="R504" s="200">
        <v>0</v>
      </c>
      <c r="S504" s="200">
        <v>0</v>
      </c>
      <c r="T504" s="200">
        <v>0</v>
      </c>
      <c r="U504" s="200">
        <f t="array" ref="U504">IF(U$77&gt;" ",(U$628:U$1078),"")</f>
        <v>0</v>
      </c>
      <c r="V504" s="200">
        <f t="array" ref="V504">IF(V$77&gt;" ",(V$628:V$1078),"")</f>
        <v>0</v>
      </c>
      <c r="W504" s="200">
        <f t="array" ref="W504">IF(W$77&gt;" ",(W$628:W$1078),"")</f>
        <v>0</v>
      </c>
      <c r="X504" s="200">
        <f t="array" ref="X504">IF(X$77&gt;" ",(X$628:X$1078),"")</f>
        <v>0</v>
      </c>
      <c r="Y504" s="204">
        <v>0</v>
      </c>
      <c r="Z504" s="198" t="str">
        <f t="shared" si="87"/>
        <v/>
      </c>
      <c r="AA504" s="198" t="str">
        <f t="shared" si="88"/>
        <v/>
      </c>
      <c r="AB504" s="198" t="str">
        <f t="shared" si="89"/>
        <v/>
      </c>
      <c r="AC504" s="198" t="str">
        <f t="shared" si="78"/>
        <v/>
      </c>
      <c r="AD504" s="198" t="str">
        <f t="shared" si="78"/>
        <v/>
      </c>
      <c r="AE504" s="198" t="str">
        <f t="shared" si="78"/>
        <v/>
      </c>
      <c r="AF504" s="198" t="str">
        <f t="shared" si="78"/>
        <v/>
      </c>
      <c r="AG504" s="198" t="str">
        <f t="shared" si="84"/>
        <v/>
      </c>
      <c r="AH504" s="198" t="str">
        <f t="shared" si="84"/>
        <v/>
      </c>
      <c r="AI504" s="200" t="str">
        <f t="shared" si="82"/>
        <v/>
      </c>
      <c r="AJ504" s="208" t="str">
        <f t="shared" si="83"/>
        <v/>
      </c>
      <c r="AK504" s="4"/>
      <c r="AL504" s="162">
        <v>375</v>
      </c>
      <c r="AM504" s="209">
        <v>2.2672923653686157E-3</v>
      </c>
      <c r="AN504" s="183">
        <v>3.5106877631421326E-3</v>
      </c>
      <c r="AO504" s="183">
        <v>2.9632053213942415E-3</v>
      </c>
      <c r="AP504" s="165">
        <v>2.2993937237547834E-3</v>
      </c>
      <c r="AR504" s="210">
        <v>85.177091702970273</v>
      </c>
      <c r="AS504" s="211">
        <v>86.284979177062567</v>
      </c>
      <c r="AT504" s="211">
        <v>85.229744737492197</v>
      </c>
      <c r="AU504" s="211">
        <v>83.500436730392437</v>
      </c>
      <c r="AV504" s="211"/>
      <c r="AW504" s="212"/>
      <c r="AX504" s="210">
        <v>87.178326443626091</v>
      </c>
      <c r="AY504" s="211">
        <v>86.913773347528732</v>
      </c>
      <c r="AZ504" s="213">
        <v>94.681915107032779</v>
      </c>
    </row>
    <row r="505" spans="12:52" x14ac:dyDescent="0.25">
      <c r="L505" s="189">
        <v>370</v>
      </c>
      <c r="M505" s="196">
        <f t="shared" si="86"/>
        <v>0</v>
      </c>
      <c r="N505" s="197">
        <f t="shared" si="86"/>
        <v>0</v>
      </c>
      <c r="O505" s="152">
        <f ca="1"/>
        <v>84.260793206287985</v>
      </c>
      <c r="Q505" s="198">
        <v>0</v>
      </c>
      <c r="R505" s="200">
        <v>0</v>
      </c>
      <c r="S505" s="200">
        <v>0</v>
      </c>
      <c r="T505" s="200">
        <v>0</v>
      </c>
      <c r="U505" s="200">
        <f t="array" ref="U505">IF(U$77&gt;" ",(U$628:U$1078),"")</f>
        <v>0</v>
      </c>
      <c r="V505" s="200">
        <f t="array" ref="V505">IF(V$77&gt;" ",(V$628:V$1078),"")</f>
        <v>0</v>
      </c>
      <c r="W505" s="200">
        <f t="array" ref="W505">IF(W$77&gt;" ",(W$628:W$1078),"")</f>
        <v>0</v>
      </c>
      <c r="X505" s="200">
        <f t="array" ref="X505">IF(X$77&gt;" ",(X$628:X$1078),"")</f>
        <v>0</v>
      </c>
      <c r="Y505" s="204">
        <v>0</v>
      </c>
      <c r="Z505" s="198" t="str">
        <f t="shared" si="87"/>
        <v/>
      </c>
      <c r="AA505" s="198" t="str">
        <f t="shared" si="88"/>
        <v/>
      </c>
      <c r="AB505" s="198" t="str">
        <f t="shared" si="89"/>
        <v/>
      </c>
      <c r="AC505" s="198" t="str">
        <f t="shared" si="78"/>
        <v/>
      </c>
      <c r="AD505" s="198" t="str">
        <f t="shared" si="78"/>
        <v/>
      </c>
      <c r="AE505" s="198" t="str">
        <f t="shared" si="78"/>
        <v/>
      </c>
      <c r="AF505" s="198" t="str">
        <f t="shared" si="78"/>
        <v/>
      </c>
      <c r="AG505" s="198" t="str">
        <f t="shared" si="84"/>
        <v/>
      </c>
      <c r="AH505" s="198" t="str">
        <f t="shared" si="84"/>
        <v/>
      </c>
      <c r="AI505" s="200" t="str">
        <f t="shared" si="82"/>
        <v/>
      </c>
      <c r="AJ505" s="208" t="str">
        <f t="shared" si="83"/>
        <v/>
      </c>
      <c r="AK505" s="4"/>
      <c r="AL505" s="162">
        <v>370</v>
      </c>
      <c r="AM505" s="209">
        <v>2.1404508344389029E-3</v>
      </c>
      <c r="AN505" s="183">
        <v>3.3606156159573732E-3</v>
      </c>
      <c r="AO505" s="183">
        <v>3.7967545257511452E-3</v>
      </c>
      <c r="AP505" s="165">
        <v>2.891437100092843E-3</v>
      </c>
      <c r="AR505" s="210">
        <v>84.204244075410372</v>
      </c>
      <c r="AS505" s="211">
        <v>85.295380471950395</v>
      </c>
      <c r="AT505" s="211">
        <v>84.260793206287985</v>
      </c>
      <c r="AU505" s="211">
        <v>82.589268311091899</v>
      </c>
      <c r="AV505" s="211"/>
      <c r="AW505" s="212"/>
      <c r="AX505" s="210">
        <v>86.029068117744671</v>
      </c>
      <c r="AY505" s="211">
        <v>85.687294325232997</v>
      </c>
      <c r="AZ505" s="213">
        <v>94.651532685096285</v>
      </c>
    </row>
    <row r="506" spans="12:52" x14ac:dyDescent="0.25">
      <c r="L506" s="189">
        <v>365</v>
      </c>
      <c r="M506" s="196">
        <f t="shared" si="86"/>
        <v>0</v>
      </c>
      <c r="N506" s="197">
        <f t="shared" si="86"/>
        <v>0</v>
      </c>
      <c r="O506" s="152">
        <f ca="1"/>
        <v>82.904851150477555</v>
      </c>
      <c r="Q506" s="198">
        <v>0</v>
      </c>
      <c r="R506" s="200">
        <v>0</v>
      </c>
      <c r="S506" s="200">
        <v>0</v>
      </c>
      <c r="T506" s="200">
        <v>0</v>
      </c>
      <c r="U506" s="200">
        <f t="array" ref="U506">IF(U$77&gt;" ",(U$628:U$1078),"")</f>
        <v>0</v>
      </c>
      <c r="V506" s="200">
        <f t="array" ref="V506">IF(V$77&gt;" ",(V$628:V$1078),"")</f>
        <v>0</v>
      </c>
      <c r="W506" s="200">
        <f t="array" ref="W506">IF(W$77&gt;" ",(W$628:W$1078),"")</f>
        <v>0</v>
      </c>
      <c r="X506" s="200">
        <f t="array" ref="X506">IF(X$77&gt;" ",(X$628:X$1078),"")</f>
        <v>0</v>
      </c>
      <c r="Y506" s="204">
        <v>0</v>
      </c>
      <c r="Z506" s="198" t="str">
        <f t="shared" si="87"/>
        <v/>
      </c>
      <c r="AA506" s="198" t="str">
        <f t="shared" si="88"/>
        <v/>
      </c>
      <c r="AB506" s="198" t="str">
        <f t="shared" si="89"/>
        <v/>
      </c>
      <c r="AC506" s="198" t="str">
        <f t="shared" si="78"/>
        <v/>
      </c>
      <c r="AD506" s="198" t="str">
        <f t="shared" si="78"/>
        <v/>
      </c>
      <c r="AE506" s="198" t="str">
        <f t="shared" si="78"/>
        <v/>
      </c>
      <c r="AF506" s="198" t="str">
        <f t="shared" si="78"/>
        <v/>
      </c>
      <c r="AG506" s="198" t="str">
        <f t="shared" si="84"/>
        <v/>
      </c>
      <c r="AH506" s="198" t="str">
        <f t="shared" si="84"/>
        <v/>
      </c>
      <c r="AI506" s="200" t="str">
        <f t="shared" si="82"/>
        <v/>
      </c>
      <c r="AJ506" s="208" t="str">
        <f t="shared" si="83"/>
        <v/>
      </c>
      <c r="AK506" s="4"/>
      <c r="AL506" s="162">
        <v>365</v>
      </c>
      <c r="AM506" s="209">
        <v>1.8646365679641369E-3</v>
      </c>
      <c r="AN506" s="183">
        <v>3.0214525633198174E-3</v>
      </c>
      <c r="AO506" s="183">
        <v>3.1356273652948154E-3</v>
      </c>
      <c r="AP506" s="165">
        <v>2.3398557108133353E-3</v>
      </c>
      <c r="AR506" s="210">
        <v>82.93632110735372</v>
      </c>
      <c r="AS506" s="211">
        <v>83.959470421646685</v>
      </c>
      <c r="AT506" s="211">
        <v>82.904851150477555</v>
      </c>
      <c r="AU506" s="211">
        <v>81.269765969859975</v>
      </c>
      <c r="AV506" s="211"/>
      <c r="AW506" s="212"/>
      <c r="AX506" s="210">
        <v>84.522581571191651</v>
      </c>
      <c r="AY506" s="211">
        <v>84.199931463543862</v>
      </c>
      <c r="AZ506" s="213">
        <v>94.334284146773456</v>
      </c>
    </row>
    <row r="507" spans="12:52" x14ac:dyDescent="0.25">
      <c r="L507" s="189">
        <v>360</v>
      </c>
      <c r="M507" s="196">
        <f t="shared" si="86"/>
        <v>0</v>
      </c>
      <c r="N507" s="197">
        <f t="shared" si="86"/>
        <v>0</v>
      </c>
      <c r="O507" s="152">
        <f ca="1"/>
        <v>81.19106255670394</v>
      </c>
      <c r="Q507" s="198">
        <v>0</v>
      </c>
      <c r="R507" s="200">
        <v>0</v>
      </c>
      <c r="S507" s="200">
        <v>0</v>
      </c>
      <c r="T507" s="200">
        <v>0</v>
      </c>
      <c r="U507" s="200">
        <f t="array" ref="U507">IF(U$77&gt;" ",(U$628:U$1078),"")</f>
        <v>0</v>
      </c>
      <c r="V507" s="200">
        <f t="array" ref="V507">IF(V$77&gt;" ",(V$628:V$1078),"")</f>
        <v>0</v>
      </c>
      <c r="W507" s="200">
        <f t="array" ref="W507">IF(W$77&gt;" ",(W$628:W$1078),"")</f>
        <v>0</v>
      </c>
      <c r="X507" s="200">
        <f t="array" ref="X507">IF(X$77&gt;" ",(X$628:X$1078),"")</f>
        <v>0</v>
      </c>
      <c r="Y507" s="204">
        <v>0</v>
      </c>
      <c r="Z507" s="198" t="str">
        <f t="shared" si="87"/>
        <v/>
      </c>
      <c r="AA507" s="198" t="str">
        <f t="shared" si="88"/>
        <v/>
      </c>
      <c r="AB507" s="198" t="str">
        <f t="shared" si="89"/>
        <v/>
      </c>
      <c r="AC507" s="198" t="str">
        <f t="shared" si="78"/>
        <v/>
      </c>
      <c r="AD507" s="198" t="str">
        <f t="shared" si="78"/>
        <v/>
      </c>
      <c r="AE507" s="198" t="str">
        <f t="shared" si="78"/>
        <v/>
      </c>
      <c r="AF507" s="198" t="str">
        <f t="shared" si="78"/>
        <v/>
      </c>
      <c r="AG507" s="198" t="str">
        <f t="shared" si="84"/>
        <v/>
      </c>
      <c r="AH507" s="198" t="str">
        <f t="shared" si="84"/>
        <v/>
      </c>
      <c r="AI507" s="200" t="str">
        <f t="shared" si="82"/>
        <v/>
      </c>
      <c r="AJ507" s="208" t="str">
        <f t="shared" si="83"/>
        <v/>
      </c>
      <c r="AK507" s="4"/>
      <c r="AL507" s="162">
        <v>360</v>
      </c>
      <c r="AM507" s="209">
        <v>1.5888223014893707E-3</v>
      </c>
      <c r="AN507" s="183">
        <v>2.6842904726447256E-3</v>
      </c>
      <c r="AO507" s="183">
        <v>3.0078067658211322E-3</v>
      </c>
      <c r="AP507" s="165">
        <v>2.1960281772857035E-3</v>
      </c>
      <c r="AR507" s="210">
        <v>81.308615430940606</v>
      </c>
      <c r="AS507" s="211">
        <v>82.283349695327459</v>
      </c>
      <c r="AT507" s="211">
        <v>81.19106255670394</v>
      </c>
      <c r="AU507" s="211">
        <v>79.605899871070235</v>
      </c>
      <c r="AV507" s="211"/>
      <c r="AW507" s="212"/>
      <c r="AX507" s="210">
        <v>82.89494224884173</v>
      </c>
      <c r="AY507" s="211">
        <v>82.507743688145993</v>
      </c>
      <c r="AZ507" s="213">
        <v>94.468333598538834</v>
      </c>
    </row>
    <row r="508" spans="12:52" x14ac:dyDescent="0.25">
      <c r="L508" s="189">
        <v>355</v>
      </c>
      <c r="M508" s="196">
        <f t="shared" si="86"/>
        <v>0</v>
      </c>
      <c r="N508" s="197">
        <f t="shared" si="86"/>
        <v>0</v>
      </c>
      <c r="O508" s="152">
        <f ca="1"/>
        <v>79.093571297092595</v>
      </c>
      <c r="Q508" s="198">
        <v>0</v>
      </c>
      <c r="R508" s="200">
        <v>0</v>
      </c>
      <c r="S508" s="200">
        <v>0</v>
      </c>
      <c r="T508" s="200">
        <v>0</v>
      </c>
      <c r="U508" s="200">
        <f t="array" ref="U508">IF(U$77&gt;" ",(U$628:U$1078),"")</f>
        <v>0</v>
      </c>
      <c r="V508" s="200">
        <f t="array" ref="V508">IF(V$77&gt;" ",(V$628:V$1078),"")</f>
        <v>0</v>
      </c>
      <c r="W508" s="200">
        <f t="array" ref="W508">IF(W$77&gt;" ",(W$628:W$1078),"")</f>
        <v>0</v>
      </c>
      <c r="X508" s="200">
        <f t="array" ref="X508">IF(X$77&gt;" ",(X$628:X$1078),"")</f>
        <v>0</v>
      </c>
      <c r="Y508" s="204">
        <v>0</v>
      </c>
      <c r="Z508" s="198" t="str">
        <f t="shared" si="87"/>
        <v/>
      </c>
      <c r="AA508" s="198" t="str">
        <f t="shared" si="88"/>
        <v/>
      </c>
      <c r="AB508" s="198" t="str">
        <f t="shared" si="89"/>
        <v/>
      </c>
      <c r="AC508" s="198" t="str">
        <f t="shared" si="78"/>
        <v/>
      </c>
      <c r="AD508" s="198" t="str">
        <f t="shared" si="78"/>
        <v/>
      </c>
      <c r="AE508" s="198" t="str">
        <f t="shared" si="78"/>
        <v/>
      </c>
      <c r="AF508" s="198" t="str">
        <f t="shared" si="78"/>
        <v/>
      </c>
      <c r="AG508" s="198" t="str">
        <f t="shared" si="84"/>
        <v/>
      </c>
      <c r="AH508" s="198" t="str">
        <f t="shared" si="84"/>
        <v/>
      </c>
      <c r="AI508" s="200" t="str">
        <f t="shared" si="82"/>
        <v/>
      </c>
      <c r="AJ508" s="208" t="str">
        <f t="shared" si="83"/>
        <v/>
      </c>
      <c r="AK508" s="4"/>
      <c r="AL508" s="162">
        <v>355</v>
      </c>
      <c r="AM508" s="209">
        <v>1.4946821027524747E-3</v>
      </c>
      <c r="AN508" s="183">
        <v>2.5562289070470644E-3</v>
      </c>
      <c r="AO508" s="183">
        <v>3.0743318063811967E-3</v>
      </c>
      <c r="AP508" s="165">
        <v>2.1904317752029162E-3</v>
      </c>
      <c r="AR508" s="210">
        <v>79.222831984289172</v>
      </c>
      <c r="AS508" s="211">
        <v>80.246425542966008</v>
      </c>
      <c r="AT508" s="211">
        <v>79.093571297092595</v>
      </c>
      <c r="AU508" s="211">
        <v>77.575987278231977</v>
      </c>
      <c r="AV508" s="211"/>
      <c r="AW508" s="212"/>
      <c r="AX508" s="210">
        <v>80.047964457075423</v>
      </c>
      <c r="AY508" s="211">
        <v>79.7890093067344</v>
      </c>
      <c r="AZ508" s="213">
        <v>94.615627676045975</v>
      </c>
    </row>
    <row r="509" spans="12:52" x14ac:dyDescent="0.25">
      <c r="L509" s="189">
        <v>350</v>
      </c>
      <c r="M509" s="196">
        <f t="shared" si="86"/>
        <v>0</v>
      </c>
      <c r="N509" s="197">
        <f t="shared" si="86"/>
        <v>0</v>
      </c>
      <c r="O509" s="152">
        <f ca="1"/>
        <v>76.121024164597529</v>
      </c>
      <c r="Q509" s="198">
        <v>0</v>
      </c>
      <c r="R509" s="200">
        <v>0</v>
      </c>
      <c r="S509" s="200">
        <v>0</v>
      </c>
      <c r="T509" s="200">
        <v>0</v>
      </c>
      <c r="U509" s="200">
        <f t="array" ref="U509">IF(U$77&gt;" ",(U$628:U$1078),"")</f>
        <v>0</v>
      </c>
      <c r="V509" s="200">
        <f t="array" ref="V509">IF(V$77&gt;" ",(V$628:V$1078),"")</f>
        <v>0</v>
      </c>
      <c r="W509" s="200">
        <f t="array" ref="W509">IF(W$77&gt;" ",(W$628:W$1078),"")</f>
        <v>0</v>
      </c>
      <c r="X509" s="200">
        <f t="array" ref="X509">IF(X$77&gt;" ",(X$628:X$1078),"")</f>
        <v>0</v>
      </c>
      <c r="Y509" s="204">
        <v>0</v>
      </c>
      <c r="Z509" s="198" t="str">
        <f t="shared" si="87"/>
        <v/>
      </c>
      <c r="AA509" s="198" t="str">
        <f t="shared" si="88"/>
        <v/>
      </c>
      <c r="AB509" s="198" t="str">
        <f t="shared" si="89"/>
        <v/>
      </c>
      <c r="AC509" s="198" t="str">
        <f t="shared" si="78"/>
        <v/>
      </c>
      <c r="AD509" s="198" t="str">
        <f t="shared" si="78"/>
        <v/>
      </c>
      <c r="AE509" s="198" t="str">
        <f t="shared" si="78"/>
        <v/>
      </c>
      <c r="AF509" s="198" t="str">
        <f t="shared" si="78"/>
        <v/>
      </c>
      <c r="AG509" s="198" t="str">
        <f t="shared" si="84"/>
        <v/>
      </c>
      <c r="AH509" s="198" t="str">
        <f t="shared" si="84"/>
        <v/>
      </c>
      <c r="AI509" s="200" t="str">
        <f t="shared" si="82"/>
        <v/>
      </c>
      <c r="AJ509" s="208" t="str">
        <f t="shared" si="83"/>
        <v/>
      </c>
      <c r="AK509" s="4"/>
      <c r="AL509" s="162">
        <v>350</v>
      </c>
      <c r="AM509" s="209">
        <v>1.4005419040155785E-3</v>
      </c>
      <c r="AN509" s="183">
        <v>2.4461759991115744E-3</v>
      </c>
      <c r="AO509" s="183">
        <v>2.6548670381634676E-3</v>
      </c>
      <c r="AP509" s="165">
        <v>1.8419438175077563E-3</v>
      </c>
      <c r="AR509" s="210">
        <v>76.347494912991749</v>
      </c>
      <c r="AS509" s="211">
        <v>77.363267893820293</v>
      </c>
      <c r="AT509" s="211">
        <v>76.121024164597529</v>
      </c>
      <c r="AU509" s="211">
        <v>74.655953769188969</v>
      </c>
      <c r="AV509" s="211"/>
      <c r="AW509" s="212"/>
      <c r="AX509" s="210">
        <v>77.291361479721616</v>
      </c>
      <c r="AY509" s="211">
        <v>77.059835582248724</v>
      </c>
      <c r="AZ509" s="213">
        <v>94.516376348534067</v>
      </c>
    </row>
    <row r="510" spans="12:52" x14ac:dyDescent="0.25">
      <c r="L510" s="189">
        <v>345</v>
      </c>
      <c r="M510" s="196">
        <f t="shared" si="86"/>
        <v>0</v>
      </c>
      <c r="N510" s="197">
        <f t="shared" si="86"/>
        <v>0</v>
      </c>
      <c r="O510" s="152">
        <f ca="1"/>
        <v>72.043256576327323</v>
      </c>
      <c r="Q510" s="198">
        <v>0</v>
      </c>
      <c r="R510" s="200">
        <v>0</v>
      </c>
      <c r="S510" s="200">
        <v>0</v>
      </c>
      <c r="T510" s="200">
        <v>0</v>
      </c>
      <c r="U510" s="200">
        <f t="array" ref="U510">IF(U$77&gt;" ",(U$628:U$1078),"")</f>
        <v>0</v>
      </c>
      <c r="V510" s="200">
        <f t="array" ref="V510">IF(V$77&gt;" ",(V$628:V$1078),"")</f>
        <v>0</v>
      </c>
      <c r="W510" s="200">
        <f t="array" ref="W510">IF(W$77&gt;" ",(W$628:W$1078),"")</f>
        <v>0</v>
      </c>
      <c r="X510" s="200">
        <f t="array" ref="X510">IF(X$77&gt;" ",(X$628:X$1078),"")</f>
        <v>0</v>
      </c>
      <c r="Y510" s="204">
        <v>0</v>
      </c>
      <c r="Z510" s="198" t="str">
        <f t="shared" si="87"/>
        <v/>
      </c>
      <c r="AA510" s="198" t="str">
        <f t="shared" si="88"/>
        <v/>
      </c>
      <c r="AB510" s="198" t="str">
        <f t="shared" si="89"/>
        <v/>
      </c>
      <c r="AC510" s="198" t="str">
        <f t="shared" si="78"/>
        <v/>
      </c>
      <c r="AD510" s="198" t="str">
        <f t="shared" si="78"/>
        <v/>
      </c>
      <c r="AE510" s="198" t="str">
        <f t="shared" si="78"/>
        <v/>
      </c>
      <c r="AF510" s="198" t="str">
        <f t="shared" si="78"/>
        <v/>
      </c>
      <c r="AG510" s="198" t="str">
        <f t="shared" si="84"/>
        <v/>
      </c>
      <c r="AH510" s="198" t="str">
        <f t="shared" si="84"/>
        <v/>
      </c>
      <c r="AI510" s="200" t="str">
        <f t="shared" si="82"/>
        <v/>
      </c>
      <c r="AJ510" s="208" t="str">
        <f t="shared" si="83"/>
        <v/>
      </c>
      <c r="AK510" s="4"/>
      <c r="AL510" s="162">
        <v>345</v>
      </c>
      <c r="AM510" s="209">
        <v>1.2334017616967381E-3</v>
      </c>
      <c r="AN510" s="183">
        <v>2.2610870175837042E-3</v>
      </c>
      <c r="AO510" s="183">
        <v>2.3079110443127927E-3</v>
      </c>
      <c r="AP510" s="165">
        <v>1.558821836139551E-3</v>
      </c>
      <c r="AR510" s="210">
        <v>72.277001973519234</v>
      </c>
      <c r="AS510" s="211">
        <v>73.294476691780389</v>
      </c>
      <c r="AT510" s="211">
        <v>72.043256576327323</v>
      </c>
      <c r="AU510" s="211">
        <v>70.65457763897227</v>
      </c>
      <c r="AV510" s="211"/>
      <c r="AW510" s="212"/>
      <c r="AX510" s="210">
        <v>71.792216661486535</v>
      </c>
      <c r="AY510" s="211">
        <v>71.812377172582799</v>
      </c>
      <c r="AZ510" s="213">
        <v>94.948219140354681</v>
      </c>
    </row>
    <row r="511" spans="12:52" x14ac:dyDescent="0.25">
      <c r="L511" s="189">
        <v>340</v>
      </c>
      <c r="M511" s="196">
        <f t="shared" ref="M511:N526" si="90">M1060</f>
        <v>0</v>
      </c>
      <c r="N511" s="197">
        <f t="shared" si="90"/>
        <v>0</v>
      </c>
      <c r="O511" s="152">
        <f ca="1"/>
        <v>66.034302691758455</v>
      </c>
      <c r="Q511" s="198">
        <v>0</v>
      </c>
      <c r="R511" s="200">
        <v>0</v>
      </c>
      <c r="S511" s="200">
        <v>0</v>
      </c>
      <c r="T511" s="200">
        <v>0</v>
      </c>
      <c r="U511" s="200">
        <f t="array" ref="U511">IF(U$77&gt;" ",(U$628:U$1078),"")</f>
        <v>0</v>
      </c>
      <c r="V511" s="200">
        <f t="array" ref="V511">IF(V$77&gt;" ",(V$628:V$1078),"")</f>
        <v>0</v>
      </c>
      <c r="W511" s="200">
        <f t="array" ref="W511">IF(W$77&gt;" ",(W$628:W$1078),"")</f>
        <v>0</v>
      </c>
      <c r="X511" s="200">
        <f t="array" ref="X511">IF(X$77&gt;" ",(X$628:X$1078),"")</f>
        <v>0</v>
      </c>
      <c r="Y511" s="204">
        <v>0</v>
      </c>
      <c r="Z511" s="198" t="str">
        <f t="shared" si="87"/>
        <v/>
      </c>
      <c r="AA511" s="198" t="str">
        <f t="shared" si="88"/>
        <v/>
      </c>
      <c r="AB511" s="198" t="str">
        <f t="shared" si="89"/>
        <v/>
      </c>
      <c r="AC511" s="198" t="str">
        <f t="shared" si="78"/>
        <v/>
      </c>
      <c r="AD511" s="198" t="str">
        <f t="shared" si="78"/>
        <v/>
      </c>
      <c r="AE511" s="198" t="str">
        <f t="shared" si="78"/>
        <v/>
      </c>
      <c r="AF511" s="198" t="str">
        <f t="shared" si="78"/>
        <v/>
      </c>
      <c r="AG511" s="198" t="str">
        <f t="shared" si="84"/>
        <v/>
      </c>
      <c r="AH511" s="198" t="str">
        <f t="shared" si="84"/>
        <v/>
      </c>
      <c r="AI511" s="200" t="str">
        <f t="shared" si="82"/>
        <v/>
      </c>
      <c r="AJ511" s="208" t="str">
        <f t="shared" si="83"/>
        <v/>
      </c>
      <c r="AK511" s="4"/>
      <c r="AL511" s="162">
        <v>340</v>
      </c>
      <c r="AM511" s="209">
        <v>1.1851755546245038E-3</v>
      </c>
      <c r="AN511" s="183">
        <v>2.1900528679162519E-3</v>
      </c>
      <c r="AO511" s="183">
        <v>2.5232248944096901E-3</v>
      </c>
      <c r="AP511" s="165">
        <v>1.6598368937338604E-3</v>
      </c>
      <c r="AR511" s="210">
        <v>66.294781679912248</v>
      </c>
      <c r="AS511" s="211">
        <v>67.192297200903724</v>
      </c>
      <c r="AT511" s="211">
        <v>66.034302691758455</v>
      </c>
      <c r="AU511" s="211">
        <v>64.696916720661122</v>
      </c>
      <c r="AV511" s="211"/>
      <c r="AW511" s="212"/>
      <c r="AX511" s="210">
        <v>66.190017769734183</v>
      </c>
      <c r="AY511" s="211">
        <v>66.726988480161978</v>
      </c>
      <c r="AZ511" s="213">
        <v>94.970387667977604</v>
      </c>
    </row>
    <row r="512" spans="12:52" x14ac:dyDescent="0.25">
      <c r="L512" s="189">
        <v>335</v>
      </c>
      <c r="M512" s="196">
        <f t="shared" si="90"/>
        <v>0</v>
      </c>
      <c r="N512" s="197">
        <f t="shared" si="90"/>
        <v>0</v>
      </c>
      <c r="O512" s="152">
        <f ca="1"/>
        <v>56.981324024068755</v>
      </c>
      <c r="Q512" s="198">
        <v>0</v>
      </c>
      <c r="R512" s="200">
        <v>0</v>
      </c>
      <c r="S512" s="200">
        <v>0</v>
      </c>
      <c r="T512" s="200">
        <v>0</v>
      </c>
      <c r="U512" s="200">
        <f t="array" ref="U512">IF(U$77&gt;" ",(U$628:U$1078),"")</f>
        <v>0</v>
      </c>
      <c r="V512" s="200">
        <f t="array" ref="V512">IF(V$77&gt;" ",(V$628:V$1078),"")</f>
        <v>0</v>
      </c>
      <c r="W512" s="200">
        <f t="array" ref="W512">IF(W$77&gt;" ",(W$628:W$1078),"")</f>
        <v>0</v>
      </c>
      <c r="X512" s="200">
        <f t="array" ref="X512">IF(X$77&gt;" ",(X$628:X$1078),"")</f>
        <v>0</v>
      </c>
      <c r="Y512" s="204">
        <v>0</v>
      </c>
      <c r="Z512" s="198" t="str">
        <f t="shared" si="87"/>
        <v/>
      </c>
      <c r="AA512" s="198" t="str">
        <f t="shared" si="88"/>
        <v/>
      </c>
      <c r="AB512" s="198" t="str">
        <f t="shared" si="89"/>
        <v/>
      </c>
      <c r="AC512" s="198" t="str">
        <f t="shared" si="78"/>
        <v/>
      </c>
      <c r="AD512" s="198" t="str">
        <f t="shared" si="78"/>
        <v/>
      </c>
      <c r="AE512" s="198" t="str">
        <f t="shared" si="78"/>
        <v/>
      </c>
      <c r="AF512" s="198" t="str">
        <f t="shared" si="78"/>
        <v/>
      </c>
      <c r="AG512" s="198" t="str">
        <f t="shared" si="84"/>
        <v/>
      </c>
      <c r="AH512" s="198" t="str">
        <f t="shared" si="84"/>
        <v/>
      </c>
      <c r="AI512" s="200" t="str">
        <f t="shared" si="82"/>
        <v/>
      </c>
      <c r="AJ512" s="208" t="str">
        <f t="shared" si="83"/>
        <v/>
      </c>
      <c r="AK512" s="4"/>
      <c r="AL512" s="162">
        <v>335</v>
      </c>
      <c r="AM512" s="209">
        <v>1.0279449069095471E-3</v>
      </c>
      <c r="AN512" s="183">
        <v>2.0189706201256263E-3</v>
      </c>
      <c r="AO512" s="183">
        <v>2.3325499482239279E-3</v>
      </c>
      <c r="AP512" s="165">
        <v>1.481759379459571E-3</v>
      </c>
      <c r="AR512" s="210">
        <v>56.91094388806448</v>
      </c>
      <c r="AS512" s="211">
        <v>57.925289711291555</v>
      </c>
      <c r="AT512" s="211">
        <v>56.981324024068755</v>
      </c>
      <c r="AU512" s="211">
        <v>55.792920725124496</v>
      </c>
      <c r="AV512" s="211"/>
      <c r="AW512" s="212"/>
      <c r="AX512" s="210">
        <v>55.503484479086502</v>
      </c>
      <c r="AY512" s="211">
        <v>56.640997868647332</v>
      </c>
      <c r="AZ512" s="213">
        <v>95.130887978663282</v>
      </c>
    </row>
    <row r="513" spans="12:52" x14ac:dyDescent="0.25">
      <c r="L513" s="189">
        <v>330</v>
      </c>
      <c r="M513" s="196">
        <f t="shared" si="90"/>
        <v>0</v>
      </c>
      <c r="N513" s="197">
        <f t="shared" si="90"/>
        <v>0</v>
      </c>
      <c r="O513" s="152">
        <f ca="1"/>
        <v>43.194919831620929</v>
      </c>
      <c r="Q513" s="198">
        <v>0</v>
      </c>
      <c r="R513" s="200">
        <v>0</v>
      </c>
      <c r="S513" s="200">
        <v>0</v>
      </c>
      <c r="T513" s="200">
        <v>0</v>
      </c>
      <c r="U513" s="200">
        <f t="array" ref="U513">IF(U$77&gt;" ",(U$628:U$1078),"")</f>
        <v>0</v>
      </c>
      <c r="V513" s="200">
        <f t="array" ref="V513">IF(V$77&gt;" ",(V$628:V$1078),"")</f>
        <v>0</v>
      </c>
      <c r="W513" s="200">
        <f t="array" ref="W513">IF(W$77&gt;" ",(W$628:W$1078),"")</f>
        <v>0</v>
      </c>
      <c r="X513" s="200">
        <f t="array" ref="X513">IF(X$77&gt;" ",(X$628:X$1078),"")</f>
        <v>0</v>
      </c>
      <c r="Y513" s="204">
        <v>0</v>
      </c>
      <c r="Z513" s="198" t="str">
        <f t="shared" si="87"/>
        <v/>
      </c>
      <c r="AA513" s="198" t="str">
        <f t="shared" si="88"/>
        <v/>
      </c>
      <c r="AB513" s="198" t="str">
        <f t="shared" si="89"/>
        <v/>
      </c>
      <c r="AC513" s="198" t="str">
        <f t="shared" si="78"/>
        <v/>
      </c>
      <c r="AD513" s="198" t="str">
        <f t="shared" si="78"/>
        <v/>
      </c>
      <c r="AE513" s="198" t="str">
        <f t="shared" si="78"/>
        <v/>
      </c>
      <c r="AF513" s="198" t="str">
        <f t="shared" si="78"/>
        <v/>
      </c>
      <c r="AG513" s="198" t="str">
        <f t="shared" si="84"/>
        <v/>
      </c>
      <c r="AH513" s="198" t="str">
        <f t="shared" si="84"/>
        <v/>
      </c>
      <c r="AI513" s="200" t="str">
        <f t="shared" si="82"/>
        <v/>
      </c>
      <c r="AJ513" s="208" t="str">
        <f t="shared" si="83"/>
        <v/>
      </c>
      <c r="AK513" s="4"/>
      <c r="AL513" s="162">
        <v>330</v>
      </c>
      <c r="AM513" s="209">
        <v>1.006804651754595E-3</v>
      </c>
      <c r="AN513" s="183">
        <v>1.9149205980775266E-3</v>
      </c>
      <c r="AO513" s="183">
        <v>2.3703128397285444E-3</v>
      </c>
      <c r="AP513" s="165">
        <v>1.4658096335236274E-3</v>
      </c>
      <c r="AR513" s="210">
        <v>42.229422212618296</v>
      </c>
      <c r="AS513" s="211">
        <v>43.682354724593232</v>
      </c>
      <c r="AT513" s="211">
        <v>43.194919831620929</v>
      </c>
      <c r="AU513" s="211">
        <v>42.202456679662504</v>
      </c>
      <c r="AV513" s="211"/>
      <c r="AW513" s="212"/>
      <c r="AX513" s="210">
        <v>45.72167539511554</v>
      </c>
      <c r="AY513" s="211">
        <v>46.910354220067283</v>
      </c>
      <c r="AZ513" s="213">
        <v>94.79686188382459</v>
      </c>
    </row>
    <row r="514" spans="12:52" x14ac:dyDescent="0.25">
      <c r="L514" s="189">
        <v>325</v>
      </c>
      <c r="M514" s="196">
        <f t="shared" si="90"/>
        <v>0</v>
      </c>
      <c r="N514" s="197">
        <f t="shared" si="90"/>
        <v>0</v>
      </c>
      <c r="O514" s="152">
        <f ca="1"/>
        <v>25.745672096851308</v>
      </c>
      <c r="Q514" s="198">
        <v>0</v>
      </c>
      <c r="R514" s="200">
        <v>0</v>
      </c>
      <c r="S514" s="200">
        <v>0</v>
      </c>
      <c r="T514" s="200">
        <v>0</v>
      </c>
      <c r="U514" s="200">
        <f t="array" ref="U514">IF(U$77&gt;" ",(U$628:U$1078),"")</f>
        <v>0</v>
      </c>
      <c r="V514" s="200">
        <f t="array" ref="V514">IF(V$77&gt;" ",(V$628:V$1078),"")</f>
        <v>0</v>
      </c>
      <c r="W514" s="200">
        <f t="array" ref="W514">IF(W$77&gt;" ",(W$628:W$1078),"")</f>
        <v>0</v>
      </c>
      <c r="X514" s="200">
        <f t="array" ref="X514">IF(X$77&gt;" ",(X$628:X$1078),"")</f>
        <v>0</v>
      </c>
      <c r="Y514" s="204">
        <v>0</v>
      </c>
      <c r="Z514" s="198" t="str">
        <f t="shared" si="87"/>
        <v/>
      </c>
      <c r="AA514" s="198" t="str">
        <f t="shared" si="88"/>
        <v/>
      </c>
      <c r="AB514" s="198" t="str">
        <f t="shared" si="89"/>
        <v/>
      </c>
      <c r="AC514" s="198" t="str">
        <f t="shared" si="78"/>
        <v/>
      </c>
      <c r="AD514" s="198" t="str">
        <f t="shared" si="78"/>
        <v/>
      </c>
      <c r="AE514" s="198" t="str">
        <f t="shared" si="78"/>
        <v/>
      </c>
      <c r="AF514" s="198" t="str">
        <f t="shared" si="78"/>
        <v/>
      </c>
      <c r="AG514" s="198" t="str">
        <f t="shared" si="84"/>
        <v/>
      </c>
      <c r="AH514" s="198" t="str">
        <f t="shared" si="84"/>
        <v/>
      </c>
      <c r="AI514" s="200" t="str">
        <f t="shared" si="82"/>
        <v/>
      </c>
      <c r="AJ514" s="208" t="str">
        <f t="shared" si="83"/>
        <v/>
      </c>
      <c r="AK514" s="4"/>
      <c r="AL514" s="162">
        <v>325</v>
      </c>
      <c r="AM514" s="209">
        <v>6.6195423953943849E-4</v>
      </c>
      <c r="AN514" s="183">
        <v>1.3096296044323317E-3</v>
      </c>
      <c r="AO514" s="183">
        <v>1.4026073177493801E-3</v>
      </c>
      <c r="AP514" s="165">
        <v>8.6766617891533004E-4</v>
      </c>
      <c r="AR514" s="210">
        <v>23.501788852132854</v>
      </c>
      <c r="AS514" s="211">
        <v>25.522643794231684</v>
      </c>
      <c r="AT514" s="211">
        <v>25.745672096851308</v>
      </c>
      <c r="AU514" s="211">
        <v>24.937503306315051</v>
      </c>
      <c r="AV514" s="211"/>
      <c r="AW514" s="212"/>
      <c r="AX514" s="210">
        <v>30.159687222351639</v>
      </c>
      <c r="AY514" s="211">
        <v>29.779086385927357</v>
      </c>
      <c r="AZ514" s="213">
        <v>95.013001333995703</v>
      </c>
    </row>
    <row r="515" spans="12:52" x14ac:dyDescent="0.25">
      <c r="L515" s="189">
        <v>320</v>
      </c>
      <c r="M515" s="196">
        <f t="shared" si="90"/>
        <v>0</v>
      </c>
      <c r="N515" s="197">
        <f t="shared" si="90"/>
        <v>0</v>
      </c>
      <c r="O515" s="152">
        <f ca="1"/>
        <v>11.393149305951686</v>
      </c>
      <c r="Q515" s="198">
        <v>0</v>
      </c>
      <c r="R515" s="200">
        <v>0</v>
      </c>
      <c r="S515" s="200">
        <v>0</v>
      </c>
      <c r="T515" s="200">
        <v>0</v>
      </c>
      <c r="U515" s="200">
        <f t="array" ref="U515">IF(U$77&gt;" ",(U$628:U$1078),"")</f>
        <v>0</v>
      </c>
      <c r="V515" s="200">
        <f t="array" ref="V515">IF(V$77&gt;" ",(V$628:V$1078),"")</f>
        <v>0</v>
      </c>
      <c r="W515" s="200">
        <f t="array" ref="W515">IF(W$77&gt;" ",(W$628:W$1078),"")</f>
        <v>0</v>
      </c>
      <c r="X515" s="200">
        <f t="array" ref="X515">IF(X$77&gt;" ",(X$628:X$1078),"")</f>
        <v>0</v>
      </c>
      <c r="Y515" s="204">
        <v>0</v>
      </c>
      <c r="Z515" s="198" t="str">
        <f t="shared" si="87"/>
        <v/>
      </c>
      <c r="AA515" s="198" t="str">
        <f t="shared" si="88"/>
        <v/>
      </c>
      <c r="AB515" s="198" t="str">
        <f t="shared" si="89"/>
        <v/>
      </c>
      <c r="AC515" s="198" t="str">
        <f t="shared" si="78"/>
        <v/>
      </c>
      <c r="AD515" s="198" t="str">
        <f t="shared" si="78"/>
        <v/>
      </c>
      <c r="AE515" s="198" t="str">
        <f t="shared" si="78"/>
        <v/>
      </c>
      <c r="AF515" s="198" t="str">
        <f t="shared" si="78"/>
        <v/>
      </c>
      <c r="AG515" s="198" t="str">
        <f t="shared" si="84"/>
        <v/>
      </c>
      <c r="AH515" s="198" t="str">
        <f t="shared" si="84"/>
        <v/>
      </c>
      <c r="AI515" s="200" t="str">
        <f t="shared" si="82"/>
        <v/>
      </c>
      <c r="AJ515" s="208" t="str">
        <f t="shared" si="83"/>
        <v/>
      </c>
      <c r="AK515" s="4"/>
      <c r="AL515" s="162">
        <v>320</v>
      </c>
      <c r="AM515" s="209">
        <v>4.7037067719768488E-4</v>
      </c>
      <c r="AN515" s="183">
        <v>9.1644057880826252E-4</v>
      </c>
      <c r="AO515" s="183">
        <v>1.0321689399670727E-3</v>
      </c>
      <c r="AP515" s="165">
        <v>6.3110626287591438E-4</v>
      </c>
      <c r="AR515" s="210">
        <v>9.626517187160621</v>
      </c>
      <c r="AS515" s="211">
        <v>11.031766670859357</v>
      </c>
      <c r="AT515" s="211">
        <v>11.393149305951686</v>
      </c>
      <c r="AU515" s="211">
        <v>10.957009149066293</v>
      </c>
      <c r="AV515" s="211"/>
      <c r="AW515" s="212"/>
      <c r="AX515" s="210">
        <v>12.853661043266309</v>
      </c>
      <c r="AY515" s="211">
        <v>12.095056262136938</v>
      </c>
      <c r="AZ515" s="213">
        <v>95.170857085991059</v>
      </c>
    </row>
    <row r="516" spans="12:52" x14ac:dyDescent="0.25">
      <c r="L516" s="189">
        <v>315</v>
      </c>
      <c r="M516" s="196">
        <f t="shared" si="90"/>
        <v>0</v>
      </c>
      <c r="N516" s="197">
        <f t="shared" si="90"/>
        <v>0</v>
      </c>
      <c r="O516" s="152">
        <f ca="1"/>
        <v>7.2461506913893139</v>
      </c>
      <c r="Q516" s="198">
        <v>0</v>
      </c>
      <c r="R516" s="200">
        <v>0</v>
      </c>
      <c r="S516" s="200">
        <v>0</v>
      </c>
      <c r="T516" s="200">
        <v>0</v>
      </c>
      <c r="U516" s="200">
        <f t="array" ref="U516">IF(U$77&gt;" ",(U$628:U$1078),"")</f>
        <v>0</v>
      </c>
      <c r="V516" s="200">
        <f t="array" ref="V516">IF(V$77&gt;" ",(V$628:V$1078),"")</f>
        <v>0</v>
      </c>
      <c r="W516" s="200">
        <f t="array" ref="W516">IF(W$77&gt;" ",(W$628:W$1078),"")</f>
        <v>0</v>
      </c>
      <c r="X516" s="200">
        <f t="array" ref="X516">IF(X$77&gt;" ",(X$628:X$1078),"")</f>
        <v>0</v>
      </c>
      <c r="Y516" s="204">
        <v>0</v>
      </c>
      <c r="Z516" s="198" t="str">
        <f t="shared" si="87"/>
        <v/>
      </c>
      <c r="AA516" s="198" t="str">
        <f t="shared" si="88"/>
        <v/>
      </c>
      <c r="AB516" s="198" t="str">
        <f t="shared" si="89"/>
        <v/>
      </c>
      <c r="AC516" s="198" t="str">
        <f t="shared" si="78"/>
        <v/>
      </c>
      <c r="AD516" s="198" t="str">
        <f t="shared" si="78"/>
        <v/>
      </c>
      <c r="AE516" s="198" t="str">
        <f t="shared" si="78"/>
        <v/>
      </c>
      <c r="AF516" s="198" t="str">
        <f t="shared" si="78"/>
        <v/>
      </c>
      <c r="AG516" s="198" t="str">
        <f t="shared" si="84"/>
        <v/>
      </c>
      <c r="AH516" s="198" t="str">
        <f t="shared" si="84"/>
        <v/>
      </c>
      <c r="AI516" s="200" t="str">
        <f t="shared" si="82"/>
        <v/>
      </c>
      <c r="AJ516" s="208" t="str">
        <f t="shared" si="83"/>
        <v/>
      </c>
      <c r="AK516" s="4"/>
      <c r="AL516" s="162">
        <v>315</v>
      </c>
      <c r="AM516" s="209">
        <v>2.7152015214641637E-4</v>
      </c>
      <c r="AN516" s="183">
        <v>5.5426646360237717E-4</v>
      </c>
      <c r="AO516" s="183">
        <v>6.8511237916165854E-4</v>
      </c>
      <c r="AP516" s="165">
        <v>4.1237648387225877E-4</v>
      </c>
      <c r="AR516" s="210">
        <v>7.0051096620550757</v>
      </c>
      <c r="AS516" s="211">
        <v>7.291283120759954</v>
      </c>
      <c r="AT516" s="211">
        <v>7.2461506913893139</v>
      </c>
      <c r="AU516" s="211">
        <v>7.202567627044747</v>
      </c>
      <c r="AV516" s="211"/>
      <c r="AW516" s="212"/>
      <c r="AX516" s="210">
        <v>8.5383974522321289</v>
      </c>
      <c r="AY516" s="211">
        <v>9.4527899655938743</v>
      </c>
      <c r="AZ516" s="213">
        <v>94.930107171203559</v>
      </c>
    </row>
    <row r="517" spans="12:52" x14ac:dyDescent="0.25">
      <c r="L517" s="189">
        <v>310</v>
      </c>
      <c r="M517" s="196">
        <f t="shared" si="90"/>
        <v>0</v>
      </c>
      <c r="N517" s="197">
        <f t="shared" si="90"/>
        <v>0</v>
      </c>
      <c r="O517" s="152">
        <f ca="1"/>
        <v>6.6891367546098861</v>
      </c>
      <c r="Q517" s="198">
        <v>0</v>
      </c>
      <c r="R517" s="200">
        <v>0</v>
      </c>
      <c r="S517" s="200">
        <v>0</v>
      </c>
      <c r="T517" s="200">
        <v>0</v>
      </c>
      <c r="U517" s="200">
        <f t="array" ref="U517">IF(U$77&gt;" ",(U$628:U$1078),"")</f>
        <v>0</v>
      </c>
      <c r="V517" s="200">
        <f t="array" ref="V517">IF(V$77&gt;" ",(V$628:V$1078),"")</f>
        <v>0</v>
      </c>
      <c r="W517" s="200">
        <f t="array" ref="W517">IF(W$77&gt;" ",(W$628:W$1078),"")</f>
        <v>0</v>
      </c>
      <c r="X517" s="200">
        <f t="array" ref="X517">IF(X$77&gt;" ",(X$628:X$1078),"")</f>
        <v>0</v>
      </c>
      <c r="Y517" s="204">
        <v>0</v>
      </c>
      <c r="Z517" s="198" t="str">
        <f t="shared" si="87"/>
        <v/>
      </c>
      <c r="AA517" s="198" t="str">
        <f t="shared" si="88"/>
        <v/>
      </c>
      <c r="AB517" s="198" t="str">
        <f t="shared" si="89"/>
        <v/>
      </c>
      <c r="AC517" s="198" t="str">
        <f t="shared" si="78"/>
        <v/>
      </c>
      <c r="AD517" s="198" t="str">
        <f t="shared" si="78"/>
        <v/>
      </c>
      <c r="AE517" s="198" t="str">
        <f t="shared" si="78"/>
        <v/>
      </c>
      <c r="AF517" s="198" t="str">
        <f t="shared" si="78"/>
        <v/>
      </c>
      <c r="AG517" s="198" t="str">
        <f t="shared" si="84"/>
        <v/>
      </c>
      <c r="AH517" s="198" t="str">
        <f t="shared" si="84"/>
        <v/>
      </c>
      <c r="AI517" s="200" t="str">
        <f t="shared" si="82"/>
        <v/>
      </c>
      <c r="AJ517" s="208" t="str">
        <f t="shared" si="83"/>
        <v/>
      </c>
      <c r="AK517" s="4"/>
      <c r="AL517" s="162">
        <v>310</v>
      </c>
      <c r="AM517" s="209">
        <v>1.0305874388039161E-4</v>
      </c>
      <c r="AN517" s="183">
        <v>2.3611351157068773E-4</v>
      </c>
      <c r="AO517" s="183">
        <v>2.5613900537332641E-4</v>
      </c>
      <c r="AP517" s="165">
        <v>1.5572548435563706E-4</v>
      </c>
      <c r="AR517" s="210">
        <v>6.8802268573791681</v>
      </c>
      <c r="AS517" s="211">
        <v>6.9267034024867584</v>
      </c>
      <c r="AT517" s="211">
        <v>6.6891367546098861</v>
      </c>
      <c r="AU517" s="211">
        <v>6.8030042901234813</v>
      </c>
      <c r="AV517" s="211"/>
      <c r="AW517" s="212"/>
      <c r="AX517" s="210">
        <v>6.1005191241566985</v>
      </c>
      <c r="AY517" s="211">
        <v>7.0884734644795886</v>
      </c>
      <c r="AZ517" s="213">
        <v>94.721692821946277</v>
      </c>
    </row>
    <row r="518" spans="12:52" x14ac:dyDescent="0.25">
      <c r="L518" s="189">
        <v>305</v>
      </c>
      <c r="M518" s="196">
        <f t="shared" si="90"/>
        <v>0</v>
      </c>
      <c r="N518" s="197">
        <f t="shared" si="90"/>
        <v>0</v>
      </c>
      <c r="O518" s="152">
        <f ca="1"/>
        <v>6.9252337152839303</v>
      </c>
      <c r="Q518" s="198">
        <v>0</v>
      </c>
      <c r="R518" s="200">
        <v>0</v>
      </c>
      <c r="S518" s="200">
        <v>0</v>
      </c>
      <c r="T518" s="200">
        <v>0</v>
      </c>
      <c r="U518" s="200">
        <f t="array" ref="U518">IF(U$77&gt;" ",(U$628:U$1078),"")</f>
        <v>0</v>
      </c>
      <c r="V518" s="200">
        <f t="array" ref="V518">IF(V$77&gt;" ",(V$628:V$1078),"")</f>
        <v>0</v>
      </c>
      <c r="W518" s="200">
        <f t="array" ref="W518">IF(W$77&gt;" ",(W$628:W$1078),"")</f>
        <v>0</v>
      </c>
      <c r="X518" s="200">
        <f t="array" ref="X518">IF(X$77&gt;" ",(X$628:X$1078),"")</f>
        <v>0</v>
      </c>
      <c r="Y518" s="204">
        <v>0</v>
      </c>
      <c r="Z518" s="198" t="str">
        <f t="shared" si="87"/>
        <v/>
      </c>
      <c r="AA518" s="198" t="str">
        <f t="shared" si="88"/>
        <v/>
      </c>
      <c r="AB518" s="198" t="str">
        <f t="shared" si="89"/>
        <v/>
      </c>
      <c r="AC518" s="198" t="str">
        <f t="shared" si="78"/>
        <v/>
      </c>
      <c r="AD518" s="198" t="str">
        <f t="shared" si="78"/>
        <v/>
      </c>
      <c r="AE518" s="198" t="str">
        <f t="shared" si="78"/>
        <v/>
      </c>
      <c r="AF518" s="198" t="str">
        <f t="shared" si="78"/>
        <v/>
      </c>
      <c r="AG518" s="198" t="str">
        <f t="shared" si="84"/>
        <v/>
      </c>
      <c r="AH518" s="198" t="str">
        <f t="shared" si="84"/>
        <v/>
      </c>
      <c r="AI518" s="200" t="str">
        <f t="shared" si="82"/>
        <v/>
      </c>
      <c r="AJ518" s="208" t="str">
        <f t="shared" si="83"/>
        <v/>
      </c>
      <c r="AK518" s="4"/>
      <c r="AL518" s="162">
        <v>305</v>
      </c>
      <c r="AM518" s="209">
        <v>2.2461521102136635E-5</v>
      </c>
      <c r="AN518" s="183">
        <v>5.7027415930208482E-5</v>
      </c>
      <c r="AO518" s="183">
        <v>8.2781688793676208E-5</v>
      </c>
      <c r="AP518" s="165">
        <v>4.9996017646787874E-5</v>
      </c>
      <c r="AR518" s="210">
        <v>6.86138257162506</v>
      </c>
      <c r="AS518" s="211">
        <v>7.0744000876169428</v>
      </c>
      <c r="AT518" s="211">
        <v>6.9252337152839303</v>
      </c>
      <c r="AU518" s="211">
        <v>6.9822007196311811</v>
      </c>
      <c r="AV518" s="211"/>
      <c r="AW518" s="212"/>
      <c r="AX518" s="210">
        <v>6.0960630034025938</v>
      </c>
      <c r="AY518" s="211">
        <v>7.0708921691928497</v>
      </c>
      <c r="AZ518" s="213">
        <v>94.867573507400337</v>
      </c>
    </row>
    <row r="519" spans="12:52" x14ac:dyDescent="0.25">
      <c r="L519" s="189">
        <v>300</v>
      </c>
      <c r="M519" s="196">
        <f t="shared" si="90"/>
        <v>0</v>
      </c>
      <c r="N519" s="197">
        <f t="shared" si="90"/>
        <v>0</v>
      </c>
      <c r="O519" s="152">
        <f ca="1"/>
        <v>6.5889398755658917</v>
      </c>
      <c r="Q519" s="198">
        <v>0</v>
      </c>
      <c r="R519" s="200">
        <v>0</v>
      </c>
      <c r="S519" s="200">
        <v>0</v>
      </c>
      <c r="T519" s="200">
        <v>0</v>
      </c>
      <c r="U519" s="200">
        <f t="array" ref="U519">IF(U$77&gt;" ",(U$628:U$1078),"")</f>
        <v>0</v>
      </c>
      <c r="V519" s="200">
        <f t="array" ref="V519">IF(V$77&gt;" ",(V$628:V$1078),"")</f>
        <v>0</v>
      </c>
      <c r="W519" s="200">
        <f t="array" ref="W519">IF(W$77&gt;" ",(W$628:W$1078),"")</f>
        <v>0</v>
      </c>
      <c r="X519" s="200">
        <f t="array" ref="X519">IF(X$77&gt;" ",(X$628:X$1078),"")</f>
        <v>0</v>
      </c>
      <c r="Y519" s="204">
        <v>0</v>
      </c>
      <c r="Z519" s="198" t="str">
        <f t="shared" si="87"/>
        <v/>
      </c>
      <c r="AA519" s="198" t="str">
        <f t="shared" si="88"/>
        <v/>
      </c>
      <c r="AB519" s="198" t="str">
        <f t="shared" si="89"/>
        <v/>
      </c>
      <c r="AC519" s="198" t="str">
        <f t="shared" si="78"/>
        <v/>
      </c>
      <c r="AD519" s="198" t="str">
        <f t="shared" si="78"/>
        <v/>
      </c>
      <c r="AE519" s="198" t="str">
        <f t="shared" si="78"/>
        <v/>
      </c>
      <c r="AF519" s="198" t="str">
        <f t="shared" si="78"/>
        <v/>
      </c>
      <c r="AG519" s="198" t="str">
        <f t="shared" si="84"/>
        <v/>
      </c>
      <c r="AH519" s="198" t="str">
        <f t="shared" si="84"/>
        <v/>
      </c>
      <c r="AI519" s="200" t="str">
        <f t="shared" si="82"/>
        <v/>
      </c>
      <c r="AJ519" s="208" t="str">
        <f t="shared" si="83"/>
        <v/>
      </c>
      <c r="AK519" s="4"/>
      <c r="AL519" s="162">
        <v>300</v>
      </c>
      <c r="AM519" s="209">
        <v>0</v>
      </c>
      <c r="AN519" s="183">
        <v>0</v>
      </c>
      <c r="AO519" s="183">
        <v>5.1314288655741101E-6</v>
      </c>
      <c r="AP519" s="165">
        <v>2.553694234396634E-6</v>
      </c>
      <c r="AR519" s="210">
        <v>6.4414157673805956</v>
      </c>
      <c r="AS519" s="211">
        <v>6.6919921814630134</v>
      </c>
      <c r="AT519" s="211">
        <v>6.5889398755658917</v>
      </c>
      <c r="AU519" s="211">
        <v>6.5976402413803674</v>
      </c>
      <c r="AV519" s="211"/>
      <c r="AW519" s="212"/>
      <c r="AX519" s="210">
        <v>5.945907379187541</v>
      </c>
      <c r="AY519" s="211">
        <v>6.9220356402450429</v>
      </c>
      <c r="AZ519" s="213">
        <v>94.78557688372284</v>
      </c>
    </row>
    <row r="520" spans="12:52" x14ac:dyDescent="0.25">
      <c r="L520" s="189">
        <v>295</v>
      </c>
      <c r="M520" s="196">
        <f t="shared" si="90"/>
        <v>0</v>
      </c>
      <c r="N520" s="197">
        <f t="shared" si="90"/>
        <v>0</v>
      </c>
      <c r="O520" s="152">
        <f ca="1"/>
        <v>6.2061261488720447</v>
      </c>
      <c r="Q520" s="198">
        <v>0</v>
      </c>
      <c r="R520" s="200">
        <v>0</v>
      </c>
      <c r="S520" s="200">
        <v>0</v>
      </c>
      <c r="T520" s="200">
        <v>0</v>
      </c>
      <c r="U520" s="200">
        <f t="array" ref="U520">IF(U$77&gt;" ",(U$628:U$1078),"")</f>
        <v>0</v>
      </c>
      <c r="V520" s="200">
        <f t="array" ref="V520">IF(V$77&gt;" ",(V$628:V$1078),"")</f>
        <v>0</v>
      </c>
      <c r="W520" s="200">
        <f t="array" ref="W520">IF(W$77&gt;" ",(W$628:W$1078),"")</f>
        <v>0</v>
      </c>
      <c r="X520" s="200">
        <f t="array" ref="X520">IF(X$77&gt;" ",(X$628:X$1078),"")</f>
        <v>0</v>
      </c>
      <c r="Y520" s="204">
        <v>0</v>
      </c>
      <c r="Z520" s="198" t="str">
        <f t="shared" si="87"/>
        <v/>
      </c>
      <c r="AA520" s="198" t="str">
        <f t="shared" si="88"/>
        <v/>
      </c>
      <c r="AB520" s="198" t="str">
        <f t="shared" si="89"/>
        <v/>
      </c>
      <c r="AC520" s="198" t="str">
        <f t="shared" si="78"/>
        <v/>
      </c>
      <c r="AD520" s="198" t="str">
        <f t="shared" si="78"/>
        <v/>
      </c>
      <c r="AE520" s="198" t="str">
        <f t="shared" si="78"/>
        <v/>
      </c>
      <c r="AF520" s="198" t="str">
        <f t="shared" si="78"/>
        <v/>
      </c>
      <c r="AG520" s="198" t="str">
        <f t="shared" si="84"/>
        <v/>
      </c>
      <c r="AH520" s="198" t="str">
        <f t="shared" si="84"/>
        <v/>
      </c>
      <c r="AI520" s="200" t="str">
        <f t="shared" si="82"/>
        <v/>
      </c>
      <c r="AJ520" s="208" t="str">
        <f t="shared" si="83"/>
        <v/>
      </c>
      <c r="AK520" s="4"/>
      <c r="AL520" s="162">
        <v>295</v>
      </c>
      <c r="AM520" s="246"/>
      <c r="AN520" s="246"/>
      <c r="AO520" s="164">
        <v>6.1798393687315837E-8</v>
      </c>
      <c r="AP520" s="165">
        <v>1.8046158156155658E-8</v>
      </c>
      <c r="AR520" s="210">
        <v>6.0555038965895287</v>
      </c>
      <c r="AS520" s="211">
        <v>6.2939187360659146</v>
      </c>
      <c r="AT520" s="211">
        <v>6.2061261488720447</v>
      </c>
      <c r="AU520" s="211">
        <v>6.2114274928897233</v>
      </c>
      <c r="AV520" s="211"/>
      <c r="AW520" s="212"/>
      <c r="AX520" s="210">
        <v>5.6325648336438254</v>
      </c>
      <c r="AY520" s="211">
        <v>6.4796830808449046</v>
      </c>
      <c r="AZ520" s="213">
        <v>94.944831037750902</v>
      </c>
    </row>
    <row r="521" spans="12:52" x14ac:dyDescent="0.25">
      <c r="L521" s="189">
        <v>290</v>
      </c>
      <c r="M521" s="196">
        <f t="shared" si="90"/>
        <v>0</v>
      </c>
      <c r="N521" s="197">
        <f t="shared" si="90"/>
        <v>0</v>
      </c>
      <c r="O521" s="152">
        <f ca="1"/>
        <v>5.8749789581636342</v>
      </c>
      <c r="Q521" s="198">
        <v>0</v>
      </c>
      <c r="R521" s="200">
        <v>0</v>
      </c>
      <c r="S521" s="200">
        <v>0</v>
      </c>
      <c r="T521" s="200">
        <v>0</v>
      </c>
      <c r="U521" s="200">
        <f t="array" ref="U521">IF(U$77&gt;" ",(U$628:U$1078),"")</f>
        <v>0</v>
      </c>
      <c r="V521" s="200">
        <f t="array" ref="V521">IF(V$77&gt;" ",(V$628:V$1078),"")</f>
        <v>0</v>
      </c>
      <c r="W521" s="200">
        <f t="array" ref="W521">IF(W$77&gt;" ",(W$628:W$1078),"")</f>
        <v>0</v>
      </c>
      <c r="X521" s="200">
        <f t="array" ref="X521">IF(X$77&gt;" ",(X$628:X$1078),"")</f>
        <v>0</v>
      </c>
      <c r="Y521" s="204">
        <v>0</v>
      </c>
      <c r="Z521" s="198" t="str">
        <f t="shared" si="87"/>
        <v/>
      </c>
      <c r="AA521" s="198" t="str">
        <f t="shared" si="88"/>
        <v/>
      </c>
      <c r="AB521" s="198" t="str">
        <f t="shared" si="89"/>
        <v/>
      </c>
      <c r="AC521" s="198" t="str">
        <f t="shared" si="78"/>
        <v/>
      </c>
      <c r="AD521" s="198" t="str">
        <f t="shared" si="78"/>
        <v/>
      </c>
      <c r="AE521" s="198" t="str">
        <f t="shared" si="78"/>
        <v/>
      </c>
      <c r="AF521" s="198" t="str">
        <f t="shared" si="78"/>
        <v/>
      </c>
      <c r="AG521" s="198" t="str">
        <f t="shared" si="84"/>
        <v/>
      </c>
      <c r="AH521" s="198" t="str">
        <f t="shared" si="84"/>
        <v/>
      </c>
      <c r="AI521" s="200" t="str">
        <f t="shared" si="82"/>
        <v/>
      </c>
      <c r="AJ521" s="208" t="str">
        <f t="shared" si="83"/>
        <v/>
      </c>
      <c r="AK521" s="4"/>
      <c r="AL521" s="162">
        <v>290</v>
      </c>
      <c r="AM521" s="246"/>
      <c r="AN521" s="246"/>
      <c r="AO521" s="164">
        <v>3.025456266377884E-11</v>
      </c>
      <c r="AP521" s="165">
        <v>2.8795727276773336E-12</v>
      </c>
      <c r="AR521" s="210">
        <v>5.729811037301304</v>
      </c>
      <c r="AS521" s="211">
        <v>5.9378602519598749</v>
      </c>
      <c r="AT521" s="211">
        <v>5.8749789581636342</v>
      </c>
      <c r="AU521" s="211">
        <v>5.873261672033558</v>
      </c>
      <c r="AV521" s="211"/>
      <c r="AW521" s="212"/>
      <c r="AX521" s="210">
        <v>5.3673417311167242</v>
      </c>
      <c r="AY521" s="211">
        <v>6.0288265745019949</v>
      </c>
      <c r="AZ521" s="213">
        <v>94.590559001317501</v>
      </c>
    </row>
    <row r="522" spans="12:52" x14ac:dyDescent="0.25">
      <c r="L522" s="189">
        <v>285</v>
      </c>
      <c r="M522" s="196">
        <f t="shared" si="90"/>
        <v>0</v>
      </c>
      <c r="N522" s="197">
        <f t="shared" si="90"/>
        <v>0</v>
      </c>
      <c r="O522" s="152">
        <f ca="1"/>
        <v>5.7809078522205262</v>
      </c>
      <c r="Q522" s="198">
        <v>0</v>
      </c>
      <c r="R522" s="200">
        <v>0</v>
      </c>
      <c r="S522" s="200">
        <v>0</v>
      </c>
      <c r="T522" s="200">
        <v>0</v>
      </c>
      <c r="U522" s="200">
        <f t="array" ref="U522">IF(U$77&gt;" ",(U$628:U$1078),"")</f>
        <v>0</v>
      </c>
      <c r="V522" s="200">
        <f t="array" ref="V522">IF(V$77&gt;" ",(V$628:V$1078),"")</f>
        <v>0</v>
      </c>
      <c r="W522" s="200">
        <f t="array" ref="W522">IF(W$77&gt;" ",(W$628:W$1078),"")</f>
        <v>0</v>
      </c>
      <c r="X522" s="200">
        <f t="array" ref="X522">IF(X$77&gt;" ",(X$628:X$1078),"")</f>
        <v>0</v>
      </c>
      <c r="Y522" s="204">
        <v>0</v>
      </c>
      <c r="Z522" s="198" t="str">
        <f t="shared" si="87"/>
        <v/>
      </c>
      <c r="AA522" s="198" t="str">
        <f t="shared" si="88"/>
        <v/>
      </c>
      <c r="AB522" s="198" t="str">
        <f t="shared" si="89"/>
        <v/>
      </c>
      <c r="AC522" s="198" t="str">
        <f t="shared" si="78"/>
        <v/>
      </c>
      <c r="AD522" s="198" t="str">
        <f t="shared" si="78"/>
        <v/>
      </c>
      <c r="AE522" s="198" t="str">
        <f t="shared" si="78"/>
        <v/>
      </c>
      <c r="AF522" s="198" t="str">
        <f t="shared" si="78"/>
        <v/>
      </c>
      <c r="AG522" s="198" t="str">
        <f t="shared" si="84"/>
        <v/>
      </c>
      <c r="AH522" s="198" t="str">
        <f t="shared" si="84"/>
        <v/>
      </c>
      <c r="AI522" s="200" t="str">
        <f t="shared" si="82"/>
        <v/>
      </c>
      <c r="AJ522" s="208" t="str">
        <f t="shared" si="83"/>
        <v/>
      </c>
      <c r="AK522" s="4"/>
      <c r="AL522" s="162">
        <v>285</v>
      </c>
      <c r="AM522" s="246"/>
      <c r="AN522" s="246"/>
      <c r="AO522" s="164">
        <v>4.0298184433595328E-17</v>
      </c>
      <c r="AP522" s="165">
        <v>5.0366499464668379E-19</v>
      </c>
      <c r="AR522" s="210">
        <v>5.633346162036168</v>
      </c>
      <c r="AS522" s="211">
        <v>5.8402841357036239</v>
      </c>
      <c r="AT522" s="211">
        <v>5.7809078522205262</v>
      </c>
      <c r="AU522" s="211">
        <v>5.7895279048369837</v>
      </c>
      <c r="AV522" s="211"/>
      <c r="AW522" s="212"/>
      <c r="AX522" s="210">
        <v>5.3387196512227328</v>
      </c>
      <c r="AY522" s="211">
        <v>5.8881844394415532</v>
      </c>
      <c r="AZ522" s="213">
        <v>94.667166181549561</v>
      </c>
    </row>
    <row r="523" spans="12:52" x14ac:dyDescent="0.25">
      <c r="L523" s="189">
        <v>280</v>
      </c>
      <c r="M523" s="196">
        <f t="shared" si="90"/>
        <v>0</v>
      </c>
      <c r="N523" s="197">
        <f t="shared" si="90"/>
        <v>0</v>
      </c>
      <c r="O523" s="152">
        <f ca="1"/>
        <v>5.7455942994478724</v>
      </c>
      <c r="Q523" s="198">
        <v>0</v>
      </c>
      <c r="R523" s="200">
        <v>0</v>
      </c>
      <c r="S523" s="200">
        <v>0</v>
      </c>
      <c r="T523" s="200">
        <v>0</v>
      </c>
      <c r="U523" s="200">
        <f t="array" ref="U523">IF(U$77&gt;" ",(U$628:U$1078),"")</f>
        <v>0</v>
      </c>
      <c r="V523" s="200">
        <f t="array" ref="V523">IF(V$77&gt;" ",(V$628:V$1078),"")</f>
        <v>0</v>
      </c>
      <c r="W523" s="200">
        <f t="array" ref="W523">IF(W$77&gt;" ",(W$628:W$1078),"")</f>
        <v>0</v>
      </c>
      <c r="X523" s="200">
        <f t="array" ref="X523">IF(X$77&gt;" ",(X$628:X$1078),"")</f>
        <v>0</v>
      </c>
      <c r="Y523" s="204">
        <v>0</v>
      </c>
      <c r="Z523" s="198" t="str">
        <f t="shared" si="87"/>
        <v/>
      </c>
      <c r="AA523" s="198" t="str">
        <f t="shared" si="88"/>
        <v/>
      </c>
      <c r="AB523" s="198" t="str">
        <f t="shared" si="89"/>
        <v/>
      </c>
      <c r="AC523" s="198" t="str">
        <f t="shared" si="78"/>
        <v/>
      </c>
      <c r="AD523" s="198" t="str">
        <f t="shared" si="78"/>
        <v/>
      </c>
      <c r="AE523" s="198" t="str">
        <f t="shared" si="78"/>
        <v/>
      </c>
      <c r="AF523" s="198" t="str">
        <f t="shared" si="78"/>
        <v/>
      </c>
      <c r="AG523" s="198" t="str">
        <f t="shared" si="84"/>
        <v/>
      </c>
      <c r="AH523" s="198" t="str">
        <f t="shared" si="84"/>
        <v/>
      </c>
      <c r="AI523" s="200" t="str">
        <f t="shared" si="82"/>
        <v/>
      </c>
      <c r="AJ523" s="208" t="str">
        <f t="shared" si="83"/>
        <v/>
      </c>
      <c r="AK523" s="4"/>
      <c r="AL523" s="162">
        <v>280</v>
      </c>
      <c r="AM523" s="246"/>
      <c r="AN523" s="246"/>
      <c r="AO523" s="164">
        <v>2.3788610308813874E-25</v>
      </c>
      <c r="AP523" s="165">
        <v>1.4193035322156657E-28</v>
      </c>
      <c r="AR523" s="210">
        <v>5.590965479825087</v>
      </c>
      <c r="AS523" s="211">
        <v>5.8145511401644194</v>
      </c>
      <c r="AT523" s="211">
        <v>5.7455942994478724</v>
      </c>
      <c r="AU523" s="211">
        <v>5.7611509627135256</v>
      </c>
      <c r="AV523" s="211"/>
      <c r="AW523" s="212"/>
      <c r="AX523" s="210">
        <v>5.2153426132953511</v>
      </c>
      <c r="AY523" s="211">
        <v>5.7367821275337727</v>
      </c>
      <c r="AZ523" s="213">
        <v>94.172637771620032</v>
      </c>
    </row>
    <row r="524" spans="12:52" x14ac:dyDescent="0.25">
      <c r="L524" s="189">
        <v>275</v>
      </c>
      <c r="M524" s="196">
        <f t="shared" si="90"/>
        <v>0</v>
      </c>
      <c r="N524" s="197">
        <f t="shared" si="90"/>
        <v>0</v>
      </c>
      <c r="O524" s="152">
        <f ca="1"/>
        <v>5.9023937409359393</v>
      </c>
      <c r="Q524" s="198">
        <v>0</v>
      </c>
      <c r="R524" s="200">
        <v>0</v>
      </c>
      <c r="S524" s="200">
        <v>0</v>
      </c>
      <c r="T524" s="200">
        <v>0</v>
      </c>
      <c r="U524" s="200">
        <f t="array" ref="U524">IF(U$77&gt;" ",(U$628:U$1078),"")</f>
        <v>0</v>
      </c>
      <c r="V524" s="200">
        <f t="array" ref="V524">IF(V$77&gt;" ",(V$628:V$1078),"")</f>
        <v>0</v>
      </c>
      <c r="W524" s="200">
        <f t="array" ref="W524">IF(W$77&gt;" ",(W$628:W$1078),"")</f>
        <v>0</v>
      </c>
      <c r="X524" s="200">
        <f t="array" ref="X524">IF(X$77&gt;" ",(X$628:X$1078),"")</f>
        <v>0</v>
      </c>
      <c r="Y524" s="204">
        <v>0</v>
      </c>
      <c r="Z524" s="198" t="str">
        <f t="shared" si="87"/>
        <v/>
      </c>
      <c r="AA524" s="198" t="str">
        <f t="shared" si="88"/>
        <v/>
      </c>
      <c r="AB524" s="198" t="str">
        <f t="shared" si="89"/>
        <v/>
      </c>
      <c r="AC524" s="198" t="str">
        <f t="shared" si="78"/>
        <v/>
      </c>
      <c r="AD524" s="198" t="str">
        <f t="shared" si="78"/>
        <v/>
      </c>
      <c r="AE524" s="198" t="str">
        <f t="shared" si="78"/>
        <v/>
      </c>
      <c r="AF524" s="198" t="str">
        <f t="shared" si="78"/>
        <v/>
      </c>
      <c r="AG524" s="198" t="str">
        <f t="shared" si="84"/>
        <v/>
      </c>
      <c r="AH524" s="198" t="str">
        <f t="shared" si="84"/>
        <v/>
      </c>
      <c r="AI524" s="200" t="str">
        <f t="shared" si="82"/>
        <v/>
      </c>
      <c r="AJ524" s="208" t="str">
        <f t="shared" si="83"/>
        <v/>
      </c>
      <c r="AK524" s="4"/>
      <c r="AL524" s="162">
        <v>275</v>
      </c>
      <c r="AM524" s="246"/>
      <c r="AN524" s="246"/>
      <c r="AO524" s="163"/>
      <c r="AP524" s="247"/>
      <c r="AR524" s="210">
        <v>5.7420184217866046</v>
      </c>
      <c r="AS524" s="211">
        <v>5.9554533047243652</v>
      </c>
      <c r="AT524" s="211">
        <v>5.9023937409359393</v>
      </c>
      <c r="AU524" s="211">
        <v>5.9086760368022269</v>
      </c>
      <c r="AV524" s="211"/>
      <c r="AW524" s="212"/>
      <c r="AX524" s="210">
        <v>5.1811774936106438</v>
      </c>
      <c r="AY524" s="211">
        <v>5.7194307056130542</v>
      </c>
      <c r="AZ524" s="213">
        <v>93.918543978205975</v>
      </c>
    </row>
    <row r="525" spans="12:52" x14ac:dyDescent="0.25">
      <c r="L525" s="189">
        <v>270</v>
      </c>
      <c r="M525" s="196">
        <f t="shared" si="90"/>
        <v>0</v>
      </c>
      <c r="N525" s="197">
        <f t="shared" si="90"/>
        <v>0</v>
      </c>
      <c r="O525" s="152">
        <f ca="1"/>
        <v>5.7896821299471881</v>
      </c>
      <c r="Q525" s="198">
        <v>0</v>
      </c>
      <c r="R525" s="200">
        <v>0</v>
      </c>
      <c r="S525" s="200">
        <v>0</v>
      </c>
      <c r="T525" s="200">
        <v>0</v>
      </c>
      <c r="U525" s="200">
        <f t="array" ref="U525">IF(U$77&gt;" ",(U$628:U$1078),"")</f>
        <v>0</v>
      </c>
      <c r="V525" s="200">
        <f t="array" ref="V525">IF(V$77&gt;" ",(V$628:V$1078),"")</f>
        <v>0</v>
      </c>
      <c r="W525" s="200">
        <f t="array" ref="W525">IF(W$77&gt;" ",(W$628:W$1078),"")</f>
        <v>0</v>
      </c>
      <c r="X525" s="200">
        <f t="array" ref="X525">IF(X$77&gt;" ",(X$628:X$1078),"")</f>
        <v>0</v>
      </c>
      <c r="Y525" s="204">
        <v>0</v>
      </c>
      <c r="Z525" s="198" t="str">
        <f t="shared" si="87"/>
        <v/>
      </c>
      <c r="AA525" s="198" t="str">
        <f t="shared" si="88"/>
        <v/>
      </c>
      <c r="AB525" s="198" t="str">
        <f t="shared" si="89"/>
        <v/>
      </c>
      <c r="AC525" s="198" t="str">
        <f t="shared" si="78"/>
        <v/>
      </c>
      <c r="AD525" s="198" t="str">
        <f t="shared" si="78"/>
        <v/>
      </c>
      <c r="AE525" s="198" t="str">
        <f t="shared" si="78"/>
        <v/>
      </c>
      <c r="AF525" s="198" t="str">
        <f t="shared" si="78"/>
        <v/>
      </c>
      <c r="AG525" s="198" t="str">
        <f t="shared" si="84"/>
        <v/>
      </c>
      <c r="AH525" s="198" t="str">
        <f t="shared" si="84"/>
        <v/>
      </c>
      <c r="AI525" s="200" t="str">
        <f t="shared" si="82"/>
        <v/>
      </c>
      <c r="AJ525" s="208" t="str">
        <f t="shared" si="83"/>
        <v/>
      </c>
      <c r="AK525" s="4"/>
      <c r="AL525" s="162">
        <v>270</v>
      </c>
      <c r="AM525" s="246"/>
      <c r="AN525" s="246"/>
      <c r="AO525" s="163"/>
      <c r="AP525" s="247"/>
      <c r="AR525" s="210">
        <v>5.6258830513767251</v>
      </c>
      <c r="AS525" s="211">
        <v>5.8236699928827917</v>
      </c>
      <c r="AT525" s="211">
        <v>5.7896821299471881</v>
      </c>
      <c r="AU525" s="211">
        <v>5.7896311736309434</v>
      </c>
      <c r="AV525" s="211"/>
      <c r="AW525" s="212"/>
      <c r="AX525" s="210">
        <v>5.111818024745939</v>
      </c>
      <c r="AY525" s="211">
        <v>5.673581178393893</v>
      </c>
      <c r="AZ525" s="213">
        <v>93.948583485667967</v>
      </c>
    </row>
    <row r="526" spans="12:52" x14ac:dyDescent="0.25">
      <c r="L526" s="189">
        <v>265</v>
      </c>
      <c r="M526" s="196">
        <f t="shared" si="90"/>
        <v>0</v>
      </c>
      <c r="N526" s="197">
        <f t="shared" si="90"/>
        <v>0</v>
      </c>
      <c r="O526" s="152">
        <f ca="1"/>
        <v>5.890044855857238</v>
      </c>
      <c r="Q526" s="198">
        <v>0</v>
      </c>
      <c r="R526" s="200">
        <v>0</v>
      </c>
      <c r="S526" s="200">
        <v>0</v>
      </c>
      <c r="T526" s="200">
        <v>0</v>
      </c>
      <c r="U526" s="200">
        <f t="array" ref="U526">IF(U$77&gt;" ",(U$628:U$1078),"")</f>
        <v>0</v>
      </c>
      <c r="V526" s="200">
        <f t="array" ref="V526">IF(V$77&gt;" ",(V$628:V$1078),"")</f>
        <v>0</v>
      </c>
      <c r="W526" s="200">
        <f t="array" ref="W526">IF(W$77&gt;" ",(W$628:W$1078),"")</f>
        <v>0</v>
      </c>
      <c r="X526" s="200">
        <f t="array" ref="X526">IF(X$77&gt;" ",(X$628:X$1078),"")</f>
        <v>0</v>
      </c>
      <c r="Y526" s="204">
        <v>0</v>
      </c>
      <c r="Z526" s="198" t="str">
        <f t="shared" si="87"/>
        <v/>
      </c>
      <c r="AA526" s="198" t="str">
        <f t="shared" si="88"/>
        <v/>
      </c>
      <c r="AB526" s="198" t="str">
        <f t="shared" si="89"/>
        <v/>
      </c>
      <c r="AC526" s="198" t="str">
        <f t="shared" si="78"/>
        <v/>
      </c>
      <c r="AD526" s="198" t="str">
        <f t="shared" si="78"/>
        <v/>
      </c>
      <c r="AE526" s="198" t="str">
        <f t="shared" si="78"/>
        <v/>
      </c>
      <c r="AF526" s="198" t="str">
        <f t="shared" si="78"/>
        <v/>
      </c>
      <c r="AG526" s="198" t="str">
        <f t="shared" si="84"/>
        <v/>
      </c>
      <c r="AH526" s="198" t="str">
        <f t="shared" si="84"/>
        <v/>
      </c>
      <c r="AI526" s="200" t="str">
        <f t="shared" si="82"/>
        <v/>
      </c>
      <c r="AJ526" s="208" t="str">
        <f t="shared" si="83"/>
        <v/>
      </c>
      <c r="AK526" s="4"/>
      <c r="AL526" s="162">
        <v>265</v>
      </c>
      <c r="AM526" s="246"/>
      <c r="AN526" s="246"/>
      <c r="AO526" s="163"/>
      <c r="AP526" s="247"/>
      <c r="AR526" s="210">
        <v>5.713747288480997</v>
      </c>
      <c r="AS526" s="211">
        <v>5.9156364382183062</v>
      </c>
      <c r="AT526" s="211">
        <v>5.890044855857238</v>
      </c>
      <c r="AU526" s="211">
        <v>5.8776323202579581</v>
      </c>
      <c r="AV526" s="211"/>
      <c r="AW526" s="212"/>
      <c r="AX526" s="210">
        <v>5.0852114013818648</v>
      </c>
      <c r="AY526" s="211">
        <v>5.6798508572439026</v>
      </c>
      <c r="AZ526" s="213">
        <v>94.619547870478613</v>
      </c>
    </row>
    <row r="527" spans="12:52" x14ac:dyDescent="0.25">
      <c r="L527" s="189">
        <v>260</v>
      </c>
      <c r="M527" s="196">
        <f t="shared" ref="M527:N529" si="91">M1076</f>
        <v>0</v>
      </c>
      <c r="N527" s="197">
        <f t="shared" si="91"/>
        <v>0</v>
      </c>
      <c r="O527" s="152">
        <f ca="1"/>
        <v>5.9423344086523926</v>
      </c>
      <c r="Q527" s="198">
        <v>0</v>
      </c>
      <c r="R527" s="200">
        <v>0</v>
      </c>
      <c r="S527" s="200">
        <v>0</v>
      </c>
      <c r="T527" s="200">
        <v>0</v>
      </c>
      <c r="U527" s="200">
        <f t="array" ref="U527">IF(U$77&gt;" ",(U$628:U$1078),"")</f>
        <v>0</v>
      </c>
      <c r="V527" s="200">
        <f t="array" ref="V527">IF(V$77&gt;" ",(V$628:V$1078),"")</f>
        <v>0</v>
      </c>
      <c r="W527" s="200">
        <f t="array" ref="W527">IF(W$77&gt;" ",(W$628:W$1078),"")</f>
        <v>0</v>
      </c>
      <c r="X527" s="200">
        <f t="array" ref="X527">IF(X$77&gt;" ",(X$628:X$1078),"")</f>
        <v>0</v>
      </c>
      <c r="Y527" s="204">
        <v>0</v>
      </c>
      <c r="Z527" s="198" t="str">
        <f t="shared" si="87"/>
        <v/>
      </c>
      <c r="AA527" s="198" t="str">
        <f t="shared" si="88"/>
        <v/>
      </c>
      <c r="AB527" s="198" t="str">
        <f t="shared" si="89"/>
        <v/>
      </c>
      <c r="AC527" s="198" t="str">
        <f>IF(AND(T527&gt;0,T527&lt;999),(T527-$M527)/($N527-$M527)*$O527,"")</f>
        <v/>
      </c>
      <c r="AD527" s="198" t="str">
        <f>IF(AND(U527&gt;0,U527&lt;999),(U527-$M527)/($N527-$M527)*$O527,"")</f>
        <v/>
      </c>
      <c r="AE527" s="198" t="str">
        <f>IF(AND(V527&gt;0,V527&lt;999),(V527-$M527)/($N527-$M527)*$O527,"")</f>
        <v/>
      </c>
      <c r="AF527" s="198" t="str">
        <f>IF(AND(W527&gt;0,W527&lt;999),(W527-$M527)/($N527-$M527)*$O527,"")</f>
        <v/>
      </c>
      <c r="AG527" s="198" t="str">
        <f t="shared" si="84"/>
        <v/>
      </c>
      <c r="AH527" s="198" t="str">
        <f t="shared" si="84"/>
        <v/>
      </c>
      <c r="AI527" s="200" t="str">
        <f t="shared" si="82"/>
        <v/>
      </c>
      <c r="AJ527" s="208" t="str">
        <f t="shared" si="83"/>
        <v/>
      </c>
      <c r="AK527" s="4"/>
      <c r="AL527" s="162">
        <v>260</v>
      </c>
      <c r="AM527" s="246"/>
      <c r="AN527" s="246"/>
      <c r="AO527" s="163"/>
      <c r="AP527" s="247"/>
      <c r="AR527" s="210">
        <v>5.7722653938550987</v>
      </c>
      <c r="AS527" s="211">
        <v>5.9553626635337151</v>
      </c>
      <c r="AT527" s="211">
        <v>5.9423344086523926</v>
      </c>
      <c r="AU527" s="211">
        <v>5.9290488632796974</v>
      </c>
      <c r="AV527" s="211"/>
      <c r="AW527" s="212"/>
      <c r="AX527" s="210">
        <v>5.0684804059488302</v>
      </c>
      <c r="AY527" s="211">
        <v>5.6839172602683474</v>
      </c>
      <c r="AZ527" s="213">
        <v>94.609067365423584</v>
      </c>
    </row>
    <row r="528" spans="12:52" x14ac:dyDescent="0.25">
      <c r="L528" s="189">
        <v>255</v>
      </c>
      <c r="M528" s="196">
        <f t="shared" si="91"/>
        <v>0</v>
      </c>
      <c r="N528" s="197">
        <f t="shared" si="91"/>
        <v>0</v>
      </c>
      <c r="O528" s="152">
        <f ca="1"/>
        <v>6.1993985776999745</v>
      </c>
      <c r="Q528" s="198">
        <v>0</v>
      </c>
      <c r="R528" s="200">
        <v>0</v>
      </c>
      <c r="S528" s="200">
        <v>0</v>
      </c>
      <c r="T528" s="200">
        <v>0</v>
      </c>
      <c r="U528" s="200">
        <f t="array" ref="U528">IF(U$77&gt;" ",(U$628:U$1078),"")</f>
        <v>0</v>
      </c>
      <c r="V528" s="200">
        <f t="array" ref="V528">IF(V$77&gt;" ",(V$628:V$1078),"")</f>
        <v>0</v>
      </c>
      <c r="W528" s="200">
        <f t="array" ref="W528">IF(W$77&gt;" ",(W$628:W$1078),"")</f>
        <v>0</v>
      </c>
      <c r="X528" s="200">
        <f t="array" ref="X528">IF(X$77&gt;" ",(X$628:X$1078),"")</f>
        <v>0</v>
      </c>
      <c r="Y528" s="204">
        <v>0</v>
      </c>
      <c r="Z528" s="198" t="str">
        <f t="shared" ref="Z528:AF529" si="92">IF(AND(Q528&gt;0,Q528&lt;999),(Q528-$M528)/($N528-$M528)*$O528,"")</f>
        <v/>
      </c>
      <c r="AA528" s="198" t="str">
        <f t="shared" si="92"/>
        <v/>
      </c>
      <c r="AB528" s="198" t="str">
        <f t="shared" si="92"/>
        <v/>
      </c>
      <c r="AC528" s="198" t="str">
        <f t="shared" si="92"/>
        <v/>
      </c>
      <c r="AD528" s="198" t="str">
        <f t="shared" si="92"/>
        <v/>
      </c>
      <c r="AE528" s="198" t="str">
        <f t="shared" si="92"/>
        <v/>
      </c>
      <c r="AF528" s="198" t="str">
        <f t="shared" si="92"/>
        <v/>
      </c>
      <c r="AG528" s="198" t="str">
        <f t="shared" si="84"/>
        <v/>
      </c>
      <c r="AH528" s="198" t="str">
        <f t="shared" si="84"/>
        <v/>
      </c>
      <c r="AI528" s="200" t="str">
        <f>IFERROR(AVERAGE(Z528:AA528),"")</f>
        <v/>
      </c>
      <c r="AJ528" s="208" t="str">
        <f>IFERROR(AI528/100,"")</f>
        <v/>
      </c>
      <c r="AK528" s="4"/>
      <c r="AL528" s="162">
        <v>255</v>
      </c>
      <c r="AM528" s="246"/>
      <c r="AN528" s="246"/>
      <c r="AO528" s="163"/>
      <c r="AP528" s="247"/>
      <c r="AR528" s="210">
        <v>6.0274522869058735</v>
      </c>
      <c r="AS528" s="211">
        <v>6.192486711838737</v>
      </c>
      <c r="AT528" s="211">
        <v>6.1993985776999745</v>
      </c>
      <c r="AU528" s="211">
        <v>6.1704210706665785</v>
      </c>
      <c r="AV528" s="211"/>
      <c r="AW528" s="212"/>
      <c r="AX528" s="210">
        <v>5.1410629357342801</v>
      </c>
      <c r="AY528" s="211">
        <v>5.7158464888096381</v>
      </c>
      <c r="AZ528" s="213">
        <v>95.399293297298527</v>
      </c>
    </row>
    <row r="529" spans="12:52" ht="13" thickBot="1" x14ac:dyDescent="0.3">
      <c r="L529" s="248">
        <v>250</v>
      </c>
      <c r="M529" s="249">
        <f t="shared" si="91"/>
        <v>0</v>
      </c>
      <c r="N529" s="250">
        <f t="shared" si="91"/>
        <v>0</v>
      </c>
      <c r="O529" s="154">
        <f ca="1"/>
        <v>6.4189309248556468</v>
      </c>
      <c r="P529" s="4"/>
      <c r="Q529" s="231">
        <v>0</v>
      </c>
      <c r="R529" s="203">
        <v>0</v>
      </c>
      <c r="S529" s="203">
        <v>0</v>
      </c>
      <c r="T529" s="203">
        <v>0</v>
      </c>
      <c r="U529" s="200">
        <f t="array" ref="U529">IF(U$77&gt;" ",(U$628:U$1078),"")</f>
        <v>0</v>
      </c>
      <c r="V529" s="200">
        <f t="array" ref="V529">IF(V$77&gt;" ",(V$628:V$1078),"")</f>
        <v>0</v>
      </c>
      <c r="W529" s="200">
        <f t="array" ref="W529">IF(W$77&gt;" ",(W$628:W$1078),"")</f>
        <v>0</v>
      </c>
      <c r="X529" s="200">
        <f t="array" ref="X529">IF(X$77&gt;" ",(X$628:X$1078),"")</f>
        <v>0</v>
      </c>
      <c r="Y529" s="207">
        <v>0</v>
      </c>
      <c r="Z529" s="198" t="str">
        <f t="shared" si="92"/>
        <v/>
      </c>
      <c r="AA529" s="198" t="str">
        <f t="shared" si="92"/>
        <v/>
      </c>
      <c r="AB529" s="198" t="str">
        <f t="shared" si="92"/>
        <v/>
      </c>
      <c r="AC529" s="198" t="str">
        <f t="shared" si="92"/>
        <v/>
      </c>
      <c r="AD529" s="198" t="str">
        <f t="shared" si="92"/>
        <v/>
      </c>
      <c r="AE529" s="198" t="str">
        <f t="shared" si="92"/>
        <v/>
      </c>
      <c r="AF529" s="198" t="str">
        <f t="shared" si="92"/>
        <v/>
      </c>
      <c r="AG529" s="198" t="str">
        <f t="shared" si="84"/>
        <v/>
      </c>
      <c r="AH529" s="198" t="str">
        <f t="shared" si="84"/>
        <v/>
      </c>
      <c r="AI529" s="200" t="str">
        <f>IFERROR(AVERAGE(Z529:AA529),"")</f>
        <v/>
      </c>
      <c r="AJ529" s="208" t="str">
        <f>IFERROR(AI529/100,"")</f>
        <v/>
      </c>
      <c r="AK529" s="4"/>
      <c r="AL529" s="251">
        <v>250</v>
      </c>
      <c r="AM529" s="252"/>
      <c r="AN529" s="252"/>
      <c r="AO529" s="253"/>
      <c r="AP529" s="254"/>
      <c r="AQ529" s="4"/>
      <c r="AR529" s="255">
        <v>6.2551709192269183</v>
      </c>
      <c r="AS529" s="256">
        <v>6.3992691370636967</v>
      </c>
      <c r="AT529" s="256">
        <v>6.4189309248556468</v>
      </c>
      <c r="AU529" s="256">
        <v>6.3755993694526181</v>
      </c>
      <c r="AV529" s="256"/>
      <c r="AW529" s="257"/>
      <c r="AX529" s="255">
        <v>5.2620315850651354</v>
      </c>
      <c r="AY529" s="256">
        <v>5.7323579479186177</v>
      </c>
      <c r="AZ529" s="213">
        <v>94.762958230838805</v>
      </c>
    </row>
    <row r="530" spans="12:52" x14ac:dyDescent="0.25">
      <c r="L530" s="188"/>
      <c r="M530" s="258"/>
      <c r="O530" s="259"/>
      <c r="P530" s="188"/>
      <c r="R530" s="4"/>
      <c r="S530" s="4"/>
      <c r="T530" s="4"/>
      <c r="U530" s="4"/>
      <c r="V530" s="4"/>
      <c r="W530" s="4"/>
      <c r="X530" s="4"/>
      <c r="Y530" s="4"/>
      <c r="Z530" s="258"/>
      <c r="AA530" s="258"/>
      <c r="AB530" s="258"/>
      <c r="AC530" s="258"/>
      <c r="AD530" s="258"/>
      <c r="AE530" s="258"/>
      <c r="AF530" s="258"/>
      <c r="AG530" s="258"/>
      <c r="AH530" s="258"/>
      <c r="AI530" s="258"/>
      <c r="AJ530" s="188"/>
      <c r="AK530" s="188"/>
      <c r="AL530" s="260"/>
      <c r="AM530" s="260"/>
      <c r="AN530" s="261"/>
      <c r="AO530" s="261"/>
      <c r="AP530" s="261"/>
      <c r="AQ530" s="188"/>
      <c r="AR530" s="258">
        <v>6.4682769612200817</v>
      </c>
      <c r="AS530" s="258"/>
      <c r="AT530" s="188"/>
      <c r="AU530" s="188"/>
      <c r="AW530" s="188"/>
      <c r="AX530" s="188"/>
      <c r="AY530" s="188"/>
      <c r="AZ530" s="188"/>
    </row>
    <row r="531" spans="12:52" x14ac:dyDescent="0.25"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P531">
        <f>SUM(Sol_G173b)</f>
        <v>0.99999999999999933</v>
      </c>
      <c r="AR531">
        <v>6.4323249588775093</v>
      </c>
      <c r="AX531" s="188"/>
      <c r="AY531" s="188"/>
      <c r="AZ531" s="188"/>
    </row>
    <row r="532" spans="12:52" x14ac:dyDescent="0.25"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R532">
        <v>6.9182467711901063</v>
      </c>
      <c r="AX532" s="188"/>
      <c r="AY532" s="188"/>
      <c r="AZ532" s="188"/>
    </row>
    <row r="533" spans="12:52" x14ac:dyDescent="0.25"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R533">
        <v>7.0818016531803556</v>
      </c>
      <c r="AX533" s="188"/>
      <c r="AY533" s="188"/>
      <c r="AZ533" s="188"/>
    </row>
    <row r="534" spans="12:52" x14ac:dyDescent="0.25"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R534">
        <v>7.1607574577599777</v>
      </c>
      <c r="AX534" s="188"/>
      <c r="AY534" s="188"/>
      <c r="AZ534" s="188"/>
    </row>
    <row r="535" spans="12:52" x14ac:dyDescent="0.25"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R535">
        <v>7.011004165213536</v>
      </c>
      <c r="AX535" s="188"/>
      <c r="AY535" s="188"/>
      <c r="AZ535" s="188"/>
    </row>
    <row r="536" spans="12:52" ht="13" thickBot="1" x14ac:dyDescent="0.3"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X536" s="188"/>
      <c r="AY536" s="188"/>
      <c r="AZ536" s="188"/>
    </row>
    <row r="537" spans="12:52" ht="13" x14ac:dyDescent="0.3">
      <c r="M537" s="109" t="s">
        <v>161</v>
      </c>
      <c r="N537" s="109" t="s">
        <v>162</v>
      </c>
      <c r="Q537" s="262" t="s">
        <v>181</v>
      </c>
      <c r="R537" s="263"/>
      <c r="S537" s="263"/>
      <c r="T537" s="263"/>
      <c r="U537" s="21"/>
      <c r="V537" s="21"/>
      <c r="W537" s="21"/>
      <c r="X537" s="21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X537" s="188"/>
      <c r="AY537" s="188"/>
      <c r="AZ537" s="188"/>
    </row>
    <row r="538" spans="12:52" ht="13.5" thickBot="1" x14ac:dyDescent="0.35">
      <c r="M538" s="36" t="s">
        <v>161</v>
      </c>
      <c r="N538" s="36" t="s">
        <v>162</v>
      </c>
      <c r="Q538" s="264" t="str">
        <f>Mesn1</f>
        <v>M1</v>
      </c>
      <c r="R538" s="21" t="str">
        <f>Mesn2</f>
        <v>M2</v>
      </c>
      <c r="S538" s="21" t="str">
        <f>Mesn3</f>
        <v>M3</v>
      </c>
      <c r="T538" s="21" t="s">
        <v>220</v>
      </c>
      <c r="U538" s="21" t="s">
        <v>221</v>
      </c>
      <c r="V538" s="21" t="s">
        <v>222</v>
      </c>
      <c r="W538" s="21" t="s">
        <v>223</v>
      </c>
      <c r="X538" s="21" t="s">
        <v>224</v>
      </c>
      <c r="Y538" s="27" t="s">
        <v>225</v>
      </c>
      <c r="AX538" s="188"/>
      <c r="AY538" s="188"/>
      <c r="AZ538" s="188"/>
    </row>
    <row r="539" spans="12:52" ht="13" x14ac:dyDescent="0.3">
      <c r="M539" s="265" t="s">
        <v>182</v>
      </c>
      <c r="N539" s="265" t="s">
        <v>183</v>
      </c>
      <c r="O539" s="266"/>
      <c r="P539" s="267"/>
      <c r="Q539" s="268" t="s">
        <v>184</v>
      </c>
      <c r="R539" s="267" t="s">
        <v>185</v>
      </c>
      <c r="S539" s="267" t="s">
        <v>185</v>
      </c>
      <c r="T539" s="267" t="s">
        <v>185</v>
      </c>
      <c r="U539" s="267"/>
      <c r="V539" s="267"/>
      <c r="W539" s="267"/>
      <c r="X539" s="267"/>
      <c r="Y539" s="269"/>
      <c r="AX539" s="188"/>
      <c r="AY539" s="188"/>
      <c r="AZ539" s="188"/>
    </row>
    <row r="540" spans="12:52" ht="13" x14ac:dyDescent="0.3">
      <c r="M540" s="109" t="s">
        <v>186</v>
      </c>
      <c r="N540" s="109" t="s">
        <v>186</v>
      </c>
      <c r="P540" s="4"/>
      <c r="Q540" s="270" t="s">
        <v>186</v>
      </c>
      <c r="R540" s="74" t="s">
        <v>186</v>
      </c>
      <c r="S540" s="74" t="s">
        <v>186</v>
      </c>
      <c r="T540" s="74" t="s">
        <v>186</v>
      </c>
      <c r="U540" s="74"/>
      <c r="V540" s="74"/>
      <c r="W540" s="74"/>
      <c r="X540" s="74"/>
      <c r="Y540" s="21"/>
      <c r="AX540" s="188"/>
      <c r="AY540" s="188"/>
      <c r="AZ540" s="188"/>
    </row>
    <row r="541" spans="12:52" x14ac:dyDescent="0.25">
      <c r="L541" t="s">
        <v>4</v>
      </c>
      <c r="M541" s="109">
        <v>-1</v>
      </c>
      <c r="N541" s="109">
        <v>-1</v>
      </c>
      <c r="P541" s="4"/>
      <c r="Q541" s="270">
        <v>-1</v>
      </c>
      <c r="R541" s="74">
        <v>-1</v>
      </c>
      <c r="S541" s="74">
        <v>-1</v>
      </c>
      <c r="T541" s="74">
        <v>-1</v>
      </c>
      <c r="U541" s="74"/>
      <c r="V541" s="74"/>
      <c r="W541" s="74"/>
      <c r="X541" s="74"/>
      <c r="Y541" s="271"/>
      <c r="AX541" s="188"/>
      <c r="AY541" s="188"/>
      <c r="AZ541" s="188"/>
    </row>
    <row r="542" spans="12:52" x14ac:dyDescent="0.25">
      <c r="M542" s="109" t="s">
        <v>187</v>
      </c>
      <c r="N542" s="109" t="s">
        <v>188</v>
      </c>
      <c r="P542" s="4"/>
      <c r="Q542" s="270" t="s">
        <v>189</v>
      </c>
      <c r="R542" s="74" t="s">
        <v>190</v>
      </c>
      <c r="S542" s="74" t="s">
        <v>190</v>
      </c>
      <c r="T542" s="74" t="s">
        <v>190</v>
      </c>
      <c r="U542" s="74"/>
      <c r="V542" s="74"/>
      <c r="W542" s="74"/>
      <c r="X542" s="74"/>
      <c r="Y542" s="272"/>
      <c r="AX542" s="188"/>
      <c r="AY542" s="188"/>
      <c r="AZ542" s="188"/>
    </row>
    <row r="543" spans="12:52" x14ac:dyDescent="0.25">
      <c r="M543" s="273">
        <v>37478</v>
      </c>
      <c r="N543" s="273">
        <v>37478</v>
      </c>
      <c r="P543" s="4"/>
      <c r="Q543" s="270">
        <v>37478</v>
      </c>
      <c r="R543" s="74">
        <v>37478</v>
      </c>
      <c r="S543" s="74">
        <v>37478</v>
      </c>
      <c r="T543" s="74">
        <v>37478</v>
      </c>
      <c r="U543" s="74"/>
      <c r="V543" s="74"/>
      <c r="W543" s="74"/>
      <c r="X543" s="74"/>
      <c r="Y543" s="272"/>
      <c r="AX543" s="188"/>
      <c r="AY543" s="188"/>
      <c r="AZ543" s="188"/>
    </row>
    <row r="544" spans="12:52" x14ac:dyDescent="0.25">
      <c r="M544" s="109" t="s">
        <v>191</v>
      </c>
      <c r="N544" s="109" t="s">
        <v>192</v>
      </c>
      <c r="P544" s="4"/>
      <c r="Q544" s="270" t="s">
        <v>193</v>
      </c>
      <c r="R544" s="74" t="s">
        <v>194</v>
      </c>
      <c r="S544" s="74" t="s">
        <v>194</v>
      </c>
      <c r="T544" s="74" t="s">
        <v>194</v>
      </c>
      <c r="U544" s="74"/>
      <c r="V544" s="74"/>
      <c r="W544" s="74"/>
      <c r="X544" s="74"/>
      <c r="Y544" s="272"/>
      <c r="AX544" s="188"/>
      <c r="AY544" s="188"/>
      <c r="AZ544" s="188"/>
    </row>
    <row r="545" spans="13:52" x14ac:dyDescent="0.25">
      <c r="M545" s="273">
        <v>37478</v>
      </c>
      <c r="N545" s="273">
        <v>37478</v>
      </c>
      <c r="P545" s="4"/>
      <c r="Q545" s="270">
        <v>37478</v>
      </c>
      <c r="R545" s="74">
        <v>37478</v>
      </c>
      <c r="S545" s="74">
        <v>37478</v>
      </c>
      <c r="T545" s="74">
        <v>37478</v>
      </c>
      <c r="U545" s="74"/>
      <c r="V545" s="74"/>
      <c r="W545" s="74"/>
      <c r="X545" s="74"/>
      <c r="Y545" s="272"/>
      <c r="AX545" s="188"/>
      <c r="AY545" s="188"/>
      <c r="AZ545" s="188"/>
    </row>
    <row r="546" spans="13:52" x14ac:dyDescent="0.25">
      <c r="M546" s="109" t="s">
        <v>191</v>
      </c>
      <c r="N546" s="109" t="s">
        <v>192</v>
      </c>
      <c r="P546" s="4"/>
      <c r="Q546" s="270" t="s">
        <v>193</v>
      </c>
      <c r="R546" s="74" t="s">
        <v>194</v>
      </c>
      <c r="S546" s="74" t="s">
        <v>194</v>
      </c>
      <c r="T546" s="74" t="s">
        <v>194</v>
      </c>
      <c r="U546" s="74"/>
      <c r="V546" s="74"/>
      <c r="W546" s="74"/>
      <c r="X546" s="74"/>
      <c r="Y546" s="272"/>
      <c r="AX546" s="188"/>
      <c r="AY546" s="188"/>
      <c r="AZ546" s="188"/>
    </row>
    <row r="547" spans="13:52" x14ac:dyDescent="0.25">
      <c r="M547" s="109" t="s">
        <v>195</v>
      </c>
      <c r="N547" s="109" t="s">
        <v>195</v>
      </c>
      <c r="P547" s="4"/>
      <c r="Q547" s="270" t="s">
        <v>195</v>
      </c>
      <c r="R547" s="74" t="s">
        <v>195</v>
      </c>
      <c r="S547" s="74" t="s">
        <v>195</v>
      </c>
      <c r="T547" s="74" t="s">
        <v>195</v>
      </c>
      <c r="U547" s="74"/>
      <c r="V547" s="74"/>
      <c r="W547" s="74"/>
      <c r="X547" s="74"/>
      <c r="Y547" s="272"/>
      <c r="AX547" s="188"/>
      <c r="AY547" s="188"/>
      <c r="AZ547" s="188"/>
    </row>
    <row r="548" spans="13:52" x14ac:dyDescent="0.25">
      <c r="M548" s="109"/>
      <c r="N548" s="109"/>
      <c r="P548" s="4"/>
      <c r="Q548" s="270"/>
      <c r="R548" s="74"/>
      <c r="S548" s="74"/>
      <c r="T548" s="74"/>
      <c r="U548" s="74"/>
      <c r="V548" s="74"/>
      <c r="W548" s="74"/>
      <c r="X548" s="74"/>
      <c r="Y548" s="272"/>
      <c r="AX548" s="188"/>
      <c r="AY548" s="188"/>
      <c r="AZ548" s="188"/>
    </row>
    <row r="549" spans="13:52" x14ac:dyDescent="0.25">
      <c r="M549" s="109">
        <v>250</v>
      </c>
      <c r="N549" s="109">
        <v>250</v>
      </c>
      <c r="P549" s="4"/>
      <c r="Q549" s="270">
        <v>250</v>
      </c>
      <c r="R549" s="74">
        <v>250</v>
      </c>
      <c r="S549" s="74">
        <v>250</v>
      </c>
      <c r="T549" s="74">
        <v>250</v>
      </c>
      <c r="U549" s="74"/>
      <c r="V549" s="74"/>
      <c r="W549" s="74"/>
      <c r="X549" s="74"/>
      <c r="Y549" s="272"/>
      <c r="AX549" s="188"/>
      <c r="AY549" s="188"/>
      <c r="AZ549" s="188"/>
    </row>
    <row r="550" spans="13:52" x14ac:dyDescent="0.25">
      <c r="M550" s="109">
        <v>1</v>
      </c>
      <c r="N550" s="109">
        <v>1</v>
      </c>
      <c r="P550" s="4"/>
      <c r="Q550" s="270">
        <v>1</v>
      </c>
      <c r="R550" s="74">
        <v>1</v>
      </c>
      <c r="S550" s="74">
        <v>1</v>
      </c>
      <c r="T550" s="74">
        <v>1</v>
      </c>
      <c r="U550" s="74"/>
      <c r="V550" s="74"/>
      <c r="W550" s="74"/>
      <c r="X550" s="74"/>
      <c r="Y550" s="272"/>
      <c r="AX550" s="188"/>
      <c r="AY550" s="188"/>
      <c r="AZ550" s="188"/>
    </row>
    <row r="551" spans="13:52" x14ac:dyDescent="0.25">
      <c r="M551" s="109" t="s">
        <v>196</v>
      </c>
      <c r="N551" s="109" t="s">
        <v>196</v>
      </c>
      <c r="P551" s="4"/>
      <c r="Q551" s="270" t="s">
        <v>196</v>
      </c>
      <c r="R551" s="74" t="s">
        <v>196</v>
      </c>
      <c r="S551" s="74" t="s">
        <v>196</v>
      </c>
      <c r="T551" s="74" t="s">
        <v>196</v>
      </c>
      <c r="U551" s="74"/>
      <c r="V551" s="74"/>
      <c r="W551" s="74"/>
      <c r="X551" s="74"/>
      <c r="Y551" s="272"/>
      <c r="AX551" s="188"/>
      <c r="AY551" s="188"/>
      <c r="AZ551" s="188"/>
    </row>
    <row r="552" spans="13:52" x14ac:dyDescent="0.25">
      <c r="M552" s="109" t="s">
        <v>197</v>
      </c>
      <c r="N552" s="109" t="s">
        <v>197</v>
      </c>
      <c r="P552" s="4"/>
      <c r="Q552" s="270" t="s">
        <v>197</v>
      </c>
      <c r="R552" s="74" t="s">
        <v>197</v>
      </c>
      <c r="S552" s="74" t="s">
        <v>197</v>
      </c>
      <c r="T552" s="74" t="s">
        <v>197</v>
      </c>
      <c r="U552" s="74"/>
      <c r="V552" s="74"/>
      <c r="W552" s="74"/>
      <c r="X552" s="74"/>
      <c r="Y552" s="272"/>
      <c r="AX552" s="188"/>
      <c r="AY552" s="188"/>
      <c r="AZ552" s="188"/>
    </row>
    <row r="553" spans="13:52" x14ac:dyDescent="0.25">
      <c r="M553" s="109" t="s">
        <v>198</v>
      </c>
      <c r="N553" s="109" t="s">
        <v>198</v>
      </c>
      <c r="P553" s="4"/>
      <c r="Q553" s="270" t="s">
        <v>198</v>
      </c>
      <c r="R553" s="74" t="s">
        <v>198</v>
      </c>
      <c r="S553" s="74" t="s">
        <v>198</v>
      </c>
      <c r="T553" s="74" t="s">
        <v>198</v>
      </c>
      <c r="U553" s="74"/>
      <c r="V553" s="74"/>
      <c r="W553" s="74"/>
      <c r="X553" s="74"/>
      <c r="Y553" s="272"/>
      <c r="AX553" s="188"/>
      <c r="AY553" s="188"/>
      <c r="AZ553" s="188"/>
    </row>
    <row r="554" spans="13:52" x14ac:dyDescent="0.25">
      <c r="M554" s="109"/>
      <c r="N554" s="109"/>
      <c r="P554" s="4"/>
      <c r="Q554" s="270"/>
      <c r="R554" s="74"/>
      <c r="S554" s="74"/>
      <c r="T554" s="74"/>
      <c r="U554" s="74"/>
      <c r="V554" s="74"/>
      <c r="W554" s="74"/>
      <c r="X554" s="74"/>
      <c r="Y554" s="272"/>
      <c r="AX554" s="188"/>
      <c r="AY554" s="188"/>
      <c r="AZ554" s="188"/>
    </row>
    <row r="555" spans="13:52" x14ac:dyDescent="0.25">
      <c r="M555" s="109">
        <v>0</v>
      </c>
      <c r="N555" s="109">
        <v>0</v>
      </c>
      <c r="P555" s="4"/>
      <c r="Q555" s="270">
        <v>0</v>
      </c>
      <c r="R555" s="74">
        <v>0</v>
      </c>
      <c r="S555" s="74">
        <v>0</v>
      </c>
      <c r="T555" s="74">
        <v>0</v>
      </c>
      <c r="U555" s="74"/>
      <c r="V555" s="74"/>
      <c r="W555" s="74"/>
      <c r="X555" s="74"/>
      <c r="Y555" s="272"/>
      <c r="AX555" s="188"/>
      <c r="AY555" s="188"/>
      <c r="AZ555" s="188"/>
    </row>
    <row r="556" spans="13:52" x14ac:dyDescent="0.25">
      <c r="M556" s="109">
        <v>0</v>
      </c>
      <c r="N556" s="109">
        <v>0</v>
      </c>
      <c r="P556" s="4"/>
      <c r="Q556" s="270">
        <v>0</v>
      </c>
      <c r="R556" s="74">
        <v>0</v>
      </c>
      <c r="S556" s="74">
        <v>0</v>
      </c>
      <c r="T556" s="74">
        <v>0</v>
      </c>
      <c r="U556" s="74"/>
      <c r="V556" s="74"/>
      <c r="W556" s="74"/>
      <c r="X556" s="74"/>
      <c r="Y556" s="272"/>
      <c r="AX556" s="188"/>
      <c r="AY556" s="188"/>
      <c r="AZ556" s="188"/>
    </row>
    <row r="557" spans="13:52" x14ac:dyDescent="0.25">
      <c r="M557" s="109" t="s">
        <v>199</v>
      </c>
      <c r="N557" s="109" t="s">
        <v>199</v>
      </c>
      <c r="P557" s="4"/>
      <c r="Q557" s="270" t="s">
        <v>199</v>
      </c>
      <c r="R557" s="74" t="s">
        <v>199</v>
      </c>
      <c r="S557" s="74" t="s">
        <v>199</v>
      </c>
      <c r="T557" s="74" t="s">
        <v>199</v>
      </c>
      <c r="U557" s="74"/>
      <c r="V557" s="74"/>
      <c r="W557" s="74"/>
      <c r="X557" s="74"/>
      <c r="Y557" s="272"/>
      <c r="AX557" s="188"/>
      <c r="AY557" s="188"/>
      <c r="AZ557" s="188"/>
    </row>
    <row r="558" spans="13:52" x14ac:dyDescent="0.25">
      <c r="M558" s="109">
        <v>0</v>
      </c>
      <c r="N558" s="109">
        <v>0</v>
      </c>
      <c r="P558" s="4"/>
      <c r="Q558" s="270">
        <v>0</v>
      </c>
      <c r="R558" s="74">
        <v>0</v>
      </c>
      <c r="S558" s="74">
        <v>0</v>
      </c>
      <c r="T558" s="74">
        <v>0</v>
      </c>
      <c r="U558" s="74"/>
      <c r="V558" s="74"/>
      <c r="W558" s="74"/>
      <c r="X558" s="74"/>
      <c r="Y558" s="272"/>
      <c r="AX558" s="188"/>
      <c r="AY558" s="188"/>
      <c r="AZ558" s="188"/>
    </row>
    <row r="559" spans="13:52" x14ac:dyDescent="0.25">
      <c r="M559" s="109">
        <v>0</v>
      </c>
      <c r="N559" s="109">
        <v>0</v>
      </c>
      <c r="P559" s="4"/>
      <c r="Q559" s="270">
        <v>0</v>
      </c>
      <c r="R559" s="74">
        <v>0</v>
      </c>
      <c r="S559" s="74">
        <v>0</v>
      </c>
      <c r="T559" s="74">
        <v>0</v>
      </c>
      <c r="U559" s="74"/>
      <c r="V559" s="74"/>
      <c r="W559" s="74"/>
      <c r="X559" s="74"/>
      <c r="Y559" s="272"/>
      <c r="AX559" s="188"/>
      <c r="AY559" s="188"/>
      <c r="AZ559" s="188"/>
    </row>
    <row r="560" spans="13:52" x14ac:dyDescent="0.25">
      <c r="M560" s="109" t="s">
        <v>200</v>
      </c>
      <c r="N560" s="109" t="s">
        <v>200</v>
      </c>
      <c r="P560" s="4"/>
      <c r="Q560" s="270" t="s">
        <v>200</v>
      </c>
      <c r="R560" s="74" t="s">
        <v>200</v>
      </c>
      <c r="S560" s="74" t="s">
        <v>200</v>
      </c>
      <c r="T560" s="74" t="s">
        <v>200</v>
      </c>
      <c r="U560" s="74"/>
      <c r="V560" s="74"/>
      <c r="W560" s="74"/>
      <c r="X560" s="74"/>
      <c r="Y560" s="272"/>
      <c r="AX560" s="188"/>
      <c r="AY560" s="188"/>
      <c r="AZ560" s="188"/>
    </row>
    <row r="561" spans="13:52" x14ac:dyDescent="0.25">
      <c r="M561" s="109">
        <v>1</v>
      </c>
      <c r="N561" s="109">
        <v>1</v>
      </c>
      <c r="P561" s="4"/>
      <c r="Q561" s="270">
        <v>1</v>
      </c>
      <c r="R561" s="74">
        <v>1</v>
      </c>
      <c r="S561" s="74">
        <v>1</v>
      </c>
      <c r="T561" s="74">
        <v>1</v>
      </c>
      <c r="U561" s="74"/>
      <c r="V561" s="74"/>
      <c r="W561" s="74"/>
      <c r="X561" s="74"/>
      <c r="Y561" s="272"/>
      <c r="AX561" s="188"/>
      <c r="AY561" s="188"/>
      <c r="AZ561" s="188"/>
    </row>
    <row r="562" spans="13:52" x14ac:dyDescent="0.25">
      <c r="M562" s="109">
        <v>1</v>
      </c>
      <c r="N562" s="109">
        <v>1</v>
      </c>
      <c r="P562" s="4"/>
      <c r="Q562" s="270">
        <v>1</v>
      </c>
      <c r="R562" s="74">
        <v>1</v>
      </c>
      <c r="S562" s="74">
        <v>1</v>
      </c>
      <c r="T562" s="74">
        <v>1</v>
      </c>
      <c r="U562" s="74"/>
      <c r="V562" s="74"/>
      <c r="W562" s="74"/>
      <c r="X562" s="74"/>
      <c r="Y562" s="272"/>
      <c r="AX562" s="188"/>
      <c r="AY562" s="188"/>
      <c r="AZ562" s="188"/>
    </row>
    <row r="563" spans="13:52" x14ac:dyDescent="0.25">
      <c r="M563" s="109">
        <v>1</v>
      </c>
      <c r="N563" s="109">
        <v>1</v>
      </c>
      <c r="P563" s="4"/>
      <c r="Q563" s="270">
        <v>1</v>
      </c>
      <c r="R563" s="74">
        <v>1</v>
      </c>
      <c r="S563" s="74">
        <v>1</v>
      </c>
      <c r="T563" s="74">
        <v>1</v>
      </c>
      <c r="U563" s="74"/>
      <c r="V563" s="74"/>
      <c r="W563" s="74"/>
      <c r="X563" s="74"/>
      <c r="Y563" s="272"/>
      <c r="AX563" s="188"/>
      <c r="AY563" s="188"/>
      <c r="AZ563" s="188"/>
    </row>
    <row r="564" spans="13:52" x14ac:dyDescent="0.25">
      <c r="M564" s="109" t="s">
        <v>201</v>
      </c>
      <c r="N564" s="109" t="s">
        <v>201</v>
      </c>
      <c r="P564" s="4"/>
      <c r="Q564" s="270" t="s">
        <v>201</v>
      </c>
      <c r="R564" s="74" t="s">
        <v>201</v>
      </c>
      <c r="S564" s="74" t="s">
        <v>201</v>
      </c>
      <c r="T564" s="74" t="s">
        <v>201</v>
      </c>
      <c r="U564" s="74"/>
      <c r="V564" s="74"/>
      <c r="W564" s="74"/>
      <c r="X564" s="74"/>
      <c r="Y564" s="272"/>
      <c r="AX564" s="188"/>
      <c r="AY564" s="188"/>
      <c r="AZ564" s="188"/>
    </row>
    <row r="565" spans="13:52" x14ac:dyDescent="0.25">
      <c r="M565" s="109">
        <v>0</v>
      </c>
      <c r="N565" s="109">
        <v>0</v>
      </c>
      <c r="P565" s="4"/>
      <c r="Q565" s="270">
        <v>0</v>
      </c>
      <c r="R565" s="74">
        <v>0</v>
      </c>
      <c r="S565" s="74">
        <v>0</v>
      </c>
      <c r="T565" s="74">
        <v>0</v>
      </c>
      <c r="U565" s="74"/>
      <c r="V565" s="74"/>
      <c r="W565" s="74"/>
      <c r="X565" s="74"/>
      <c r="Y565" s="272"/>
      <c r="AX565" s="188"/>
      <c r="AY565" s="188"/>
      <c r="AZ565" s="188"/>
    </row>
    <row r="566" spans="13:52" x14ac:dyDescent="0.25">
      <c r="M566" s="109">
        <v>0</v>
      </c>
      <c r="N566" s="109">
        <v>0</v>
      </c>
      <c r="P566" s="4"/>
      <c r="Q566" s="270">
        <v>0</v>
      </c>
      <c r="R566" s="74">
        <v>0</v>
      </c>
      <c r="S566" s="74">
        <v>0</v>
      </c>
      <c r="T566" s="74">
        <v>0</v>
      </c>
      <c r="U566" s="74"/>
      <c r="V566" s="74"/>
      <c r="W566" s="74"/>
      <c r="X566" s="74"/>
      <c r="Y566" s="272"/>
      <c r="AX566" s="188"/>
      <c r="AY566" s="188"/>
      <c r="AZ566" s="188"/>
    </row>
    <row r="567" spans="13:52" x14ac:dyDescent="0.25">
      <c r="M567" s="109">
        <v>0</v>
      </c>
      <c r="N567" s="109">
        <v>0</v>
      </c>
      <c r="P567" s="4"/>
      <c r="Q567" s="270">
        <v>0</v>
      </c>
      <c r="R567" s="74">
        <v>0</v>
      </c>
      <c r="S567" s="74">
        <v>0</v>
      </c>
      <c r="T567" s="74">
        <v>0</v>
      </c>
      <c r="U567" s="74"/>
      <c r="V567" s="74"/>
      <c r="W567" s="74"/>
      <c r="X567" s="74"/>
      <c r="Y567" s="272"/>
      <c r="AX567" s="188"/>
      <c r="AY567" s="188"/>
      <c r="AZ567" s="188"/>
    </row>
    <row r="568" spans="13:52" x14ac:dyDescent="0.25">
      <c r="M568" s="109">
        <v>0</v>
      </c>
      <c r="N568" s="109">
        <v>0</v>
      </c>
      <c r="P568" s="4"/>
      <c r="Q568" s="270">
        <v>0</v>
      </c>
      <c r="R568" s="74">
        <v>0</v>
      </c>
      <c r="S568" s="74">
        <v>0</v>
      </c>
      <c r="T568" s="74">
        <v>0</v>
      </c>
      <c r="U568" s="74"/>
      <c r="V568" s="74"/>
      <c r="W568" s="74"/>
      <c r="X568" s="74"/>
      <c r="Y568" s="272"/>
      <c r="AX568" s="188"/>
      <c r="AY568" s="188"/>
      <c r="AZ568" s="188"/>
    </row>
    <row r="569" spans="13:52" x14ac:dyDescent="0.25">
      <c r="M569" s="109" t="s">
        <v>202</v>
      </c>
      <c r="N569" s="109" t="s">
        <v>202</v>
      </c>
      <c r="P569" s="4"/>
      <c r="Q569" s="270" t="s">
        <v>202</v>
      </c>
      <c r="R569" s="74" t="s">
        <v>202</v>
      </c>
      <c r="S569" s="74" t="s">
        <v>202</v>
      </c>
      <c r="T569" s="74" t="s">
        <v>202</v>
      </c>
      <c r="U569" s="74"/>
      <c r="V569" s="74"/>
      <c r="W569" s="74"/>
      <c r="X569" s="74"/>
      <c r="Y569" s="272"/>
      <c r="AX569" s="188"/>
      <c r="AY569" s="188"/>
      <c r="AZ569" s="188"/>
    </row>
    <row r="570" spans="13:52" x14ac:dyDescent="0.25">
      <c r="M570" s="109" t="s">
        <v>202</v>
      </c>
      <c r="N570" s="109" t="s">
        <v>202</v>
      </c>
      <c r="P570" s="4"/>
      <c r="Q570" s="270" t="s">
        <v>202</v>
      </c>
      <c r="R570" s="74" t="s">
        <v>202</v>
      </c>
      <c r="S570" s="74" t="s">
        <v>202</v>
      </c>
      <c r="T570" s="74" t="s">
        <v>202</v>
      </c>
      <c r="U570" s="74"/>
      <c r="V570" s="74"/>
      <c r="W570" s="74"/>
      <c r="X570" s="74"/>
      <c r="Y570" s="272"/>
      <c r="AX570" s="188"/>
      <c r="AY570" s="188"/>
      <c r="AZ570" s="188"/>
    </row>
    <row r="571" spans="13:52" x14ac:dyDescent="0.25">
      <c r="M571" s="109" t="s">
        <v>199</v>
      </c>
      <c r="N571" s="109" t="s">
        <v>199</v>
      </c>
      <c r="P571" s="4"/>
      <c r="Q571" s="270" t="s">
        <v>199</v>
      </c>
      <c r="R571" s="74" t="s">
        <v>199</v>
      </c>
      <c r="S571" s="74" t="s">
        <v>199</v>
      </c>
      <c r="T571" s="74" t="s">
        <v>199</v>
      </c>
      <c r="U571" s="74"/>
      <c r="V571" s="74"/>
      <c r="W571" s="74"/>
      <c r="X571" s="74"/>
      <c r="Y571" s="272"/>
      <c r="AX571" s="188"/>
      <c r="AY571" s="188"/>
      <c r="AZ571" s="188"/>
    </row>
    <row r="572" spans="13:52" x14ac:dyDescent="0.25">
      <c r="M572" s="109" t="s">
        <v>203</v>
      </c>
      <c r="N572" s="109" t="s">
        <v>203</v>
      </c>
      <c r="P572" s="4"/>
      <c r="Q572" s="270" t="s">
        <v>203</v>
      </c>
      <c r="R572" s="74" t="s">
        <v>203</v>
      </c>
      <c r="S572" s="74" t="s">
        <v>203</v>
      </c>
      <c r="T572" s="74" t="s">
        <v>203</v>
      </c>
      <c r="U572" s="74"/>
      <c r="V572" s="74"/>
      <c r="W572" s="74"/>
      <c r="X572" s="74"/>
      <c r="Y572" s="272"/>
      <c r="AX572" s="188"/>
      <c r="AY572" s="188"/>
      <c r="AZ572" s="188"/>
    </row>
    <row r="573" spans="13:52" x14ac:dyDescent="0.25">
      <c r="M573" s="109" t="s">
        <v>203</v>
      </c>
      <c r="N573" s="109" t="s">
        <v>203</v>
      </c>
      <c r="P573" s="4"/>
      <c r="Q573" s="270" t="s">
        <v>203</v>
      </c>
      <c r="R573" s="74" t="s">
        <v>203</v>
      </c>
      <c r="S573" s="74" t="s">
        <v>203</v>
      </c>
      <c r="T573" s="74" t="s">
        <v>203</v>
      </c>
      <c r="U573" s="74"/>
      <c r="V573" s="74"/>
      <c r="W573" s="74"/>
      <c r="X573" s="74"/>
      <c r="Y573" s="272"/>
      <c r="AX573" s="188"/>
      <c r="AY573" s="188"/>
      <c r="AZ573" s="188"/>
    </row>
    <row r="574" spans="13:52" x14ac:dyDescent="0.25">
      <c r="M574" s="109">
        <v>0</v>
      </c>
      <c r="N574" s="109">
        <v>0</v>
      </c>
      <c r="P574" s="4"/>
      <c r="Q574" s="270">
        <v>0</v>
      </c>
      <c r="R574" s="74">
        <v>0</v>
      </c>
      <c r="S574" s="74">
        <v>0</v>
      </c>
      <c r="T574" s="74">
        <v>0</v>
      </c>
      <c r="U574" s="74"/>
      <c r="V574" s="74"/>
      <c r="W574" s="74"/>
      <c r="X574" s="74"/>
      <c r="Y574" s="272"/>
      <c r="AX574" s="188"/>
      <c r="AY574" s="188"/>
      <c r="AZ574" s="188"/>
    </row>
    <row r="575" spans="13:52" x14ac:dyDescent="0.25">
      <c r="M575" s="109">
        <v>1</v>
      </c>
      <c r="N575" s="109">
        <v>1</v>
      </c>
      <c r="P575" s="4"/>
      <c r="Q575" s="270">
        <v>1</v>
      </c>
      <c r="R575" s="74">
        <v>1</v>
      </c>
      <c r="S575" s="74">
        <v>1</v>
      </c>
      <c r="T575" s="74">
        <v>1</v>
      </c>
      <c r="U575" s="74"/>
      <c r="V575" s="74"/>
      <c r="W575" s="74"/>
      <c r="X575" s="74"/>
      <c r="Y575" s="272"/>
      <c r="AX575" s="188"/>
      <c r="AY575" s="188"/>
      <c r="AZ575" s="188"/>
    </row>
    <row r="576" spans="13:52" x14ac:dyDescent="0.25">
      <c r="M576" s="109" t="s">
        <v>4</v>
      </c>
      <c r="N576" s="109" t="s">
        <v>4</v>
      </c>
      <c r="P576" s="4"/>
      <c r="Q576" s="270" t="s">
        <v>4</v>
      </c>
      <c r="R576" s="74" t="s">
        <v>4</v>
      </c>
      <c r="S576" s="74" t="s">
        <v>4</v>
      </c>
      <c r="T576" s="74" t="s">
        <v>4</v>
      </c>
      <c r="U576" s="74"/>
      <c r="V576" s="74"/>
      <c r="W576" s="74"/>
      <c r="X576" s="74"/>
      <c r="Y576" s="272"/>
      <c r="AX576" s="188"/>
      <c r="AY576" s="188"/>
      <c r="AZ576" s="188"/>
    </row>
    <row r="577" spans="13:52" x14ac:dyDescent="0.25">
      <c r="M577" s="109" t="s">
        <v>4</v>
      </c>
      <c r="N577" s="109" t="s">
        <v>4</v>
      </c>
      <c r="P577" s="4"/>
      <c r="Q577" s="270" t="s">
        <v>4</v>
      </c>
      <c r="R577" s="74" t="s">
        <v>4</v>
      </c>
      <c r="S577" s="74" t="s">
        <v>4</v>
      </c>
      <c r="T577" s="74" t="s">
        <v>4</v>
      </c>
      <c r="U577" s="74"/>
      <c r="V577" s="74"/>
      <c r="W577" s="74"/>
      <c r="X577" s="74"/>
      <c r="Y577" s="272"/>
      <c r="AX577" s="188"/>
      <c r="AY577" s="188"/>
      <c r="AZ577" s="188"/>
    </row>
    <row r="578" spans="13:52" x14ac:dyDescent="0.25">
      <c r="M578" s="109" t="s">
        <v>4</v>
      </c>
      <c r="N578" s="109" t="s">
        <v>4</v>
      </c>
      <c r="P578" s="4"/>
      <c r="Q578" s="270" t="s">
        <v>4</v>
      </c>
      <c r="R578" s="74" t="s">
        <v>4</v>
      </c>
      <c r="S578" s="74" t="s">
        <v>4</v>
      </c>
      <c r="T578" s="74" t="s">
        <v>4</v>
      </c>
      <c r="U578" s="74"/>
      <c r="V578" s="74"/>
      <c r="W578" s="74"/>
      <c r="X578" s="74"/>
      <c r="Y578" s="272"/>
      <c r="AX578" s="188"/>
      <c r="AY578" s="188"/>
      <c r="AZ578" s="188"/>
    </row>
    <row r="579" spans="13:52" x14ac:dyDescent="0.25">
      <c r="M579" s="109">
        <v>0</v>
      </c>
      <c r="N579" s="109">
        <v>0</v>
      </c>
      <c r="P579" s="4"/>
      <c r="Q579" s="270">
        <v>0</v>
      </c>
      <c r="R579" s="74">
        <v>0</v>
      </c>
      <c r="S579" s="74">
        <v>0</v>
      </c>
      <c r="T579" s="74">
        <v>0</v>
      </c>
      <c r="U579" s="74"/>
      <c r="V579" s="74"/>
      <c r="W579" s="74"/>
      <c r="X579" s="74"/>
      <c r="Y579" s="272"/>
      <c r="AX579" s="188"/>
      <c r="AY579" s="188"/>
      <c r="AZ579" s="188"/>
    </row>
    <row r="580" spans="13:52" x14ac:dyDescent="0.25">
      <c r="M580" s="109" t="s">
        <v>4</v>
      </c>
      <c r="N580" s="109" t="s">
        <v>4</v>
      </c>
      <c r="P580" s="4"/>
      <c r="Q580" s="270" t="s">
        <v>4</v>
      </c>
      <c r="R580" s="74" t="s">
        <v>4</v>
      </c>
      <c r="S580" s="74" t="s">
        <v>4</v>
      </c>
      <c r="T580" s="74" t="s">
        <v>4</v>
      </c>
      <c r="U580" s="74"/>
      <c r="V580" s="74"/>
      <c r="W580" s="74"/>
      <c r="X580" s="74"/>
      <c r="Y580" s="272"/>
      <c r="AX580" s="188"/>
      <c r="AY580" s="188"/>
      <c r="AZ580" s="188"/>
    </row>
    <row r="581" spans="13:52" x14ac:dyDescent="0.25">
      <c r="M581" s="109">
        <v>860.8</v>
      </c>
      <c r="N581" s="109">
        <v>860.8</v>
      </c>
      <c r="P581" s="4"/>
      <c r="Q581" s="270">
        <v>860.8</v>
      </c>
      <c r="R581" s="74">
        <v>860.8</v>
      </c>
      <c r="S581" s="74">
        <v>860.8</v>
      </c>
      <c r="T581" s="74">
        <v>860.8</v>
      </c>
      <c r="U581" s="74"/>
      <c r="V581" s="74"/>
      <c r="W581" s="74"/>
      <c r="X581" s="74"/>
      <c r="Y581" s="272"/>
      <c r="AX581" s="188"/>
      <c r="AY581" s="188"/>
      <c r="AZ581" s="188"/>
    </row>
    <row r="582" spans="13:52" x14ac:dyDescent="0.25">
      <c r="M582" s="109">
        <v>319.2</v>
      </c>
      <c r="N582" s="109">
        <v>319.2</v>
      </c>
      <c r="P582" s="4"/>
      <c r="Q582" s="270">
        <v>319.2</v>
      </c>
      <c r="R582" s="74">
        <v>319.2</v>
      </c>
      <c r="S582" s="74">
        <v>319.2</v>
      </c>
      <c r="T582" s="74">
        <v>319.2</v>
      </c>
      <c r="U582" s="74"/>
      <c r="V582" s="74"/>
      <c r="W582" s="74"/>
      <c r="X582" s="74"/>
      <c r="Y582" s="272"/>
      <c r="AX582" s="188"/>
      <c r="AY582" s="188"/>
      <c r="AZ582" s="188"/>
    </row>
    <row r="583" spans="13:52" x14ac:dyDescent="0.25">
      <c r="M583" s="109">
        <v>860.8</v>
      </c>
      <c r="N583" s="109">
        <v>860.8</v>
      </c>
      <c r="P583" s="4"/>
      <c r="Q583" s="270">
        <v>860.8</v>
      </c>
      <c r="R583" s="74">
        <v>860.8</v>
      </c>
      <c r="S583" s="74">
        <v>860.8</v>
      </c>
      <c r="T583" s="74">
        <v>860.8</v>
      </c>
      <c r="U583" s="74"/>
      <c r="V583" s="74"/>
      <c r="W583" s="74"/>
      <c r="X583" s="74"/>
      <c r="Y583" s="272"/>
      <c r="AX583" s="188"/>
      <c r="AY583" s="188"/>
      <c r="AZ583" s="188"/>
    </row>
    <row r="584" spans="13:52" x14ac:dyDescent="0.25">
      <c r="M584" s="109" t="s">
        <v>204</v>
      </c>
      <c r="N584" s="109" t="s">
        <v>204</v>
      </c>
      <c r="P584" s="4"/>
      <c r="Q584" s="270" t="s">
        <v>204</v>
      </c>
      <c r="R584" s="74" t="s">
        <v>204</v>
      </c>
      <c r="S584" s="74" t="s">
        <v>204</v>
      </c>
      <c r="T584" s="74" t="s">
        <v>204</v>
      </c>
      <c r="U584" s="74"/>
      <c r="V584" s="74"/>
      <c r="W584" s="74"/>
      <c r="X584" s="74"/>
      <c r="Y584" s="272"/>
      <c r="AX584" s="188"/>
      <c r="AY584" s="188"/>
      <c r="AZ584" s="188"/>
    </row>
    <row r="585" spans="13:52" x14ac:dyDescent="0.25">
      <c r="M585" s="109">
        <v>100</v>
      </c>
      <c r="N585" s="109">
        <v>100</v>
      </c>
      <c r="P585" s="4"/>
      <c r="Q585" s="270">
        <v>100</v>
      </c>
      <c r="R585" s="74">
        <v>100</v>
      </c>
      <c r="S585" s="74">
        <v>100</v>
      </c>
      <c r="T585" s="74">
        <v>100</v>
      </c>
      <c r="U585" s="74"/>
      <c r="V585" s="74"/>
      <c r="W585" s="74"/>
      <c r="X585" s="74"/>
      <c r="Y585" s="272"/>
      <c r="AX585" s="188"/>
      <c r="AY585" s="188"/>
      <c r="AZ585" s="188"/>
    </row>
    <row r="586" spans="13:52" x14ac:dyDescent="0.25">
      <c r="M586" s="109" t="s">
        <v>205</v>
      </c>
      <c r="N586" s="109" t="s">
        <v>205</v>
      </c>
      <c r="P586" s="4"/>
      <c r="Q586" s="270" t="s">
        <v>205</v>
      </c>
      <c r="R586" s="74" t="s">
        <v>205</v>
      </c>
      <c r="S586" s="74" t="s">
        <v>205</v>
      </c>
      <c r="T586" s="74" t="s">
        <v>205</v>
      </c>
      <c r="U586" s="74"/>
      <c r="V586" s="74"/>
      <c r="W586" s="74"/>
      <c r="X586" s="74"/>
      <c r="Y586" s="272"/>
      <c r="AX586" s="188"/>
      <c r="AY586" s="188"/>
      <c r="AZ586" s="188"/>
    </row>
    <row r="587" spans="13:52" x14ac:dyDescent="0.25">
      <c r="M587" s="109" t="s">
        <v>206</v>
      </c>
      <c r="N587" s="109" t="s">
        <v>207</v>
      </c>
      <c r="P587" s="4"/>
      <c r="Q587" s="270" t="s">
        <v>207</v>
      </c>
      <c r="R587" s="74" t="s">
        <v>207</v>
      </c>
      <c r="S587" s="74" t="s">
        <v>207</v>
      </c>
      <c r="T587" s="74" t="s">
        <v>207</v>
      </c>
      <c r="U587" s="74"/>
      <c r="V587" s="74"/>
      <c r="W587" s="74"/>
      <c r="X587" s="74"/>
      <c r="Y587" s="272"/>
      <c r="AX587" s="188"/>
      <c r="AY587" s="188"/>
      <c r="AZ587" s="188"/>
    </row>
    <row r="588" spans="13:52" x14ac:dyDescent="0.25">
      <c r="M588" s="109" t="s">
        <v>4</v>
      </c>
      <c r="N588" s="109" t="s">
        <v>4</v>
      </c>
      <c r="P588" s="4"/>
      <c r="Q588" s="270" t="s">
        <v>4</v>
      </c>
      <c r="R588" s="74" t="s">
        <v>4</v>
      </c>
      <c r="S588" s="74" t="s">
        <v>4</v>
      </c>
      <c r="T588" s="74" t="s">
        <v>4</v>
      </c>
      <c r="U588" s="74"/>
      <c r="V588" s="74"/>
      <c r="W588" s="74"/>
      <c r="X588" s="74"/>
      <c r="Y588" s="272"/>
      <c r="AX588" s="188"/>
      <c r="AY588" s="188"/>
      <c r="AZ588" s="188"/>
    </row>
    <row r="589" spans="13:52" x14ac:dyDescent="0.25">
      <c r="M589" s="109">
        <v>0</v>
      </c>
      <c r="N589" s="109">
        <v>0</v>
      </c>
      <c r="P589" s="4"/>
      <c r="Q589" s="270">
        <v>0</v>
      </c>
      <c r="R589" s="74">
        <v>0</v>
      </c>
      <c r="S589" s="74">
        <v>0</v>
      </c>
      <c r="T589" s="74">
        <v>0</v>
      </c>
      <c r="U589" s="74"/>
      <c r="V589" s="74"/>
      <c r="W589" s="74"/>
      <c r="X589" s="74"/>
      <c r="Y589" s="272"/>
      <c r="AX589" s="188"/>
      <c r="AY589" s="188"/>
      <c r="AZ589" s="188"/>
    </row>
    <row r="590" spans="13:52" x14ac:dyDescent="0.25">
      <c r="M590" s="109">
        <v>0</v>
      </c>
      <c r="N590" s="109">
        <v>0</v>
      </c>
      <c r="P590" s="4"/>
      <c r="Q590" s="270">
        <v>0</v>
      </c>
      <c r="R590" s="74">
        <v>0</v>
      </c>
      <c r="S590" s="74">
        <v>0</v>
      </c>
      <c r="T590" s="74">
        <v>0</v>
      </c>
      <c r="U590" s="74"/>
      <c r="V590" s="74"/>
      <c r="W590" s="74"/>
      <c r="X590" s="74"/>
      <c r="Y590" s="272"/>
      <c r="AX590" s="188"/>
      <c r="AY590" s="188"/>
      <c r="AZ590" s="188"/>
    </row>
    <row r="591" spans="13:52" x14ac:dyDescent="0.25">
      <c r="M591" s="109">
        <v>0</v>
      </c>
      <c r="N591" s="109">
        <v>0</v>
      </c>
      <c r="P591" s="4"/>
      <c r="Q591" s="270">
        <v>0</v>
      </c>
      <c r="R591" s="74">
        <v>0</v>
      </c>
      <c r="S591" s="74">
        <v>0</v>
      </c>
      <c r="T591" s="74">
        <v>0</v>
      </c>
      <c r="U591" s="74"/>
      <c r="V591" s="74"/>
      <c r="W591" s="74"/>
      <c r="X591" s="74"/>
      <c r="Y591" s="272"/>
      <c r="AX591" s="188"/>
      <c r="AY591" s="188"/>
      <c r="AZ591" s="188"/>
    </row>
    <row r="592" spans="13:52" x14ac:dyDescent="0.25">
      <c r="M592" s="109" t="s">
        <v>4</v>
      </c>
      <c r="N592" s="109" t="s">
        <v>4</v>
      </c>
      <c r="P592" s="4"/>
      <c r="Q592" s="270" t="s">
        <v>4</v>
      </c>
      <c r="R592" s="74" t="s">
        <v>4</v>
      </c>
      <c r="S592" s="74" t="s">
        <v>4</v>
      </c>
      <c r="T592" s="74" t="s">
        <v>4</v>
      </c>
      <c r="U592" s="74"/>
      <c r="V592" s="74"/>
      <c r="W592" s="74"/>
      <c r="X592" s="74"/>
      <c r="Y592" s="272"/>
      <c r="AX592" s="188"/>
      <c r="AY592" s="188"/>
      <c r="AZ592" s="188"/>
    </row>
    <row r="593" spans="13:52" x14ac:dyDescent="0.25">
      <c r="M593" s="109">
        <v>0</v>
      </c>
      <c r="N593" s="109">
        <v>0</v>
      </c>
      <c r="P593" s="4"/>
      <c r="Q593" s="270">
        <v>0</v>
      </c>
      <c r="R593" s="74">
        <v>0</v>
      </c>
      <c r="S593" s="74">
        <v>0</v>
      </c>
      <c r="T593" s="74">
        <v>0</v>
      </c>
      <c r="U593" s="74"/>
      <c r="V593" s="74"/>
      <c r="W593" s="74"/>
      <c r="X593" s="74"/>
      <c r="Y593" s="272"/>
      <c r="AX593" s="188"/>
      <c r="AY593" s="188"/>
      <c r="AZ593" s="188"/>
    </row>
    <row r="594" spans="13:52" x14ac:dyDescent="0.25">
      <c r="M594" s="109" t="s">
        <v>4</v>
      </c>
      <c r="N594" s="109" t="s">
        <v>4</v>
      </c>
      <c r="P594" s="4"/>
      <c r="Q594" s="270" t="s">
        <v>4</v>
      </c>
      <c r="R594" s="74" t="s">
        <v>4</v>
      </c>
      <c r="S594" s="74" t="s">
        <v>4</v>
      </c>
      <c r="T594" s="74" t="s">
        <v>4</v>
      </c>
      <c r="U594" s="74"/>
      <c r="V594" s="74"/>
      <c r="W594" s="74"/>
      <c r="X594" s="74"/>
      <c r="Y594" s="272"/>
      <c r="AX594" s="188"/>
      <c r="AY594" s="188"/>
      <c r="AZ594" s="188"/>
    </row>
    <row r="595" spans="13:52" x14ac:dyDescent="0.25">
      <c r="M595" s="109" t="s">
        <v>4</v>
      </c>
      <c r="N595" s="109" t="s">
        <v>4</v>
      </c>
      <c r="P595" s="4"/>
      <c r="Q595" s="270" t="s">
        <v>4</v>
      </c>
      <c r="R595" s="74" t="s">
        <v>4</v>
      </c>
      <c r="S595" s="74" t="s">
        <v>4</v>
      </c>
      <c r="T595" s="74" t="s">
        <v>4</v>
      </c>
      <c r="U595" s="74"/>
      <c r="V595" s="74"/>
      <c r="W595" s="74"/>
      <c r="X595" s="74"/>
      <c r="Y595" s="272"/>
      <c r="AX595" s="188"/>
      <c r="AY595" s="188"/>
      <c r="AZ595" s="188"/>
    </row>
    <row r="596" spans="13:52" x14ac:dyDescent="0.25">
      <c r="M596" s="109" t="s">
        <v>4</v>
      </c>
      <c r="N596" s="109" t="s">
        <v>4</v>
      </c>
      <c r="P596" s="4"/>
      <c r="Q596" s="270" t="s">
        <v>4</v>
      </c>
      <c r="R596" s="74" t="s">
        <v>4</v>
      </c>
      <c r="S596" s="74" t="s">
        <v>4</v>
      </c>
      <c r="T596" s="74" t="s">
        <v>4</v>
      </c>
      <c r="U596" s="74"/>
      <c r="V596" s="74"/>
      <c r="W596" s="74"/>
      <c r="X596" s="74"/>
      <c r="Y596" s="272"/>
      <c r="AX596" s="188"/>
      <c r="AY596" s="188"/>
      <c r="AZ596" s="188"/>
    </row>
    <row r="597" spans="13:52" x14ac:dyDescent="0.25">
      <c r="M597" s="109">
        <v>0</v>
      </c>
      <c r="N597" s="109">
        <v>0</v>
      </c>
      <c r="P597" s="4"/>
      <c r="Q597" s="270">
        <v>0</v>
      </c>
      <c r="R597" s="74">
        <v>0</v>
      </c>
      <c r="S597" s="74">
        <v>0</v>
      </c>
      <c r="T597" s="74">
        <v>0</v>
      </c>
      <c r="U597" s="74"/>
      <c r="V597" s="74"/>
      <c r="W597" s="74"/>
      <c r="X597" s="74"/>
      <c r="Y597" s="272"/>
      <c r="AX597" s="188"/>
      <c r="AY597" s="188"/>
      <c r="AZ597" s="188"/>
    </row>
    <row r="598" spans="13:52" x14ac:dyDescent="0.25">
      <c r="M598" s="109" t="s">
        <v>4</v>
      </c>
      <c r="N598" s="109" t="s">
        <v>4</v>
      </c>
      <c r="P598" s="4"/>
      <c r="Q598" s="270" t="s">
        <v>4</v>
      </c>
      <c r="R598" s="74" t="s">
        <v>4</v>
      </c>
      <c r="S598" s="74" t="s">
        <v>4</v>
      </c>
      <c r="T598" s="74" t="s">
        <v>4</v>
      </c>
      <c r="U598" s="74"/>
      <c r="V598" s="74"/>
      <c r="W598" s="74"/>
      <c r="X598" s="74"/>
      <c r="Y598" s="272"/>
      <c r="AX598" s="188"/>
      <c r="AY598" s="188"/>
      <c r="AZ598" s="188"/>
    </row>
    <row r="599" spans="13:52" x14ac:dyDescent="0.25">
      <c r="M599" s="109" t="s">
        <v>4</v>
      </c>
      <c r="N599" s="109" t="s">
        <v>4</v>
      </c>
      <c r="P599" s="4"/>
      <c r="Q599" s="270" t="s">
        <v>4</v>
      </c>
      <c r="R599" s="74" t="s">
        <v>4</v>
      </c>
      <c r="S599" s="74" t="s">
        <v>4</v>
      </c>
      <c r="T599" s="74" t="s">
        <v>4</v>
      </c>
      <c r="U599" s="74"/>
      <c r="V599" s="74"/>
      <c r="W599" s="74"/>
      <c r="X599" s="74"/>
      <c r="Y599" s="272"/>
      <c r="AX599" s="188"/>
      <c r="AY599" s="188"/>
      <c r="AZ599" s="188"/>
    </row>
    <row r="600" spans="13:52" x14ac:dyDescent="0.25">
      <c r="M600" s="109">
        <v>0</v>
      </c>
      <c r="N600" s="109">
        <v>0</v>
      </c>
      <c r="P600" s="4"/>
      <c r="Q600" s="270">
        <v>0</v>
      </c>
      <c r="R600" s="74">
        <v>0</v>
      </c>
      <c r="S600" s="74">
        <v>0</v>
      </c>
      <c r="T600" s="74">
        <v>0</v>
      </c>
      <c r="U600" s="74"/>
      <c r="V600" s="74"/>
      <c r="W600" s="74"/>
      <c r="X600" s="74"/>
      <c r="Y600" s="272"/>
      <c r="AX600" s="188"/>
      <c r="AY600" s="188"/>
      <c r="AZ600" s="188"/>
    </row>
    <row r="601" spans="13:52" x14ac:dyDescent="0.25">
      <c r="M601" s="109">
        <v>0</v>
      </c>
      <c r="N601" s="109">
        <v>0</v>
      </c>
      <c r="P601" s="4"/>
      <c r="Q601" s="270">
        <v>0</v>
      </c>
      <c r="R601" s="74">
        <v>0</v>
      </c>
      <c r="S601" s="74">
        <v>0</v>
      </c>
      <c r="T601" s="74">
        <v>0</v>
      </c>
      <c r="U601" s="74"/>
      <c r="V601" s="74"/>
      <c r="W601" s="74"/>
      <c r="X601" s="74"/>
      <c r="Y601" s="272"/>
      <c r="AX601" s="188"/>
      <c r="AY601" s="188"/>
      <c r="AZ601" s="188"/>
    </row>
    <row r="602" spans="13:52" x14ac:dyDescent="0.25">
      <c r="M602" s="109">
        <v>0</v>
      </c>
      <c r="N602" s="109">
        <v>0</v>
      </c>
      <c r="P602" s="4"/>
      <c r="Q602" s="270">
        <v>0</v>
      </c>
      <c r="R602" s="74">
        <v>0</v>
      </c>
      <c r="S602" s="74">
        <v>0</v>
      </c>
      <c r="T602" s="74">
        <v>0</v>
      </c>
      <c r="U602" s="74"/>
      <c r="V602" s="74"/>
      <c r="W602" s="74"/>
      <c r="X602" s="74"/>
      <c r="Y602" s="272"/>
      <c r="AX602" s="188"/>
      <c r="AY602" s="188"/>
      <c r="AZ602" s="188"/>
    </row>
    <row r="603" spans="13:52" x14ac:dyDescent="0.25">
      <c r="M603" s="109">
        <v>0</v>
      </c>
      <c r="N603" s="109">
        <v>0</v>
      </c>
      <c r="P603" s="4"/>
      <c r="Q603" s="270">
        <v>0</v>
      </c>
      <c r="R603" s="74">
        <v>0</v>
      </c>
      <c r="S603" s="74">
        <v>0</v>
      </c>
      <c r="T603" s="74">
        <v>0</v>
      </c>
      <c r="U603" s="74"/>
      <c r="V603" s="74"/>
      <c r="W603" s="74"/>
      <c r="X603" s="74"/>
      <c r="Y603" s="272"/>
      <c r="AX603" s="188"/>
      <c r="AY603" s="188"/>
      <c r="AZ603" s="188"/>
    </row>
    <row r="604" spans="13:52" x14ac:dyDescent="0.25">
      <c r="M604" s="109">
        <v>0</v>
      </c>
      <c r="N604" s="109">
        <v>0</v>
      </c>
      <c r="P604" s="4"/>
      <c r="Q604" s="270">
        <v>0</v>
      </c>
      <c r="R604" s="74">
        <v>0</v>
      </c>
      <c r="S604" s="74">
        <v>0</v>
      </c>
      <c r="T604" s="74">
        <v>0</v>
      </c>
      <c r="U604" s="74"/>
      <c r="V604" s="74"/>
      <c r="W604" s="74"/>
      <c r="X604" s="74"/>
      <c r="Y604" s="272"/>
      <c r="AX604" s="188"/>
      <c r="AY604" s="188"/>
      <c r="AZ604" s="188"/>
    </row>
    <row r="605" spans="13:52" x14ac:dyDescent="0.25">
      <c r="M605" s="109" t="s">
        <v>4</v>
      </c>
      <c r="N605" s="109" t="s">
        <v>4</v>
      </c>
      <c r="P605" s="4"/>
      <c r="Q605" s="270" t="s">
        <v>4</v>
      </c>
      <c r="R605" s="74" t="s">
        <v>4</v>
      </c>
      <c r="S605" s="74" t="s">
        <v>4</v>
      </c>
      <c r="T605" s="74" t="s">
        <v>4</v>
      </c>
      <c r="U605" s="74"/>
      <c r="V605" s="74"/>
      <c r="W605" s="74"/>
      <c r="X605" s="74"/>
      <c r="Y605" s="272"/>
      <c r="AX605" s="188"/>
      <c r="AY605" s="188"/>
      <c r="AZ605" s="188"/>
    </row>
    <row r="606" spans="13:52" x14ac:dyDescent="0.25">
      <c r="M606" s="109" t="s">
        <v>4</v>
      </c>
      <c r="N606" s="109" t="s">
        <v>4</v>
      </c>
      <c r="P606" s="4"/>
      <c r="Q606" s="270" t="s">
        <v>4</v>
      </c>
      <c r="R606" s="74" t="s">
        <v>4</v>
      </c>
      <c r="S606" s="74" t="s">
        <v>4</v>
      </c>
      <c r="T606" s="74" t="s">
        <v>4</v>
      </c>
      <c r="U606" s="74"/>
      <c r="V606" s="74"/>
      <c r="W606" s="74"/>
      <c r="X606" s="74"/>
      <c r="Y606" s="272"/>
      <c r="AX606" s="188"/>
      <c r="AY606" s="188"/>
      <c r="AZ606" s="188"/>
    </row>
    <row r="607" spans="13:52" x14ac:dyDescent="0.25">
      <c r="M607" s="109" t="s">
        <v>4</v>
      </c>
      <c r="N607" s="109" t="s">
        <v>4</v>
      </c>
      <c r="P607" s="4"/>
      <c r="Q607" s="270" t="s">
        <v>4</v>
      </c>
      <c r="R607" s="74" t="s">
        <v>4</v>
      </c>
      <c r="S607" s="74" t="s">
        <v>4</v>
      </c>
      <c r="T607" s="74" t="s">
        <v>4</v>
      </c>
      <c r="U607" s="74"/>
      <c r="V607" s="74"/>
      <c r="W607" s="74"/>
      <c r="X607" s="74"/>
      <c r="Y607" s="272"/>
      <c r="AX607" s="188"/>
      <c r="AY607" s="188"/>
      <c r="AZ607" s="188"/>
    </row>
    <row r="608" spans="13:52" x14ac:dyDescent="0.25">
      <c r="M608" s="109" t="s">
        <v>4</v>
      </c>
      <c r="N608" s="109" t="s">
        <v>4</v>
      </c>
      <c r="P608" s="4"/>
      <c r="Q608" s="270" t="s">
        <v>4</v>
      </c>
      <c r="R608" s="74" t="s">
        <v>4</v>
      </c>
      <c r="S608" s="74" t="s">
        <v>4</v>
      </c>
      <c r="T608" s="74" t="s">
        <v>4</v>
      </c>
      <c r="U608" s="74"/>
      <c r="V608" s="74"/>
      <c r="W608" s="74"/>
      <c r="X608" s="74"/>
      <c r="Y608" s="272"/>
      <c r="AX608" s="188"/>
      <c r="AY608" s="188"/>
      <c r="AZ608" s="188"/>
    </row>
    <row r="609" spans="13:52" x14ac:dyDescent="0.25">
      <c r="M609" s="109">
        <v>0</v>
      </c>
      <c r="N609" s="109">
        <v>0</v>
      </c>
      <c r="P609" s="4"/>
      <c r="Q609" s="270">
        <v>0</v>
      </c>
      <c r="R609" s="74">
        <v>0</v>
      </c>
      <c r="S609" s="74">
        <v>0</v>
      </c>
      <c r="T609" s="74">
        <v>0</v>
      </c>
      <c r="U609" s="74"/>
      <c r="V609" s="74"/>
      <c r="W609" s="74"/>
      <c r="X609" s="74"/>
      <c r="Y609" s="272"/>
      <c r="AX609" s="188"/>
      <c r="AY609" s="188"/>
      <c r="AZ609" s="188"/>
    </row>
    <row r="610" spans="13:52" x14ac:dyDescent="0.25">
      <c r="M610" s="109">
        <v>0</v>
      </c>
      <c r="N610" s="109">
        <v>0</v>
      </c>
      <c r="P610" s="4"/>
      <c r="Q610" s="270">
        <v>0</v>
      </c>
      <c r="R610" s="74">
        <v>0</v>
      </c>
      <c r="S610" s="74">
        <v>0</v>
      </c>
      <c r="T610" s="74">
        <v>0</v>
      </c>
      <c r="U610" s="74"/>
      <c r="V610" s="74"/>
      <c r="W610" s="74"/>
      <c r="X610" s="74"/>
      <c r="Y610" s="272"/>
      <c r="AX610" s="188"/>
      <c r="AY610" s="188"/>
      <c r="AZ610" s="188"/>
    </row>
    <row r="611" spans="13:52" x14ac:dyDescent="0.25">
      <c r="M611" s="109" t="s">
        <v>208</v>
      </c>
      <c r="N611" s="109" t="s">
        <v>208</v>
      </c>
      <c r="P611" s="4"/>
      <c r="Q611" s="270" t="s">
        <v>208</v>
      </c>
      <c r="R611" s="74" t="s">
        <v>208</v>
      </c>
      <c r="S611" s="74" t="s">
        <v>208</v>
      </c>
      <c r="T611" s="74" t="s">
        <v>208</v>
      </c>
      <c r="U611" s="74"/>
      <c r="V611" s="74"/>
      <c r="W611" s="74"/>
      <c r="X611" s="74"/>
      <c r="Y611" s="272"/>
      <c r="AX611" s="188"/>
      <c r="AY611" s="188"/>
      <c r="AZ611" s="188"/>
    </row>
    <row r="612" spans="13:52" x14ac:dyDescent="0.25">
      <c r="M612" s="109">
        <v>-1</v>
      </c>
      <c r="N612" s="109">
        <v>-1</v>
      </c>
      <c r="P612" s="4"/>
      <c r="Q612" s="270">
        <v>-1</v>
      </c>
      <c r="R612" s="74">
        <v>-1</v>
      </c>
      <c r="S612" s="74">
        <v>-1</v>
      </c>
      <c r="T612" s="74">
        <v>-1</v>
      </c>
      <c r="U612" s="74"/>
      <c r="V612" s="74"/>
      <c r="W612" s="74"/>
      <c r="X612" s="74"/>
      <c r="Y612" s="272"/>
      <c r="AX612" s="188"/>
      <c r="AY612" s="188"/>
      <c r="AZ612" s="188"/>
    </row>
    <row r="613" spans="13:52" x14ac:dyDescent="0.25">
      <c r="M613" s="109">
        <v>-1</v>
      </c>
      <c r="N613" s="109">
        <v>-1</v>
      </c>
      <c r="P613" s="4"/>
      <c r="Q613" s="270">
        <v>-1</v>
      </c>
      <c r="R613" s="74">
        <v>-1</v>
      </c>
      <c r="S613" s="74">
        <v>-1</v>
      </c>
      <c r="T613" s="74">
        <v>-1</v>
      </c>
      <c r="U613" s="74"/>
      <c r="V613" s="74"/>
      <c r="W613" s="74"/>
      <c r="X613" s="74"/>
      <c r="Y613" s="272"/>
      <c r="AX613" s="188"/>
      <c r="AY613" s="188"/>
      <c r="AZ613" s="188"/>
    </row>
    <row r="614" spans="13:52" x14ac:dyDescent="0.25">
      <c r="M614" s="109" t="s">
        <v>209</v>
      </c>
      <c r="N614" s="109" t="s">
        <v>209</v>
      </c>
      <c r="P614" s="4"/>
      <c r="Q614" s="270" t="s">
        <v>209</v>
      </c>
      <c r="R614" s="74" t="s">
        <v>209</v>
      </c>
      <c r="S614" s="74" t="s">
        <v>209</v>
      </c>
      <c r="T614" s="74" t="s">
        <v>209</v>
      </c>
      <c r="U614" s="74"/>
      <c r="V614" s="74"/>
      <c r="W614" s="74"/>
      <c r="X614" s="74"/>
      <c r="Y614" s="272"/>
      <c r="AX614" s="188"/>
      <c r="AY614" s="188"/>
      <c r="AZ614" s="188"/>
    </row>
    <row r="615" spans="13:52" x14ac:dyDescent="0.25">
      <c r="M615" s="109" t="s">
        <v>210</v>
      </c>
      <c r="N615" s="109" t="s">
        <v>210</v>
      </c>
      <c r="P615" s="4"/>
      <c r="Q615" s="270" t="s">
        <v>210</v>
      </c>
      <c r="R615" s="74" t="s">
        <v>210</v>
      </c>
      <c r="S615" s="74" t="s">
        <v>210</v>
      </c>
      <c r="T615" s="74" t="s">
        <v>210</v>
      </c>
      <c r="U615" s="74"/>
      <c r="V615" s="74"/>
      <c r="W615" s="74"/>
      <c r="X615" s="74"/>
      <c r="Y615" s="272"/>
      <c r="AX615" s="188"/>
      <c r="AY615" s="188"/>
      <c r="AZ615" s="188"/>
    </row>
    <row r="616" spans="13:52" x14ac:dyDescent="0.25">
      <c r="M616" s="109" t="s">
        <v>211</v>
      </c>
      <c r="N616" s="109" t="s">
        <v>211</v>
      </c>
      <c r="P616" s="4"/>
      <c r="Q616" s="270" t="s">
        <v>211</v>
      </c>
      <c r="R616" s="74" t="s">
        <v>211</v>
      </c>
      <c r="S616" s="74" t="s">
        <v>211</v>
      </c>
      <c r="T616" s="74" t="s">
        <v>211</v>
      </c>
      <c r="U616" s="74"/>
      <c r="V616" s="74"/>
      <c r="W616" s="74"/>
      <c r="X616" s="74"/>
      <c r="Y616" s="272"/>
      <c r="AX616" s="188"/>
      <c r="AY616" s="188"/>
      <c r="AZ616" s="188"/>
    </row>
    <row r="617" spans="13:52" x14ac:dyDescent="0.25">
      <c r="M617" s="109" t="s">
        <v>212</v>
      </c>
      <c r="N617" s="109" t="s">
        <v>212</v>
      </c>
      <c r="P617" s="4"/>
      <c r="Q617" s="270" t="s">
        <v>212</v>
      </c>
      <c r="R617" s="74" t="s">
        <v>212</v>
      </c>
      <c r="S617" s="74" t="s">
        <v>212</v>
      </c>
      <c r="T617" s="74" t="s">
        <v>212</v>
      </c>
      <c r="U617" s="74"/>
      <c r="V617" s="74"/>
      <c r="W617" s="74"/>
      <c r="X617" s="74"/>
      <c r="Y617" s="272"/>
      <c r="AX617" s="188"/>
      <c r="AY617" s="188"/>
      <c r="AZ617" s="188"/>
    </row>
    <row r="618" spans="13:52" x14ac:dyDescent="0.25">
      <c r="M618" s="109" t="s">
        <v>213</v>
      </c>
      <c r="N618" s="109" t="s">
        <v>213</v>
      </c>
      <c r="P618" s="4"/>
      <c r="Q618" s="270" t="s">
        <v>213</v>
      </c>
      <c r="R618" s="74" t="s">
        <v>213</v>
      </c>
      <c r="S618" s="74" t="s">
        <v>213</v>
      </c>
      <c r="T618" s="74" t="s">
        <v>213</v>
      </c>
      <c r="U618" s="74"/>
      <c r="V618" s="74"/>
      <c r="W618" s="74"/>
      <c r="X618" s="74"/>
      <c r="Y618" s="272"/>
      <c r="AX618" s="188"/>
      <c r="AY618" s="188"/>
      <c r="AZ618" s="188"/>
    </row>
    <row r="619" spans="13:52" x14ac:dyDescent="0.25">
      <c r="M619" s="109">
        <v>2500</v>
      </c>
      <c r="N619" s="109">
        <v>2500</v>
      </c>
      <c r="P619" s="4"/>
      <c r="Q619" s="270">
        <v>2500</v>
      </c>
      <c r="R619" s="74">
        <v>2500</v>
      </c>
      <c r="S619" s="74">
        <v>2500</v>
      </c>
      <c r="T619" s="74">
        <v>2500</v>
      </c>
      <c r="U619" s="74"/>
      <c r="V619" s="74"/>
      <c r="W619" s="74"/>
      <c r="X619" s="74"/>
      <c r="Y619" s="272"/>
      <c r="AX619" s="188"/>
      <c r="AY619" s="188"/>
      <c r="AZ619" s="188"/>
    </row>
    <row r="620" spans="13:52" x14ac:dyDescent="0.25">
      <c r="M620" s="109">
        <v>-5</v>
      </c>
      <c r="N620" s="109">
        <v>-5</v>
      </c>
      <c r="P620" s="4"/>
      <c r="Q620" s="270">
        <v>-5</v>
      </c>
      <c r="R620" s="74">
        <v>-5</v>
      </c>
      <c r="S620" s="74">
        <v>-5</v>
      </c>
      <c r="T620" s="74">
        <v>-5</v>
      </c>
      <c r="U620" s="74"/>
      <c r="V620" s="74"/>
      <c r="W620" s="74"/>
      <c r="X620" s="74"/>
      <c r="Y620" s="272"/>
      <c r="AX620" s="188"/>
      <c r="AY620" s="188"/>
      <c r="AZ620" s="188"/>
    </row>
    <row r="621" spans="13:52" x14ac:dyDescent="0.25">
      <c r="M621" s="109">
        <v>451</v>
      </c>
      <c r="N621" s="109">
        <v>451</v>
      </c>
      <c r="P621" s="4"/>
      <c r="Q621" s="270">
        <v>451</v>
      </c>
      <c r="R621" s="74">
        <v>451</v>
      </c>
      <c r="S621" s="74">
        <v>451</v>
      </c>
      <c r="T621" s="74">
        <v>451</v>
      </c>
      <c r="U621" s="74"/>
      <c r="V621" s="74"/>
      <c r="W621" s="74"/>
      <c r="X621" s="74"/>
      <c r="Y621" s="272"/>
      <c r="AX621" s="188"/>
      <c r="AY621" s="188"/>
      <c r="AZ621" s="188"/>
    </row>
    <row r="622" spans="13:52" x14ac:dyDescent="0.25">
      <c r="M622" s="109">
        <v>8</v>
      </c>
      <c r="N622" s="109">
        <v>8</v>
      </c>
      <c r="P622" s="4"/>
      <c r="Q622" s="270">
        <v>8</v>
      </c>
      <c r="R622" s="74">
        <v>8</v>
      </c>
      <c r="S622" s="74">
        <v>8</v>
      </c>
      <c r="T622" s="74">
        <v>8</v>
      </c>
      <c r="U622" s="74"/>
      <c r="V622" s="74"/>
      <c r="W622" s="74"/>
      <c r="X622" s="74"/>
      <c r="Y622" s="272"/>
      <c r="AX622" s="188"/>
      <c r="AY622" s="188"/>
      <c r="AZ622" s="188"/>
    </row>
    <row r="623" spans="13:52" x14ac:dyDescent="0.25">
      <c r="M623" s="109">
        <v>3.2069999999999999</v>
      </c>
      <c r="N623" s="109">
        <v>122.7329</v>
      </c>
      <c r="P623" s="4"/>
      <c r="Q623" s="270">
        <v>123.3364</v>
      </c>
      <c r="R623" s="74">
        <v>123.51730000000001</v>
      </c>
      <c r="S623" s="74">
        <v>123.51730000000001</v>
      </c>
      <c r="T623" s="74">
        <v>123.51730000000001</v>
      </c>
      <c r="U623" s="74"/>
      <c r="V623" s="74"/>
      <c r="W623" s="74"/>
      <c r="X623" s="74"/>
      <c r="Y623" s="272"/>
      <c r="AX623" s="188"/>
      <c r="AY623" s="188"/>
      <c r="AZ623" s="188"/>
    </row>
    <row r="624" spans="13:52" x14ac:dyDescent="0.25">
      <c r="M624" s="109">
        <v>-3.8052999999999999</v>
      </c>
      <c r="N624" s="109">
        <v>106.1589</v>
      </c>
      <c r="P624" s="4"/>
      <c r="Q624" s="270">
        <v>92.797200000000004</v>
      </c>
      <c r="R624" s="74">
        <v>92.337500000000006</v>
      </c>
      <c r="S624" s="74">
        <v>92.337500000000006</v>
      </c>
      <c r="T624" s="74">
        <v>92.337500000000006</v>
      </c>
      <c r="U624" s="74"/>
      <c r="V624" s="74"/>
      <c r="W624" s="74"/>
      <c r="X624" s="74"/>
      <c r="Y624" s="272"/>
      <c r="AX624" s="188"/>
      <c r="AY624" s="188"/>
      <c r="AZ624" s="188"/>
    </row>
    <row r="625" spans="13:52" x14ac:dyDescent="0.25">
      <c r="M625" s="109" t="s">
        <v>214</v>
      </c>
      <c r="N625" s="109" t="s">
        <v>214</v>
      </c>
      <c r="P625" s="4"/>
      <c r="Q625" s="270" t="s">
        <v>214</v>
      </c>
      <c r="R625" s="74" t="s">
        <v>214</v>
      </c>
      <c r="S625" s="74" t="s">
        <v>214</v>
      </c>
      <c r="T625" s="74" t="s">
        <v>214</v>
      </c>
      <c r="U625" s="74"/>
      <c r="V625" s="74"/>
      <c r="W625" s="74"/>
      <c r="X625" s="74"/>
      <c r="Y625" s="272"/>
      <c r="AX625" s="188"/>
      <c r="AY625" s="188"/>
      <c r="AZ625" s="188"/>
    </row>
    <row r="626" spans="13:52" x14ac:dyDescent="0.25">
      <c r="Y626" s="272"/>
      <c r="AX626" s="188"/>
      <c r="AY626" s="188"/>
      <c r="AZ626" s="188"/>
    </row>
    <row r="627" spans="13:52" x14ac:dyDescent="0.25">
      <c r="Y627" s="272"/>
      <c r="AX627" s="188"/>
      <c r="AY627" s="188"/>
      <c r="AZ627" s="188"/>
    </row>
    <row r="628" spans="13:52" x14ac:dyDescent="0.25">
      <c r="M628" s="109"/>
      <c r="N628" s="109"/>
      <c r="P628" s="274">
        <v>2500</v>
      </c>
      <c r="Q628" s="270"/>
      <c r="R628" s="74"/>
      <c r="S628" s="74"/>
      <c r="T628" s="74"/>
      <c r="U628" s="74"/>
      <c r="V628" s="74"/>
      <c r="W628" s="74"/>
      <c r="X628" s="74"/>
      <c r="Y628" s="272"/>
      <c r="AX628" s="188"/>
      <c r="AY628" s="188"/>
      <c r="AZ628" s="188"/>
    </row>
    <row r="629" spans="13:52" x14ac:dyDescent="0.25">
      <c r="M629" s="109"/>
      <c r="N629" s="109"/>
      <c r="P629" s="274">
        <v>2495</v>
      </c>
      <c r="Q629" s="270"/>
      <c r="R629" s="74"/>
      <c r="S629" s="74"/>
      <c r="T629" s="74"/>
      <c r="U629" s="74"/>
      <c r="V629" s="74"/>
      <c r="W629" s="74"/>
      <c r="X629" s="74"/>
      <c r="Y629" s="272"/>
      <c r="AX629" s="188"/>
      <c r="AY629" s="188"/>
      <c r="AZ629" s="188"/>
    </row>
    <row r="630" spans="13:52" x14ac:dyDescent="0.25">
      <c r="M630" s="109"/>
      <c r="N630" s="109"/>
      <c r="P630" s="274">
        <v>2490</v>
      </c>
      <c r="Q630" s="270"/>
      <c r="R630" s="74"/>
      <c r="S630" s="74"/>
      <c r="T630" s="74"/>
      <c r="U630" s="74"/>
      <c r="V630" s="74"/>
      <c r="W630" s="74"/>
      <c r="X630" s="74"/>
      <c r="Y630" s="272"/>
      <c r="AX630" s="188"/>
      <c r="AY630" s="188"/>
      <c r="AZ630" s="188"/>
    </row>
    <row r="631" spans="13:52" x14ac:dyDescent="0.25">
      <c r="M631" s="109"/>
      <c r="N631" s="109"/>
      <c r="P631" s="274">
        <v>2485</v>
      </c>
      <c r="Q631" s="270"/>
      <c r="R631" s="74"/>
      <c r="S631" s="74"/>
      <c r="T631" s="74"/>
      <c r="U631" s="74"/>
      <c r="V631" s="74"/>
      <c r="W631" s="74"/>
      <c r="X631" s="74"/>
      <c r="Y631" s="272"/>
      <c r="AX631" s="188"/>
      <c r="AY631" s="188"/>
      <c r="AZ631" s="188"/>
    </row>
    <row r="632" spans="13:52" x14ac:dyDescent="0.25">
      <c r="M632" s="109"/>
      <c r="N632" s="109"/>
      <c r="P632" s="274">
        <v>2480</v>
      </c>
      <c r="Q632" s="270"/>
      <c r="R632" s="74"/>
      <c r="S632" s="74"/>
      <c r="T632" s="74"/>
      <c r="U632" s="74"/>
      <c r="V632" s="74"/>
      <c r="W632" s="74"/>
      <c r="X632" s="74"/>
      <c r="Y632" s="272"/>
      <c r="AX632" s="188"/>
      <c r="AY632" s="188"/>
      <c r="AZ632" s="188"/>
    </row>
    <row r="633" spans="13:52" x14ac:dyDescent="0.25">
      <c r="M633" s="109"/>
      <c r="N633" s="109"/>
      <c r="P633" s="274">
        <v>2475</v>
      </c>
      <c r="Q633" s="270"/>
      <c r="R633" s="74"/>
      <c r="S633" s="74"/>
      <c r="T633" s="74"/>
      <c r="U633" s="74"/>
      <c r="V633" s="74"/>
      <c r="W633" s="74"/>
      <c r="X633" s="74"/>
      <c r="Y633" s="272"/>
      <c r="AX633" s="188"/>
      <c r="AY633" s="188"/>
      <c r="AZ633" s="188"/>
    </row>
    <row r="634" spans="13:52" x14ac:dyDescent="0.25">
      <c r="M634" s="109"/>
      <c r="N634" s="109"/>
      <c r="P634" s="274">
        <v>2470</v>
      </c>
      <c r="Q634" s="270"/>
      <c r="R634" s="74"/>
      <c r="S634" s="74"/>
      <c r="T634" s="74"/>
      <c r="U634" s="74"/>
      <c r="V634" s="74"/>
      <c r="W634" s="74"/>
      <c r="X634" s="74"/>
      <c r="Y634" s="272"/>
      <c r="AX634" s="188"/>
      <c r="AY634" s="188"/>
      <c r="AZ634" s="188"/>
    </row>
    <row r="635" spans="13:52" x14ac:dyDescent="0.25">
      <c r="M635" s="109"/>
      <c r="N635" s="109"/>
      <c r="P635" s="274">
        <v>2465</v>
      </c>
      <c r="Q635" s="270"/>
      <c r="R635" s="74"/>
      <c r="S635" s="74"/>
      <c r="T635" s="74"/>
      <c r="U635" s="74"/>
      <c r="V635" s="74"/>
      <c r="W635" s="74"/>
      <c r="X635" s="74"/>
      <c r="Y635" s="272"/>
      <c r="AX635" s="188"/>
      <c r="AY635" s="188"/>
      <c r="AZ635" s="188"/>
    </row>
    <row r="636" spans="13:52" x14ac:dyDescent="0.25">
      <c r="M636" s="109"/>
      <c r="N636" s="109"/>
      <c r="P636" s="274">
        <v>2460</v>
      </c>
      <c r="Q636" s="270"/>
      <c r="R636" s="74"/>
      <c r="S636" s="74"/>
      <c r="T636" s="74"/>
      <c r="U636" s="74"/>
      <c r="V636" s="74"/>
      <c r="W636" s="74"/>
      <c r="X636" s="74"/>
      <c r="Y636" s="272"/>
      <c r="AX636" s="188"/>
      <c r="AY636" s="188"/>
      <c r="AZ636" s="188"/>
    </row>
    <row r="637" spans="13:52" x14ac:dyDescent="0.25">
      <c r="M637" s="109"/>
      <c r="N637" s="109"/>
      <c r="P637" s="274">
        <v>2455</v>
      </c>
      <c r="Q637" s="270"/>
      <c r="R637" s="74"/>
      <c r="S637" s="74"/>
      <c r="T637" s="74"/>
      <c r="U637" s="74"/>
      <c r="V637" s="74"/>
      <c r="W637" s="74"/>
      <c r="X637" s="74"/>
      <c r="Y637" s="272"/>
      <c r="AX637" s="188"/>
      <c r="AY637" s="188"/>
      <c r="AZ637" s="188"/>
    </row>
    <row r="638" spans="13:52" x14ac:dyDescent="0.25">
      <c r="M638" s="109"/>
      <c r="N638" s="109"/>
      <c r="P638" s="274">
        <v>2450</v>
      </c>
      <c r="Q638" s="270"/>
      <c r="R638" s="74"/>
      <c r="S638" s="74"/>
      <c r="T638" s="74"/>
      <c r="U638" s="74"/>
      <c r="V638" s="74"/>
      <c r="W638" s="74"/>
      <c r="X638" s="74"/>
      <c r="Y638" s="272"/>
      <c r="AX638" s="188"/>
      <c r="AY638" s="188"/>
      <c r="AZ638" s="188"/>
    </row>
    <row r="639" spans="13:52" x14ac:dyDescent="0.25">
      <c r="M639" s="109"/>
      <c r="N639" s="109"/>
      <c r="P639" s="274">
        <v>2445</v>
      </c>
      <c r="Q639" s="270"/>
      <c r="R639" s="74"/>
      <c r="S639" s="74"/>
      <c r="T639" s="74"/>
      <c r="U639" s="74"/>
      <c r="V639" s="74"/>
      <c r="W639" s="74"/>
      <c r="X639" s="74"/>
      <c r="Y639" s="272"/>
      <c r="AX639" s="188"/>
      <c r="AY639" s="188"/>
      <c r="AZ639" s="188"/>
    </row>
    <row r="640" spans="13:52" x14ac:dyDescent="0.25">
      <c r="M640" s="109"/>
      <c r="N640" s="109"/>
      <c r="P640" s="274">
        <v>2440</v>
      </c>
      <c r="Q640" s="270"/>
      <c r="R640" s="74"/>
      <c r="S640" s="74"/>
      <c r="T640" s="74"/>
      <c r="U640" s="74"/>
      <c r="V640" s="74"/>
      <c r="W640" s="74"/>
      <c r="X640" s="74"/>
      <c r="Y640" s="272"/>
      <c r="AX640" s="188"/>
      <c r="AY640" s="188"/>
      <c r="AZ640" s="188"/>
    </row>
    <row r="641" spans="13:52" x14ac:dyDescent="0.25">
      <c r="M641" s="109"/>
      <c r="N641" s="109"/>
      <c r="P641" s="274">
        <v>2435</v>
      </c>
      <c r="Q641" s="270"/>
      <c r="R641" s="74"/>
      <c r="S641" s="74"/>
      <c r="T641" s="74"/>
      <c r="U641" s="74"/>
      <c r="V641" s="74"/>
      <c r="W641" s="74"/>
      <c r="X641" s="74"/>
      <c r="Y641" s="272"/>
      <c r="AX641" s="188"/>
      <c r="AY641" s="188"/>
      <c r="AZ641" s="188"/>
    </row>
    <row r="642" spans="13:52" x14ac:dyDescent="0.25">
      <c r="M642" s="109"/>
      <c r="N642" s="109"/>
      <c r="P642" s="274">
        <v>2430</v>
      </c>
      <c r="Q642" s="270"/>
      <c r="R642" s="74"/>
      <c r="S642" s="74"/>
      <c r="T642" s="74"/>
      <c r="U642" s="74"/>
      <c r="V642" s="74"/>
      <c r="W642" s="74"/>
      <c r="X642" s="74"/>
      <c r="Y642" s="272"/>
      <c r="AX642" s="188"/>
      <c r="AY642" s="188"/>
      <c r="AZ642" s="188"/>
    </row>
    <row r="643" spans="13:52" x14ac:dyDescent="0.25">
      <c r="M643" s="109"/>
      <c r="N643" s="109"/>
      <c r="P643" s="274">
        <v>2425</v>
      </c>
      <c r="Q643" s="270"/>
      <c r="R643" s="74"/>
      <c r="S643" s="74"/>
      <c r="T643" s="74"/>
      <c r="U643" s="74"/>
      <c r="V643" s="74"/>
      <c r="W643" s="74"/>
      <c r="X643" s="74"/>
      <c r="Y643" s="272"/>
      <c r="AX643" s="188"/>
      <c r="AY643" s="188"/>
      <c r="AZ643" s="188"/>
    </row>
    <row r="644" spans="13:52" x14ac:dyDescent="0.25">
      <c r="M644" s="109"/>
      <c r="N644" s="109"/>
      <c r="P644" s="274">
        <v>2420</v>
      </c>
      <c r="Q644" s="270"/>
      <c r="R644" s="74"/>
      <c r="S644" s="74"/>
      <c r="T644" s="74"/>
      <c r="U644" s="74"/>
      <c r="V644" s="74"/>
      <c r="W644" s="74"/>
      <c r="X644" s="74"/>
      <c r="Y644" s="272"/>
      <c r="AX644" s="188"/>
      <c r="AY644" s="188"/>
      <c r="AZ644" s="188"/>
    </row>
    <row r="645" spans="13:52" x14ac:dyDescent="0.25">
      <c r="M645" s="109"/>
      <c r="N645" s="109"/>
      <c r="P645" s="274">
        <v>2415</v>
      </c>
      <c r="Q645" s="270"/>
      <c r="R645" s="74"/>
      <c r="S645" s="74"/>
      <c r="T645" s="74"/>
      <c r="U645" s="74"/>
      <c r="V645" s="74"/>
      <c r="W645" s="74"/>
      <c r="X645" s="74"/>
      <c r="Y645" s="272"/>
      <c r="AX645" s="188"/>
      <c r="AY645" s="188"/>
      <c r="AZ645" s="188"/>
    </row>
    <row r="646" spans="13:52" x14ac:dyDescent="0.25">
      <c r="M646" s="109"/>
      <c r="N646" s="109"/>
      <c r="P646" s="274">
        <v>2410</v>
      </c>
      <c r="Q646" s="270"/>
      <c r="R646" s="74"/>
      <c r="S646" s="74"/>
      <c r="T646" s="74"/>
      <c r="U646" s="74"/>
      <c r="V646" s="74"/>
      <c r="W646" s="74"/>
      <c r="X646" s="74"/>
      <c r="Y646" s="272"/>
      <c r="AX646" s="188"/>
      <c r="AY646" s="188"/>
      <c r="AZ646" s="188"/>
    </row>
    <row r="647" spans="13:52" x14ac:dyDescent="0.25">
      <c r="M647" s="109"/>
      <c r="N647" s="109"/>
      <c r="P647" s="274">
        <v>2405</v>
      </c>
      <c r="Q647" s="270"/>
      <c r="R647" s="74"/>
      <c r="S647" s="74"/>
      <c r="T647" s="74"/>
      <c r="U647" s="74"/>
      <c r="V647" s="74"/>
      <c r="W647" s="74"/>
      <c r="X647" s="74"/>
      <c r="Y647" s="272"/>
      <c r="AX647" s="188"/>
      <c r="AY647" s="188"/>
      <c r="AZ647" s="188"/>
    </row>
    <row r="648" spans="13:52" x14ac:dyDescent="0.25">
      <c r="M648" s="109"/>
      <c r="N648" s="109"/>
      <c r="P648" s="274">
        <v>2400</v>
      </c>
      <c r="Q648" s="270"/>
      <c r="R648" s="74"/>
      <c r="S648" s="74"/>
      <c r="T648" s="74"/>
      <c r="U648" s="74"/>
      <c r="V648" s="74"/>
      <c r="W648" s="74"/>
      <c r="X648" s="74"/>
      <c r="Y648" s="272"/>
      <c r="AX648" s="188"/>
      <c r="AY648" s="188"/>
      <c r="AZ648" s="188"/>
    </row>
    <row r="649" spans="13:52" x14ac:dyDescent="0.25">
      <c r="M649" s="109"/>
      <c r="N649" s="109"/>
      <c r="P649" s="274">
        <v>2395</v>
      </c>
      <c r="Q649" s="270"/>
      <c r="R649" s="74"/>
      <c r="S649" s="74"/>
      <c r="T649" s="74"/>
      <c r="U649" s="74"/>
      <c r="V649" s="74"/>
      <c r="W649" s="74"/>
      <c r="X649" s="74"/>
      <c r="Y649" s="272"/>
      <c r="AX649" s="188"/>
      <c r="AY649" s="188"/>
      <c r="AZ649" s="188"/>
    </row>
    <row r="650" spans="13:52" x14ac:dyDescent="0.25">
      <c r="M650" s="109"/>
      <c r="N650" s="109"/>
      <c r="P650" s="274">
        <v>2390</v>
      </c>
      <c r="Q650" s="270"/>
      <c r="R650" s="74"/>
      <c r="S650" s="74"/>
      <c r="T650" s="74"/>
      <c r="U650" s="74"/>
      <c r="V650" s="74"/>
      <c r="W650" s="74"/>
      <c r="X650" s="74"/>
      <c r="Y650" s="272"/>
      <c r="AX650" s="188"/>
      <c r="AY650" s="188"/>
      <c r="AZ650" s="188"/>
    </row>
    <row r="651" spans="13:52" x14ac:dyDescent="0.25">
      <c r="M651" s="109"/>
      <c r="N651" s="109"/>
      <c r="P651" s="274">
        <v>2385</v>
      </c>
      <c r="Q651" s="270"/>
      <c r="R651" s="74"/>
      <c r="S651" s="74"/>
      <c r="T651" s="74"/>
      <c r="U651" s="74"/>
      <c r="V651" s="74"/>
      <c r="W651" s="74"/>
      <c r="X651" s="74"/>
      <c r="Y651" s="272"/>
      <c r="AX651" s="188"/>
      <c r="AY651" s="188"/>
      <c r="AZ651" s="188"/>
    </row>
    <row r="652" spans="13:52" x14ac:dyDescent="0.25">
      <c r="M652" s="109"/>
      <c r="N652" s="109"/>
      <c r="P652" s="274">
        <v>2380</v>
      </c>
      <c r="Q652" s="270"/>
      <c r="R652" s="74"/>
      <c r="S652" s="74"/>
      <c r="T652" s="74"/>
      <c r="U652" s="74"/>
      <c r="V652" s="74"/>
      <c r="W652" s="74"/>
      <c r="X652" s="74"/>
      <c r="Y652" s="272"/>
      <c r="AX652" s="188"/>
      <c r="AY652" s="188"/>
      <c r="AZ652" s="188"/>
    </row>
    <row r="653" spans="13:52" x14ac:dyDescent="0.25">
      <c r="M653" s="109"/>
      <c r="N653" s="109"/>
      <c r="P653" s="274">
        <v>2375</v>
      </c>
      <c r="Q653" s="270"/>
      <c r="R653" s="74"/>
      <c r="S653" s="74"/>
      <c r="T653" s="74"/>
      <c r="U653" s="74"/>
      <c r="V653" s="74"/>
      <c r="W653" s="74"/>
      <c r="X653" s="74"/>
      <c r="Y653" s="272"/>
      <c r="AX653" s="188"/>
      <c r="AY653" s="188"/>
      <c r="AZ653" s="188"/>
    </row>
    <row r="654" spans="13:52" x14ac:dyDescent="0.25">
      <c r="M654" s="109"/>
      <c r="N654" s="109"/>
      <c r="P654" s="274">
        <v>2370</v>
      </c>
      <c r="Q654" s="270"/>
      <c r="R654" s="74"/>
      <c r="S654" s="74"/>
      <c r="T654" s="74"/>
      <c r="U654" s="74"/>
      <c r="V654" s="74"/>
      <c r="W654" s="74"/>
      <c r="X654" s="74"/>
      <c r="Y654" s="272"/>
      <c r="AX654" s="188"/>
      <c r="AY654" s="188"/>
      <c r="AZ654" s="188"/>
    </row>
    <row r="655" spans="13:52" x14ac:dyDescent="0.25">
      <c r="M655" s="109"/>
      <c r="N655" s="109"/>
      <c r="P655" s="274">
        <v>2365</v>
      </c>
      <c r="Q655" s="270"/>
      <c r="R655" s="74"/>
      <c r="S655" s="74"/>
      <c r="T655" s="74"/>
      <c r="U655" s="74"/>
      <c r="V655" s="74"/>
      <c r="W655" s="74"/>
      <c r="X655" s="74"/>
      <c r="Y655" s="272"/>
      <c r="AX655" s="188"/>
      <c r="AY655" s="188"/>
      <c r="AZ655" s="188"/>
    </row>
    <row r="656" spans="13:52" x14ac:dyDescent="0.25">
      <c r="M656" s="109"/>
      <c r="N656" s="109"/>
      <c r="P656" s="274">
        <v>2360</v>
      </c>
      <c r="Q656" s="270"/>
      <c r="R656" s="74"/>
      <c r="S656" s="74"/>
      <c r="T656" s="74"/>
      <c r="U656" s="74"/>
      <c r="V656" s="74"/>
      <c r="W656" s="74"/>
      <c r="X656" s="74"/>
      <c r="Y656" s="272"/>
      <c r="AX656" s="188"/>
      <c r="AY656" s="188"/>
      <c r="AZ656" s="188"/>
    </row>
    <row r="657" spans="13:52" x14ac:dyDescent="0.25">
      <c r="M657" s="109"/>
      <c r="N657" s="109"/>
      <c r="P657" s="274">
        <v>2355</v>
      </c>
      <c r="Q657" s="270"/>
      <c r="R657" s="74"/>
      <c r="S657" s="74"/>
      <c r="T657" s="74"/>
      <c r="U657" s="74"/>
      <c r="V657" s="74"/>
      <c r="W657" s="74"/>
      <c r="X657" s="74"/>
      <c r="Y657" s="272"/>
      <c r="AX657" s="188"/>
      <c r="AY657" s="188"/>
      <c r="AZ657" s="188"/>
    </row>
    <row r="658" spans="13:52" x14ac:dyDescent="0.25">
      <c r="M658" s="109"/>
      <c r="N658" s="109"/>
      <c r="P658" s="274">
        <v>2350</v>
      </c>
      <c r="Q658" s="270"/>
      <c r="R658" s="74"/>
      <c r="S658" s="74"/>
      <c r="T658" s="74"/>
      <c r="U658" s="74"/>
      <c r="V658" s="74"/>
      <c r="W658" s="74"/>
      <c r="X658" s="74"/>
      <c r="Y658" s="272"/>
      <c r="AX658" s="188"/>
      <c r="AY658" s="188"/>
      <c r="AZ658" s="188"/>
    </row>
    <row r="659" spans="13:52" x14ac:dyDescent="0.25">
      <c r="M659" s="109"/>
      <c r="N659" s="109"/>
      <c r="P659" s="274">
        <v>2345</v>
      </c>
      <c r="Q659" s="270"/>
      <c r="R659" s="74"/>
      <c r="S659" s="74"/>
      <c r="T659" s="74"/>
      <c r="U659" s="74"/>
      <c r="V659" s="74"/>
      <c r="W659" s="74"/>
      <c r="X659" s="74"/>
      <c r="Y659" s="272"/>
      <c r="AX659" s="188"/>
      <c r="AY659" s="188"/>
      <c r="AZ659" s="188"/>
    </row>
    <row r="660" spans="13:52" x14ac:dyDescent="0.25">
      <c r="M660" s="109"/>
      <c r="N660" s="109"/>
      <c r="P660" s="274">
        <v>2340</v>
      </c>
      <c r="Q660" s="270"/>
      <c r="R660" s="74"/>
      <c r="S660" s="74"/>
      <c r="T660" s="74"/>
      <c r="U660" s="74"/>
      <c r="V660" s="74"/>
      <c r="W660" s="74"/>
      <c r="X660" s="74"/>
      <c r="Y660" s="272"/>
      <c r="AX660" s="188"/>
      <c r="AY660" s="188"/>
      <c r="AZ660" s="188"/>
    </row>
    <row r="661" spans="13:52" x14ac:dyDescent="0.25">
      <c r="M661" s="109"/>
      <c r="N661" s="109"/>
      <c r="P661" s="274">
        <v>2335</v>
      </c>
      <c r="Q661" s="270"/>
      <c r="R661" s="74"/>
      <c r="S661" s="74"/>
      <c r="T661" s="74"/>
      <c r="U661" s="74"/>
      <c r="V661" s="74"/>
      <c r="W661" s="74"/>
      <c r="X661" s="74"/>
      <c r="Y661" s="272"/>
      <c r="AX661" s="188"/>
      <c r="AY661" s="188"/>
      <c r="AZ661" s="188"/>
    </row>
    <row r="662" spans="13:52" x14ac:dyDescent="0.25">
      <c r="M662" s="109"/>
      <c r="N662" s="109"/>
      <c r="P662" s="274">
        <v>2330</v>
      </c>
      <c r="Q662" s="270"/>
      <c r="R662" s="74"/>
      <c r="S662" s="74"/>
      <c r="T662" s="74"/>
      <c r="U662" s="74"/>
      <c r="V662" s="74"/>
      <c r="W662" s="74"/>
      <c r="X662" s="74"/>
      <c r="Y662" s="272"/>
      <c r="AX662" s="188"/>
      <c r="AY662" s="188"/>
      <c r="AZ662" s="188"/>
    </row>
    <row r="663" spans="13:52" x14ac:dyDescent="0.25">
      <c r="M663" s="109"/>
      <c r="N663" s="109"/>
      <c r="P663" s="274">
        <v>2325</v>
      </c>
      <c r="Q663" s="270"/>
      <c r="R663" s="74"/>
      <c r="S663" s="74"/>
      <c r="T663" s="74"/>
      <c r="U663" s="74"/>
      <c r="V663" s="74"/>
      <c r="W663" s="74"/>
      <c r="X663" s="74"/>
      <c r="Y663" s="272"/>
      <c r="AX663" s="188"/>
      <c r="AY663" s="188"/>
      <c r="AZ663" s="188"/>
    </row>
    <row r="664" spans="13:52" x14ac:dyDescent="0.25">
      <c r="M664" s="109"/>
      <c r="N664" s="109"/>
      <c r="P664" s="274">
        <v>2320</v>
      </c>
      <c r="Q664" s="270"/>
      <c r="R664" s="74"/>
      <c r="S664" s="74"/>
      <c r="T664" s="74"/>
      <c r="U664" s="74"/>
      <c r="V664" s="74"/>
      <c r="W664" s="74"/>
      <c r="X664" s="74"/>
      <c r="Y664" s="272"/>
      <c r="AX664" s="188"/>
      <c r="AY664" s="188"/>
      <c r="AZ664" s="188"/>
    </row>
    <row r="665" spans="13:52" x14ac:dyDescent="0.25">
      <c r="M665" s="109"/>
      <c r="N665" s="109"/>
      <c r="P665" s="274">
        <v>2315</v>
      </c>
      <c r="Q665" s="270"/>
      <c r="R665" s="74"/>
      <c r="S665" s="74"/>
      <c r="T665" s="74"/>
      <c r="U665" s="74"/>
      <c r="V665" s="74"/>
      <c r="W665" s="74"/>
      <c r="X665" s="74"/>
      <c r="Y665" s="272"/>
      <c r="AX665" s="188"/>
      <c r="AY665" s="188"/>
      <c r="AZ665" s="188"/>
    </row>
    <row r="666" spans="13:52" x14ac:dyDescent="0.25">
      <c r="M666" s="109"/>
      <c r="N666" s="109"/>
      <c r="P666" s="274">
        <v>2310</v>
      </c>
      <c r="Q666" s="270"/>
      <c r="R666" s="74"/>
      <c r="S666" s="74"/>
      <c r="T666" s="74"/>
      <c r="U666" s="74"/>
      <c r="V666" s="74"/>
      <c r="W666" s="74"/>
      <c r="X666" s="74"/>
      <c r="Y666" s="272"/>
      <c r="AX666" s="188"/>
      <c r="AY666" s="188"/>
      <c r="AZ666" s="188"/>
    </row>
    <row r="667" spans="13:52" x14ac:dyDescent="0.25">
      <c r="M667" s="109"/>
      <c r="N667" s="109"/>
      <c r="P667" s="274">
        <v>2305</v>
      </c>
      <c r="Q667" s="270"/>
      <c r="R667" s="74"/>
      <c r="S667" s="74"/>
      <c r="T667" s="74"/>
      <c r="U667" s="74"/>
      <c r="V667" s="74"/>
      <c r="W667" s="74"/>
      <c r="X667" s="74"/>
      <c r="Y667" s="272"/>
      <c r="AX667" s="188"/>
      <c r="AY667" s="188"/>
      <c r="AZ667" s="188"/>
    </row>
    <row r="668" spans="13:52" x14ac:dyDescent="0.25">
      <c r="M668" s="109"/>
      <c r="N668" s="109"/>
      <c r="P668" s="274">
        <v>2300</v>
      </c>
      <c r="Q668" s="270"/>
      <c r="R668" s="74"/>
      <c r="S668" s="74"/>
      <c r="T668" s="74"/>
      <c r="U668" s="74"/>
      <c r="V668" s="74"/>
      <c r="W668" s="74"/>
      <c r="X668" s="74"/>
      <c r="Y668" s="272"/>
      <c r="AX668" s="188"/>
      <c r="AY668" s="188"/>
      <c r="AZ668" s="188"/>
    </row>
    <row r="669" spans="13:52" x14ac:dyDescent="0.25">
      <c r="M669" s="109"/>
      <c r="N669" s="109"/>
      <c r="P669" s="274">
        <v>2295</v>
      </c>
      <c r="Q669" s="270"/>
      <c r="R669" s="74"/>
      <c r="S669" s="74"/>
      <c r="T669" s="74"/>
      <c r="U669" s="74"/>
      <c r="V669" s="74"/>
      <c r="W669" s="74"/>
      <c r="X669" s="74"/>
      <c r="Y669" s="272"/>
      <c r="AX669" s="188"/>
      <c r="AY669" s="188"/>
      <c r="AZ669" s="188"/>
    </row>
    <row r="670" spans="13:52" x14ac:dyDescent="0.25">
      <c r="M670" s="109"/>
      <c r="N670" s="109"/>
      <c r="P670" s="274">
        <v>2290</v>
      </c>
      <c r="Q670" s="270"/>
      <c r="R670" s="74"/>
      <c r="S670" s="74"/>
      <c r="T670" s="74"/>
      <c r="U670" s="74"/>
      <c r="V670" s="74"/>
      <c r="W670" s="74"/>
      <c r="X670" s="74"/>
      <c r="Y670" s="272"/>
      <c r="AX670" s="188"/>
      <c r="AY670" s="188"/>
      <c r="AZ670" s="188"/>
    </row>
    <row r="671" spans="13:52" x14ac:dyDescent="0.25">
      <c r="M671" s="109"/>
      <c r="N671" s="109"/>
      <c r="P671" s="274">
        <v>2285</v>
      </c>
      <c r="Q671" s="270"/>
      <c r="R671" s="74"/>
      <c r="S671" s="74"/>
      <c r="T671" s="74"/>
      <c r="U671" s="74"/>
      <c r="V671" s="74"/>
      <c r="W671" s="74"/>
      <c r="X671" s="74"/>
      <c r="Y671" s="272"/>
      <c r="AX671" s="188"/>
      <c r="AY671" s="188"/>
      <c r="AZ671" s="188"/>
    </row>
    <row r="672" spans="13:52" x14ac:dyDescent="0.25">
      <c r="M672" s="109"/>
      <c r="N672" s="109"/>
      <c r="P672" s="274">
        <v>2280</v>
      </c>
      <c r="Q672" s="270"/>
      <c r="R672" s="74"/>
      <c r="S672" s="74"/>
      <c r="T672" s="74"/>
      <c r="U672" s="74"/>
      <c r="V672" s="74"/>
      <c r="W672" s="74"/>
      <c r="X672" s="74"/>
      <c r="Y672" s="272"/>
      <c r="AX672" s="188"/>
      <c r="AY672" s="188"/>
      <c r="AZ672" s="188"/>
    </row>
    <row r="673" spans="13:52" x14ac:dyDescent="0.25">
      <c r="M673" s="109"/>
      <c r="N673" s="109"/>
      <c r="P673" s="274">
        <v>2275</v>
      </c>
      <c r="Q673" s="270"/>
      <c r="R673" s="74"/>
      <c r="S673" s="74"/>
      <c r="T673" s="74"/>
      <c r="U673" s="74"/>
      <c r="V673" s="74"/>
      <c r="W673" s="74"/>
      <c r="X673" s="74"/>
      <c r="Y673" s="272"/>
      <c r="AX673" s="188"/>
      <c r="AY673" s="188"/>
      <c r="AZ673" s="188"/>
    </row>
    <row r="674" spans="13:52" x14ac:dyDescent="0.25">
      <c r="M674" s="109"/>
      <c r="N674" s="109"/>
      <c r="P674" s="274">
        <v>2270</v>
      </c>
      <c r="Q674" s="270"/>
      <c r="R674" s="74"/>
      <c r="S674" s="74"/>
      <c r="T674" s="74"/>
      <c r="U674" s="74"/>
      <c r="V674" s="74"/>
      <c r="W674" s="74"/>
      <c r="X674" s="74"/>
      <c r="Y674" s="272"/>
      <c r="AX674" s="188"/>
      <c r="AY674" s="188"/>
      <c r="AZ674" s="188"/>
    </row>
    <row r="675" spans="13:52" x14ac:dyDescent="0.25">
      <c r="M675" s="109"/>
      <c r="N675" s="109"/>
      <c r="P675" s="274">
        <v>2265</v>
      </c>
      <c r="Q675" s="270"/>
      <c r="R675" s="74"/>
      <c r="S675" s="74"/>
      <c r="T675" s="74"/>
      <c r="U675" s="74"/>
      <c r="V675" s="74"/>
      <c r="W675" s="74"/>
      <c r="X675" s="74"/>
      <c r="Y675" s="272"/>
      <c r="AX675" s="188"/>
      <c r="AY675" s="188"/>
      <c r="AZ675" s="188"/>
    </row>
    <row r="676" spans="13:52" x14ac:dyDescent="0.25">
      <c r="M676" s="109"/>
      <c r="N676" s="109"/>
      <c r="P676" s="274">
        <v>2260</v>
      </c>
      <c r="Q676" s="270"/>
      <c r="R676" s="74"/>
      <c r="S676" s="74"/>
      <c r="T676" s="74"/>
      <c r="U676" s="74"/>
      <c r="V676" s="74"/>
      <c r="W676" s="74"/>
      <c r="X676" s="74"/>
      <c r="Y676" s="272"/>
      <c r="AX676" s="188"/>
      <c r="AY676" s="188"/>
      <c r="AZ676" s="188"/>
    </row>
    <row r="677" spans="13:52" x14ac:dyDescent="0.25">
      <c r="M677" s="109"/>
      <c r="N677" s="109"/>
      <c r="P677" s="274">
        <v>2255</v>
      </c>
      <c r="Q677" s="270"/>
      <c r="R677" s="74"/>
      <c r="S677" s="74"/>
      <c r="T677" s="74"/>
      <c r="U677" s="74"/>
      <c r="V677" s="74"/>
      <c r="W677" s="74"/>
      <c r="X677" s="74"/>
      <c r="Y677" s="272"/>
      <c r="AX677" s="188"/>
      <c r="AY677" s="188"/>
      <c r="AZ677" s="188"/>
    </row>
    <row r="678" spans="13:52" x14ac:dyDescent="0.25">
      <c r="M678" s="109"/>
      <c r="N678" s="109"/>
      <c r="P678" s="274">
        <v>2250</v>
      </c>
      <c r="Q678" s="270"/>
      <c r="R678" s="74"/>
      <c r="S678" s="74"/>
      <c r="T678" s="74"/>
      <c r="U678" s="74"/>
      <c r="V678" s="74"/>
      <c r="W678" s="74"/>
      <c r="X678" s="74"/>
      <c r="Y678" s="272"/>
      <c r="AX678" s="188"/>
      <c r="AY678" s="188"/>
      <c r="AZ678" s="188"/>
    </row>
    <row r="679" spans="13:52" x14ac:dyDescent="0.25">
      <c r="M679" s="109"/>
      <c r="N679" s="109"/>
      <c r="P679" s="274">
        <v>2245</v>
      </c>
      <c r="Q679" s="270"/>
      <c r="R679" s="74"/>
      <c r="S679" s="74"/>
      <c r="T679" s="74"/>
      <c r="U679" s="74"/>
      <c r="V679" s="74"/>
      <c r="W679" s="74"/>
      <c r="X679" s="74"/>
      <c r="Y679" s="272"/>
      <c r="AX679" s="188"/>
      <c r="AY679" s="188"/>
      <c r="AZ679" s="188"/>
    </row>
    <row r="680" spans="13:52" x14ac:dyDescent="0.25">
      <c r="M680" s="109"/>
      <c r="N680" s="109"/>
      <c r="P680" s="274">
        <v>2240</v>
      </c>
      <c r="Q680" s="270"/>
      <c r="R680" s="74"/>
      <c r="S680" s="74"/>
      <c r="T680" s="74"/>
      <c r="U680" s="74"/>
      <c r="V680" s="74"/>
      <c r="W680" s="74"/>
      <c r="X680" s="74"/>
      <c r="Y680" s="272"/>
      <c r="AX680" s="188"/>
      <c r="AY680" s="188"/>
      <c r="AZ680" s="188"/>
    </row>
    <row r="681" spans="13:52" x14ac:dyDescent="0.25">
      <c r="M681" s="109"/>
      <c r="N681" s="109"/>
      <c r="P681" s="274">
        <v>2235</v>
      </c>
      <c r="Q681" s="270"/>
      <c r="R681" s="74"/>
      <c r="S681" s="74"/>
      <c r="T681" s="74"/>
      <c r="U681" s="74"/>
      <c r="V681" s="74"/>
      <c r="W681" s="74"/>
      <c r="X681" s="74"/>
      <c r="Y681" s="272"/>
      <c r="AX681" s="188"/>
      <c r="AY681" s="188"/>
      <c r="AZ681" s="188"/>
    </row>
    <row r="682" spans="13:52" x14ac:dyDescent="0.25">
      <c r="M682" s="109"/>
      <c r="N682" s="109"/>
      <c r="P682" s="274">
        <v>2230</v>
      </c>
      <c r="Q682" s="270"/>
      <c r="R682" s="74"/>
      <c r="S682" s="74"/>
      <c r="T682" s="74"/>
      <c r="U682" s="74"/>
      <c r="V682" s="74"/>
      <c r="W682" s="74"/>
      <c r="X682" s="74"/>
      <c r="Y682" s="272"/>
      <c r="AX682" s="188"/>
      <c r="AY682" s="188"/>
      <c r="AZ682" s="188"/>
    </row>
    <row r="683" spans="13:52" x14ac:dyDescent="0.25">
      <c r="M683" s="109"/>
      <c r="N683" s="109"/>
      <c r="P683" s="274">
        <v>2225</v>
      </c>
      <c r="Q683" s="270"/>
      <c r="R683" s="74"/>
      <c r="S683" s="74"/>
      <c r="T683" s="74"/>
      <c r="U683" s="74"/>
      <c r="V683" s="74"/>
      <c r="W683" s="74"/>
      <c r="X683" s="74"/>
      <c r="Y683" s="272"/>
      <c r="AX683" s="188"/>
      <c r="AY683" s="188"/>
      <c r="AZ683" s="188"/>
    </row>
    <row r="684" spans="13:52" x14ac:dyDescent="0.25">
      <c r="M684" s="109"/>
      <c r="N684" s="109"/>
      <c r="P684" s="274">
        <v>2220</v>
      </c>
      <c r="Q684" s="270"/>
      <c r="R684" s="74"/>
      <c r="S684" s="74"/>
      <c r="T684" s="74"/>
      <c r="U684" s="74"/>
      <c r="V684" s="74"/>
      <c r="W684" s="74"/>
      <c r="X684" s="74"/>
      <c r="Y684" s="272"/>
      <c r="AX684" s="188"/>
      <c r="AY684" s="188"/>
      <c r="AZ684" s="188"/>
    </row>
    <row r="685" spans="13:52" x14ac:dyDescent="0.25">
      <c r="M685" s="109"/>
      <c r="N685" s="109"/>
      <c r="P685" s="274">
        <v>2215</v>
      </c>
      <c r="Q685" s="270"/>
      <c r="R685" s="74"/>
      <c r="S685" s="74"/>
      <c r="T685" s="74"/>
      <c r="U685" s="74"/>
      <c r="V685" s="74"/>
      <c r="W685" s="74"/>
      <c r="X685" s="74"/>
      <c r="Y685" s="272"/>
      <c r="AX685" s="188"/>
      <c r="AY685" s="188"/>
      <c r="AZ685" s="188"/>
    </row>
    <row r="686" spans="13:52" x14ac:dyDescent="0.25">
      <c r="M686" s="109"/>
      <c r="N686" s="109"/>
      <c r="P686" s="274">
        <v>2210</v>
      </c>
      <c r="Q686" s="270"/>
      <c r="R686" s="74"/>
      <c r="S686" s="74"/>
      <c r="T686" s="74"/>
      <c r="U686" s="74"/>
      <c r="V686" s="74"/>
      <c r="W686" s="74"/>
      <c r="X686" s="74"/>
      <c r="Y686" s="272"/>
      <c r="AX686" s="188"/>
      <c r="AY686" s="188"/>
      <c r="AZ686" s="188"/>
    </row>
    <row r="687" spans="13:52" x14ac:dyDescent="0.25">
      <c r="M687" s="109"/>
      <c r="N687" s="109"/>
      <c r="P687" s="274">
        <v>2205</v>
      </c>
      <c r="Q687" s="270"/>
      <c r="R687" s="74"/>
      <c r="S687" s="74"/>
      <c r="T687" s="74"/>
      <c r="U687" s="74"/>
      <c r="V687" s="74"/>
      <c r="W687" s="74"/>
      <c r="X687" s="74"/>
      <c r="Y687" s="272"/>
      <c r="AX687" s="188"/>
      <c r="AY687" s="188"/>
      <c r="AZ687" s="188"/>
    </row>
    <row r="688" spans="13:52" x14ac:dyDescent="0.25">
      <c r="M688" s="109"/>
      <c r="N688" s="109"/>
      <c r="P688" s="274">
        <v>2200</v>
      </c>
      <c r="Q688" s="270"/>
      <c r="R688" s="74"/>
      <c r="S688" s="74"/>
      <c r="T688" s="74"/>
      <c r="U688" s="74"/>
      <c r="V688" s="74"/>
      <c r="W688" s="74"/>
      <c r="X688" s="74"/>
      <c r="Y688" s="272"/>
      <c r="AX688" s="188"/>
      <c r="AY688" s="188"/>
      <c r="AZ688" s="188"/>
    </row>
    <row r="689" spans="13:52" x14ac:dyDescent="0.25">
      <c r="M689" s="109"/>
      <c r="N689" s="109"/>
      <c r="P689" s="274">
        <v>2195</v>
      </c>
      <c r="Q689" s="270"/>
      <c r="R689" s="74"/>
      <c r="S689" s="74"/>
      <c r="T689" s="74"/>
      <c r="U689" s="74"/>
      <c r="V689" s="74"/>
      <c r="W689" s="74"/>
      <c r="X689" s="74"/>
      <c r="Y689" s="272"/>
      <c r="AX689" s="188"/>
      <c r="AY689" s="188"/>
      <c r="AZ689" s="188"/>
    </row>
    <row r="690" spans="13:52" x14ac:dyDescent="0.25">
      <c r="M690" s="109"/>
      <c r="N690" s="109"/>
      <c r="P690" s="274">
        <v>2190</v>
      </c>
      <c r="Q690" s="270"/>
      <c r="R690" s="74"/>
      <c r="S690" s="74"/>
      <c r="T690" s="74"/>
      <c r="U690" s="74"/>
      <c r="V690" s="74"/>
      <c r="W690" s="74"/>
      <c r="X690" s="74"/>
      <c r="Y690" s="272"/>
    </row>
    <row r="691" spans="13:52" x14ac:dyDescent="0.25">
      <c r="M691" s="109"/>
      <c r="N691" s="109"/>
      <c r="P691" s="274">
        <v>2185</v>
      </c>
      <c r="Q691" s="270"/>
      <c r="R691" s="74"/>
      <c r="S691" s="74"/>
      <c r="T691" s="74"/>
      <c r="U691" s="74"/>
      <c r="V691" s="74"/>
      <c r="W691" s="74"/>
      <c r="X691" s="74"/>
      <c r="Y691" s="272"/>
    </row>
    <row r="692" spans="13:52" x14ac:dyDescent="0.25">
      <c r="M692" s="109"/>
      <c r="N692" s="109"/>
      <c r="P692" s="274">
        <v>2180</v>
      </c>
      <c r="Q692" s="270"/>
      <c r="R692" s="74"/>
      <c r="S692" s="74"/>
      <c r="T692" s="74"/>
      <c r="U692" s="74"/>
      <c r="V692" s="74"/>
      <c r="W692" s="74"/>
      <c r="X692" s="74"/>
      <c r="Y692" s="272"/>
    </row>
    <row r="693" spans="13:52" x14ac:dyDescent="0.25">
      <c r="M693" s="109"/>
      <c r="N693" s="109"/>
      <c r="P693" s="274">
        <v>2175</v>
      </c>
      <c r="Q693" s="270"/>
      <c r="R693" s="74"/>
      <c r="S693" s="74"/>
      <c r="T693" s="74"/>
      <c r="U693" s="74"/>
      <c r="V693" s="74"/>
      <c r="W693" s="74"/>
      <c r="X693" s="74"/>
      <c r="Y693" s="272"/>
    </row>
    <row r="694" spans="13:52" x14ac:dyDescent="0.25">
      <c r="M694" s="109"/>
      <c r="N694" s="109"/>
      <c r="P694" s="274">
        <v>2170</v>
      </c>
      <c r="Q694" s="270"/>
      <c r="R694" s="74"/>
      <c r="S694" s="74"/>
      <c r="T694" s="74"/>
      <c r="U694" s="74"/>
      <c r="V694" s="74"/>
      <c r="W694" s="74"/>
      <c r="X694" s="74"/>
      <c r="Y694" s="272"/>
    </row>
    <row r="695" spans="13:52" x14ac:dyDescent="0.25">
      <c r="M695" s="109"/>
      <c r="N695" s="109"/>
      <c r="P695" s="274">
        <v>2165</v>
      </c>
      <c r="Q695" s="270"/>
      <c r="R695" s="74"/>
      <c r="S695" s="74"/>
      <c r="T695" s="74"/>
      <c r="U695" s="74"/>
      <c r="V695" s="74"/>
      <c r="W695" s="74"/>
      <c r="X695" s="74"/>
      <c r="Y695" s="272"/>
    </row>
    <row r="696" spans="13:52" x14ac:dyDescent="0.25">
      <c r="M696" s="109"/>
      <c r="N696" s="109"/>
      <c r="P696" s="274">
        <v>2160</v>
      </c>
      <c r="Q696" s="270"/>
      <c r="R696" s="74"/>
      <c r="S696" s="74"/>
      <c r="T696" s="74"/>
      <c r="U696" s="74"/>
      <c r="V696" s="74"/>
      <c r="W696" s="74"/>
      <c r="X696" s="74"/>
      <c r="Y696" s="272"/>
    </row>
    <row r="697" spans="13:52" x14ac:dyDescent="0.25">
      <c r="M697" s="109"/>
      <c r="N697" s="109"/>
      <c r="P697" s="274">
        <v>2155</v>
      </c>
      <c r="Q697" s="270"/>
      <c r="R697" s="74"/>
      <c r="S697" s="74"/>
      <c r="T697" s="74"/>
      <c r="U697" s="74"/>
      <c r="V697" s="74"/>
      <c r="W697" s="74"/>
      <c r="X697" s="74"/>
      <c r="Y697" s="272"/>
    </row>
    <row r="698" spans="13:52" x14ac:dyDescent="0.25">
      <c r="M698" s="109"/>
      <c r="N698" s="109"/>
      <c r="P698" s="274">
        <v>2150</v>
      </c>
      <c r="Q698" s="270"/>
      <c r="R698" s="74"/>
      <c r="S698" s="74"/>
      <c r="T698" s="74"/>
      <c r="U698" s="74"/>
      <c r="V698" s="74"/>
      <c r="W698" s="74"/>
      <c r="X698" s="74"/>
      <c r="Y698" s="272"/>
    </row>
    <row r="699" spans="13:52" x14ac:dyDescent="0.25">
      <c r="M699" s="109"/>
      <c r="N699" s="109"/>
      <c r="P699" s="274">
        <v>2145</v>
      </c>
      <c r="Q699" s="270"/>
      <c r="R699" s="74"/>
      <c r="S699" s="74"/>
      <c r="T699" s="74"/>
      <c r="U699" s="74"/>
      <c r="V699" s="74"/>
      <c r="W699" s="74"/>
      <c r="X699" s="74"/>
      <c r="Y699" s="272"/>
    </row>
    <row r="700" spans="13:52" x14ac:dyDescent="0.25">
      <c r="M700" s="109"/>
      <c r="N700" s="109"/>
      <c r="P700" s="274">
        <v>2140</v>
      </c>
      <c r="Q700" s="270"/>
      <c r="R700" s="74"/>
      <c r="S700" s="74"/>
      <c r="T700" s="74"/>
      <c r="U700" s="74"/>
      <c r="V700" s="74"/>
      <c r="W700" s="74"/>
      <c r="X700" s="74"/>
      <c r="Y700" s="272"/>
    </row>
    <row r="701" spans="13:52" x14ac:dyDescent="0.25">
      <c r="M701" s="109"/>
      <c r="N701" s="109"/>
      <c r="P701" s="274">
        <v>2135</v>
      </c>
      <c r="Q701" s="270"/>
      <c r="R701" s="74"/>
      <c r="S701" s="74"/>
      <c r="T701" s="74"/>
      <c r="U701" s="74"/>
      <c r="V701" s="74"/>
      <c r="W701" s="74"/>
      <c r="X701" s="74"/>
      <c r="Y701" s="272"/>
    </row>
    <row r="702" spans="13:52" x14ac:dyDescent="0.25">
      <c r="M702" s="109"/>
      <c r="N702" s="109"/>
      <c r="P702" s="274">
        <v>2130</v>
      </c>
      <c r="Q702" s="270"/>
      <c r="R702" s="74"/>
      <c r="S702" s="74"/>
      <c r="T702" s="74"/>
      <c r="U702" s="74"/>
      <c r="V702" s="74"/>
      <c r="W702" s="74"/>
      <c r="X702" s="74"/>
      <c r="Y702" s="272"/>
    </row>
    <row r="703" spans="13:52" x14ac:dyDescent="0.25">
      <c r="M703" s="109"/>
      <c r="N703" s="109"/>
      <c r="P703" s="274">
        <v>2125</v>
      </c>
      <c r="Q703" s="270"/>
      <c r="R703" s="74"/>
      <c r="S703" s="74"/>
      <c r="T703" s="74"/>
      <c r="U703" s="74"/>
      <c r="V703" s="74"/>
      <c r="W703" s="74"/>
      <c r="X703" s="74"/>
      <c r="Y703" s="272"/>
    </row>
    <row r="704" spans="13:52" x14ac:dyDescent="0.25">
      <c r="M704" s="109"/>
      <c r="N704" s="109"/>
      <c r="P704" s="274">
        <v>2120</v>
      </c>
      <c r="Q704" s="270"/>
      <c r="R704" s="74"/>
      <c r="S704" s="74"/>
      <c r="T704" s="74"/>
      <c r="U704" s="74"/>
      <c r="V704" s="74"/>
      <c r="W704" s="74"/>
      <c r="X704" s="74"/>
      <c r="Y704" s="272"/>
    </row>
    <row r="705" spans="13:25" x14ac:dyDescent="0.25">
      <c r="M705" s="109"/>
      <c r="N705" s="109"/>
      <c r="P705" s="274">
        <v>2115</v>
      </c>
      <c r="Q705" s="270"/>
      <c r="R705" s="74"/>
      <c r="S705" s="74"/>
      <c r="T705" s="74"/>
      <c r="U705" s="74"/>
      <c r="V705" s="74"/>
      <c r="W705" s="74"/>
      <c r="X705" s="74"/>
      <c r="Y705" s="272"/>
    </row>
    <row r="706" spans="13:25" x14ac:dyDescent="0.25">
      <c r="M706" s="109"/>
      <c r="N706" s="109"/>
      <c r="P706" s="274">
        <v>2110</v>
      </c>
      <c r="Q706" s="270"/>
      <c r="R706" s="74"/>
      <c r="S706" s="74"/>
      <c r="T706" s="74"/>
      <c r="U706" s="74"/>
      <c r="V706" s="74"/>
      <c r="W706" s="74"/>
      <c r="X706" s="74"/>
      <c r="Y706" s="272"/>
    </row>
    <row r="707" spans="13:25" x14ac:dyDescent="0.25">
      <c r="M707" s="109"/>
      <c r="N707" s="109"/>
      <c r="P707" s="274">
        <v>2105</v>
      </c>
      <c r="Q707" s="270"/>
      <c r="R707" s="74"/>
      <c r="S707" s="74"/>
      <c r="T707" s="74"/>
      <c r="U707" s="74"/>
      <c r="V707" s="74"/>
      <c r="W707" s="74"/>
      <c r="X707" s="74"/>
      <c r="Y707" s="272"/>
    </row>
    <row r="708" spans="13:25" x14ac:dyDescent="0.25">
      <c r="M708" s="109"/>
      <c r="N708" s="109"/>
      <c r="P708" s="274">
        <v>2100</v>
      </c>
      <c r="Q708" s="270"/>
      <c r="R708" s="74"/>
      <c r="S708" s="74"/>
      <c r="T708" s="74"/>
      <c r="U708" s="74"/>
      <c r="V708" s="74"/>
      <c r="W708" s="74"/>
      <c r="X708" s="74"/>
      <c r="Y708" s="272"/>
    </row>
    <row r="709" spans="13:25" x14ac:dyDescent="0.25">
      <c r="M709" s="109"/>
      <c r="N709" s="109"/>
      <c r="P709" s="274">
        <v>2095</v>
      </c>
      <c r="Q709" s="270"/>
      <c r="R709" s="74"/>
      <c r="S709" s="74"/>
      <c r="T709" s="74"/>
      <c r="U709" s="74"/>
      <c r="V709" s="74"/>
      <c r="W709" s="74"/>
      <c r="X709" s="74"/>
      <c r="Y709" s="272"/>
    </row>
    <row r="710" spans="13:25" x14ac:dyDescent="0.25">
      <c r="M710" s="109"/>
      <c r="N710" s="109"/>
      <c r="P710" s="274">
        <v>2090</v>
      </c>
      <c r="Q710" s="270"/>
      <c r="R710" s="74"/>
      <c r="S710" s="74"/>
      <c r="T710" s="74"/>
      <c r="U710" s="74"/>
      <c r="V710" s="74"/>
      <c r="W710" s="74"/>
      <c r="X710" s="74"/>
      <c r="Y710" s="272"/>
    </row>
    <row r="711" spans="13:25" x14ac:dyDescent="0.25">
      <c r="M711" s="109"/>
      <c r="N711" s="109"/>
      <c r="P711" s="274">
        <v>2085</v>
      </c>
      <c r="Q711" s="270"/>
      <c r="R711" s="74"/>
      <c r="S711" s="74"/>
      <c r="T711" s="74"/>
      <c r="U711" s="74"/>
      <c r="V711" s="74"/>
      <c r="W711" s="74"/>
      <c r="X711" s="74"/>
      <c r="Y711" s="272"/>
    </row>
    <row r="712" spans="13:25" x14ac:dyDescent="0.25">
      <c r="M712" s="109"/>
      <c r="N712" s="109"/>
      <c r="P712" s="274">
        <v>2080</v>
      </c>
      <c r="Q712" s="270"/>
      <c r="R712" s="74"/>
      <c r="S712" s="74"/>
      <c r="T712" s="74"/>
      <c r="U712" s="74"/>
      <c r="V712" s="74"/>
      <c r="W712" s="74"/>
      <c r="X712" s="74"/>
      <c r="Y712" s="272"/>
    </row>
    <row r="713" spans="13:25" x14ac:dyDescent="0.25">
      <c r="M713" s="109"/>
      <c r="N713" s="109"/>
      <c r="P713" s="274">
        <v>2075</v>
      </c>
      <c r="Q713" s="270"/>
      <c r="R713" s="74"/>
      <c r="S713" s="74"/>
      <c r="T713" s="74"/>
      <c r="U713" s="74"/>
      <c r="V713" s="74"/>
      <c r="W713" s="74"/>
      <c r="X713" s="74"/>
      <c r="Y713" s="272"/>
    </row>
    <row r="714" spans="13:25" x14ac:dyDescent="0.25">
      <c r="M714" s="109"/>
      <c r="N714" s="109"/>
      <c r="P714" s="274">
        <v>2070</v>
      </c>
      <c r="Q714" s="270"/>
      <c r="R714" s="74"/>
      <c r="S714" s="74"/>
      <c r="T714" s="74"/>
      <c r="U714" s="74"/>
      <c r="V714" s="74"/>
      <c r="W714" s="74"/>
      <c r="X714" s="74"/>
      <c r="Y714" s="272"/>
    </row>
    <row r="715" spans="13:25" x14ac:dyDescent="0.25">
      <c r="M715" s="109"/>
      <c r="N715" s="109"/>
      <c r="P715" s="274">
        <v>2065</v>
      </c>
      <c r="Q715" s="270"/>
      <c r="R715" s="74"/>
      <c r="S715" s="74"/>
      <c r="T715" s="74"/>
      <c r="U715" s="74"/>
      <c r="V715" s="74"/>
      <c r="W715" s="74"/>
      <c r="X715" s="74"/>
      <c r="Y715" s="272"/>
    </row>
    <row r="716" spans="13:25" x14ac:dyDescent="0.25">
      <c r="M716" s="109"/>
      <c r="N716" s="109"/>
      <c r="P716" s="274">
        <v>2060</v>
      </c>
      <c r="Q716" s="270"/>
      <c r="R716" s="74"/>
      <c r="S716" s="74"/>
      <c r="T716" s="74"/>
      <c r="U716" s="74"/>
      <c r="V716" s="74"/>
      <c r="W716" s="74"/>
      <c r="X716" s="74"/>
      <c r="Y716" s="272"/>
    </row>
    <row r="717" spans="13:25" x14ac:dyDescent="0.25">
      <c r="M717" s="109"/>
      <c r="N717" s="109"/>
      <c r="P717" s="274">
        <v>2055</v>
      </c>
      <c r="Q717" s="270"/>
      <c r="R717" s="74"/>
      <c r="S717" s="74"/>
      <c r="T717" s="74"/>
      <c r="U717" s="74"/>
      <c r="V717" s="74"/>
      <c r="W717" s="74"/>
      <c r="X717" s="74"/>
      <c r="Y717" s="272"/>
    </row>
    <row r="718" spans="13:25" x14ac:dyDescent="0.25">
      <c r="M718" s="109"/>
      <c r="N718" s="109"/>
      <c r="P718" s="274">
        <v>2050</v>
      </c>
      <c r="Q718" s="270"/>
      <c r="R718" s="74"/>
      <c r="S718" s="74"/>
      <c r="T718" s="74"/>
      <c r="U718" s="74"/>
      <c r="V718" s="74"/>
      <c r="W718" s="74"/>
      <c r="X718" s="74"/>
      <c r="Y718" s="272"/>
    </row>
    <row r="719" spans="13:25" x14ac:dyDescent="0.25">
      <c r="M719" s="109"/>
      <c r="N719" s="109"/>
      <c r="P719" s="274">
        <v>2045</v>
      </c>
      <c r="Q719" s="270"/>
      <c r="R719" s="74"/>
      <c r="S719" s="74"/>
      <c r="T719" s="74"/>
      <c r="U719" s="74"/>
      <c r="V719" s="74"/>
      <c r="W719" s="74"/>
      <c r="X719" s="74"/>
      <c r="Y719" s="272"/>
    </row>
    <row r="720" spans="13:25" x14ac:dyDescent="0.25">
      <c r="M720" s="109"/>
      <c r="N720" s="109"/>
      <c r="P720" s="274">
        <v>2040</v>
      </c>
      <c r="Q720" s="270"/>
      <c r="R720" s="74"/>
      <c r="S720" s="74"/>
      <c r="T720" s="74"/>
      <c r="U720" s="74"/>
      <c r="V720" s="74"/>
      <c r="W720" s="74"/>
      <c r="X720" s="74"/>
      <c r="Y720" s="272"/>
    </row>
    <row r="721" spans="13:25" x14ac:dyDescent="0.25">
      <c r="M721" s="109"/>
      <c r="N721" s="109"/>
      <c r="P721" s="274">
        <v>2035</v>
      </c>
      <c r="Q721" s="270"/>
      <c r="R721" s="74"/>
      <c r="S721" s="74"/>
      <c r="T721" s="74"/>
      <c r="U721" s="74"/>
      <c r="V721" s="74"/>
      <c r="W721" s="74"/>
      <c r="X721" s="74"/>
      <c r="Y721" s="272"/>
    </row>
    <row r="722" spans="13:25" x14ac:dyDescent="0.25">
      <c r="M722" s="109"/>
      <c r="N722" s="109"/>
      <c r="P722" s="274">
        <v>2030</v>
      </c>
      <c r="Q722" s="270"/>
      <c r="R722" s="74"/>
      <c r="S722" s="74"/>
      <c r="T722" s="74"/>
      <c r="U722" s="74"/>
      <c r="V722" s="74"/>
      <c r="W722" s="74"/>
      <c r="X722" s="74"/>
      <c r="Y722" s="272"/>
    </row>
    <row r="723" spans="13:25" x14ac:dyDescent="0.25">
      <c r="M723" s="109"/>
      <c r="N723" s="109"/>
      <c r="P723" s="274">
        <v>2025</v>
      </c>
      <c r="Q723" s="270"/>
      <c r="R723" s="74"/>
      <c r="S723" s="74"/>
      <c r="T723" s="74"/>
      <c r="U723" s="74"/>
      <c r="V723" s="74"/>
      <c r="W723" s="74"/>
      <c r="X723" s="74"/>
      <c r="Y723" s="272"/>
    </row>
    <row r="724" spans="13:25" x14ac:dyDescent="0.25">
      <c r="M724" s="109"/>
      <c r="N724" s="109"/>
      <c r="P724" s="274">
        <v>2020</v>
      </c>
      <c r="Q724" s="270"/>
      <c r="R724" s="74"/>
      <c r="S724" s="74"/>
      <c r="T724" s="74"/>
      <c r="U724" s="74"/>
      <c r="V724" s="74"/>
      <c r="W724" s="74"/>
      <c r="X724" s="74"/>
      <c r="Y724" s="272"/>
    </row>
    <row r="725" spans="13:25" x14ac:dyDescent="0.25">
      <c r="M725" s="109"/>
      <c r="N725" s="109"/>
      <c r="P725" s="274">
        <v>2015</v>
      </c>
      <c r="Q725" s="270"/>
      <c r="R725" s="74"/>
      <c r="S725" s="74"/>
      <c r="T725" s="74"/>
      <c r="U725" s="74"/>
      <c r="V725" s="74"/>
      <c r="W725" s="74"/>
      <c r="X725" s="74"/>
      <c r="Y725" s="272"/>
    </row>
    <row r="726" spans="13:25" x14ac:dyDescent="0.25">
      <c r="M726" s="109"/>
      <c r="N726" s="109"/>
      <c r="P726" s="274">
        <v>2010</v>
      </c>
      <c r="Q726" s="270"/>
      <c r="R726" s="74"/>
      <c r="S726" s="74"/>
      <c r="T726" s="74"/>
      <c r="U726" s="74"/>
      <c r="V726" s="74"/>
      <c r="W726" s="74"/>
      <c r="X726" s="74"/>
      <c r="Y726" s="272"/>
    </row>
    <row r="727" spans="13:25" x14ac:dyDescent="0.25">
      <c r="M727" s="109"/>
      <c r="N727" s="109"/>
      <c r="P727" s="274">
        <v>2005</v>
      </c>
      <c r="Q727" s="270"/>
      <c r="R727" s="74"/>
      <c r="S727" s="74"/>
      <c r="T727" s="74"/>
      <c r="U727" s="74"/>
      <c r="V727" s="74"/>
      <c r="W727" s="74"/>
      <c r="X727" s="74"/>
      <c r="Y727" s="272"/>
    </row>
    <row r="728" spans="13:25" x14ac:dyDescent="0.25">
      <c r="M728" s="109"/>
      <c r="N728" s="109"/>
      <c r="P728" s="274">
        <v>2000</v>
      </c>
      <c r="Q728" s="270"/>
      <c r="R728" s="74"/>
      <c r="S728" s="74"/>
      <c r="T728" s="74"/>
      <c r="U728" s="74"/>
      <c r="V728" s="74"/>
      <c r="W728" s="74"/>
      <c r="X728" s="74"/>
      <c r="Y728" s="272"/>
    </row>
    <row r="729" spans="13:25" x14ac:dyDescent="0.25">
      <c r="M729" s="109"/>
      <c r="N729" s="109"/>
      <c r="P729" s="274">
        <v>1995</v>
      </c>
      <c r="Q729" s="270"/>
      <c r="R729" s="74"/>
      <c r="S729" s="74"/>
      <c r="T729" s="74"/>
      <c r="U729" s="74"/>
      <c r="V729" s="74"/>
      <c r="W729" s="74"/>
      <c r="X729" s="74"/>
      <c r="Y729" s="272"/>
    </row>
    <row r="730" spans="13:25" x14ac:dyDescent="0.25">
      <c r="M730" s="109"/>
      <c r="N730" s="109"/>
      <c r="P730" s="274">
        <v>1990</v>
      </c>
      <c r="Q730" s="270"/>
      <c r="R730" s="74"/>
      <c r="S730" s="74"/>
      <c r="T730" s="74"/>
      <c r="U730" s="74"/>
      <c r="V730" s="74"/>
      <c r="W730" s="74"/>
      <c r="X730" s="74"/>
      <c r="Y730" s="272"/>
    </row>
    <row r="731" spans="13:25" x14ac:dyDescent="0.25">
      <c r="M731" s="109"/>
      <c r="N731" s="109"/>
      <c r="P731" s="274">
        <v>1985</v>
      </c>
      <c r="Q731" s="270"/>
      <c r="R731" s="74"/>
      <c r="S731" s="74"/>
      <c r="T731" s="74"/>
      <c r="U731" s="74"/>
      <c r="V731" s="74"/>
      <c r="W731" s="74"/>
      <c r="X731" s="74"/>
      <c r="Y731" s="272"/>
    </row>
    <row r="732" spans="13:25" x14ac:dyDescent="0.25">
      <c r="M732" s="109"/>
      <c r="N732" s="109"/>
      <c r="P732" s="274">
        <v>1980</v>
      </c>
      <c r="Q732" s="270"/>
      <c r="R732" s="74"/>
      <c r="S732" s="74"/>
      <c r="T732" s="74"/>
      <c r="U732" s="74"/>
      <c r="V732" s="74"/>
      <c r="W732" s="74"/>
      <c r="X732" s="74"/>
      <c r="Y732" s="272"/>
    </row>
    <row r="733" spans="13:25" x14ac:dyDescent="0.25">
      <c r="M733" s="109"/>
      <c r="N733" s="109"/>
      <c r="P733" s="274">
        <v>1975</v>
      </c>
      <c r="Q733" s="270"/>
      <c r="R733" s="74"/>
      <c r="S733" s="74"/>
      <c r="T733" s="74"/>
      <c r="U733" s="74"/>
      <c r="V733" s="74"/>
      <c r="W733" s="74"/>
      <c r="X733" s="74"/>
      <c r="Y733" s="272"/>
    </row>
    <row r="734" spans="13:25" x14ac:dyDescent="0.25">
      <c r="M734" s="109"/>
      <c r="N734" s="109"/>
      <c r="P734" s="274">
        <v>1970</v>
      </c>
      <c r="Q734" s="270"/>
      <c r="R734" s="74"/>
      <c r="S734" s="74"/>
      <c r="T734" s="74"/>
      <c r="U734" s="74"/>
      <c r="V734" s="74"/>
      <c r="W734" s="74"/>
      <c r="X734" s="74"/>
      <c r="Y734" s="272"/>
    </row>
    <row r="735" spans="13:25" x14ac:dyDescent="0.25">
      <c r="M735" s="109"/>
      <c r="N735" s="109"/>
      <c r="P735" s="274">
        <v>1965</v>
      </c>
      <c r="Q735" s="270"/>
      <c r="R735" s="74"/>
      <c r="S735" s="74"/>
      <c r="T735" s="74"/>
      <c r="U735" s="74"/>
      <c r="V735" s="74"/>
      <c r="W735" s="74"/>
      <c r="X735" s="74"/>
      <c r="Y735" s="272"/>
    </row>
    <row r="736" spans="13:25" x14ac:dyDescent="0.25">
      <c r="M736" s="109"/>
      <c r="N736" s="109"/>
      <c r="P736" s="274">
        <v>1960</v>
      </c>
      <c r="Q736" s="270"/>
      <c r="R736" s="74"/>
      <c r="S736" s="74"/>
      <c r="T736" s="74"/>
      <c r="U736" s="74"/>
      <c r="V736" s="74"/>
      <c r="W736" s="74"/>
      <c r="X736" s="74"/>
      <c r="Y736" s="272"/>
    </row>
    <row r="737" spans="13:25" x14ac:dyDescent="0.25">
      <c r="M737" s="109"/>
      <c r="N737" s="109"/>
      <c r="P737" s="274">
        <v>1955</v>
      </c>
      <c r="Q737" s="270"/>
      <c r="R737" s="74"/>
      <c r="S737" s="74"/>
      <c r="T737" s="74"/>
      <c r="U737" s="74"/>
      <c r="V737" s="74"/>
      <c r="W737" s="74"/>
      <c r="X737" s="74"/>
      <c r="Y737" s="272"/>
    </row>
    <row r="738" spans="13:25" x14ac:dyDescent="0.25">
      <c r="M738" s="109"/>
      <c r="N738" s="109"/>
      <c r="P738" s="274">
        <v>1950</v>
      </c>
      <c r="Q738" s="270"/>
      <c r="R738" s="74"/>
      <c r="S738" s="74"/>
      <c r="T738" s="74"/>
      <c r="U738" s="74"/>
      <c r="V738" s="74"/>
      <c r="W738" s="74"/>
      <c r="X738" s="74"/>
      <c r="Y738" s="272"/>
    </row>
    <row r="739" spans="13:25" x14ac:dyDescent="0.25">
      <c r="M739" s="109"/>
      <c r="N739" s="109"/>
      <c r="P739" s="274">
        <v>1945</v>
      </c>
      <c r="Q739" s="270"/>
      <c r="R739" s="74"/>
      <c r="S739" s="74"/>
      <c r="T739" s="74"/>
      <c r="U739" s="74"/>
      <c r="V739" s="74"/>
      <c r="W739" s="74"/>
      <c r="X739" s="74"/>
      <c r="Y739" s="272"/>
    </row>
    <row r="740" spans="13:25" x14ac:dyDescent="0.25">
      <c r="M740" s="109"/>
      <c r="N740" s="109"/>
      <c r="P740" s="274">
        <v>1940</v>
      </c>
      <c r="Q740" s="270"/>
      <c r="R740" s="74"/>
      <c r="S740" s="74"/>
      <c r="T740" s="74"/>
      <c r="U740" s="74"/>
      <c r="V740" s="74"/>
      <c r="W740" s="74"/>
      <c r="X740" s="74"/>
      <c r="Y740" s="272"/>
    </row>
    <row r="741" spans="13:25" x14ac:dyDescent="0.25">
      <c r="M741" s="109"/>
      <c r="N741" s="109"/>
      <c r="P741" s="274">
        <v>1935</v>
      </c>
      <c r="Q741" s="270"/>
      <c r="R741" s="74"/>
      <c r="S741" s="74"/>
      <c r="T741" s="74"/>
      <c r="U741" s="74"/>
      <c r="V741" s="74"/>
      <c r="W741" s="74"/>
      <c r="X741" s="74"/>
      <c r="Y741" s="272"/>
    </row>
    <row r="742" spans="13:25" x14ac:dyDescent="0.25">
      <c r="M742" s="109"/>
      <c r="N742" s="109"/>
      <c r="P742" s="274">
        <v>1930</v>
      </c>
      <c r="Q742" s="270"/>
      <c r="R742" s="74"/>
      <c r="S742" s="74"/>
      <c r="T742" s="74"/>
      <c r="U742" s="74"/>
      <c r="V742" s="74"/>
      <c r="W742" s="74"/>
      <c r="X742" s="74"/>
      <c r="Y742" s="272"/>
    </row>
    <row r="743" spans="13:25" x14ac:dyDescent="0.25">
      <c r="M743" s="109"/>
      <c r="N743" s="109"/>
      <c r="P743" s="274">
        <v>1925</v>
      </c>
      <c r="Q743" s="270"/>
      <c r="R743" s="74"/>
      <c r="S743" s="74"/>
      <c r="T743" s="74"/>
      <c r="U743" s="74"/>
      <c r="V743" s="74"/>
      <c r="W743" s="74"/>
      <c r="X743" s="74"/>
      <c r="Y743" s="272"/>
    </row>
    <row r="744" spans="13:25" x14ac:dyDescent="0.25">
      <c r="M744" s="109"/>
      <c r="N744" s="109"/>
      <c r="P744" s="274">
        <v>1920</v>
      </c>
      <c r="Q744" s="270"/>
      <c r="R744" s="74"/>
      <c r="S744" s="74"/>
      <c r="T744" s="74"/>
      <c r="U744" s="74"/>
      <c r="V744" s="74"/>
      <c r="W744" s="74"/>
      <c r="X744" s="74"/>
      <c r="Y744" s="272"/>
    </row>
    <row r="745" spans="13:25" x14ac:dyDescent="0.25">
      <c r="M745" s="109"/>
      <c r="N745" s="109"/>
      <c r="P745" s="274">
        <v>1915</v>
      </c>
      <c r="Q745" s="270"/>
      <c r="R745" s="74"/>
      <c r="S745" s="74"/>
      <c r="T745" s="74"/>
      <c r="U745" s="74"/>
      <c r="V745" s="74"/>
      <c r="W745" s="74"/>
      <c r="X745" s="74"/>
      <c r="Y745" s="272"/>
    </row>
    <row r="746" spans="13:25" x14ac:dyDescent="0.25">
      <c r="M746" s="109"/>
      <c r="N746" s="109"/>
      <c r="P746" s="274">
        <v>1910</v>
      </c>
      <c r="Q746" s="270"/>
      <c r="R746" s="74"/>
      <c r="S746" s="74"/>
      <c r="T746" s="74"/>
      <c r="U746" s="74"/>
      <c r="V746" s="74"/>
      <c r="W746" s="74"/>
      <c r="X746" s="74"/>
      <c r="Y746" s="272"/>
    </row>
    <row r="747" spans="13:25" x14ac:dyDescent="0.25">
      <c r="M747" s="109"/>
      <c r="N747" s="109"/>
      <c r="P747" s="274">
        <v>1905</v>
      </c>
      <c r="Q747" s="270"/>
      <c r="R747" s="74"/>
      <c r="S747" s="74"/>
      <c r="T747" s="74"/>
      <c r="U747" s="74"/>
      <c r="V747" s="74"/>
      <c r="W747" s="74"/>
      <c r="X747" s="74"/>
      <c r="Y747" s="272"/>
    </row>
    <row r="748" spans="13:25" x14ac:dyDescent="0.25">
      <c r="M748" s="109"/>
      <c r="N748" s="109"/>
      <c r="P748" s="274">
        <v>1900</v>
      </c>
      <c r="Q748" s="270"/>
      <c r="R748" s="74"/>
      <c r="S748" s="74"/>
      <c r="T748" s="74"/>
      <c r="U748" s="74"/>
      <c r="V748" s="74"/>
      <c r="W748" s="74"/>
      <c r="X748" s="74"/>
      <c r="Y748" s="272"/>
    </row>
    <row r="749" spans="13:25" x14ac:dyDescent="0.25">
      <c r="M749" s="109"/>
      <c r="N749" s="109"/>
      <c r="P749" s="274">
        <v>1895</v>
      </c>
      <c r="Q749" s="270"/>
      <c r="R749" s="74"/>
      <c r="S749" s="74"/>
      <c r="T749" s="74"/>
      <c r="U749" s="74"/>
      <c r="V749" s="74"/>
      <c r="W749" s="74"/>
      <c r="X749" s="74"/>
      <c r="Y749" s="272"/>
    </row>
    <row r="750" spans="13:25" x14ac:dyDescent="0.25">
      <c r="M750" s="109"/>
      <c r="N750" s="109"/>
      <c r="P750" s="274">
        <v>1890</v>
      </c>
      <c r="Q750" s="270"/>
      <c r="R750" s="74"/>
      <c r="S750" s="74"/>
      <c r="T750" s="74"/>
      <c r="U750" s="74"/>
      <c r="V750" s="74"/>
      <c r="W750" s="74"/>
      <c r="X750" s="74"/>
      <c r="Y750" s="272"/>
    </row>
    <row r="751" spans="13:25" x14ac:dyDescent="0.25">
      <c r="M751" s="109"/>
      <c r="N751" s="109"/>
      <c r="P751" s="274">
        <v>1885</v>
      </c>
      <c r="Q751" s="270"/>
      <c r="R751" s="74"/>
      <c r="S751" s="74"/>
      <c r="T751" s="74"/>
      <c r="U751" s="74"/>
      <c r="V751" s="74"/>
      <c r="W751" s="74"/>
      <c r="X751" s="74"/>
      <c r="Y751" s="272"/>
    </row>
    <row r="752" spans="13:25" x14ac:dyDescent="0.25">
      <c r="M752" s="109"/>
      <c r="N752" s="109"/>
      <c r="P752" s="274">
        <v>1880</v>
      </c>
      <c r="Q752" s="270"/>
      <c r="R752" s="74"/>
      <c r="S752" s="74"/>
      <c r="T752" s="74"/>
      <c r="U752" s="74"/>
      <c r="V752" s="74"/>
      <c r="W752" s="74"/>
      <c r="X752" s="74"/>
      <c r="Y752" s="272"/>
    </row>
    <row r="753" spans="13:25" x14ac:dyDescent="0.25">
      <c r="M753" s="109"/>
      <c r="N753" s="109"/>
      <c r="P753" s="274">
        <v>1875</v>
      </c>
      <c r="Q753" s="270"/>
      <c r="R753" s="74"/>
      <c r="S753" s="74"/>
      <c r="T753" s="74"/>
      <c r="U753" s="74"/>
      <c r="V753" s="74"/>
      <c r="W753" s="74"/>
      <c r="X753" s="74"/>
      <c r="Y753" s="272"/>
    </row>
    <row r="754" spans="13:25" x14ac:dyDescent="0.25">
      <c r="M754" s="109"/>
      <c r="N754" s="109"/>
      <c r="P754" s="274">
        <v>1870</v>
      </c>
      <c r="Q754" s="270"/>
      <c r="R754" s="74"/>
      <c r="S754" s="74"/>
      <c r="T754" s="74"/>
      <c r="U754" s="74"/>
      <c r="V754" s="74"/>
      <c r="W754" s="74"/>
      <c r="X754" s="74"/>
      <c r="Y754" s="272"/>
    </row>
    <row r="755" spans="13:25" x14ac:dyDescent="0.25">
      <c r="M755" s="109"/>
      <c r="N755" s="109"/>
      <c r="P755" s="274">
        <v>1865</v>
      </c>
      <c r="Q755" s="270"/>
      <c r="R755" s="74"/>
      <c r="S755" s="74"/>
      <c r="T755" s="74"/>
      <c r="U755" s="74"/>
      <c r="V755" s="74"/>
      <c r="W755" s="74"/>
      <c r="X755" s="74"/>
      <c r="Y755" s="272"/>
    </row>
    <row r="756" spans="13:25" x14ac:dyDescent="0.25">
      <c r="M756" s="109"/>
      <c r="N756" s="109"/>
      <c r="P756" s="274">
        <v>1860</v>
      </c>
      <c r="Q756" s="270"/>
      <c r="R756" s="74"/>
      <c r="S756" s="74"/>
      <c r="T756" s="74"/>
      <c r="U756" s="74"/>
      <c r="V756" s="74"/>
      <c r="W756" s="74"/>
      <c r="X756" s="74"/>
      <c r="Y756" s="272"/>
    </row>
    <row r="757" spans="13:25" x14ac:dyDescent="0.25">
      <c r="M757" s="109"/>
      <c r="N757" s="109"/>
      <c r="P757" s="274">
        <v>1855</v>
      </c>
      <c r="Q757" s="270"/>
      <c r="R757" s="74"/>
      <c r="S757" s="74"/>
      <c r="T757" s="74"/>
      <c r="U757" s="74"/>
      <c r="V757" s="74"/>
      <c r="W757" s="74"/>
      <c r="X757" s="74"/>
      <c r="Y757" s="272"/>
    </row>
    <row r="758" spans="13:25" x14ac:dyDescent="0.25">
      <c r="M758" s="109"/>
      <c r="N758" s="109"/>
      <c r="P758" s="274">
        <v>1850</v>
      </c>
      <c r="Q758" s="270"/>
      <c r="R758" s="74"/>
      <c r="S758" s="74"/>
      <c r="T758" s="74"/>
      <c r="U758" s="74"/>
      <c r="V758" s="74"/>
      <c r="W758" s="74"/>
      <c r="X758" s="74"/>
      <c r="Y758" s="272"/>
    </row>
    <row r="759" spans="13:25" x14ac:dyDescent="0.25">
      <c r="M759" s="109"/>
      <c r="N759" s="109"/>
      <c r="P759" s="274">
        <v>1845</v>
      </c>
      <c r="Q759" s="270"/>
      <c r="R759" s="74"/>
      <c r="S759" s="74"/>
      <c r="T759" s="74"/>
      <c r="U759" s="74"/>
      <c r="V759" s="74"/>
      <c r="W759" s="74"/>
      <c r="X759" s="74"/>
      <c r="Y759" s="272"/>
    </row>
    <row r="760" spans="13:25" x14ac:dyDescent="0.25">
      <c r="M760" s="109"/>
      <c r="N760" s="109"/>
      <c r="P760" s="274">
        <v>1840</v>
      </c>
      <c r="Q760" s="270"/>
      <c r="R760" s="74"/>
      <c r="S760" s="74"/>
      <c r="T760" s="74"/>
      <c r="U760" s="74"/>
      <c r="V760" s="74"/>
      <c r="W760" s="74"/>
      <c r="X760" s="74"/>
      <c r="Y760" s="272"/>
    </row>
    <row r="761" spans="13:25" x14ac:dyDescent="0.25">
      <c r="M761" s="109"/>
      <c r="N761" s="109"/>
      <c r="P761" s="274">
        <v>1835</v>
      </c>
      <c r="Q761" s="270"/>
      <c r="R761" s="74"/>
      <c r="S761" s="74"/>
      <c r="T761" s="74"/>
      <c r="U761" s="74"/>
      <c r="V761" s="74"/>
      <c r="W761" s="74"/>
      <c r="X761" s="74"/>
      <c r="Y761" s="272"/>
    </row>
    <row r="762" spans="13:25" x14ac:dyDescent="0.25">
      <c r="M762" s="109"/>
      <c r="N762" s="109"/>
      <c r="P762" s="274">
        <v>1830</v>
      </c>
      <c r="Q762" s="270"/>
      <c r="R762" s="74"/>
      <c r="S762" s="74"/>
      <c r="T762" s="74"/>
      <c r="U762" s="74"/>
      <c r="V762" s="74"/>
      <c r="W762" s="74"/>
      <c r="X762" s="74"/>
      <c r="Y762" s="272"/>
    </row>
    <row r="763" spans="13:25" x14ac:dyDescent="0.25">
      <c r="M763" s="109"/>
      <c r="N763" s="109"/>
      <c r="P763" s="274">
        <v>1825</v>
      </c>
      <c r="Q763" s="270"/>
      <c r="R763" s="74"/>
      <c r="S763" s="74"/>
      <c r="T763" s="74"/>
      <c r="U763" s="74"/>
      <c r="V763" s="74"/>
      <c r="W763" s="74"/>
      <c r="X763" s="74"/>
      <c r="Y763" s="272"/>
    </row>
    <row r="764" spans="13:25" x14ac:dyDescent="0.25">
      <c r="M764" s="109"/>
      <c r="N764" s="109"/>
      <c r="P764" s="274">
        <v>1820</v>
      </c>
      <c r="Q764" s="270"/>
      <c r="R764" s="74"/>
      <c r="S764" s="74"/>
      <c r="T764" s="74"/>
      <c r="U764" s="74"/>
      <c r="V764" s="74"/>
      <c r="W764" s="74"/>
      <c r="X764" s="74"/>
      <c r="Y764" s="272"/>
    </row>
    <row r="765" spans="13:25" x14ac:dyDescent="0.25">
      <c r="M765" s="109"/>
      <c r="N765" s="109"/>
      <c r="P765" s="274">
        <v>1815</v>
      </c>
      <c r="Q765" s="270"/>
      <c r="R765" s="74"/>
      <c r="S765" s="74"/>
      <c r="T765" s="74"/>
      <c r="U765" s="74"/>
      <c r="V765" s="74"/>
      <c r="W765" s="74"/>
      <c r="X765" s="74"/>
      <c r="Y765" s="272"/>
    </row>
    <row r="766" spans="13:25" x14ac:dyDescent="0.25">
      <c r="M766" s="109"/>
      <c r="N766" s="109"/>
      <c r="P766" s="274">
        <v>1810</v>
      </c>
      <c r="Q766" s="270"/>
      <c r="R766" s="74"/>
      <c r="S766" s="74"/>
      <c r="T766" s="74"/>
      <c r="U766" s="74"/>
      <c r="V766" s="74"/>
      <c r="W766" s="74"/>
      <c r="X766" s="74"/>
      <c r="Y766" s="272"/>
    </row>
    <row r="767" spans="13:25" x14ac:dyDescent="0.25">
      <c r="M767" s="109"/>
      <c r="N767" s="109"/>
      <c r="P767" s="274">
        <v>1805</v>
      </c>
      <c r="Q767" s="270"/>
      <c r="R767" s="74"/>
      <c r="S767" s="74"/>
      <c r="T767" s="74"/>
      <c r="U767" s="74"/>
      <c r="V767" s="74"/>
      <c r="W767" s="74"/>
      <c r="X767" s="74"/>
      <c r="Y767" s="272"/>
    </row>
    <row r="768" spans="13:25" x14ac:dyDescent="0.25">
      <c r="M768" s="109"/>
      <c r="N768" s="109"/>
      <c r="P768" s="274">
        <v>1800</v>
      </c>
      <c r="Q768" s="270"/>
      <c r="R768" s="74"/>
      <c r="S768" s="74"/>
      <c r="T768" s="74"/>
      <c r="U768" s="74"/>
      <c r="V768" s="74"/>
      <c r="W768" s="74"/>
      <c r="X768" s="74"/>
      <c r="Y768" s="272"/>
    </row>
    <row r="769" spans="13:25" x14ac:dyDescent="0.25">
      <c r="M769" s="109"/>
      <c r="N769" s="109"/>
      <c r="P769" s="274">
        <v>1795</v>
      </c>
      <c r="Q769" s="270"/>
      <c r="R769" s="74"/>
      <c r="S769" s="74"/>
      <c r="T769" s="74"/>
      <c r="U769" s="74"/>
      <c r="V769" s="74"/>
      <c r="W769" s="74"/>
      <c r="X769" s="74"/>
      <c r="Y769" s="272"/>
    </row>
    <row r="770" spans="13:25" x14ac:dyDescent="0.25">
      <c r="M770" s="109"/>
      <c r="N770" s="109"/>
      <c r="P770" s="274">
        <v>1790</v>
      </c>
      <c r="Q770" s="270"/>
      <c r="R770" s="74"/>
      <c r="S770" s="74"/>
      <c r="T770" s="74"/>
      <c r="U770" s="74"/>
      <c r="V770" s="74"/>
      <c r="W770" s="74"/>
      <c r="X770" s="74"/>
      <c r="Y770" s="272"/>
    </row>
    <row r="771" spans="13:25" x14ac:dyDescent="0.25">
      <c r="M771" s="109"/>
      <c r="N771" s="109"/>
      <c r="P771" s="274">
        <v>1785</v>
      </c>
      <c r="Q771" s="270"/>
      <c r="R771" s="74"/>
      <c r="S771" s="74"/>
      <c r="T771" s="74"/>
      <c r="U771" s="74"/>
      <c r="V771" s="74"/>
      <c r="W771" s="74"/>
      <c r="X771" s="74"/>
      <c r="Y771" s="272"/>
    </row>
    <row r="772" spans="13:25" x14ac:dyDescent="0.25">
      <c r="M772" s="109"/>
      <c r="N772" s="109"/>
      <c r="P772" s="274">
        <v>1780</v>
      </c>
      <c r="Q772" s="270"/>
      <c r="R772" s="74"/>
      <c r="S772" s="74"/>
      <c r="T772" s="74"/>
      <c r="U772" s="74"/>
      <c r="V772" s="74"/>
      <c r="W772" s="74"/>
      <c r="X772" s="74"/>
      <c r="Y772" s="272"/>
    </row>
    <row r="773" spans="13:25" x14ac:dyDescent="0.25">
      <c r="M773" s="109"/>
      <c r="N773" s="109"/>
      <c r="P773" s="274">
        <v>1775</v>
      </c>
      <c r="Q773" s="270"/>
      <c r="R773" s="74"/>
      <c r="S773" s="74"/>
      <c r="T773" s="74"/>
      <c r="U773" s="74"/>
      <c r="V773" s="74"/>
      <c r="W773" s="74"/>
      <c r="X773" s="74"/>
      <c r="Y773" s="272"/>
    </row>
    <row r="774" spans="13:25" x14ac:dyDescent="0.25">
      <c r="M774" s="109"/>
      <c r="N774" s="109"/>
      <c r="P774" s="274">
        <v>1770</v>
      </c>
      <c r="Q774" s="270"/>
      <c r="R774" s="74"/>
      <c r="S774" s="74"/>
      <c r="T774" s="74"/>
      <c r="U774" s="74"/>
      <c r="V774" s="74"/>
      <c r="W774" s="74"/>
      <c r="X774" s="74"/>
      <c r="Y774" s="272"/>
    </row>
    <row r="775" spans="13:25" x14ac:dyDescent="0.25">
      <c r="M775" s="109"/>
      <c r="N775" s="109"/>
      <c r="P775" s="274">
        <v>1765</v>
      </c>
      <c r="Q775" s="270"/>
      <c r="R775" s="74"/>
      <c r="S775" s="74"/>
      <c r="T775" s="74"/>
      <c r="U775" s="74"/>
      <c r="V775" s="74"/>
      <c r="W775" s="74"/>
      <c r="X775" s="74"/>
      <c r="Y775" s="272"/>
    </row>
    <row r="776" spans="13:25" x14ac:dyDescent="0.25">
      <c r="M776" s="109"/>
      <c r="N776" s="109"/>
      <c r="P776" s="274">
        <v>1760</v>
      </c>
      <c r="Q776" s="270"/>
      <c r="R776" s="74"/>
      <c r="S776" s="74"/>
      <c r="T776" s="74"/>
      <c r="U776" s="74"/>
      <c r="V776" s="74"/>
      <c r="W776" s="74"/>
      <c r="X776" s="74"/>
      <c r="Y776" s="272"/>
    </row>
    <row r="777" spans="13:25" x14ac:dyDescent="0.25">
      <c r="M777" s="109"/>
      <c r="N777" s="109"/>
      <c r="P777" s="274">
        <v>1755</v>
      </c>
      <c r="Q777" s="270"/>
      <c r="R777" s="74"/>
      <c r="S777" s="74"/>
      <c r="T777" s="74"/>
      <c r="U777" s="74"/>
      <c r="V777" s="74"/>
      <c r="W777" s="74"/>
      <c r="X777" s="74"/>
      <c r="Y777" s="272"/>
    </row>
    <row r="778" spans="13:25" x14ac:dyDescent="0.25">
      <c r="M778" s="109"/>
      <c r="N778" s="109"/>
      <c r="P778" s="274">
        <v>1750</v>
      </c>
      <c r="Q778" s="270"/>
      <c r="R778" s="74"/>
      <c r="S778" s="74"/>
      <c r="T778" s="74"/>
      <c r="U778" s="74"/>
      <c r="V778" s="74"/>
      <c r="W778" s="74"/>
      <c r="X778" s="74"/>
      <c r="Y778" s="272"/>
    </row>
    <row r="779" spans="13:25" x14ac:dyDescent="0.25">
      <c r="M779" s="109"/>
      <c r="N779" s="109"/>
      <c r="P779" s="274">
        <v>1745</v>
      </c>
      <c r="Q779" s="270"/>
      <c r="R779" s="74"/>
      <c r="S779" s="74"/>
      <c r="T779" s="74"/>
      <c r="U779" s="74"/>
      <c r="V779" s="74"/>
      <c r="W779" s="74"/>
      <c r="X779" s="74"/>
      <c r="Y779" s="272"/>
    </row>
    <row r="780" spans="13:25" x14ac:dyDescent="0.25">
      <c r="M780" s="109"/>
      <c r="N780" s="109"/>
      <c r="P780" s="274">
        <v>1740</v>
      </c>
      <c r="Q780" s="270"/>
      <c r="R780" s="74"/>
      <c r="S780" s="74"/>
      <c r="T780" s="74"/>
      <c r="U780" s="74"/>
      <c r="V780" s="74"/>
      <c r="W780" s="74"/>
      <c r="X780" s="74"/>
      <c r="Y780" s="272"/>
    </row>
    <row r="781" spans="13:25" x14ac:dyDescent="0.25">
      <c r="M781" s="109"/>
      <c r="N781" s="109"/>
      <c r="P781" s="274">
        <v>1735</v>
      </c>
      <c r="Q781" s="270"/>
      <c r="R781" s="74"/>
      <c r="S781" s="74"/>
      <c r="T781" s="74"/>
      <c r="U781" s="74"/>
      <c r="V781" s="74"/>
      <c r="W781" s="74"/>
      <c r="X781" s="74"/>
      <c r="Y781" s="272"/>
    </row>
    <row r="782" spans="13:25" x14ac:dyDescent="0.25">
      <c r="M782" s="109"/>
      <c r="N782" s="109"/>
      <c r="P782" s="274">
        <v>1730</v>
      </c>
      <c r="Q782" s="270"/>
      <c r="R782" s="74"/>
      <c r="S782" s="74"/>
      <c r="T782" s="74"/>
      <c r="U782" s="74"/>
      <c r="V782" s="74"/>
      <c r="W782" s="74"/>
      <c r="X782" s="74"/>
      <c r="Y782" s="272"/>
    </row>
    <row r="783" spans="13:25" x14ac:dyDescent="0.25">
      <c r="M783" s="109"/>
      <c r="N783" s="109"/>
      <c r="P783" s="274">
        <v>1725</v>
      </c>
      <c r="Q783" s="270"/>
      <c r="R783" s="74"/>
      <c r="S783" s="74"/>
      <c r="T783" s="74"/>
      <c r="U783" s="74"/>
      <c r="V783" s="74"/>
      <c r="W783" s="74"/>
      <c r="X783" s="74"/>
      <c r="Y783" s="272"/>
    </row>
    <row r="784" spans="13:25" x14ac:dyDescent="0.25">
      <c r="M784" s="109"/>
      <c r="N784" s="109"/>
      <c r="P784" s="274">
        <v>1720</v>
      </c>
      <c r="Q784" s="270"/>
      <c r="R784" s="74"/>
      <c r="S784" s="74"/>
      <c r="T784" s="74"/>
      <c r="U784" s="74"/>
      <c r="V784" s="74"/>
      <c r="W784" s="74"/>
      <c r="X784" s="74"/>
      <c r="Y784" s="272"/>
    </row>
    <row r="785" spans="13:25" x14ac:dyDescent="0.25">
      <c r="M785" s="109"/>
      <c r="N785" s="109"/>
      <c r="P785" s="274">
        <v>1715</v>
      </c>
      <c r="Q785" s="270"/>
      <c r="R785" s="74"/>
      <c r="S785" s="74"/>
      <c r="T785" s="74"/>
      <c r="U785" s="74"/>
      <c r="V785" s="74"/>
      <c r="W785" s="74"/>
      <c r="X785" s="74"/>
      <c r="Y785" s="272"/>
    </row>
    <row r="786" spans="13:25" x14ac:dyDescent="0.25">
      <c r="M786" s="109"/>
      <c r="N786" s="109"/>
      <c r="P786" s="274">
        <v>1710</v>
      </c>
      <c r="Q786" s="270"/>
      <c r="R786" s="74"/>
      <c r="S786" s="74"/>
      <c r="T786" s="74"/>
      <c r="U786" s="74"/>
      <c r="V786" s="74"/>
      <c r="W786" s="74"/>
      <c r="X786" s="74"/>
      <c r="Y786" s="272"/>
    </row>
    <row r="787" spans="13:25" x14ac:dyDescent="0.25">
      <c r="M787" s="109"/>
      <c r="N787" s="109"/>
      <c r="P787" s="274">
        <v>1705</v>
      </c>
      <c r="Q787" s="270"/>
      <c r="R787" s="74"/>
      <c r="S787" s="74"/>
      <c r="T787" s="74"/>
      <c r="U787" s="74"/>
      <c r="V787" s="74"/>
      <c r="W787" s="74"/>
      <c r="X787" s="74"/>
      <c r="Y787" s="272"/>
    </row>
    <row r="788" spans="13:25" x14ac:dyDescent="0.25">
      <c r="M788" s="109"/>
      <c r="N788" s="109"/>
      <c r="P788" s="274">
        <v>1700</v>
      </c>
      <c r="Q788" s="270"/>
      <c r="R788" s="74"/>
      <c r="S788" s="74"/>
      <c r="T788" s="74"/>
      <c r="U788" s="74"/>
      <c r="V788" s="74"/>
      <c r="W788" s="74"/>
      <c r="X788" s="74"/>
      <c r="Y788" s="272"/>
    </row>
    <row r="789" spans="13:25" x14ac:dyDescent="0.25">
      <c r="M789" s="109"/>
      <c r="N789" s="109"/>
      <c r="P789" s="274">
        <v>1695</v>
      </c>
      <c r="Q789" s="270"/>
      <c r="R789" s="74"/>
      <c r="S789" s="74"/>
      <c r="T789" s="74"/>
      <c r="U789" s="74"/>
      <c r="V789" s="74"/>
      <c r="W789" s="74"/>
      <c r="X789" s="74"/>
      <c r="Y789" s="272"/>
    </row>
    <row r="790" spans="13:25" x14ac:dyDescent="0.25">
      <c r="M790" s="109"/>
      <c r="N790" s="109"/>
      <c r="P790" s="274">
        <v>1690</v>
      </c>
      <c r="Q790" s="270"/>
      <c r="R790" s="74"/>
      <c r="S790" s="74"/>
      <c r="T790" s="74"/>
      <c r="U790" s="74"/>
      <c r="V790" s="74"/>
      <c r="W790" s="74"/>
      <c r="X790" s="74"/>
      <c r="Y790" s="272"/>
    </row>
    <row r="791" spans="13:25" x14ac:dyDescent="0.25">
      <c r="M791" s="109"/>
      <c r="N791" s="109"/>
      <c r="P791" s="274">
        <v>1685</v>
      </c>
      <c r="Q791" s="270"/>
      <c r="R791" s="74"/>
      <c r="S791" s="74"/>
      <c r="T791" s="74"/>
      <c r="U791" s="74"/>
      <c r="V791" s="74"/>
      <c r="W791" s="74"/>
      <c r="X791" s="74"/>
      <c r="Y791" s="272"/>
    </row>
    <row r="792" spans="13:25" x14ac:dyDescent="0.25">
      <c r="M792" s="109"/>
      <c r="N792" s="109"/>
      <c r="P792" s="274">
        <v>1680</v>
      </c>
      <c r="Q792" s="270"/>
      <c r="R792" s="74"/>
      <c r="S792" s="74"/>
      <c r="T792" s="74"/>
      <c r="U792" s="74"/>
      <c r="V792" s="74"/>
      <c r="W792" s="74"/>
      <c r="X792" s="74"/>
      <c r="Y792" s="272"/>
    </row>
    <row r="793" spans="13:25" x14ac:dyDescent="0.25">
      <c r="M793" s="109"/>
      <c r="N793" s="109"/>
      <c r="P793" s="274">
        <v>1675</v>
      </c>
      <c r="Q793" s="270"/>
      <c r="R793" s="74"/>
      <c r="S793" s="74"/>
      <c r="T793" s="74"/>
      <c r="U793" s="74"/>
      <c r="V793" s="74"/>
      <c r="W793" s="74"/>
      <c r="X793" s="74"/>
      <c r="Y793" s="272"/>
    </row>
    <row r="794" spans="13:25" x14ac:dyDescent="0.25">
      <c r="M794" s="109"/>
      <c r="N794" s="109"/>
      <c r="P794" s="274">
        <v>1670</v>
      </c>
      <c r="Q794" s="270"/>
      <c r="R794" s="74"/>
      <c r="S794" s="74"/>
      <c r="T794" s="74"/>
      <c r="U794" s="74"/>
      <c r="V794" s="74"/>
      <c r="W794" s="74"/>
      <c r="X794" s="74"/>
      <c r="Y794" s="272"/>
    </row>
    <row r="795" spans="13:25" x14ac:dyDescent="0.25">
      <c r="M795" s="109"/>
      <c r="N795" s="109"/>
      <c r="P795" s="274">
        <v>1665</v>
      </c>
      <c r="Q795" s="270"/>
      <c r="R795" s="74"/>
      <c r="S795" s="74"/>
      <c r="T795" s="74"/>
      <c r="U795" s="74"/>
      <c r="V795" s="74"/>
      <c r="W795" s="74"/>
      <c r="X795" s="74"/>
      <c r="Y795" s="272"/>
    </row>
    <row r="796" spans="13:25" x14ac:dyDescent="0.25">
      <c r="M796" s="109"/>
      <c r="N796" s="109"/>
      <c r="P796" s="274">
        <v>1660</v>
      </c>
      <c r="Q796" s="270"/>
      <c r="R796" s="74"/>
      <c r="S796" s="74"/>
      <c r="T796" s="74"/>
      <c r="U796" s="74"/>
      <c r="V796" s="74"/>
      <c r="W796" s="74"/>
      <c r="X796" s="74"/>
      <c r="Y796" s="272"/>
    </row>
    <row r="797" spans="13:25" x14ac:dyDescent="0.25">
      <c r="M797" s="109"/>
      <c r="N797" s="109"/>
      <c r="P797" s="274">
        <v>1655</v>
      </c>
      <c r="Q797" s="270"/>
      <c r="R797" s="74"/>
      <c r="S797" s="74"/>
      <c r="T797" s="74"/>
      <c r="U797" s="74"/>
      <c r="V797" s="74"/>
      <c r="W797" s="74"/>
      <c r="X797" s="74"/>
      <c r="Y797" s="272"/>
    </row>
    <row r="798" spans="13:25" x14ac:dyDescent="0.25">
      <c r="M798" s="109"/>
      <c r="N798" s="109"/>
      <c r="P798" s="274">
        <v>1650</v>
      </c>
      <c r="Q798" s="270"/>
      <c r="R798" s="74"/>
      <c r="S798" s="74"/>
      <c r="T798" s="74"/>
      <c r="U798" s="74"/>
      <c r="V798" s="74"/>
      <c r="W798" s="74"/>
      <c r="X798" s="74"/>
      <c r="Y798" s="272"/>
    </row>
    <row r="799" spans="13:25" x14ac:dyDescent="0.25">
      <c r="M799" s="109"/>
      <c r="N799" s="109"/>
      <c r="P799" s="274">
        <v>1645</v>
      </c>
      <c r="Q799" s="270"/>
      <c r="R799" s="74"/>
      <c r="S799" s="74"/>
      <c r="T799" s="74"/>
      <c r="U799" s="74"/>
      <c r="V799" s="74"/>
      <c r="W799" s="74"/>
      <c r="X799" s="74"/>
      <c r="Y799" s="272"/>
    </row>
    <row r="800" spans="13:25" x14ac:dyDescent="0.25">
      <c r="M800" s="109"/>
      <c r="N800" s="109"/>
      <c r="P800" s="274">
        <v>1640</v>
      </c>
      <c r="Q800" s="270"/>
      <c r="R800" s="74"/>
      <c r="S800" s="74"/>
      <c r="T800" s="74"/>
      <c r="U800" s="74"/>
      <c r="V800" s="74"/>
      <c r="W800" s="74"/>
      <c r="X800" s="74"/>
      <c r="Y800" s="272"/>
    </row>
    <row r="801" spans="13:25" x14ac:dyDescent="0.25">
      <c r="M801" s="109"/>
      <c r="N801" s="109"/>
      <c r="P801" s="274">
        <v>1635</v>
      </c>
      <c r="Q801" s="270"/>
      <c r="R801" s="74"/>
      <c r="S801" s="74"/>
      <c r="T801" s="74"/>
      <c r="U801" s="74"/>
      <c r="V801" s="74"/>
      <c r="W801" s="74"/>
      <c r="X801" s="74"/>
      <c r="Y801" s="272"/>
    </row>
    <row r="802" spans="13:25" x14ac:dyDescent="0.25">
      <c r="M802" s="109"/>
      <c r="N802" s="109"/>
      <c r="P802" s="274">
        <v>1630</v>
      </c>
      <c r="Q802" s="270"/>
      <c r="R802" s="74"/>
      <c r="S802" s="74"/>
      <c r="T802" s="74"/>
      <c r="U802" s="74"/>
      <c r="V802" s="74"/>
      <c r="W802" s="74"/>
      <c r="X802" s="74"/>
      <c r="Y802" s="272"/>
    </row>
    <row r="803" spans="13:25" x14ac:dyDescent="0.25">
      <c r="M803" s="109"/>
      <c r="N803" s="109"/>
      <c r="P803" s="274">
        <v>1625</v>
      </c>
      <c r="Q803" s="270"/>
      <c r="R803" s="74"/>
      <c r="S803" s="74"/>
      <c r="T803" s="74"/>
      <c r="U803" s="74"/>
      <c r="V803" s="74"/>
      <c r="W803" s="74"/>
      <c r="X803" s="74"/>
      <c r="Y803" s="272"/>
    </row>
    <row r="804" spans="13:25" x14ac:dyDescent="0.25">
      <c r="M804" s="109"/>
      <c r="N804" s="109"/>
      <c r="P804" s="274">
        <v>1620</v>
      </c>
      <c r="Q804" s="270"/>
      <c r="R804" s="74"/>
      <c r="S804" s="74"/>
      <c r="T804" s="74"/>
      <c r="U804" s="74"/>
      <c r="V804" s="74"/>
      <c r="W804" s="74"/>
      <c r="X804" s="74"/>
      <c r="Y804" s="272"/>
    </row>
    <row r="805" spans="13:25" x14ac:dyDescent="0.25">
      <c r="M805" s="109"/>
      <c r="N805" s="109"/>
      <c r="P805" s="274">
        <v>1615</v>
      </c>
      <c r="Q805" s="270"/>
      <c r="R805" s="74"/>
      <c r="S805" s="74"/>
      <c r="T805" s="74"/>
      <c r="U805" s="74"/>
      <c r="V805" s="74"/>
      <c r="W805" s="74"/>
      <c r="X805" s="74"/>
      <c r="Y805" s="272"/>
    </row>
    <row r="806" spans="13:25" x14ac:dyDescent="0.25">
      <c r="M806" s="109"/>
      <c r="N806" s="109"/>
      <c r="P806" s="274">
        <v>1610</v>
      </c>
      <c r="Q806" s="270"/>
      <c r="R806" s="74"/>
      <c r="S806" s="74"/>
      <c r="T806" s="74"/>
      <c r="U806" s="74"/>
      <c r="V806" s="74"/>
      <c r="W806" s="74"/>
      <c r="X806" s="74"/>
      <c r="Y806" s="272"/>
    </row>
    <row r="807" spans="13:25" x14ac:dyDescent="0.25">
      <c r="M807" s="109"/>
      <c r="N807" s="109"/>
      <c r="P807" s="274">
        <v>1605</v>
      </c>
      <c r="Q807" s="270"/>
      <c r="R807" s="74"/>
      <c r="S807" s="74"/>
      <c r="T807" s="74"/>
      <c r="U807" s="74"/>
      <c r="V807" s="74"/>
      <c r="W807" s="74"/>
      <c r="X807" s="74"/>
      <c r="Y807" s="272"/>
    </row>
    <row r="808" spans="13:25" x14ac:dyDescent="0.25">
      <c r="M808" s="109"/>
      <c r="N808" s="109"/>
      <c r="P808" s="274">
        <v>1600</v>
      </c>
      <c r="Q808" s="270"/>
      <c r="R808" s="74"/>
      <c r="S808" s="74"/>
      <c r="T808" s="74"/>
      <c r="U808" s="74"/>
      <c r="V808" s="74"/>
      <c r="W808" s="74"/>
      <c r="X808" s="74"/>
      <c r="Y808" s="272"/>
    </row>
    <row r="809" spans="13:25" x14ac:dyDescent="0.25">
      <c r="M809" s="109"/>
      <c r="N809" s="109"/>
      <c r="P809" s="274">
        <v>1595</v>
      </c>
      <c r="Q809" s="270"/>
      <c r="R809" s="74"/>
      <c r="S809" s="74"/>
      <c r="T809" s="74"/>
      <c r="U809" s="74"/>
      <c r="V809" s="74"/>
      <c r="W809" s="74"/>
      <c r="X809" s="74"/>
      <c r="Y809" s="272"/>
    </row>
    <row r="810" spans="13:25" x14ac:dyDescent="0.25">
      <c r="M810" s="109"/>
      <c r="N810" s="109"/>
      <c r="P810" s="274">
        <v>1590</v>
      </c>
      <c r="Q810" s="270"/>
      <c r="R810" s="74"/>
      <c r="S810" s="74"/>
      <c r="T810" s="74"/>
      <c r="U810" s="74"/>
      <c r="V810" s="74"/>
      <c r="W810" s="74"/>
      <c r="X810" s="74"/>
      <c r="Y810" s="272"/>
    </row>
    <row r="811" spans="13:25" x14ac:dyDescent="0.25">
      <c r="M811" s="109"/>
      <c r="N811" s="109"/>
      <c r="P811" s="274">
        <v>1585</v>
      </c>
      <c r="Q811" s="270"/>
      <c r="R811" s="74"/>
      <c r="S811" s="74"/>
      <c r="T811" s="74"/>
      <c r="U811" s="74"/>
      <c r="V811" s="74"/>
      <c r="W811" s="74"/>
      <c r="X811" s="74"/>
      <c r="Y811" s="272"/>
    </row>
    <row r="812" spans="13:25" x14ac:dyDescent="0.25">
      <c r="M812" s="109"/>
      <c r="N812" s="109"/>
      <c r="P812" s="274">
        <v>1580</v>
      </c>
      <c r="Q812" s="270"/>
      <c r="R812" s="74"/>
      <c r="S812" s="74"/>
      <c r="T812" s="74"/>
      <c r="U812" s="74"/>
      <c r="V812" s="74"/>
      <c r="W812" s="74"/>
      <c r="X812" s="74"/>
      <c r="Y812" s="272"/>
    </row>
    <row r="813" spans="13:25" x14ac:dyDescent="0.25">
      <c r="M813" s="109"/>
      <c r="N813" s="109"/>
      <c r="P813" s="274">
        <v>1575</v>
      </c>
      <c r="Q813" s="270"/>
      <c r="R813" s="74"/>
      <c r="S813" s="74"/>
      <c r="T813" s="74"/>
      <c r="U813" s="74"/>
      <c r="V813" s="74"/>
      <c r="W813" s="74"/>
      <c r="X813" s="74"/>
      <c r="Y813" s="272"/>
    </row>
    <row r="814" spans="13:25" x14ac:dyDescent="0.25">
      <c r="M814" s="109"/>
      <c r="N814" s="109"/>
      <c r="P814" s="274">
        <v>1570</v>
      </c>
      <c r="Q814" s="270"/>
      <c r="R814" s="74"/>
      <c r="S814" s="74"/>
      <c r="T814" s="74"/>
      <c r="U814" s="74"/>
      <c r="V814" s="74"/>
      <c r="W814" s="74"/>
      <c r="X814" s="74"/>
      <c r="Y814" s="272"/>
    </row>
    <row r="815" spans="13:25" x14ac:dyDescent="0.25">
      <c r="M815" s="109"/>
      <c r="N815" s="109"/>
      <c r="P815" s="274">
        <v>1565</v>
      </c>
      <c r="Q815" s="270"/>
      <c r="R815" s="74"/>
      <c r="S815" s="74"/>
      <c r="T815" s="74"/>
      <c r="U815" s="74"/>
      <c r="V815" s="74"/>
      <c r="W815" s="74"/>
      <c r="X815" s="74"/>
      <c r="Y815" s="272"/>
    </row>
    <row r="816" spans="13:25" x14ac:dyDescent="0.25">
      <c r="M816" s="109"/>
      <c r="N816" s="109"/>
      <c r="P816" s="274">
        <v>1560</v>
      </c>
      <c r="Q816" s="270"/>
      <c r="R816" s="74"/>
      <c r="S816" s="74"/>
      <c r="T816" s="74"/>
      <c r="U816" s="74"/>
      <c r="V816" s="74"/>
      <c r="W816" s="74"/>
      <c r="X816" s="74"/>
      <c r="Y816" s="272"/>
    </row>
    <row r="817" spans="13:25" x14ac:dyDescent="0.25">
      <c r="M817" s="109"/>
      <c r="N817" s="109"/>
      <c r="P817" s="274">
        <v>1555</v>
      </c>
      <c r="Q817" s="270"/>
      <c r="R817" s="74"/>
      <c r="S817" s="74"/>
      <c r="T817" s="74"/>
      <c r="U817" s="74"/>
      <c r="V817" s="74"/>
      <c r="W817" s="74"/>
      <c r="X817" s="74"/>
      <c r="Y817" s="272"/>
    </row>
    <row r="818" spans="13:25" x14ac:dyDescent="0.25">
      <c r="M818" s="109"/>
      <c r="N818" s="109"/>
      <c r="P818" s="274">
        <v>1550</v>
      </c>
      <c r="Q818" s="270"/>
      <c r="R818" s="74"/>
      <c r="S818" s="74"/>
      <c r="T818" s="74"/>
      <c r="U818" s="74"/>
      <c r="V818" s="74"/>
      <c r="W818" s="74"/>
      <c r="X818" s="74"/>
      <c r="Y818" s="272"/>
    </row>
    <row r="819" spans="13:25" x14ac:dyDescent="0.25">
      <c r="M819" s="109"/>
      <c r="N819" s="109"/>
      <c r="P819" s="274">
        <v>1545</v>
      </c>
      <c r="Q819" s="270"/>
      <c r="R819" s="74"/>
      <c r="S819" s="74"/>
      <c r="T819" s="74"/>
      <c r="U819" s="74"/>
      <c r="V819" s="74"/>
      <c r="W819" s="74"/>
      <c r="X819" s="74"/>
      <c r="Y819" s="272"/>
    </row>
    <row r="820" spans="13:25" x14ac:dyDescent="0.25">
      <c r="M820" s="109"/>
      <c r="N820" s="109"/>
      <c r="P820" s="274">
        <v>1540</v>
      </c>
      <c r="Q820" s="270"/>
      <c r="R820" s="74"/>
      <c r="S820" s="74"/>
      <c r="T820" s="74"/>
      <c r="U820" s="74"/>
      <c r="V820" s="74"/>
      <c r="W820" s="74"/>
      <c r="X820" s="74"/>
      <c r="Y820" s="272"/>
    </row>
    <row r="821" spans="13:25" x14ac:dyDescent="0.25">
      <c r="M821" s="109"/>
      <c r="N821" s="109"/>
      <c r="P821" s="274">
        <v>1535</v>
      </c>
      <c r="Q821" s="270"/>
      <c r="R821" s="74"/>
      <c r="S821" s="74"/>
      <c r="T821" s="74"/>
      <c r="U821" s="74"/>
      <c r="V821" s="74"/>
      <c r="W821" s="74"/>
      <c r="X821" s="74"/>
      <c r="Y821" s="272"/>
    </row>
    <row r="822" spans="13:25" x14ac:dyDescent="0.25">
      <c r="M822" s="109"/>
      <c r="N822" s="109"/>
      <c r="P822" s="274">
        <v>1530</v>
      </c>
      <c r="Q822" s="270"/>
      <c r="R822" s="74"/>
      <c r="S822" s="74"/>
      <c r="T822" s="74"/>
      <c r="U822" s="74"/>
      <c r="V822" s="74"/>
      <c r="W822" s="74"/>
      <c r="X822" s="74"/>
      <c r="Y822" s="272"/>
    </row>
    <row r="823" spans="13:25" x14ac:dyDescent="0.25">
      <c r="M823" s="109"/>
      <c r="N823" s="109"/>
      <c r="P823" s="274">
        <v>1525</v>
      </c>
      <c r="Q823" s="270"/>
      <c r="R823" s="74"/>
      <c r="S823" s="74"/>
      <c r="T823" s="74"/>
      <c r="U823" s="74"/>
      <c r="V823" s="74"/>
      <c r="W823" s="74"/>
      <c r="X823" s="74"/>
      <c r="Y823" s="272"/>
    </row>
    <row r="824" spans="13:25" x14ac:dyDescent="0.25">
      <c r="M824" s="109"/>
      <c r="N824" s="109"/>
      <c r="P824" s="274">
        <v>1520</v>
      </c>
      <c r="Q824" s="270"/>
      <c r="R824" s="74"/>
      <c r="S824" s="74"/>
      <c r="T824" s="74"/>
      <c r="U824" s="74"/>
      <c r="V824" s="74"/>
      <c r="W824" s="74"/>
      <c r="X824" s="74"/>
      <c r="Y824" s="272"/>
    </row>
    <row r="825" spans="13:25" x14ac:dyDescent="0.25">
      <c r="M825" s="109"/>
      <c r="N825" s="109"/>
      <c r="P825" s="274">
        <v>1515</v>
      </c>
      <c r="Q825" s="270"/>
      <c r="R825" s="74"/>
      <c r="S825" s="74"/>
      <c r="T825" s="74"/>
      <c r="U825" s="74"/>
      <c r="V825" s="74"/>
      <c r="W825" s="74"/>
      <c r="X825" s="74"/>
      <c r="Y825" s="272"/>
    </row>
    <row r="826" spans="13:25" x14ac:dyDescent="0.25">
      <c r="M826" s="109"/>
      <c r="N826" s="109"/>
      <c r="P826" s="274">
        <v>1510</v>
      </c>
      <c r="Q826" s="270"/>
      <c r="R826" s="74"/>
      <c r="S826" s="74"/>
      <c r="T826" s="74"/>
      <c r="U826" s="74"/>
      <c r="V826" s="74"/>
      <c r="W826" s="74"/>
      <c r="X826" s="74"/>
      <c r="Y826" s="272"/>
    </row>
    <row r="827" spans="13:25" x14ac:dyDescent="0.25">
      <c r="M827" s="109"/>
      <c r="N827" s="109"/>
      <c r="P827" s="274">
        <v>1505</v>
      </c>
      <c r="Q827" s="270"/>
      <c r="R827" s="74"/>
      <c r="S827" s="74"/>
      <c r="T827" s="74"/>
      <c r="U827" s="74"/>
      <c r="V827" s="74"/>
      <c r="W827" s="74"/>
      <c r="X827" s="74"/>
      <c r="Y827" s="272"/>
    </row>
    <row r="828" spans="13:25" x14ac:dyDescent="0.25">
      <c r="M828" s="109"/>
      <c r="N828" s="109"/>
      <c r="P828" s="274">
        <v>1500</v>
      </c>
      <c r="Q828" s="270"/>
      <c r="R828" s="74"/>
      <c r="S828" s="74"/>
      <c r="T828" s="74"/>
      <c r="U828" s="74"/>
      <c r="V828" s="74"/>
      <c r="W828" s="74"/>
      <c r="X828" s="74"/>
      <c r="Y828" s="272"/>
    </row>
    <row r="829" spans="13:25" x14ac:dyDescent="0.25">
      <c r="M829" s="109"/>
      <c r="N829" s="109"/>
      <c r="P829" s="274">
        <v>1495</v>
      </c>
      <c r="Q829" s="270"/>
      <c r="R829" s="74"/>
      <c r="S829" s="74"/>
      <c r="T829" s="74"/>
      <c r="U829" s="74"/>
      <c r="V829" s="74"/>
      <c r="W829" s="74"/>
      <c r="X829" s="74"/>
      <c r="Y829" s="272"/>
    </row>
    <row r="830" spans="13:25" x14ac:dyDescent="0.25">
      <c r="M830" s="109"/>
      <c r="N830" s="109"/>
      <c r="P830" s="274">
        <v>1490</v>
      </c>
      <c r="Q830" s="270"/>
      <c r="R830" s="74"/>
      <c r="S830" s="74"/>
      <c r="T830" s="74"/>
      <c r="U830" s="74"/>
      <c r="V830" s="74"/>
      <c r="W830" s="74"/>
      <c r="X830" s="74"/>
      <c r="Y830" s="272"/>
    </row>
    <row r="831" spans="13:25" x14ac:dyDescent="0.25">
      <c r="M831" s="109"/>
      <c r="N831" s="109"/>
      <c r="P831" s="274">
        <v>1485</v>
      </c>
      <c r="Q831" s="270"/>
      <c r="R831" s="74"/>
      <c r="S831" s="74"/>
      <c r="T831" s="74"/>
      <c r="U831" s="74"/>
      <c r="V831" s="74"/>
      <c r="W831" s="74"/>
      <c r="X831" s="74"/>
      <c r="Y831" s="272"/>
    </row>
    <row r="832" spans="13:25" x14ac:dyDescent="0.25">
      <c r="M832" s="109"/>
      <c r="N832" s="109"/>
      <c r="P832" s="274">
        <v>1480</v>
      </c>
      <c r="Q832" s="270"/>
      <c r="R832" s="74"/>
      <c r="S832" s="74"/>
      <c r="T832" s="74"/>
      <c r="U832" s="74"/>
      <c r="V832" s="74"/>
      <c r="W832" s="74"/>
      <c r="X832" s="74"/>
      <c r="Y832" s="272"/>
    </row>
    <row r="833" spans="13:25" x14ac:dyDescent="0.25">
      <c r="M833" s="109"/>
      <c r="N833" s="109"/>
      <c r="P833" s="274">
        <v>1475</v>
      </c>
      <c r="Q833" s="270"/>
      <c r="R833" s="74"/>
      <c r="S833" s="74"/>
      <c r="T833" s="74"/>
      <c r="U833" s="74"/>
      <c r="V833" s="74"/>
      <c r="W833" s="74"/>
      <c r="X833" s="74"/>
      <c r="Y833" s="272"/>
    </row>
    <row r="834" spans="13:25" x14ac:dyDescent="0.25">
      <c r="M834" s="109"/>
      <c r="N834" s="109"/>
      <c r="P834" s="274">
        <v>1470</v>
      </c>
      <c r="Q834" s="270"/>
      <c r="R834" s="74"/>
      <c r="S834" s="74"/>
      <c r="T834" s="74"/>
      <c r="U834" s="74"/>
      <c r="V834" s="74"/>
      <c r="W834" s="74"/>
      <c r="X834" s="74"/>
      <c r="Y834" s="272"/>
    </row>
    <row r="835" spans="13:25" x14ac:dyDescent="0.25">
      <c r="M835" s="109"/>
      <c r="N835" s="109"/>
      <c r="P835" s="274">
        <v>1465</v>
      </c>
      <c r="Q835" s="270"/>
      <c r="R835" s="74"/>
      <c r="S835" s="74"/>
      <c r="T835" s="74"/>
      <c r="U835" s="74"/>
      <c r="V835" s="74"/>
      <c r="W835" s="74"/>
      <c r="X835" s="74"/>
      <c r="Y835" s="272"/>
    </row>
    <row r="836" spans="13:25" x14ac:dyDescent="0.25">
      <c r="M836" s="109"/>
      <c r="N836" s="109"/>
      <c r="P836" s="274">
        <v>1460</v>
      </c>
      <c r="Q836" s="270"/>
      <c r="R836" s="74"/>
      <c r="S836" s="74"/>
      <c r="T836" s="74"/>
      <c r="U836" s="74"/>
      <c r="V836" s="74"/>
      <c r="W836" s="74"/>
      <c r="X836" s="74"/>
      <c r="Y836" s="272"/>
    </row>
    <row r="837" spans="13:25" x14ac:dyDescent="0.25">
      <c r="M837" s="109"/>
      <c r="N837" s="109"/>
      <c r="P837" s="274">
        <v>1455</v>
      </c>
      <c r="Q837" s="270"/>
      <c r="R837" s="74"/>
      <c r="S837" s="74"/>
      <c r="T837" s="74"/>
      <c r="U837" s="74"/>
      <c r="V837" s="74"/>
      <c r="W837" s="74"/>
      <c r="X837" s="74"/>
      <c r="Y837" s="272"/>
    </row>
    <row r="838" spans="13:25" x14ac:dyDescent="0.25">
      <c r="M838" s="109"/>
      <c r="N838" s="109"/>
      <c r="P838" s="274">
        <v>1450</v>
      </c>
      <c r="Q838" s="270"/>
      <c r="R838" s="74"/>
      <c r="S838" s="74"/>
      <c r="T838" s="74"/>
      <c r="U838" s="74"/>
      <c r="V838" s="74"/>
      <c r="W838" s="74"/>
      <c r="X838" s="74"/>
      <c r="Y838" s="272"/>
    </row>
    <row r="839" spans="13:25" x14ac:dyDescent="0.25">
      <c r="M839" s="109"/>
      <c r="N839" s="109"/>
      <c r="P839" s="274">
        <v>1445</v>
      </c>
      <c r="Q839" s="270"/>
      <c r="R839" s="74"/>
      <c r="S839" s="74"/>
      <c r="T839" s="74"/>
      <c r="U839" s="74"/>
      <c r="V839" s="74"/>
      <c r="W839" s="74"/>
      <c r="X839" s="74"/>
      <c r="Y839" s="272"/>
    </row>
    <row r="840" spans="13:25" x14ac:dyDescent="0.25">
      <c r="M840" s="109"/>
      <c r="N840" s="109"/>
      <c r="P840" s="274">
        <v>1440</v>
      </c>
      <c r="Q840" s="270"/>
      <c r="R840" s="74"/>
      <c r="S840" s="74"/>
      <c r="T840" s="74"/>
      <c r="U840" s="74"/>
      <c r="V840" s="74"/>
      <c r="W840" s="74"/>
      <c r="X840" s="74"/>
      <c r="Y840" s="272"/>
    </row>
    <row r="841" spans="13:25" x14ac:dyDescent="0.25">
      <c r="M841" s="109"/>
      <c r="N841" s="109"/>
      <c r="P841" s="274">
        <v>1435</v>
      </c>
      <c r="Q841" s="270"/>
      <c r="R841" s="74"/>
      <c r="S841" s="74"/>
      <c r="T841" s="74"/>
      <c r="U841" s="74"/>
      <c r="V841" s="74"/>
      <c r="W841" s="74"/>
      <c r="X841" s="74"/>
      <c r="Y841" s="272"/>
    </row>
    <row r="842" spans="13:25" x14ac:dyDescent="0.25">
      <c r="M842" s="109"/>
      <c r="N842" s="109"/>
      <c r="P842" s="274">
        <v>1430</v>
      </c>
      <c r="Q842" s="270"/>
      <c r="R842" s="74"/>
      <c r="S842" s="74"/>
      <c r="T842" s="74"/>
      <c r="U842" s="74"/>
      <c r="V842" s="74"/>
      <c r="W842" s="74"/>
      <c r="X842" s="74"/>
      <c r="Y842" s="272"/>
    </row>
    <row r="843" spans="13:25" x14ac:dyDescent="0.25">
      <c r="M843" s="109"/>
      <c r="N843" s="109"/>
      <c r="P843" s="274">
        <v>1425</v>
      </c>
      <c r="Q843" s="270"/>
      <c r="R843" s="74"/>
      <c r="S843" s="74"/>
      <c r="T843" s="74"/>
      <c r="U843" s="74"/>
      <c r="V843" s="74"/>
      <c r="W843" s="74"/>
      <c r="X843" s="74"/>
      <c r="Y843" s="272"/>
    </row>
    <row r="844" spans="13:25" x14ac:dyDescent="0.25">
      <c r="M844" s="109"/>
      <c r="N844" s="109"/>
      <c r="P844" s="274">
        <v>1420</v>
      </c>
      <c r="Q844" s="270"/>
      <c r="R844" s="74"/>
      <c r="S844" s="74"/>
      <c r="T844" s="74"/>
      <c r="U844" s="74"/>
      <c r="V844" s="74"/>
      <c r="W844" s="74"/>
      <c r="X844" s="74"/>
      <c r="Y844" s="272"/>
    </row>
    <row r="845" spans="13:25" x14ac:dyDescent="0.25">
      <c r="M845" s="109"/>
      <c r="N845" s="109"/>
      <c r="P845" s="274">
        <v>1415</v>
      </c>
      <c r="Q845" s="270"/>
      <c r="R845" s="74"/>
      <c r="S845" s="74"/>
      <c r="T845" s="74"/>
      <c r="U845" s="74"/>
      <c r="V845" s="74"/>
      <c r="W845" s="74"/>
      <c r="X845" s="74"/>
      <c r="Y845" s="272"/>
    </row>
    <row r="846" spans="13:25" x14ac:dyDescent="0.25">
      <c r="M846" s="109"/>
      <c r="N846" s="109"/>
      <c r="P846" s="274">
        <v>1410</v>
      </c>
      <c r="Q846" s="270"/>
      <c r="R846" s="74"/>
      <c r="S846" s="74"/>
      <c r="T846" s="74"/>
      <c r="U846" s="74"/>
      <c r="V846" s="74"/>
      <c r="W846" s="74"/>
      <c r="X846" s="74"/>
      <c r="Y846" s="272"/>
    </row>
    <row r="847" spans="13:25" x14ac:dyDescent="0.25">
      <c r="M847" s="109"/>
      <c r="N847" s="109"/>
      <c r="P847" s="274">
        <v>1405</v>
      </c>
      <c r="Q847" s="270"/>
      <c r="R847" s="74"/>
      <c r="S847" s="74"/>
      <c r="T847" s="74"/>
      <c r="U847" s="74"/>
      <c r="V847" s="74"/>
      <c r="W847" s="74"/>
      <c r="X847" s="74"/>
      <c r="Y847" s="272"/>
    </row>
    <row r="848" spans="13:25" x14ac:dyDescent="0.25">
      <c r="M848" s="109"/>
      <c r="N848" s="109"/>
      <c r="P848" s="274">
        <v>1400</v>
      </c>
      <c r="Q848" s="270"/>
      <c r="R848" s="74"/>
      <c r="S848" s="74"/>
      <c r="T848" s="74"/>
      <c r="U848" s="74"/>
      <c r="V848" s="74"/>
      <c r="W848" s="74"/>
      <c r="X848" s="74"/>
      <c r="Y848" s="272"/>
    </row>
    <row r="849" spans="13:25" x14ac:dyDescent="0.25">
      <c r="M849" s="109"/>
      <c r="N849" s="109"/>
      <c r="P849" s="274">
        <v>1395</v>
      </c>
      <c r="Q849" s="270"/>
      <c r="R849" s="74"/>
      <c r="S849" s="74"/>
      <c r="T849" s="74"/>
      <c r="U849" s="74"/>
      <c r="V849" s="74"/>
      <c r="W849" s="74"/>
      <c r="X849" s="74"/>
      <c r="Y849" s="272"/>
    </row>
    <row r="850" spans="13:25" x14ac:dyDescent="0.25">
      <c r="M850" s="109"/>
      <c r="N850" s="109"/>
      <c r="P850" s="274">
        <v>1390</v>
      </c>
      <c r="Q850" s="270"/>
      <c r="R850" s="74"/>
      <c r="S850" s="74"/>
      <c r="T850" s="74"/>
      <c r="U850" s="74"/>
      <c r="V850" s="74"/>
      <c r="W850" s="74"/>
      <c r="X850" s="74"/>
      <c r="Y850" s="272"/>
    </row>
    <row r="851" spans="13:25" x14ac:dyDescent="0.25">
      <c r="M851" s="109"/>
      <c r="N851" s="109"/>
      <c r="P851" s="274">
        <v>1385</v>
      </c>
      <c r="Q851" s="270"/>
      <c r="R851" s="74"/>
      <c r="S851" s="74"/>
      <c r="T851" s="74"/>
      <c r="U851" s="74"/>
      <c r="V851" s="74"/>
      <c r="W851" s="74"/>
      <c r="X851" s="74"/>
      <c r="Y851" s="272"/>
    </row>
    <row r="852" spans="13:25" x14ac:dyDescent="0.25">
      <c r="M852" s="109"/>
      <c r="N852" s="2"/>
      <c r="P852" s="274">
        <v>1380</v>
      </c>
      <c r="Q852" s="270"/>
      <c r="R852" s="74"/>
      <c r="S852" s="74"/>
      <c r="T852" s="74"/>
      <c r="U852" s="74"/>
      <c r="V852" s="74"/>
      <c r="W852" s="74"/>
      <c r="X852" s="74"/>
      <c r="Y852" s="272"/>
    </row>
    <row r="853" spans="13:25" x14ac:dyDescent="0.25">
      <c r="M853" s="109"/>
      <c r="N853" s="4"/>
      <c r="O853" s="109"/>
      <c r="P853" s="274">
        <v>1375</v>
      </c>
      <c r="Q853" s="270"/>
      <c r="R853" s="74"/>
      <c r="S853" s="74"/>
      <c r="T853" s="74"/>
      <c r="U853" s="74"/>
      <c r="V853" s="74"/>
      <c r="W853" s="74"/>
      <c r="X853" s="74"/>
      <c r="Y853" s="272"/>
    </row>
    <row r="854" spans="13:25" x14ac:dyDescent="0.25">
      <c r="M854" s="109"/>
      <c r="N854" s="109"/>
      <c r="P854" s="274">
        <v>1370</v>
      </c>
      <c r="Q854" s="270"/>
      <c r="R854" s="74"/>
      <c r="S854" s="74"/>
      <c r="T854" s="74"/>
      <c r="U854" s="74"/>
      <c r="V854" s="74"/>
      <c r="W854" s="74"/>
      <c r="X854" s="74"/>
      <c r="Y854" s="272"/>
    </row>
    <row r="855" spans="13:25" x14ac:dyDescent="0.25">
      <c r="M855" s="109"/>
      <c r="N855" s="109"/>
      <c r="P855" s="274">
        <v>1365</v>
      </c>
      <c r="Q855" s="270"/>
      <c r="R855" s="74"/>
      <c r="S855" s="74"/>
      <c r="T855" s="74"/>
      <c r="U855" s="74"/>
      <c r="V855" s="74"/>
      <c r="W855" s="74"/>
      <c r="X855" s="74"/>
      <c r="Y855" s="272"/>
    </row>
    <row r="856" spans="13:25" x14ac:dyDescent="0.25">
      <c r="M856" s="109"/>
      <c r="N856" s="109"/>
      <c r="P856" s="274">
        <v>1360</v>
      </c>
      <c r="Q856" s="270"/>
      <c r="R856" s="74"/>
      <c r="S856" s="74"/>
      <c r="T856" s="74"/>
      <c r="U856" s="74"/>
      <c r="V856" s="74"/>
      <c r="W856" s="74"/>
      <c r="X856" s="74"/>
      <c r="Y856" s="272"/>
    </row>
    <row r="857" spans="13:25" x14ac:dyDescent="0.25">
      <c r="M857" s="109"/>
      <c r="N857" s="109"/>
      <c r="P857" s="274">
        <v>1355</v>
      </c>
      <c r="Q857" s="270"/>
      <c r="R857" s="74"/>
      <c r="S857" s="74"/>
      <c r="T857" s="74"/>
      <c r="U857" s="74"/>
      <c r="V857" s="74"/>
      <c r="W857" s="74"/>
      <c r="X857" s="74"/>
      <c r="Y857" s="272"/>
    </row>
    <row r="858" spans="13:25" x14ac:dyDescent="0.25">
      <c r="M858" s="109"/>
      <c r="N858" s="109"/>
      <c r="P858" s="274">
        <v>1350</v>
      </c>
      <c r="Q858" s="270"/>
      <c r="R858" s="74"/>
      <c r="S858" s="74"/>
      <c r="T858" s="74"/>
      <c r="U858" s="74"/>
      <c r="V858" s="74"/>
      <c r="W858" s="74"/>
      <c r="X858" s="74"/>
      <c r="Y858" s="272"/>
    </row>
    <row r="859" spans="13:25" x14ac:dyDescent="0.25">
      <c r="M859" s="109"/>
      <c r="N859" s="109"/>
      <c r="P859" s="274">
        <v>1345</v>
      </c>
      <c r="Q859" s="270"/>
      <c r="R859" s="74"/>
      <c r="S859" s="74"/>
      <c r="T859" s="74"/>
      <c r="U859" s="74"/>
      <c r="V859" s="74"/>
      <c r="W859" s="74"/>
      <c r="X859" s="74"/>
      <c r="Y859" s="272"/>
    </row>
    <row r="860" spans="13:25" x14ac:dyDescent="0.25">
      <c r="M860" s="109"/>
      <c r="N860" s="109"/>
      <c r="P860" s="274">
        <v>1340</v>
      </c>
      <c r="Q860" s="270"/>
      <c r="R860" s="74"/>
      <c r="S860" s="74"/>
      <c r="T860" s="74"/>
      <c r="U860" s="74"/>
      <c r="V860" s="74"/>
      <c r="W860" s="74"/>
      <c r="X860" s="74"/>
      <c r="Y860" s="272"/>
    </row>
    <row r="861" spans="13:25" x14ac:dyDescent="0.25">
      <c r="M861" s="109"/>
      <c r="N861" s="109"/>
      <c r="P861" s="274">
        <v>1335</v>
      </c>
      <c r="Q861" s="270"/>
      <c r="R861" s="74"/>
      <c r="S861" s="74"/>
      <c r="T861" s="74"/>
      <c r="U861" s="74"/>
      <c r="V861" s="74"/>
      <c r="W861" s="74"/>
      <c r="X861" s="74"/>
      <c r="Y861" s="272"/>
    </row>
    <row r="862" spans="13:25" x14ac:dyDescent="0.25">
      <c r="M862" s="109"/>
      <c r="N862" s="109"/>
      <c r="P862" s="274">
        <v>1330</v>
      </c>
      <c r="Q862" s="270"/>
      <c r="R862" s="74"/>
      <c r="S862" s="74"/>
      <c r="T862" s="74"/>
      <c r="U862" s="74"/>
      <c r="V862" s="74"/>
      <c r="W862" s="74"/>
      <c r="X862" s="74"/>
      <c r="Y862" s="272"/>
    </row>
    <row r="863" spans="13:25" x14ac:dyDescent="0.25">
      <c r="M863" s="109"/>
      <c r="N863" s="109"/>
      <c r="P863" s="274">
        <v>1325</v>
      </c>
      <c r="Q863" s="270"/>
      <c r="R863" s="74"/>
      <c r="S863" s="74"/>
      <c r="T863" s="74"/>
      <c r="U863" s="74"/>
      <c r="V863" s="74"/>
      <c r="W863" s="74"/>
      <c r="X863" s="74"/>
      <c r="Y863" s="272"/>
    </row>
    <row r="864" spans="13:25" x14ac:dyDescent="0.25">
      <c r="M864" s="109"/>
      <c r="N864" s="109"/>
      <c r="P864" s="274">
        <v>1320</v>
      </c>
      <c r="Q864" s="270"/>
      <c r="R864" s="74"/>
      <c r="S864" s="74"/>
      <c r="T864" s="74"/>
      <c r="U864" s="74"/>
      <c r="V864" s="74"/>
      <c r="W864" s="74"/>
      <c r="X864" s="74"/>
      <c r="Y864" s="272"/>
    </row>
    <row r="865" spans="13:25" x14ac:dyDescent="0.25">
      <c r="M865" s="109"/>
      <c r="N865" s="109"/>
      <c r="P865" s="274">
        <v>1315</v>
      </c>
      <c r="Q865" s="270"/>
      <c r="R865" s="74"/>
      <c r="S865" s="74"/>
      <c r="T865" s="74"/>
      <c r="U865" s="74"/>
      <c r="V865" s="74"/>
      <c r="W865" s="74"/>
      <c r="X865" s="74"/>
      <c r="Y865" s="272"/>
    </row>
    <row r="866" spans="13:25" x14ac:dyDescent="0.25">
      <c r="M866" s="109"/>
      <c r="N866" s="109"/>
      <c r="P866" s="274">
        <v>1310</v>
      </c>
      <c r="Q866" s="270"/>
      <c r="R866" s="74"/>
      <c r="S866" s="74"/>
      <c r="T866" s="74"/>
      <c r="U866" s="74"/>
      <c r="V866" s="74"/>
      <c r="W866" s="74"/>
      <c r="X866" s="74"/>
      <c r="Y866" s="272"/>
    </row>
    <row r="867" spans="13:25" x14ac:dyDescent="0.25">
      <c r="M867" s="109"/>
      <c r="N867" s="109"/>
      <c r="P867" s="274">
        <v>1305</v>
      </c>
      <c r="Q867" s="270"/>
      <c r="R867" s="74"/>
      <c r="S867" s="74"/>
      <c r="T867" s="74"/>
      <c r="U867" s="74"/>
      <c r="V867" s="74"/>
      <c r="W867" s="74"/>
      <c r="X867" s="74"/>
      <c r="Y867" s="272"/>
    </row>
    <row r="868" spans="13:25" x14ac:dyDescent="0.25">
      <c r="M868" s="109"/>
      <c r="N868" s="109"/>
      <c r="P868" s="274">
        <v>1300</v>
      </c>
      <c r="Q868" s="270"/>
      <c r="R868" s="74"/>
      <c r="S868" s="74"/>
      <c r="T868" s="74"/>
      <c r="U868" s="74"/>
      <c r="V868" s="74"/>
      <c r="W868" s="74"/>
      <c r="X868" s="74"/>
      <c r="Y868" s="272"/>
    </row>
    <row r="869" spans="13:25" x14ac:dyDescent="0.25">
      <c r="M869" s="109"/>
      <c r="N869" s="109"/>
      <c r="P869" s="274">
        <v>1295</v>
      </c>
      <c r="Q869" s="270"/>
      <c r="R869" s="74"/>
      <c r="S869" s="74"/>
      <c r="T869" s="74"/>
      <c r="U869" s="74"/>
      <c r="V869" s="74"/>
      <c r="W869" s="74"/>
      <c r="X869" s="74"/>
      <c r="Y869" s="272"/>
    </row>
    <row r="870" spans="13:25" x14ac:dyDescent="0.25">
      <c r="M870" s="109"/>
      <c r="N870" s="109"/>
      <c r="P870" s="274">
        <v>1290</v>
      </c>
      <c r="Q870" s="270"/>
      <c r="R870" s="74"/>
      <c r="S870" s="74"/>
      <c r="T870" s="74"/>
      <c r="U870" s="74"/>
      <c r="V870" s="74"/>
      <c r="W870" s="74"/>
      <c r="X870" s="74"/>
      <c r="Y870" s="272"/>
    </row>
    <row r="871" spans="13:25" x14ac:dyDescent="0.25">
      <c r="M871" s="109"/>
      <c r="N871" s="109"/>
      <c r="P871" s="274">
        <v>1285</v>
      </c>
      <c r="Q871" s="270"/>
      <c r="R871" s="74"/>
      <c r="S871" s="74"/>
      <c r="T871" s="74"/>
      <c r="U871" s="74"/>
      <c r="V871" s="74"/>
      <c r="W871" s="74"/>
      <c r="X871" s="74"/>
      <c r="Y871" s="272"/>
    </row>
    <row r="872" spans="13:25" x14ac:dyDescent="0.25">
      <c r="M872" s="109"/>
      <c r="N872" s="109"/>
      <c r="P872" s="274">
        <v>1280</v>
      </c>
      <c r="Q872" s="270"/>
      <c r="R872" s="74"/>
      <c r="S872" s="74"/>
      <c r="T872" s="74"/>
      <c r="U872" s="74"/>
      <c r="V872" s="74"/>
      <c r="W872" s="74"/>
      <c r="X872" s="74"/>
      <c r="Y872" s="272"/>
    </row>
    <row r="873" spans="13:25" x14ac:dyDescent="0.25">
      <c r="M873" s="109"/>
      <c r="N873" s="109"/>
      <c r="P873" s="274">
        <v>1275</v>
      </c>
      <c r="Q873" s="270"/>
      <c r="R873" s="74"/>
      <c r="S873" s="74"/>
      <c r="T873" s="74"/>
      <c r="U873" s="74"/>
      <c r="V873" s="74"/>
      <c r="W873" s="74"/>
      <c r="X873" s="74"/>
      <c r="Y873" s="272"/>
    </row>
    <row r="874" spans="13:25" x14ac:dyDescent="0.25">
      <c r="M874" s="109"/>
      <c r="N874" s="109"/>
      <c r="P874" s="274">
        <v>1270</v>
      </c>
      <c r="Q874" s="270"/>
      <c r="R874" s="74"/>
      <c r="S874" s="74"/>
      <c r="T874" s="74"/>
      <c r="U874" s="74"/>
      <c r="V874" s="74"/>
      <c r="W874" s="74"/>
      <c r="X874" s="74"/>
      <c r="Y874" s="272"/>
    </row>
    <row r="875" spans="13:25" x14ac:dyDescent="0.25">
      <c r="M875" s="109"/>
      <c r="N875" s="109"/>
      <c r="P875" s="274">
        <v>1265</v>
      </c>
      <c r="Q875" s="270"/>
      <c r="R875" s="74"/>
      <c r="S875" s="74"/>
      <c r="T875" s="74"/>
      <c r="U875" s="74"/>
      <c r="V875" s="74"/>
      <c r="W875" s="74"/>
      <c r="X875" s="74"/>
      <c r="Y875" s="272"/>
    </row>
    <row r="876" spans="13:25" x14ac:dyDescent="0.25">
      <c r="M876" s="109"/>
      <c r="N876" s="109"/>
      <c r="P876" s="274">
        <v>1260</v>
      </c>
      <c r="Q876" s="270"/>
      <c r="R876" s="74"/>
      <c r="S876" s="74"/>
      <c r="T876" s="74"/>
      <c r="U876" s="74"/>
      <c r="V876" s="74"/>
      <c r="W876" s="74"/>
      <c r="X876" s="74"/>
      <c r="Y876" s="272"/>
    </row>
    <row r="877" spans="13:25" x14ac:dyDescent="0.25">
      <c r="M877" s="109"/>
      <c r="N877" s="109"/>
      <c r="P877" s="274">
        <v>1255</v>
      </c>
      <c r="Q877" s="270"/>
      <c r="R877" s="74"/>
      <c r="S877" s="74"/>
      <c r="T877" s="74"/>
      <c r="U877" s="74"/>
      <c r="V877" s="74"/>
      <c r="W877" s="74"/>
      <c r="X877" s="74"/>
      <c r="Y877" s="272"/>
    </row>
    <row r="878" spans="13:25" x14ac:dyDescent="0.25">
      <c r="M878" s="109"/>
      <c r="N878" s="109"/>
      <c r="P878" s="274">
        <v>1250</v>
      </c>
      <c r="Q878" s="270"/>
      <c r="R878" s="74"/>
      <c r="S878" s="74"/>
      <c r="T878" s="74"/>
      <c r="U878" s="74"/>
      <c r="V878" s="74"/>
      <c r="W878" s="74"/>
      <c r="X878" s="74"/>
      <c r="Y878" s="272"/>
    </row>
    <row r="879" spans="13:25" x14ac:dyDescent="0.25">
      <c r="M879" s="109"/>
      <c r="N879" s="109"/>
      <c r="P879" s="274">
        <v>1245</v>
      </c>
      <c r="Q879" s="270"/>
      <c r="R879" s="74"/>
      <c r="S879" s="74"/>
      <c r="T879" s="74"/>
      <c r="U879" s="74"/>
      <c r="V879" s="74"/>
      <c r="W879" s="74"/>
      <c r="X879" s="74"/>
      <c r="Y879" s="272"/>
    </row>
    <row r="880" spans="13:25" x14ac:dyDescent="0.25">
      <c r="M880" s="109"/>
      <c r="N880" s="109"/>
      <c r="P880" s="274">
        <v>1240</v>
      </c>
      <c r="Q880" s="270"/>
      <c r="R880" s="74"/>
      <c r="S880" s="74"/>
      <c r="T880" s="74"/>
      <c r="U880" s="74"/>
      <c r="V880" s="74"/>
      <c r="W880" s="74"/>
      <c r="X880" s="74"/>
      <c r="Y880" s="272"/>
    </row>
    <row r="881" spans="13:25" x14ac:dyDescent="0.25">
      <c r="M881" s="109"/>
      <c r="N881" s="109"/>
      <c r="P881" s="274">
        <v>1235</v>
      </c>
      <c r="Q881" s="270"/>
      <c r="R881" s="74"/>
      <c r="S881" s="74"/>
      <c r="T881" s="74"/>
      <c r="U881" s="74"/>
      <c r="V881" s="74"/>
      <c r="W881" s="74"/>
      <c r="X881" s="74"/>
      <c r="Y881" s="272"/>
    </row>
    <row r="882" spans="13:25" x14ac:dyDescent="0.25">
      <c r="M882" s="109"/>
      <c r="N882" s="109"/>
      <c r="P882" s="274">
        <v>1230</v>
      </c>
      <c r="Q882" s="270"/>
      <c r="R882" s="74"/>
      <c r="S882" s="74"/>
      <c r="T882" s="74"/>
      <c r="U882" s="74"/>
      <c r="V882" s="74"/>
      <c r="W882" s="74"/>
      <c r="X882" s="74"/>
      <c r="Y882" s="272"/>
    </row>
    <row r="883" spans="13:25" x14ac:dyDescent="0.25">
      <c r="M883" s="109"/>
      <c r="N883" s="109"/>
      <c r="P883" s="274">
        <v>1225</v>
      </c>
      <c r="Q883" s="270"/>
      <c r="R883" s="74"/>
      <c r="S883" s="74"/>
      <c r="T883" s="74"/>
      <c r="U883" s="74"/>
      <c r="V883" s="74"/>
      <c r="W883" s="74"/>
      <c r="X883" s="74"/>
      <c r="Y883" s="272"/>
    </row>
    <row r="884" spans="13:25" x14ac:dyDescent="0.25">
      <c r="M884" s="109"/>
      <c r="N884" s="109"/>
      <c r="P884" s="274">
        <v>1220</v>
      </c>
      <c r="Q884" s="270"/>
      <c r="R884" s="74"/>
      <c r="S884" s="74"/>
      <c r="T884" s="74"/>
      <c r="U884" s="74"/>
      <c r="V884" s="74"/>
      <c r="W884" s="74"/>
      <c r="X884" s="74"/>
      <c r="Y884" s="272"/>
    </row>
    <row r="885" spans="13:25" x14ac:dyDescent="0.25">
      <c r="M885" s="109"/>
      <c r="N885" s="109"/>
      <c r="P885" s="274">
        <v>1215</v>
      </c>
      <c r="Q885" s="270"/>
      <c r="R885" s="74"/>
      <c r="S885" s="74"/>
      <c r="T885" s="74"/>
      <c r="U885" s="74"/>
      <c r="V885" s="74"/>
      <c r="W885" s="74"/>
      <c r="X885" s="74"/>
      <c r="Y885" s="272"/>
    </row>
    <row r="886" spans="13:25" x14ac:dyDescent="0.25">
      <c r="M886" s="109"/>
      <c r="N886" s="109"/>
      <c r="P886" s="274">
        <v>1210</v>
      </c>
      <c r="Q886" s="270"/>
      <c r="R886" s="74"/>
      <c r="S886" s="74"/>
      <c r="T886" s="74"/>
      <c r="U886" s="74"/>
      <c r="V886" s="74"/>
      <c r="W886" s="74"/>
      <c r="X886" s="74"/>
      <c r="Y886" s="272"/>
    </row>
    <row r="887" spans="13:25" x14ac:dyDescent="0.25">
      <c r="M887" s="109"/>
      <c r="N887" s="109"/>
      <c r="P887" s="274">
        <v>1205</v>
      </c>
      <c r="Q887" s="270"/>
      <c r="R887" s="74"/>
      <c r="S887" s="74"/>
      <c r="T887" s="74"/>
      <c r="U887" s="74"/>
      <c r="V887" s="74"/>
      <c r="W887" s="74"/>
      <c r="X887" s="74"/>
      <c r="Y887" s="272"/>
    </row>
    <row r="888" spans="13:25" x14ac:dyDescent="0.25">
      <c r="M888" s="109"/>
      <c r="N888" s="109"/>
      <c r="P888" s="274">
        <v>1200</v>
      </c>
      <c r="Q888" s="270"/>
      <c r="R888" s="74"/>
      <c r="S888" s="74"/>
      <c r="T888" s="74"/>
      <c r="U888" s="74"/>
      <c r="V888" s="74"/>
      <c r="W888" s="74"/>
      <c r="X888" s="74"/>
      <c r="Y888" s="272"/>
    </row>
    <row r="889" spans="13:25" x14ac:dyDescent="0.25">
      <c r="M889" s="109"/>
      <c r="N889" s="109"/>
      <c r="P889" s="274">
        <v>1195</v>
      </c>
      <c r="Q889" s="270"/>
      <c r="R889" s="74"/>
      <c r="S889" s="74"/>
      <c r="T889" s="74"/>
      <c r="U889" s="74"/>
      <c r="V889" s="74"/>
      <c r="W889" s="74"/>
      <c r="X889" s="74"/>
      <c r="Y889" s="272"/>
    </row>
    <row r="890" spans="13:25" x14ac:dyDescent="0.25">
      <c r="M890" s="109"/>
      <c r="N890" s="109"/>
      <c r="P890" s="274">
        <v>1190</v>
      </c>
      <c r="Q890" s="270"/>
      <c r="R890" s="74"/>
      <c r="S890" s="74"/>
      <c r="T890" s="74"/>
      <c r="U890" s="74"/>
      <c r="V890" s="74"/>
      <c r="W890" s="74"/>
      <c r="X890" s="74"/>
      <c r="Y890" s="272"/>
    </row>
    <row r="891" spans="13:25" x14ac:dyDescent="0.25">
      <c r="M891" s="109"/>
      <c r="N891" s="109"/>
      <c r="P891" s="274">
        <v>1185</v>
      </c>
      <c r="Q891" s="270"/>
      <c r="R891" s="74"/>
      <c r="S891" s="74"/>
      <c r="T891" s="74"/>
      <c r="U891" s="74"/>
      <c r="V891" s="74"/>
      <c r="W891" s="74"/>
      <c r="X891" s="74"/>
      <c r="Y891" s="272"/>
    </row>
    <row r="892" spans="13:25" x14ac:dyDescent="0.25">
      <c r="M892" s="109"/>
      <c r="N892" s="109"/>
      <c r="P892" s="274">
        <v>1180</v>
      </c>
      <c r="Q892" s="270"/>
      <c r="R892" s="74"/>
      <c r="S892" s="74"/>
      <c r="T892" s="74"/>
      <c r="U892" s="74"/>
      <c r="V892" s="74"/>
      <c r="W892" s="74"/>
      <c r="X892" s="74"/>
      <c r="Y892" s="272"/>
    </row>
    <row r="893" spans="13:25" x14ac:dyDescent="0.25">
      <c r="M893" s="109"/>
      <c r="N893" s="109"/>
      <c r="P893" s="274">
        <v>1175</v>
      </c>
      <c r="Q893" s="270"/>
      <c r="R893" s="74"/>
      <c r="S893" s="74"/>
      <c r="T893" s="74"/>
      <c r="U893" s="74"/>
      <c r="V893" s="74"/>
      <c r="W893" s="74"/>
      <c r="X893" s="74"/>
      <c r="Y893" s="272"/>
    </row>
    <row r="894" spans="13:25" x14ac:dyDescent="0.25">
      <c r="M894" s="109"/>
      <c r="N894" s="109"/>
      <c r="P894" s="274">
        <v>1170</v>
      </c>
      <c r="Q894" s="270"/>
      <c r="R894" s="74"/>
      <c r="S894" s="74"/>
      <c r="T894" s="74"/>
      <c r="U894" s="74"/>
      <c r="V894" s="74"/>
      <c r="W894" s="74"/>
      <c r="X894" s="74"/>
      <c r="Y894" s="272"/>
    </row>
    <row r="895" spans="13:25" x14ac:dyDescent="0.25">
      <c r="M895" s="109"/>
      <c r="N895" s="109"/>
      <c r="P895" s="274">
        <v>1165</v>
      </c>
      <c r="Q895" s="270"/>
      <c r="R895" s="74"/>
      <c r="S895" s="74"/>
      <c r="T895" s="74"/>
      <c r="U895" s="74"/>
      <c r="V895" s="74"/>
      <c r="W895" s="74"/>
      <c r="X895" s="74"/>
      <c r="Y895" s="272"/>
    </row>
    <row r="896" spans="13:25" x14ac:dyDescent="0.25">
      <c r="M896" s="109"/>
      <c r="N896" s="109"/>
      <c r="P896" s="274">
        <v>1160</v>
      </c>
      <c r="Q896" s="270"/>
      <c r="R896" s="74"/>
      <c r="S896" s="74"/>
      <c r="T896" s="74"/>
      <c r="U896" s="74"/>
      <c r="V896" s="74"/>
      <c r="W896" s="74"/>
      <c r="X896" s="74"/>
      <c r="Y896" s="272"/>
    </row>
    <row r="897" spans="13:25" x14ac:dyDescent="0.25">
      <c r="M897" s="109"/>
      <c r="N897" s="109"/>
      <c r="P897" s="274">
        <v>1155</v>
      </c>
      <c r="Q897" s="270"/>
      <c r="R897" s="74"/>
      <c r="S897" s="74"/>
      <c r="T897" s="74"/>
      <c r="U897" s="74"/>
      <c r="V897" s="74"/>
      <c r="W897" s="74"/>
      <c r="X897" s="74"/>
      <c r="Y897" s="272"/>
    </row>
    <row r="898" spans="13:25" x14ac:dyDescent="0.25">
      <c r="M898" s="109"/>
      <c r="N898" s="109"/>
      <c r="P898" s="274">
        <v>1150</v>
      </c>
      <c r="Q898" s="270"/>
      <c r="R898" s="74"/>
      <c r="S898" s="74"/>
      <c r="T898" s="74"/>
      <c r="U898" s="74"/>
      <c r="V898" s="74"/>
      <c r="W898" s="74"/>
      <c r="X898" s="74"/>
      <c r="Y898" s="272"/>
    </row>
    <row r="899" spans="13:25" x14ac:dyDescent="0.25">
      <c r="M899" s="109"/>
      <c r="N899" s="109"/>
      <c r="P899" s="274">
        <v>1145</v>
      </c>
      <c r="Q899" s="270"/>
      <c r="R899" s="74"/>
      <c r="S899" s="74"/>
      <c r="T899" s="74"/>
      <c r="U899" s="74"/>
      <c r="V899" s="74"/>
      <c r="W899" s="74"/>
      <c r="X899" s="74"/>
      <c r="Y899" s="272"/>
    </row>
    <row r="900" spans="13:25" x14ac:dyDescent="0.25">
      <c r="M900" s="109"/>
      <c r="N900" s="109"/>
      <c r="P900" s="274">
        <v>1140</v>
      </c>
      <c r="Q900" s="270"/>
      <c r="R900" s="74"/>
      <c r="S900" s="74"/>
      <c r="T900" s="74"/>
      <c r="U900" s="74"/>
      <c r="V900" s="74"/>
      <c r="W900" s="74"/>
      <c r="X900" s="74"/>
      <c r="Y900" s="272"/>
    </row>
    <row r="901" spans="13:25" x14ac:dyDescent="0.25">
      <c r="M901" s="109"/>
      <c r="N901" s="109"/>
      <c r="P901" s="274">
        <v>1135</v>
      </c>
      <c r="Q901" s="270"/>
      <c r="R901" s="74"/>
      <c r="S901" s="74"/>
      <c r="T901" s="74"/>
      <c r="U901" s="74"/>
      <c r="V901" s="74"/>
      <c r="W901" s="74"/>
      <c r="X901" s="74"/>
      <c r="Y901" s="272"/>
    </row>
    <row r="902" spans="13:25" x14ac:dyDescent="0.25">
      <c r="M902" s="109"/>
      <c r="N902" s="109"/>
      <c r="P902" s="274">
        <v>1130</v>
      </c>
      <c r="Q902" s="270"/>
      <c r="R902" s="74"/>
      <c r="S902" s="74"/>
      <c r="T902" s="74"/>
      <c r="U902" s="74"/>
      <c r="V902" s="74"/>
      <c r="W902" s="74"/>
      <c r="X902" s="74"/>
      <c r="Y902" s="272"/>
    </row>
    <row r="903" spans="13:25" x14ac:dyDescent="0.25">
      <c r="M903" s="109"/>
      <c r="N903" s="109"/>
      <c r="P903" s="274">
        <v>1125</v>
      </c>
      <c r="Q903" s="270"/>
      <c r="R903" s="74"/>
      <c r="S903" s="74"/>
      <c r="T903" s="74"/>
      <c r="U903" s="74"/>
      <c r="V903" s="74"/>
      <c r="W903" s="74"/>
      <c r="X903" s="74"/>
      <c r="Y903" s="272"/>
    </row>
    <row r="904" spans="13:25" x14ac:dyDescent="0.25">
      <c r="M904" s="109"/>
      <c r="N904" s="109"/>
      <c r="P904" s="274">
        <v>1120</v>
      </c>
      <c r="Q904" s="270"/>
      <c r="R904" s="74"/>
      <c r="S904" s="74"/>
      <c r="T904" s="74"/>
      <c r="U904" s="74"/>
      <c r="V904" s="74"/>
      <c r="W904" s="74"/>
      <c r="X904" s="74"/>
      <c r="Y904" s="272"/>
    </row>
    <row r="905" spans="13:25" x14ac:dyDescent="0.25">
      <c r="M905" s="109"/>
      <c r="N905" s="109"/>
      <c r="P905" s="274">
        <v>1115</v>
      </c>
      <c r="Q905" s="270"/>
      <c r="R905" s="74"/>
      <c r="S905" s="74"/>
      <c r="T905" s="74"/>
      <c r="U905" s="74"/>
      <c r="V905" s="74"/>
      <c r="W905" s="74"/>
      <c r="X905" s="74"/>
      <c r="Y905" s="272"/>
    </row>
    <row r="906" spans="13:25" x14ac:dyDescent="0.25">
      <c r="M906" s="109"/>
      <c r="N906" s="109"/>
      <c r="P906" s="274">
        <v>1110</v>
      </c>
      <c r="Q906" s="270"/>
      <c r="R906" s="74"/>
      <c r="S906" s="74"/>
      <c r="T906" s="74"/>
      <c r="U906" s="74"/>
      <c r="V906" s="74"/>
      <c r="W906" s="74"/>
      <c r="X906" s="74"/>
      <c r="Y906" s="272"/>
    </row>
    <row r="907" spans="13:25" x14ac:dyDescent="0.25">
      <c r="M907" s="109"/>
      <c r="N907" s="109"/>
      <c r="P907" s="274">
        <v>1105</v>
      </c>
      <c r="Q907" s="270"/>
      <c r="R907" s="74"/>
      <c r="S907" s="74"/>
      <c r="T907" s="74"/>
      <c r="U907" s="74"/>
      <c r="V907" s="74"/>
      <c r="W907" s="74"/>
      <c r="X907" s="74"/>
      <c r="Y907" s="272"/>
    </row>
    <row r="908" spans="13:25" x14ac:dyDescent="0.25">
      <c r="M908" s="109"/>
      <c r="N908" s="109"/>
      <c r="P908" s="274">
        <v>1100</v>
      </c>
      <c r="Q908" s="270"/>
      <c r="R908" s="74"/>
      <c r="S908" s="74"/>
      <c r="T908" s="74"/>
      <c r="U908" s="74"/>
      <c r="V908" s="74"/>
      <c r="W908" s="74"/>
      <c r="X908" s="74"/>
      <c r="Y908" s="272"/>
    </row>
    <row r="909" spans="13:25" x14ac:dyDescent="0.25">
      <c r="M909" s="109"/>
      <c r="N909" s="109"/>
      <c r="P909" s="274">
        <v>1095</v>
      </c>
      <c r="Q909" s="270"/>
      <c r="R909" s="74"/>
      <c r="S909" s="74"/>
      <c r="T909" s="74"/>
      <c r="U909" s="74"/>
      <c r="V909" s="74"/>
      <c r="W909" s="74"/>
      <c r="X909" s="74"/>
      <c r="Y909" s="272"/>
    </row>
    <row r="910" spans="13:25" x14ac:dyDescent="0.25">
      <c r="M910" s="109"/>
      <c r="N910" s="109"/>
      <c r="P910" s="274">
        <v>1090</v>
      </c>
      <c r="Q910" s="270"/>
      <c r="R910" s="74"/>
      <c r="S910" s="74"/>
      <c r="T910" s="74"/>
      <c r="U910" s="74"/>
      <c r="V910" s="74"/>
      <c r="W910" s="74"/>
      <c r="X910" s="74"/>
      <c r="Y910" s="272"/>
    </row>
    <row r="911" spans="13:25" x14ac:dyDescent="0.25">
      <c r="M911" s="109"/>
      <c r="N911" s="109"/>
      <c r="P911" s="274">
        <v>1085</v>
      </c>
      <c r="Q911" s="270"/>
      <c r="R911" s="74"/>
      <c r="S911" s="74"/>
      <c r="T911" s="74"/>
      <c r="U911" s="74"/>
      <c r="V911" s="74"/>
      <c r="W911" s="74"/>
      <c r="X911" s="74"/>
      <c r="Y911" s="272"/>
    </row>
    <row r="912" spans="13:25" x14ac:dyDescent="0.25">
      <c r="M912" s="109"/>
      <c r="N912" s="109"/>
      <c r="P912" s="274">
        <v>1080</v>
      </c>
      <c r="Q912" s="270"/>
      <c r="R912" s="74"/>
      <c r="S912" s="74"/>
      <c r="T912" s="74"/>
      <c r="U912" s="74"/>
      <c r="V912" s="74"/>
      <c r="W912" s="74"/>
      <c r="X912" s="74"/>
      <c r="Y912" s="272"/>
    </row>
    <row r="913" spans="13:25" x14ac:dyDescent="0.25">
      <c r="M913" s="109"/>
      <c r="N913" s="109"/>
      <c r="P913" s="274">
        <v>1075</v>
      </c>
      <c r="Q913" s="270"/>
      <c r="R913" s="74"/>
      <c r="S913" s="74"/>
      <c r="T913" s="74"/>
      <c r="U913" s="74"/>
      <c r="V913" s="74"/>
      <c r="W913" s="74"/>
      <c r="X913" s="74"/>
      <c r="Y913" s="272"/>
    </row>
    <row r="914" spans="13:25" x14ac:dyDescent="0.25">
      <c r="M914" s="109"/>
      <c r="N914" s="109"/>
      <c r="P914" s="274">
        <v>1070</v>
      </c>
      <c r="Q914" s="270"/>
      <c r="R914" s="74"/>
      <c r="S914" s="74"/>
      <c r="T914" s="74"/>
      <c r="U914" s="74"/>
      <c r="V914" s="74"/>
      <c r="W914" s="74"/>
      <c r="X914" s="74"/>
      <c r="Y914" s="272"/>
    </row>
    <row r="915" spans="13:25" x14ac:dyDescent="0.25">
      <c r="M915" s="109"/>
      <c r="N915" s="109"/>
      <c r="P915" s="274">
        <v>1065</v>
      </c>
      <c r="Q915" s="270"/>
      <c r="R915" s="74"/>
      <c r="S915" s="74"/>
      <c r="T915" s="74"/>
      <c r="U915" s="74"/>
      <c r="V915" s="74"/>
      <c r="W915" s="74"/>
      <c r="X915" s="74"/>
      <c r="Y915" s="272"/>
    </row>
    <row r="916" spans="13:25" x14ac:dyDescent="0.25">
      <c r="M916" s="109"/>
      <c r="N916" s="109"/>
      <c r="P916" s="274">
        <v>1060</v>
      </c>
      <c r="Q916" s="270"/>
      <c r="R916" s="74"/>
      <c r="S916" s="74"/>
      <c r="T916" s="74"/>
      <c r="U916" s="74"/>
      <c r="V916" s="74"/>
      <c r="W916" s="74"/>
      <c r="X916" s="74"/>
      <c r="Y916" s="272"/>
    </row>
    <row r="917" spans="13:25" x14ac:dyDescent="0.25">
      <c r="M917" s="109"/>
      <c r="N917" s="109"/>
      <c r="P917" s="274">
        <v>1055</v>
      </c>
      <c r="Q917" s="270"/>
      <c r="R917" s="74"/>
      <c r="S917" s="74"/>
      <c r="T917" s="74"/>
      <c r="U917" s="74"/>
      <c r="V917" s="74"/>
      <c r="W917" s="74"/>
      <c r="X917" s="74"/>
      <c r="Y917" s="272"/>
    </row>
    <row r="918" spans="13:25" x14ac:dyDescent="0.25">
      <c r="M918" s="109"/>
      <c r="N918" s="109"/>
      <c r="P918" s="274">
        <v>1050</v>
      </c>
      <c r="Q918" s="270"/>
      <c r="R918" s="74"/>
      <c r="S918" s="74"/>
      <c r="T918" s="74"/>
      <c r="U918" s="74"/>
      <c r="V918" s="74"/>
      <c r="W918" s="74"/>
      <c r="X918" s="74"/>
      <c r="Y918" s="272"/>
    </row>
    <row r="919" spans="13:25" x14ac:dyDescent="0.25">
      <c r="M919" s="109"/>
      <c r="N919" s="109"/>
      <c r="P919" s="274">
        <v>1045</v>
      </c>
      <c r="Q919" s="270"/>
      <c r="R919" s="74"/>
      <c r="S919" s="74"/>
      <c r="T919" s="74"/>
      <c r="U919" s="74"/>
      <c r="V919" s="74"/>
      <c r="W919" s="74"/>
      <c r="X919" s="74"/>
      <c r="Y919" s="272"/>
    </row>
    <row r="920" spans="13:25" x14ac:dyDescent="0.25">
      <c r="M920" s="109"/>
      <c r="N920" s="109"/>
      <c r="P920" s="274">
        <v>1040</v>
      </c>
      <c r="Q920" s="270"/>
      <c r="R920" s="74"/>
      <c r="S920" s="74"/>
      <c r="T920" s="74"/>
      <c r="U920" s="74"/>
      <c r="V920" s="74"/>
      <c r="W920" s="74"/>
      <c r="X920" s="74"/>
      <c r="Y920" s="272"/>
    </row>
    <row r="921" spans="13:25" x14ac:dyDescent="0.25">
      <c r="M921" s="109"/>
      <c r="N921" s="109"/>
      <c r="P921" s="274">
        <v>1035</v>
      </c>
      <c r="Q921" s="270"/>
      <c r="R921" s="74"/>
      <c r="S921" s="74"/>
      <c r="T921" s="74"/>
      <c r="U921" s="74"/>
      <c r="V921" s="74"/>
      <c r="W921" s="74"/>
      <c r="X921" s="74"/>
      <c r="Y921" s="272"/>
    </row>
    <row r="922" spans="13:25" x14ac:dyDescent="0.25">
      <c r="M922" s="109"/>
      <c r="N922" s="109"/>
      <c r="P922" s="274">
        <v>1030</v>
      </c>
      <c r="Q922" s="270"/>
      <c r="R922" s="74"/>
      <c r="S922" s="74"/>
      <c r="T922" s="74"/>
      <c r="U922" s="74"/>
      <c r="V922" s="74"/>
      <c r="W922" s="74"/>
      <c r="X922" s="74"/>
      <c r="Y922" s="272"/>
    </row>
    <row r="923" spans="13:25" x14ac:dyDescent="0.25">
      <c r="M923" s="109"/>
      <c r="N923" s="109"/>
      <c r="P923" s="274">
        <v>1025</v>
      </c>
      <c r="Q923" s="270"/>
      <c r="R923" s="74"/>
      <c r="S923" s="74"/>
      <c r="T923" s="74"/>
      <c r="U923" s="74"/>
      <c r="V923" s="74"/>
      <c r="W923" s="74"/>
      <c r="X923" s="74"/>
      <c r="Y923" s="272"/>
    </row>
    <row r="924" spans="13:25" x14ac:dyDescent="0.25">
      <c r="M924" s="109"/>
      <c r="N924" s="109"/>
      <c r="P924" s="274">
        <v>1020</v>
      </c>
      <c r="Q924" s="270"/>
      <c r="R924" s="74"/>
      <c r="S924" s="74"/>
      <c r="T924" s="74"/>
      <c r="U924" s="74"/>
      <c r="V924" s="74"/>
      <c r="W924" s="74"/>
      <c r="X924" s="74"/>
      <c r="Y924" s="272"/>
    </row>
    <row r="925" spans="13:25" x14ac:dyDescent="0.25">
      <c r="M925" s="109"/>
      <c r="N925" s="109"/>
      <c r="P925" s="274">
        <v>1015</v>
      </c>
      <c r="Q925" s="270"/>
      <c r="R925" s="74"/>
      <c r="S925" s="74"/>
      <c r="T925" s="74"/>
      <c r="U925" s="74"/>
      <c r="V925" s="74"/>
      <c r="W925" s="74"/>
      <c r="X925" s="74"/>
      <c r="Y925" s="272"/>
    </row>
    <row r="926" spans="13:25" x14ac:dyDescent="0.25">
      <c r="M926" s="109"/>
      <c r="N926" s="109"/>
      <c r="P926" s="274">
        <v>1010</v>
      </c>
      <c r="Q926" s="270"/>
      <c r="R926" s="74"/>
      <c r="S926" s="74"/>
      <c r="T926" s="74"/>
      <c r="U926" s="74"/>
      <c r="V926" s="74"/>
      <c r="W926" s="74"/>
      <c r="X926" s="74"/>
      <c r="Y926" s="272"/>
    </row>
    <row r="927" spans="13:25" x14ac:dyDescent="0.25">
      <c r="M927" s="109"/>
      <c r="N927" s="109"/>
      <c r="P927" s="274">
        <v>1005</v>
      </c>
      <c r="Q927" s="270"/>
      <c r="R927" s="74"/>
      <c r="S927" s="74"/>
      <c r="T927" s="74"/>
      <c r="U927" s="74"/>
      <c r="V927" s="74"/>
      <c r="W927" s="74"/>
      <c r="X927" s="74"/>
      <c r="Y927" s="272"/>
    </row>
    <row r="928" spans="13:25" x14ac:dyDescent="0.25">
      <c r="M928" s="109"/>
      <c r="N928" s="109"/>
      <c r="P928" s="274">
        <v>1000</v>
      </c>
      <c r="Q928" s="270"/>
      <c r="R928" s="74"/>
      <c r="S928" s="74"/>
      <c r="T928" s="74"/>
      <c r="U928" s="74"/>
      <c r="V928" s="74"/>
      <c r="W928" s="74"/>
      <c r="X928" s="74"/>
      <c r="Y928" s="272"/>
    </row>
    <row r="929" spans="13:25" x14ac:dyDescent="0.25">
      <c r="M929" s="109"/>
      <c r="N929" s="109"/>
      <c r="P929" s="274">
        <v>995</v>
      </c>
      <c r="Q929" s="270"/>
      <c r="R929" s="74"/>
      <c r="S929" s="74"/>
      <c r="T929" s="74"/>
      <c r="U929" s="74"/>
      <c r="V929" s="74"/>
      <c r="W929" s="74"/>
      <c r="X929" s="74"/>
      <c r="Y929" s="272"/>
    </row>
    <row r="930" spans="13:25" x14ac:dyDescent="0.25">
      <c r="M930" s="109"/>
      <c r="N930" s="109"/>
      <c r="P930" s="274">
        <v>990</v>
      </c>
      <c r="Q930" s="270"/>
      <c r="R930" s="74"/>
      <c r="S930" s="74"/>
      <c r="T930" s="74"/>
      <c r="U930" s="74"/>
      <c r="V930" s="74"/>
      <c r="W930" s="74"/>
      <c r="X930" s="74"/>
      <c r="Y930" s="272"/>
    </row>
    <row r="931" spans="13:25" x14ac:dyDescent="0.25">
      <c r="M931" s="109"/>
      <c r="N931" s="109"/>
      <c r="P931" s="274">
        <v>985</v>
      </c>
      <c r="Q931" s="270"/>
      <c r="R931" s="74"/>
      <c r="S931" s="74"/>
      <c r="T931" s="74"/>
      <c r="U931" s="74"/>
      <c r="V931" s="74"/>
      <c r="W931" s="74"/>
      <c r="X931" s="74"/>
      <c r="Y931" s="272"/>
    </row>
    <row r="932" spans="13:25" x14ac:dyDescent="0.25">
      <c r="M932" s="109"/>
      <c r="N932" s="109"/>
      <c r="P932" s="274">
        <v>980</v>
      </c>
      <c r="Q932" s="270"/>
      <c r="R932" s="74"/>
      <c r="S932" s="74"/>
      <c r="T932" s="74"/>
      <c r="U932" s="74"/>
      <c r="V932" s="74"/>
      <c r="W932" s="74"/>
      <c r="X932" s="74"/>
      <c r="Y932" s="272"/>
    </row>
    <row r="933" spans="13:25" x14ac:dyDescent="0.25">
      <c r="M933" s="109"/>
      <c r="N933" s="109"/>
      <c r="P933" s="274">
        <v>975</v>
      </c>
      <c r="Q933" s="270"/>
      <c r="R933" s="74"/>
      <c r="S933" s="74"/>
      <c r="T933" s="74"/>
      <c r="U933" s="74"/>
      <c r="V933" s="74"/>
      <c r="W933" s="74"/>
      <c r="X933" s="74"/>
      <c r="Y933" s="272"/>
    </row>
    <row r="934" spans="13:25" x14ac:dyDescent="0.25">
      <c r="M934" s="109"/>
      <c r="N934" s="109"/>
      <c r="P934" s="274">
        <v>970</v>
      </c>
      <c r="Q934" s="270"/>
      <c r="R934" s="74"/>
      <c r="S934" s="74"/>
      <c r="T934" s="74"/>
      <c r="U934" s="74"/>
      <c r="V934" s="74"/>
      <c r="W934" s="74"/>
      <c r="X934" s="74"/>
      <c r="Y934" s="272"/>
    </row>
    <row r="935" spans="13:25" x14ac:dyDescent="0.25">
      <c r="M935" s="109"/>
      <c r="N935" s="109"/>
      <c r="P935" s="274">
        <v>965</v>
      </c>
      <c r="Q935" s="270"/>
      <c r="R935" s="74"/>
      <c r="S935" s="74"/>
      <c r="T935" s="74"/>
      <c r="U935" s="74"/>
      <c r="V935" s="74"/>
      <c r="W935" s="74"/>
      <c r="X935" s="74"/>
      <c r="Y935" s="272"/>
    </row>
    <row r="936" spans="13:25" x14ac:dyDescent="0.25">
      <c r="M936" s="109"/>
      <c r="N936" s="109"/>
      <c r="P936" s="274">
        <v>960</v>
      </c>
      <c r="Q936" s="270"/>
      <c r="R936" s="74"/>
      <c r="S936" s="74"/>
      <c r="T936" s="74"/>
      <c r="U936" s="74"/>
      <c r="V936" s="74"/>
      <c r="W936" s="74"/>
      <c r="X936" s="74"/>
      <c r="Y936" s="272"/>
    </row>
    <row r="937" spans="13:25" x14ac:dyDescent="0.25">
      <c r="M937" s="109"/>
      <c r="N937" s="109"/>
      <c r="P937" s="274">
        <v>955</v>
      </c>
      <c r="Q937" s="270"/>
      <c r="R937" s="74"/>
      <c r="S937" s="74"/>
      <c r="T937" s="74"/>
      <c r="U937" s="74"/>
      <c r="V937" s="74"/>
      <c r="W937" s="74"/>
      <c r="X937" s="74"/>
      <c r="Y937" s="272"/>
    </row>
    <row r="938" spans="13:25" x14ac:dyDescent="0.25">
      <c r="M938" s="109"/>
      <c r="N938" s="109"/>
      <c r="P938" s="274">
        <v>950</v>
      </c>
      <c r="Q938" s="270"/>
      <c r="R938" s="74"/>
      <c r="S938" s="74"/>
      <c r="T938" s="74"/>
      <c r="U938" s="74"/>
      <c r="V938" s="74"/>
      <c r="W938" s="74"/>
      <c r="X938" s="74"/>
      <c r="Y938" s="272"/>
    </row>
    <row r="939" spans="13:25" x14ac:dyDescent="0.25">
      <c r="M939" s="109"/>
      <c r="N939" s="109"/>
      <c r="P939" s="274">
        <v>945</v>
      </c>
      <c r="Q939" s="270"/>
      <c r="R939" s="74"/>
      <c r="S939" s="74"/>
      <c r="T939" s="74"/>
      <c r="U939" s="74"/>
      <c r="V939" s="74"/>
      <c r="W939" s="74"/>
      <c r="X939" s="74"/>
      <c r="Y939" s="272"/>
    </row>
    <row r="940" spans="13:25" x14ac:dyDescent="0.25">
      <c r="M940" s="109"/>
      <c r="N940" s="109"/>
      <c r="P940" s="274">
        <v>940</v>
      </c>
      <c r="Q940" s="270"/>
      <c r="R940" s="74"/>
      <c r="S940" s="74"/>
      <c r="T940" s="74"/>
      <c r="U940" s="74"/>
      <c r="V940" s="74"/>
      <c r="W940" s="74"/>
      <c r="X940" s="74"/>
      <c r="Y940" s="272"/>
    </row>
    <row r="941" spans="13:25" x14ac:dyDescent="0.25">
      <c r="M941" s="109"/>
      <c r="N941" s="109"/>
      <c r="P941" s="274">
        <v>935</v>
      </c>
      <c r="Q941" s="270"/>
      <c r="R941" s="74"/>
      <c r="S941" s="74"/>
      <c r="T941" s="74"/>
      <c r="U941" s="74"/>
      <c r="V941" s="74"/>
      <c r="W941" s="74"/>
      <c r="X941" s="74"/>
      <c r="Y941" s="272"/>
    </row>
    <row r="942" spans="13:25" x14ac:dyDescent="0.25">
      <c r="M942" s="109"/>
      <c r="N942" s="109"/>
      <c r="P942" s="274">
        <v>930</v>
      </c>
      <c r="Q942" s="270"/>
      <c r="R942" s="74"/>
      <c r="S942" s="74"/>
      <c r="T942" s="74"/>
      <c r="U942" s="74"/>
      <c r="V942" s="74"/>
      <c r="W942" s="74"/>
      <c r="X942" s="74"/>
      <c r="Y942" s="272"/>
    </row>
    <row r="943" spans="13:25" x14ac:dyDescent="0.25">
      <c r="M943" s="109"/>
      <c r="N943" s="109"/>
      <c r="P943" s="274">
        <v>925</v>
      </c>
      <c r="Q943" s="270"/>
      <c r="R943" s="74"/>
      <c r="S943" s="74"/>
      <c r="T943" s="74"/>
      <c r="U943" s="74"/>
      <c r="V943" s="74"/>
      <c r="W943" s="74"/>
      <c r="X943" s="74"/>
      <c r="Y943" s="272"/>
    </row>
    <row r="944" spans="13:25" x14ac:dyDescent="0.25">
      <c r="M944" s="109"/>
      <c r="N944" s="109"/>
      <c r="P944" s="274">
        <v>920</v>
      </c>
      <c r="Q944" s="270"/>
      <c r="R944" s="74"/>
      <c r="S944" s="74"/>
      <c r="T944" s="74"/>
      <c r="U944" s="74"/>
      <c r="V944" s="74"/>
      <c r="W944" s="74"/>
      <c r="X944" s="74"/>
      <c r="Y944" s="272"/>
    </row>
    <row r="945" spans="13:25" x14ac:dyDescent="0.25">
      <c r="M945" s="109"/>
      <c r="N945" s="109"/>
      <c r="P945" s="274">
        <v>915</v>
      </c>
      <c r="Q945" s="270"/>
      <c r="R945" s="74"/>
      <c r="S945" s="74"/>
      <c r="T945" s="74"/>
      <c r="U945" s="74"/>
      <c r="V945" s="74"/>
      <c r="W945" s="74"/>
      <c r="X945" s="74"/>
      <c r="Y945" s="272"/>
    </row>
    <row r="946" spans="13:25" x14ac:dyDescent="0.25">
      <c r="M946" s="109"/>
      <c r="N946" s="109"/>
      <c r="P946" s="274">
        <v>910</v>
      </c>
      <c r="Q946" s="270"/>
      <c r="R946" s="74"/>
      <c r="S946" s="74"/>
      <c r="T946" s="74"/>
      <c r="U946" s="74"/>
      <c r="V946" s="74"/>
      <c r="W946" s="74"/>
      <c r="X946" s="74"/>
      <c r="Y946" s="272"/>
    </row>
    <row r="947" spans="13:25" x14ac:dyDescent="0.25">
      <c r="M947" s="109"/>
      <c r="N947" s="109"/>
      <c r="P947" s="274">
        <v>905</v>
      </c>
      <c r="Q947" s="270"/>
      <c r="R947" s="74"/>
      <c r="S947" s="74"/>
      <c r="T947" s="74"/>
      <c r="U947" s="74"/>
      <c r="V947" s="74"/>
      <c r="W947" s="74"/>
      <c r="X947" s="74"/>
      <c r="Y947" s="272"/>
    </row>
    <row r="948" spans="13:25" x14ac:dyDescent="0.25">
      <c r="M948" s="109"/>
      <c r="N948" s="109"/>
      <c r="P948" s="274">
        <v>900</v>
      </c>
      <c r="Q948" s="270"/>
      <c r="R948" s="74"/>
      <c r="S948" s="74"/>
      <c r="T948" s="74"/>
      <c r="U948" s="74"/>
      <c r="V948" s="74"/>
      <c r="W948" s="74"/>
      <c r="X948" s="74"/>
      <c r="Y948" s="272"/>
    </row>
    <row r="949" spans="13:25" x14ac:dyDescent="0.25">
      <c r="M949" s="109"/>
      <c r="N949" s="109"/>
      <c r="P949" s="274">
        <v>895</v>
      </c>
      <c r="Q949" s="270"/>
      <c r="R949" s="74"/>
      <c r="S949" s="74"/>
      <c r="T949" s="74"/>
      <c r="U949" s="74"/>
      <c r="V949" s="74"/>
      <c r="W949" s="74"/>
      <c r="X949" s="74"/>
      <c r="Y949" s="272"/>
    </row>
    <row r="950" spans="13:25" x14ac:dyDescent="0.25">
      <c r="M950" s="109"/>
      <c r="N950" s="109"/>
      <c r="P950" s="274">
        <v>890</v>
      </c>
      <c r="Q950" s="270"/>
      <c r="R950" s="74"/>
      <c r="S950" s="74"/>
      <c r="T950" s="74"/>
      <c r="U950" s="74"/>
      <c r="V950" s="74"/>
      <c r="W950" s="74"/>
      <c r="X950" s="74"/>
      <c r="Y950" s="272"/>
    </row>
    <row r="951" spans="13:25" x14ac:dyDescent="0.25">
      <c r="M951" s="109"/>
      <c r="N951" s="109"/>
      <c r="P951" s="274">
        <v>885</v>
      </c>
      <c r="Q951" s="270"/>
      <c r="R951" s="74"/>
      <c r="S951" s="74"/>
      <c r="T951" s="74"/>
      <c r="U951" s="74"/>
      <c r="V951" s="74"/>
      <c r="W951" s="74"/>
      <c r="X951" s="74"/>
      <c r="Y951" s="272"/>
    </row>
    <row r="952" spans="13:25" x14ac:dyDescent="0.25">
      <c r="M952" s="109"/>
      <c r="N952" s="109"/>
      <c r="P952" s="274">
        <v>880</v>
      </c>
      <c r="Q952" s="270"/>
      <c r="R952" s="74"/>
      <c r="S952" s="74"/>
      <c r="T952" s="74"/>
      <c r="U952" s="74"/>
      <c r="V952" s="74"/>
      <c r="W952" s="74"/>
      <c r="X952" s="74"/>
      <c r="Y952" s="272"/>
    </row>
    <row r="953" spans="13:25" x14ac:dyDescent="0.25">
      <c r="M953" s="109"/>
      <c r="N953" s="109"/>
      <c r="P953" s="274">
        <v>875</v>
      </c>
      <c r="Q953" s="270"/>
      <c r="R953" s="74"/>
      <c r="S953" s="74"/>
      <c r="T953" s="74"/>
      <c r="U953" s="74"/>
      <c r="V953" s="74"/>
      <c r="W953" s="74"/>
      <c r="X953" s="74"/>
      <c r="Y953" s="272"/>
    </row>
    <row r="954" spans="13:25" x14ac:dyDescent="0.25">
      <c r="M954" s="109"/>
      <c r="N954" s="109"/>
      <c r="P954" s="274">
        <v>870</v>
      </c>
      <c r="Q954" s="270"/>
      <c r="R954" s="74"/>
      <c r="S954" s="74"/>
      <c r="T954" s="74"/>
      <c r="U954" s="74"/>
      <c r="V954" s="74"/>
      <c r="W954" s="74"/>
      <c r="X954" s="74"/>
      <c r="Y954" s="272"/>
    </row>
    <row r="955" spans="13:25" x14ac:dyDescent="0.25">
      <c r="M955" s="109"/>
      <c r="N955" s="109"/>
      <c r="P955" s="274">
        <v>865</v>
      </c>
      <c r="Q955" s="270"/>
      <c r="R955" s="74"/>
      <c r="S955" s="74"/>
      <c r="T955" s="74"/>
      <c r="U955" s="74"/>
      <c r="V955" s="74"/>
      <c r="W955" s="74"/>
      <c r="X955" s="74"/>
      <c r="Y955" s="272"/>
    </row>
    <row r="956" spans="13:25" x14ac:dyDescent="0.25">
      <c r="M956" s="109"/>
      <c r="N956" s="109"/>
      <c r="P956" s="274">
        <v>860</v>
      </c>
      <c r="Q956" s="270"/>
      <c r="R956" s="74"/>
      <c r="S956" s="74"/>
      <c r="T956" s="74"/>
      <c r="U956" s="74"/>
      <c r="V956" s="74"/>
      <c r="W956" s="74"/>
      <c r="X956" s="74"/>
      <c r="Y956" s="272"/>
    </row>
    <row r="957" spans="13:25" x14ac:dyDescent="0.25">
      <c r="M957" s="109"/>
      <c r="N957" s="109"/>
      <c r="P957" s="274">
        <v>855</v>
      </c>
      <c r="Q957" s="270"/>
      <c r="R957" s="74"/>
      <c r="S957" s="74"/>
      <c r="T957" s="74"/>
      <c r="U957" s="74"/>
      <c r="V957" s="74"/>
      <c r="W957" s="74"/>
      <c r="X957" s="74"/>
      <c r="Y957" s="272"/>
    </row>
    <row r="958" spans="13:25" x14ac:dyDescent="0.25">
      <c r="M958" s="109"/>
      <c r="N958" s="109"/>
      <c r="P958" s="274">
        <v>850</v>
      </c>
      <c r="Q958" s="270"/>
      <c r="R958" s="74"/>
      <c r="S958" s="74"/>
      <c r="T958" s="74"/>
      <c r="U958" s="74"/>
      <c r="V958" s="74"/>
      <c r="W958" s="74"/>
      <c r="X958" s="74"/>
      <c r="Y958" s="272"/>
    </row>
    <row r="959" spans="13:25" x14ac:dyDescent="0.25">
      <c r="M959" s="109"/>
      <c r="N959" s="109"/>
      <c r="P959" s="274">
        <v>845</v>
      </c>
      <c r="Q959" s="270"/>
      <c r="R959" s="74"/>
      <c r="S959" s="74"/>
      <c r="T959" s="74"/>
      <c r="U959" s="74"/>
      <c r="V959" s="74"/>
      <c r="W959" s="74"/>
      <c r="X959" s="74"/>
      <c r="Y959" s="272"/>
    </row>
    <row r="960" spans="13:25" x14ac:dyDescent="0.25">
      <c r="M960" s="109"/>
      <c r="N960" s="109"/>
      <c r="P960" s="274">
        <v>840</v>
      </c>
      <c r="Q960" s="270"/>
      <c r="R960" s="74"/>
      <c r="S960" s="74"/>
      <c r="T960" s="74"/>
      <c r="U960" s="74"/>
      <c r="V960" s="74"/>
      <c r="W960" s="74"/>
      <c r="X960" s="74"/>
      <c r="Y960" s="272"/>
    </row>
    <row r="961" spans="13:25" x14ac:dyDescent="0.25">
      <c r="M961" s="109"/>
      <c r="N961" s="109"/>
      <c r="P961" s="274">
        <v>835</v>
      </c>
      <c r="Q961" s="270"/>
      <c r="R961" s="74"/>
      <c r="S961" s="74"/>
      <c r="T961" s="74"/>
      <c r="U961" s="74"/>
      <c r="V961" s="74"/>
      <c r="W961" s="74"/>
      <c r="X961" s="74"/>
      <c r="Y961" s="272"/>
    </row>
    <row r="962" spans="13:25" x14ac:dyDescent="0.25">
      <c r="M962" s="109"/>
      <c r="N962" s="109"/>
      <c r="P962" s="274">
        <v>830</v>
      </c>
      <c r="Q962" s="270"/>
      <c r="R962" s="74"/>
      <c r="S962" s="74"/>
      <c r="T962" s="74"/>
      <c r="U962" s="74"/>
      <c r="V962" s="74"/>
      <c r="W962" s="74"/>
      <c r="X962" s="74"/>
      <c r="Y962" s="272"/>
    </row>
    <row r="963" spans="13:25" x14ac:dyDescent="0.25">
      <c r="M963" s="109"/>
      <c r="N963" s="109"/>
      <c r="P963" s="274">
        <v>825</v>
      </c>
      <c r="Q963" s="270"/>
      <c r="R963" s="74"/>
      <c r="S963" s="74"/>
      <c r="T963" s="74"/>
      <c r="U963" s="74"/>
      <c r="V963" s="74"/>
      <c r="W963" s="74"/>
      <c r="X963" s="74"/>
      <c r="Y963" s="272"/>
    </row>
    <row r="964" spans="13:25" x14ac:dyDescent="0.25">
      <c r="M964" s="109"/>
      <c r="N964" s="109"/>
      <c r="P964" s="274">
        <v>820</v>
      </c>
      <c r="Q964" s="270"/>
      <c r="R964" s="74"/>
      <c r="S964" s="74"/>
      <c r="T964" s="74"/>
      <c r="U964" s="74"/>
      <c r="V964" s="74"/>
      <c r="W964" s="74"/>
      <c r="X964" s="74"/>
      <c r="Y964" s="272"/>
    </row>
    <row r="965" spans="13:25" x14ac:dyDescent="0.25">
      <c r="M965" s="109"/>
      <c r="N965" s="109"/>
      <c r="P965" s="274">
        <v>815</v>
      </c>
      <c r="Q965" s="270"/>
      <c r="R965" s="74"/>
      <c r="S965" s="74"/>
      <c r="T965" s="74"/>
      <c r="U965" s="74"/>
      <c r="V965" s="74"/>
      <c r="W965" s="74"/>
      <c r="X965" s="74"/>
      <c r="Y965" s="272"/>
    </row>
    <row r="966" spans="13:25" x14ac:dyDescent="0.25">
      <c r="M966" s="109"/>
      <c r="N966" s="109"/>
      <c r="P966" s="274">
        <v>810</v>
      </c>
      <c r="Q966" s="270"/>
      <c r="R966" s="74"/>
      <c r="S966" s="74"/>
      <c r="T966" s="74"/>
      <c r="U966" s="74"/>
      <c r="V966" s="74"/>
      <c r="W966" s="74"/>
      <c r="X966" s="74"/>
      <c r="Y966" s="272"/>
    </row>
    <row r="967" spans="13:25" x14ac:dyDescent="0.25">
      <c r="M967" s="109"/>
      <c r="N967" s="109"/>
      <c r="P967" s="274">
        <v>805</v>
      </c>
      <c r="Q967" s="270"/>
      <c r="R967" s="74"/>
      <c r="S967" s="74"/>
      <c r="T967" s="74"/>
      <c r="U967" s="74"/>
      <c r="V967" s="74"/>
      <c r="W967" s="74"/>
      <c r="X967" s="74"/>
      <c r="Y967" s="272"/>
    </row>
    <row r="968" spans="13:25" x14ac:dyDescent="0.25">
      <c r="M968" s="109"/>
      <c r="N968" s="109"/>
      <c r="P968" s="274">
        <v>800</v>
      </c>
      <c r="Q968" s="270"/>
      <c r="R968" s="74"/>
      <c r="S968" s="74"/>
      <c r="T968" s="74"/>
      <c r="U968" s="74"/>
      <c r="V968" s="74"/>
      <c r="W968" s="74"/>
      <c r="X968" s="74"/>
      <c r="Y968" s="272"/>
    </row>
    <row r="969" spans="13:25" x14ac:dyDescent="0.25">
      <c r="M969" s="109"/>
      <c r="N969" s="109"/>
      <c r="P969" s="274">
        <v>795</v>
      </c>
      <c r="Q969" s="270"/>
      <c r="R969" s="74"/>
      <c r="S969" s="74"/>
      <c r="T969" s="74"/>
      <c r="U969" s="74"/>
      <c r="V969" s="74"/>
      <c r="W969" s="74"/>
      <c r="X969" s="74"/>
      <c r="Y969" s="272"/>
    </row>
    <row r="970" spans="13:25" x14ac:dyDescent="0.25">
      <c r="M970" s="109"/>
      <c r="N970" s="109"/>
      <c r="P970" s="274">
        <v>790</v>
      </c>
      <c r="Q970" s="270"/>
      <c r="R970" s="74"/>
      <c r="S970" s="74"/>
      <c r="T970" s="74"/>
      <c r="U970" s="74"/>
      <c r="V970" s="74"/>
      <c r="W970" s="74"/>
      <c r="X970" s="74"/>
      <c r="Y970" s="272"/>
    </row>
    <row r="971" spans="13:25" x14ac:dyDescent="0.25">
      <c r="M971" s="109"/>
      <c r="N971" s="109"/>
      <c r="P971" s="274">
        <v>785</v>
      </c>
      <c r="Q971" s="270"/>
      <c r="R971" s="74"/>
      <c r="S971" s="74"/>
      <c r="T971" s="74"/>
      <c r="U971" s="74"/>
      <c r="V971" s="74"/>
      <c r="W971" s="74"/>
      <c r="X971" s="74"/>
      <c r="Y971" s="272"/>
    </row>
    <row r="972" spans="13:25" x14ac:dyDescent="0.25">
      <c r="M972" s="109"/>
      <c r="N972" s="109"/>
      <c r="P972" s="274">
        <v>780</v>
      </c>
      <c r="Q972" s="270"/>
      <c r="R972" s="74"/>
      <c r="S972" s="74"/>
      <c r="T972" s="74"/>
      <c r="U972" s="74"/>
      <c r="V972" s="74"/>
      <c r="W972" s="74"/>
      <c r="X972" s="74"/>
      <c r="Y972" s="272"/>
    </row>
    <row r="973" spans="13:25" x14ac:dyDescent="0.25">
      <c r="M973" s="109"/>
      <c r="N973" s="109"/>
      <c r="P973" s="274">
        <v>775</v>
      </c>
      <c r="Q973" s="270"/>
      <c r="R973" s="74"/>
      <c r="S973" s="74"/>
      <c r="T973" s="74"/>
      <c r="U973" s="74"/>
      <c r="V973" s="74"/>
      <c r="W973" s="74"/>
      <c r="X973" s="74"/>
      <c r="Y973" s="272"/>
    </row>
    <row r="974" spans="13:25" x14ac:dyDescent="0.25">
      <c r="M974" s="109"/>
      <c r="N974" s="109"/>
      <c r="P974" s="274">
        <v>770</v>
      </c>
      <c r="Q974" s="270"/>
      <c r="R974" s="74"/>
      <c r="S974" s="74"/>
      <c r="T974" s="74"/>
      <c r="U974" s="74"/>
      <c r="V974" s="74"/>
      <c r="W974" s="74"/>
      <c r="X974" s="74"/>
      <c r="Y974" s="272"/>
    </row>
    <row r="975" spans="13:25" x14ac:dyDescent="0.25">
      <c r="M975" s="109"/>
      <c r="N975" s="109"/>
      <c r="P975" s="274">
        <v>765</v>
      </c>
      <c r="Q975" s="270"/>
      <c r="R975" s="74"/>
      <c r="S975" s="74"/>
      <c r="T975" s="74"/>
      <c r="U975" s="74"/>
      <c r="V975" s="74"/>
      <c r="W975" s="74"/>
      <c r="X975" s="74"/>
      <c r="Y975" s="272"/>
    </row>
    <row r="976" spans="13:25" x14ac:dyDescent="0.25">
      <c r="M976" s="109"/>
      <c r="N976" s="109"/>
      <c r="P976" s="274">
        <v>760</v>
      </c>
      <c r="Q976" s="270"/>
      <c r="R976" s="74"/>
      <c r="S976" s="74"/>
      <c r="T976" s="74"/>
      <c r="U976" s="74"/>
      <c r="V976" s="74"/>
      <c r="W976" s="74"/>
      <c r="X976" s="74"/>
      <c r="Y976" s="272"/>
    </row>
    <row r="977" spans="13:25" x14ac:dyDescent="0.25">
      <c r="M977" s="109"/>
      <c r="N977" s="109"/>
      <c r="P977" s="274">
        <v>755</v>
      </c>
      <c r="Q977" s="270"/>
      <c r="R977" s="74"/>
      <c r="S977" s="74"/>
      <c r="T977" s="74"/>
      <c r="U977" s="74"/>
      <c r="V977" s="74"/>
      <c r="W977" s="74"/>
      <c r="X977" s="74"/>
      <c r="Y977" s="272"/>
    </row>
    <row r="978" spans="13:25" x14ac:dyDescent="0.25">
      <c r="M978" s="109"/>
      <c r="N978" s="109"/>
      <c r="P978" s="274">
        <v>750</v>
      </c>
      <c r="Q978" s="270"/>
      <c r="R978" s="74"/>
      <c r="S978" s="74"/>
      <c r="T978" s="74"/>
      <c r="U978" s="74"/>
      <c r="V978" s="74"/>
      <c r="W978" s="74"/>
      <c r="X978" s="74"/>
      <c r="Y978" s="272"/>
    </row>
    <row r="979" spans="13:25" x14ac:dyDescent="0.25">
      <c r="M979" s="109"/>
      <c r="N979" s="109"/>
      <c r="P979" s="274">
        <v>745</v>
      </c>
      <c r="Q979" s="270"/>
      <c r="R979" s="74"/>
      <c r="S979" s="74"/>
      <c r="T979" s="74"/>
      <c r="U979" s="74"/>
      <c r="V979" s="74"/>
      <c r="W979" s="74"/>
      <c r="X979" s="74"/>
      <c r="Y979" s="272"/>
    </row>
    <row r="980" spans="13:25" x14ac:dyDescent="0.25">
      <c r="M980" s="109"/>
      <c r="N980" s="109"/>
      <c r="P980" s="274">
        <v>740</v>
      </c>
      <c r="Q980" s="270"/>
      <c r="R980" s="74"/>
      <c r="S980" s="74"/>
      <c r="T980" s="74"/>
      <c r="U980" s="74"/>
      <c r="V980" s="74"/>
      <c r="W980" s="74"/>
      <c r="X980" s="74"/>
      <c r="Y980" s="272"/>
    </row>
    <row r="981" spans="13:25" x14ac:dyDescent="0.25">
      <c r="M981" s="109"/>
      <c r="N981" s="109"/>
      <c r="P981" s="274">
        <v>735</v>
      </c>
      <c r="Q981" s="270"/>
      <c r="R981" s="74"/>
      <c r="S981" s="74"/>
      <c r="T981" s="74"/>
      <c r="U981" s="74"/>
      <c r="V981" s="74"/>
      <c r="W981" s="74"/>
      <c r="X981" s="74"/>
      <c r="Y981" s="272"/>
    </row>
    <row r="982" spans="13:25" x14ac:dyDescent="0.25">
      <c r="M982" s="109"/>
      <c r="N982" s="109"/>
      <c r="P982" s="274">
        <v>730</v>
      </c>
      <c r="Q982" s="270"/>
      <c r="R982" s="74"/>
      <c r="S982" s="74"/>
      <c r="T982" s="74"/>
      <c r="U982" s="74"/>
      <c r="V982" s="74"/>
      <c r="W982" s="74"/>
      <c r="X982" s="74"/>
      <c r="Y982" s="272"/>
    </row>
    <row r="983" spans="13:25" x14ac:dyDescent="0.25">
      <c r="M983" s="109"/>
      <c r="N983" s="109"/>
      <c r="P983" s="274">
        <v>725</v>
      </c>
      <c r="Q983" s="270"/>
      <c r="R983" s="74"/>
      <c r="S983" s="74"/>
      <c r="T983" s="74"/>
      <c r="U983" s="74"/>
      <c r="V983" s="74"/>
      <c r="W983" s="74"/>
      <c r="X983" s="74"/>
      <c r="Y983" s="272"/>
    </row>
    <row r="984" spans="13:25" x14ac:dyDescent="0.25">
      <c r="M984" s="109"/>
      <c r="N984" s="109"/>
      <c r="P984" s="274">
        <v>720</v>
      </c>
      <c r="Q984" s="270"/>
      <c r="R984" s="74"/>
      <c r="S984" s="74"/>
      <c r="T984" s="74"/>
      <c r="U984" s="74"/>
      <c r="V984" s="74"/>
      <c r="W984" s="74"/>
      <c r="X984" s="74"/>
      <c r="Y984" s="272"/>
    </row>
    <row r="985" spans="13:25" x14ac:dyDescent="0.25">
      <c r="M985" s="109"/>
      <c r="N985" s="109"/>
      <c r="P985" s="274">
        <v>715</v>
      </c>
      <c r="Q985" s="270"/>
      <c r="R985" s="74"/>
      <c r="S985" s="74"/>
      <c r="T985" s="74"/>
      <c r="U985" s="74"/>
      <c r="V985" s="74"/>
      <c r="W985" s="74"/>
      <c r="X985" s="74"/>
      <c r="Y985" s="272"/>
    </row>
    <row r="986" spans="13:25" x14ac:dyDescent="0.25">
      <c r="M986" s="109"/>
      <c r="N986" s="109"/>
      <c r="P986" s="274">
        <v>710</v>
      </c>
      <c r="Q986" s="270"/>
      <c r="R986" s="74"/>
      <c r="S986" s="74"/>
      <c r="T986" s="74"/>
      <c r="U986" s="74"/>
      <c r="V986" s="74"/>
      <c r="W986" s="74"/>
      <c r="X986" s="74"/>
      <c r="Y986" s="272"/>
    </row>
    <row r="987" spans="13:25" x14ac:dyDescent="0.25">
      <c r="M987" s="109"/>
      <c r="N987" s="109"/>
      <c r="P987" s="274">
        <v>705</v>
      </c>
      <c r="Q987" s="270"/>
      <c r="R987" s="74"/>
      <c r="S987" s="74"/>
      <c r="T987" s="74"/>
      <c r="U987" s="74"/>
      <c r="V987" s="74"/>
      <c r="W987" s="74"/>
      <c r="X987" s="74"/>
      <c r="Y987" s="272"/>
    </row>
    <row r="988" spans="13:25" x14ac:dyDescent="0.25">
      <c r="M988" s="109"/>
      <c r="N988" s="109"/>
      <c r="P988" s="274">
        <v>700</v>
      </c>
      <c r="Q988" s="270"/>
      <c r="R988" s="74"/>
      <c r="S988" s="74"/>
      <c r="T988" s="74"/>
      <c r="U988" s="74"/>
      <c r="V988" s="74"/>
      <c r="W988" s="74"/>
      <c r="X988" s="74"/>
      <c r="Y988" s="272"/>
    </row>
    <row r="989" spans="13:25" x14ac:dyDescent="0.25">
      <c r="M989" s="109"/>
      <c r="N989" s="109"/>
      <c r="P989" s="274">
        <v>695</v>
      </c>
      <c r="Q989" s="270"/>
      <c r="R989" s="74"/>
      <c r="S989" s="74"/>
      <c r="T989" s="74"/>
      <c r="U989" s="74"/>
      <c r="V989" s="74"/>
      <c r="W989" s="74"/>
      <c r="X989" s="74"/>
      <c r="Y989" s="272"/>
    </row>
    <row r="990" spans="13:25" x14ac:dyDescent="0.25">
      <c r="M990" s="109"/>
      <c r="N990" s="109"/>
      <c r="P990" s="274">
        <v>690</v>
      </c>
      <c r="Q990" s="270"/>
      <c r="R990" s="74"/>
      <c r="S990" s="74"/>
      <c r="T990" s="74"/>
      <c r="U990" s="74"/>
      <c r="V990" s="74"/>
      <c r="W990" s="74"/>
      <c r="X990" s="74"/>
      <c r="Y990" s="272"/>
    </row>
    <row r="991" spans="13:25" x14ac:dyDescent="0.25">
      <c r="M991" s="109"/>
      <c r="N991" s="109"/>
      <c r="P991" s="274">
        <v>685</v>
      </c>
      <c r="Q991" s="270"/>
      <c r="R991" s="74"/>
      <c r="S991" s="74"/>
      <c r="T991" s="74"/>
      <c r="U991" s="74"/>
      <c r="V991" s="74"/>
      <c r="W991" s="74"/>
      <c r="X991" s="74"/>
      <c r="Y991" s="272"/>
    </row>
    <row r="992" spans="13:25" x14ac:dyDescent="0.25">
      <c r="M992" s="109"/>
      <c r="N992" s="109"/>
      <c r="P992" s="274">
        <v>680</v>
      </c>
      <c r="Q992" s="270"/>
      <c r="R992" s="74"/>
      <c r="S992" s="74"/>
      <c r="T992" s="74"/>
      <c r="U992" s="74"/>
      <c r="V992" s="74"/>
      <c r="W992" s="74"/>
      <c r="X992" s="74"/>
      <c r="Y992" s="272"/>
    </row>
    <row r="993" spans="13:25" x14ac:dyDescent="0.25">
      <c r="M993" s="109"/>
      <c r="N993" s="109"/>
      <c r="P993" s="274">
        <v>675</v>
      </c>
      <c r="Q993" s="270"/>
      <c r="R993" s="74"/>
      <c r="S993" s="74"/>
      <c r="T993" s="74"/>
      <c r="U993" s="74"/>
      <c r="V993" s="74"/>
      <c r="W993" s="74"/>
      <c r="X993" s="74"/>
      <c r="Y993" s="272"/>
    </row>
    <row r="994" spans="13:25" x14ac:dyDescent="0.25">
      <c r="M994" s="109"/>
      <c r="N994" s="109"/>
      <c r="P994" s="274">
        <v>670</v>
      </c>
      <c r="Q994" s="270"/>
      <c r="R994" s="74"/>
      <c r="S994" s="74"/>
      <c r="T994" s="74"/>
      <c r="U994" s="74"/>
      <c r="V994" s="74"/>
      <c r="W994" s="74"/>
      <c r="X994" s="74"/>
      <c r="Y994" s="272"/>
    </row>
    <row r="995" spans="13:25" x14ac:dyDescent="0.25">
      <c r="M995" s="109"/>
      <c r="N995" s="109"/>
      <c r="P995" s="274">
        <v>665</v>
      </c>
      <c r="Q995" s="270"/>
      <c r="R995" s="74"/>
      <c r="S995" s="74"/>
      <c r="T995" s="74"/>
      <c r="U995" s="74"/>
      <c r="V995" s="74"/>
      <c r="W995" s="74"/>
      <c r="X995" s="74"/>
      <c r="Y995" s="272"/>
    </row>
    <row r="996" spans="13:25" x14ac:dyDescent="0.25">
      <c r="M996" s="109"/>
      <c r="N996" s="109"/>
      <c r="P996" s="274">
        <v>660</v>
      </c>
      <c r="Q996" s="270"/>
      <c r="R996" s="74"/>
      <c r="S996" s="74"/>
      <c r="T996" s="74"/>
      <c r="U996" s="74"/>
      <c r="V996" s="74"/>
      <c r="W996" s="74"/>
      <c r="X996" s="74"/>
      <c r="Y996" s="272"/>
    </row>
    <row r="997" spans="13:25" x14ac:dyDescent="0.25">
      <c r="M997" s="109"/>
      <c r="N997" s="109"/>
      <c r="P997" s="274">
        <v>655</v>
      </c>
      <c r="Q997" s="270"/>
      <c r="R997" s="74"/>
      <c r="S997" s="74"/>
      <c r="T997" s="74"/>
      <c r="U997" s="74"/>
      <c r="V997" s="74"/>
      <c r="W997" s="74"/>
      <c r="X997" s="74"/>
      <c r="Y997" s="272"/>
    </row>
    <row r="998" spans="13:25" x14ac:dyDescent="0.25">
      <c r="M998" s="109"/>
      <c r="N998" s="109"/>
      <c r="P998" s="274">
        <v>650</v>
      </c>
      <c r="Q998" s="270"/>
      <c r="R998" s="74"/>
      <c r="S998" s="74"/>
      <c r="T998" s="74"/>
      <c r="U998" s="74"/>
      <c r="V998" s="74"/>
      <c r="W998" s="74"/>
      <c r="X998" s="74"/>
      <c r="Y998" s="272"/>
    </row>
    <row r="999" spans="13:25" x14ac:dyDescent="0.25">
      <c r="M999" s="109"/>
      <c r="N999" s="109"/>
      <c r="P999" s="274">
        <v>645</v>
      </c>
      <c r="Q999" s="270"/>
      <c r="R999" s="74"/>
      <c r="S999" s="74"/>
      <c r="T999" s="74"/>
      <c r="U999" s="74"/>
      <c r="V999" s="74"/>
      <c r="W999" s="74"/>
      <c r="X999" s="74"/>
      <c r="Y999" s="272"/>
    </row>
    <row r="1000" spans="13:25" x14ac:dyDescent="0.25">
      <c r="M1000" s="109"/>
      <c r="N1000" s="109"/>
      <c r="P1000" s="274">
        <v>640</v>
      </c>
      <c r="Q1000" s="270"/>
      <c r="R1000" s="74"/>
      <c r="S1000" s="74"/>
      <c r="T1000" s="74"/>
      <c r="U1000" s="74"/>
      <c r="V1000" s="74"/>
      <c r="W1000" s="74"/>
      <c r="X1000" s="74"/>
      <c r="Y1000" s="272"/>
    </row>
    <row r="1001" spans="13:25" x14ac:dyDescent="0.25">
      <c r="M1001" s="109"/>
      <c r="N1001" s="109"/>
      <c r="P1001" s="274">
        <v>635</v>
      </c>
      <c r="Q1001" s="270"/>
      <c r="R1001" s="74"/>
      <c r="S1001" s="74"/>
      <c r="T1001" s="74"/>
      <c r="U1001" s="74"/>
      <c r="V1001" s="74"/>
      <c r="W1001" s="74"/>
      <c r="X1001" s="74"/>
      <c r="Y1001" s="272"/>
    </row>
    <row r="1002" spans="13:25" x14ac:dyDescent="0.25">
      <c r="M1002" s="109"/>
      <c r="N1002" s="109"/>
      <c r="P1002" s="274">
        <v>630</v>
      </c>
      <c r="Q1002" s="270"/>
      <c r="R1002" s="74"/>
      <c r="S1002" s="74"/>
      <c r="T1002" s="74"/>
      <c r="U1002" s="74"/>
      <c r="V1002" s="74"/>
      <c r="W1002" s="74"/>
      <c r="X1002" s="74"/>
      <c r="Y1002" s="272"/>
    </row>
    <row r="1003" spans="13:25" x14ac:dyDescent="0.25">
      <c r="M1003" s="109"/>
      <c r="N1003" s="109"/>
      <c r="P1003" s="274">
        <v>625</v>
      </c>
      <c r="Q1003" s="270"/>
      <c r="R1003" s="74"/>
      <c r="S1003" s="74"/>
      <c r="T1003" s="74"/>
      <c r="U1003" s="74"/>
      <c r="V1003" s="74"/>
      <c r="W1003" s="74"/>
      <c r="X1003" s="74"/>
      <c r="Y1003" s="272"/>
    </row>
    <row r="1004" spans="13:25" x14ac:dyDescent="0.25">
      <c r="M1004" s="109"/>
      <c r="N1004" s="109"/>
      <c r="P1004" s="274">
        <v>620</v>
      </c>
      <c r="Q1004" s="270"/>
      <c r="R1004" s="74"/>
      <c r="S1004" s="74"/>
      <c r="T1004" s="74"/>
      <c r="U1004" s="74"/>
      <c r="V1004" s="74"/>
      <c r="W1004" s="74"/>
      <c r="X1004" s="74"/>
      <c r="Y1004" s="272"/>
    </row>
    <row r="1005" spans="13:25" x14ac:dyDescent="0.25">
      <c r="M1005" s="109"/>
      <c r="N1005" s="109"/>
      <c r="P1005" s="274">
        <v>615</v>
      </c>
      <c r="Q1005" s="270"/>
      <c r="R1005" s="74"/>
      <c r="S1005" s="74"/>
      <c r="T1005" s="74"/>
      <c r="U1005" s="74"/>
      <c r="V1005" s="74"/>
      <c r="W1005" s="74"/>
      <c r="X1005" s="74"/>
      <c r="Y1005" s="272"/>
    </row>
    <row r="1006" spans="13:25" x14ac:dyDescent="0.25">
      <c r="M1006" s="109"/>
      <c r="N1006" s="109"/>
      <c r="P1006" s="274">
        <v>610</v>
      </c>
      <c r="Q1006" s="270"/>
      <c r="R1006" s="74"/>
      <c r="S1006" s="74"/>
      <c r="T1006" s="74"/>
      <c r="U1006" s="74"/>
      <c r="V1006" s="74"/>
      <c r="W1006" s="74"/>
      <c r="X1006" s="74"/>
      <c r="Y1006" s="272"/>
    </row>
    <row r="1007" spans="13:25" x14ac:dyDescent="0.25">
      <c r="M1007" s="109"/>
      <c r="N1007" s="109"/>
      <c r="P1007" s="274">
        <v>605</v>
      </c>
      <c r="Q1007" s="270"/>
      <c r="R1007" s="74"/>
      <c r="S1007" s="74"/>
      <c r="T1007" s="74"/>
      <c r="U1007" s="74"/>
      <c r="V1007" s="74"/>
      <c r="W1007" s="74"/>
      <c r="X1007" s="74"/>
      <c r="Y1007" s="272"/>
    </row>
    <row r="1008" spans="13:25" x14ac:dyDescent="0.25">
      <c r="M1008" s="109"/>
      <c r="N1008" s="109"/>
      <c r="P1008" s="274">
        <v>600</v>
      </c>
      <c r="Q1008" s="270"/>
      <c r="R1008" s="74"/>
      <c r="S1008" s="74"/>
      <c r="T1008" s="74"/>
      <c r="U1008" s="74"/>
      <c r="V1008" s="74"/>
      <c r="W1008" s="74"/>
      <c r="X1008" s="74"/>
      <c r="Y1008" s="272"/>
    </row>
    <row r="1009" spans="13:25" x14ac:dyDescent="0.25">
      <c r="M1009" s="109"/>
      <c r="N1009" s="109"/>
      <c r="P1009" s="274">
        <v>595</v>
      </c>
      <c r="Q1009" s="270"/>
      <c r="R1009" s="74"/>
      <c r="S1009" s="74"/>
      <c r="T1009" s="74"/>
      <c r="U1009" s="74"/>
      <c r="V1009" s="74"/>
      <c r="W1009" s="74"/>
      <c r="X1009" s="74"/>
      <c r="Y1009" s="272"/>
    </row>
    <row r="1010" spans="13:25" x14ac:dyDescent="0.25">
      <c r="M1010" s="109"/>
      <c r="N1010" s="109"/>
      <c r="P1010" s="274">
        <v>590</v>
      </c>
      <c r="Q1010" s="270"/>
      <c r="R1010" s="74"/>
      <c r="S1010" s="74"/>
      <c r="T1010" s="74"/>
      <c r="U1010" s="74"/>
      <c r="V1010" s="74"/>
      <c r="W1010" s="74"/>
      <c r="X1010" s="74"/>
      <c r="Y1010" s="272"/>
    </row>
    <row r="1011" spans="13:25" x14ac:dyDescent="0.25">
      <c r="M1011" s="109"/>
      <c r="N1011" s="109"/>
      <c r="P1011" s="274">
        <v>585</v>
      </c>
      <c r="Q1011" s="270"/>
      <c r="R1011" s="74"/>
      <c r="S1011" s="74"/>
      <c r="T1011" s="74"/>
      <c r="U1011" s="74"/>
      <c r="V1011" s="74"/>
      <c r="W1011" s="74"/>
      <c r="X1011" s="74"/>
      <c r="Y1011" s="272"/>
    </row>
    <row r="1012" spans="13:25" x14ac:dyDescent="0.25">
      <c r="M1012" s="109"/>
      <c r="N1012" s="109"/>
      <c r="P1012" s="274">
        <v>580</v>
      </c>
      <c r="Q1012" s="270"/>
      <c r="R1012" s="74"/>
      <c r="S1012" s="74"/>
      <c r="T1012" s="74"/>
      <c r="U1012" s="74"/>
      <c r="V1012" s="74"/>
      <c r="W1012" s="74"/>
      <c r="X1012" s="74"/>
      <c r="Y1012" s="272"/>
    </row>
    <row r="1013" spans="13:25" x14ac:dyDescent="0.25">
      <c r="M1013" s="109"/>
      <c r="N1013" s="109"/>
      <c r="P1013" s="274">
        <v>575</v>
      </c>
      <c r="Q1013" s="270"/>
      <c r="R1013" s="74"/>
      <c r="S1013" s="74"/>
      <c r="T1013" s="74"/>
      <c r="U1013" s="74"/>
      <c r="V1013" s="74"/>
      <c r="W1013" s="74"/>
      <c r="X1013" s="74"/>
      <c r="Y1013" s="272"/>
    </row>
    <row r="1014" spans="13:25" x14ac:dyDescent="0.25">
      <c r="M1014" s="109"/>
      <c r="N1014" s="109"/>
      <c r="P1014" s="274">
        <v>570</v>
      </c>
      <c r="Q1014" s="270"/>
      <c r="R1014" s="74"/>
      <c r="S1014" s="74"/>
      <c r="T1014" s="74"/>
      <c r="U1014" s="74"/>
      <c r="V1014" s="74"/>
      <c r="W1014" s="74"/>
      <c r="X1014" s="74"/>
      <c r="Y1014" s="272"/>
    </row>
    <row r="1015" spans="13:25" x14ac:dyDescent="0.25">
      <c r="M1015" s="109"/>
      <c r="N1015" s="109"/>
      <c r="P1015" s="274">
        <v>565</v>
      </c>
      <c r="Q1015" s="270"/>
      <c r="R1015" s="74"/>
      <c r="S1015" s="74"/>
      <c r="T1015" s="74"/>
      <c r="U1015" s="74"/>
      <c r="V1015" s="74"/>
      <c r="W1015" s="74"/>
      <c r="X1015" s="74"/>
      <c r="Y1015" s="272"/>
    </row>
    <row r="1016" spans="13:25" x14ac:dyDescent="0.25">
      <c r="M1016" s="109"/>
      <c r="N1016" s="109"/>
      <c r="P1016" s="274">
        <v>560</v>
      </c>
      <c r="Q1016" s="270"/>
      <c r="R1016" s="74"/>
      <c r="S1016" s="74"/>
      <c r="T1016" s="74"/>
      <c r="U1016" s="74"/>
      <c r="V1016" s="74"/>
      <c r="W1016" s="74"/>
      <c r="X1016" s="74"/>
      <c r="Y1016" s="272"/>
    </row>
    <row r="1017" spans="13:25" x14ac:dyDescent="0.25">
      <c r="M1017" s="109"/>
      <c r="N1017" s="109"/>
      <c r="P1017" s="274">
        <v>555</v>
      </c>
      <c r="Q1017" s="270"/>
      <c r="R1017" s="74"/>
      <c r="S1017" s="74"/>
      <c r="T1017" s="74"/>
      <c r="U1017" s="74"/>
      <c r="V1017" s="74"/>
      <c r="W1017" s="74"/>
      <c r="X1017" s="74"/>
      <c r="Y1017" s="272"/>
    </row>
    <row r="1018" spans="13:25" x14ac:dyDescent="0.25">
      <c r="M1018" s="109"/>
      <c r="N1018" s="109"/>
      <c r="P1018" s="274">
        <v>550</v>
      </c>
      <c r="Q1018" s="270"/>
      <c r="R1018" s="74"/>
      <c r="S1018" s="74"/>
      <c r="T1018" s="74"/>
      <c r="U1018" s="74"/>
      <c r="V1018" s="74"/>
      <c r="W1018" s="74"/>
      <c r="X1018" s="74"/>
      <c r="Y1018" s="272"/>
    </row>
    <row r="1019" spans="13:25" x14ac:dyDescent="0.25">
      <c r="M1019" s="109"/>
      <c r="N1019" s="109"/>
      <c r="P1019" s="274">
        <v>545</v>
      </c>
      <c r="Q1019" s="270"/>
      <c r="R1019" s="74"/>
      <c r="S1019" s="74"/>
      <c r="T1019" s="74"/>
      <c r="U1019" s="74"/>
      <c r="V1019" s="74"/>
      <c r="W1019" s="74"/>
      <c r="X1019" s="74"/>
      <c r="Y1019" s="272"/>
    </row>
    <row r="1020" spans="13:25" x14ac:dyDescent="0.25">
      <c r="M1020" s="109"/>
      <c r="N1020" s="109"/>
      <c r="P1020" s="274">
        <v>540</v>
      </c>
      <c r="Q1020" s="270"/>
      <c r="R1020" s="74"/>
      <c r="S1020" s="74"/>
      <c r="T1020" s="74"/>
      <c r="U1020" s="74"/>
      <c r="V1020" s="74"/>
      <c r="W1020" s="74"/>
      <c r="X1020" s="74"/>
      <c r="Y1020" s="272"/>
    </row>
    <row r="1021" spans="13:25" x14ac:dyDescent="0.25">
      <c r="M1021" s="109"/>
      <c r="N1021" s="109"/>
      <c r="P1021" s="274">
        <v>535</v>
      </c>
      <c r="Q1021" s="270"/>
      <c r="R1021" s="74"/>
      <c r="S1021" s="74"/>
      <c r="T1021" s="74"/>
      <c r="U1021" s="74"/>
      <c r="V1021" s="74"/>
      <c r="W1021" s="74"/>
      <c r="X1021" s="74"/>
      <c r="Y1021" s="272"/>
    </row>
    <row r="1022" spans="13:25" x14ac:dyDescent="0.25">
      <c r="M1022" s="109"/>
      <c r="N1022" s="109"/>
      <c r="P1022" s="274">
        <v>530</v>
      </c>
      <c r="Q1022" s="270"/>
      <c r="R1022" s="74"/>
      <c r="S1022" s="74"/>
      <c r="T1022" s="74"/>
      <c r="U1022" s="74"/>
      <c r="V1022" s="74"/>
      <c r="W1022" s="74"/>
      <c r="X1022" s="74"/>
      <c r="Y1022" s="272"/>
    </row>
    <row r="1023" spans="13:25" x14ac:dyDescent="0.25">
      <c r="M1023" s="109"/>
      <c r="N1023" s="109"/>
      <c r="P1023" s="274">
        <v>525</v>
      </c>
      <c r="Q1023" s="270"/>
      <c r="R1023" s="74"/>
      <c r="S1023" s="74"/>
      <c r="T1023" s="74"/>
      <c r="U1023" s="74"/>
      <c r="V1023" s="74"/>
      <c r="W1023" s="74"/>
      <c r="X1023" s="74"/>
      <c r="Y1023" s="272"/>
    </row>
    <row r="1024" spans="13:25" x14ac:dyDescent="0.25">
      <c r="M1024" s="109"/>
      <c r="N1024" s="109"/>
      <c r="P1024" s="274">
        <v>520</v>
      </c>
      <c r="Q1024" s="270"/>
      <c r="R1024" s="74"/>
      <c r="S1024" s="74"/>
      <c r="T1024" s="74"/>
      <c r="U1024" s="74"/>
      <c r="V1024" s="74"/>
      <c r="W1024" s="74"/>
      <c r="X1024" s="74"/>
      <c r="Y1024" s="272"/>
    </row>
    <row r="1025" spans="13:25" x14ac:dyDescent="0.25">
      <c r="M1025" s="109"/>
      <c r="N1025" s="109"/>
      <c r="P1025" s="274">
        <v>515</v>
      </c>
      <c r="Q1025" s="270"/>
      <c r="R1025" s="74"/>
      <c r="S1025" s="74"/>
      <c r="T1025" s="74"/>
      <c r="U1025" s="74"/>
      <c r="V1025" s="74"/>
      <c r="W1025" s="74"/>
      <c r="X1025" s="74"/>
      <c r="Y1025" s="272"/>
    </row>
    <row r="1026" spans="13:25" x14ac:dyDescent="0.25">
      <c r="M1026" s="109"/>
      <c r="N1026" s="109"/>
      <c r="P1026" s="274">
        <v>510</v>
      </c>
      <c r="Q1026" s="270"/>
      <c r="R1026" s="74"/>
      <c r="S1026" s="74"/>
      <c r="T1026" s="74"/>
      <c r="U1026" s="74"/>
      <c r="V1026" s="74"/>
      <c r="W1026" s="74"/>
      <c r="X1026" s="74"/>
      <c r="Y1026" s="272"/>
    </row>
    <row r="1027" spans="13:25" x14ac:dyDescent="0.25">
      <c r="M1027" s="109"/>
      <c r="N1027" s="109"/>
      <c r="P1027" s="274">
        <v>505</v>
      </c>
      <c r="Q1027" s="270"/>
      <c r="R1027" s="74"/>
      <c r="S1027" s="74"/>
      <c r="T1027" s="74"/>
      <c r="U1027" s="74"/>
      <c r="V1027" s="74"/>
      <c r="W1027" s="74"/>
      <c r="X1027" s="74"/>
      <c r="Y1027" s="272"/>
    </row>
    <row r="1028" spans="13:25" x14ac:dyDescent="0.25">
      <c r="M1028" s="109"/>
      <c r="N1028" s="109"/>
      <c r="P1028" s="274">
        <v>500</v>
      </c>
      <c r="Q1028" s="270"/>
      <c r="R1028" s="74"/>
      <c r="S1028" s="74"/>
      <c r="T1028" s="74"/>
      <c r="U1028" s="74"/>
      <c r="V1028" s="74"/>
      <c r="W1028" s="74"/>
      <c r="X1028" s="74"/>
      <c r="Y1028" s="272"/>
    </row>
    <row r="1029" spans="13:25" x14ac:dyDescent="0.25">
      <c r="M1029" s="109"/>
      <c r="N1029" s="109"/>
      <c r="P1029" s="274">
        <v>495</v>
      </c>
      <c r="Q1029" s="270"/>
      <c r="R1029" s="74"/>
      <c r="S1029" s="74"/>
      <c r="T1029" s="74"/>
      <c r="U1029" s="74"/>
      <c r="V1029" s="74"/>
      <c r="W1029" s="74"/>
      <c r="X1029" s="74"/>
      <c r="Y1029" s="272"/>
    </row>
    <row r="1030" spans="13:25" x14ac:dyDescent="0.25">
      <c r="M1030" s="109"/>
      <c r="N1030" s="109"/>
      <c r="P1030" s="274">
        <v>490</v>
      </c>
      <c r="Q1030" s="270"/>
      <c r="R1030" s="74"/>
      <c r="S1030" s="74"/>
      <c r="T1030" s="74"/>
      <c r="U1030" s="74"/>
      <c r="V1030" s="74"/>
      <c r="W1030" s="74"/>
      <c r="X1030" s="74"/>
      <c r="Y1030" s="272"/>
    </row>
    <row r="1031" spans="13:25" x14ac:dyDescent="0.25">
      <c r="M1031" s="109"/>
      <c r="N1031" s="109"/>
      <c r="P1031" s="274">
        <v>485</v>
      </c>
      <c r="Q1031" s="270"/>
      <c r="R1031" s="74"/>
      <c r="S1031" s="74"/>
      <c r="T1031" s="74"/>
      <c r="U1031" s="74"/>
      <c r="V1031" s="74"/>
      <c r="W1031" s="74"/>
      <c r="X1031" s="74"/>
      <c r="Y1031" s="272"/>
    </row>
    <row r="1032" spans="13:25" x14ac:dyDescent="0.25">
      <c r="M1032" s="109"/>
      <c r="N1032" s="109"/>
      <c r="P1032" s="274">
        <v>480</v>
      </c>
      <c r="Q1032" s="270"/>
      <c r="R1032" s="74"/>
      <c r="S1032" s="74"/>
      <c r="T1032" s="74"/>
      <c r="U1032" s="74"/>
      <c r="V1032" s="74"/>
      <c r="W1032" s="74"/>
      <c r="X1032" s="74"/>
      <c r="Y1032" s="272"/>
    </row>
    <row r="1033" spans="13:25" x14ac:dyDescent="0.25">
      <c r="M1033" s="109"/>
      <c r="N1033" s="109"/>
      <c r="P1033" s="274">
        <v>475</v>
      </c>
      <c r="Q1033" s="270"/>
      <c r="R1033" s="74"/>
      <c r="S1033" s="74"/>
      <c r="T1033" s="74"/>
      <c r="U1033" s="74"/>
      <c r="V1033" s="74"/>
      <c r="W1033" s="74"/>
      <c r="X1033" s="74"/>
      <c r="Y1033" s="272"/>
    </row>
    <row r="1034" spans="13:25" x14ac:dyDescent="0.25">
      <c r="M1034" s="109"/>
      <c r="N1034" s="109"/>
      <c r="P1034" s="274">
        <v>470</v>
      </c>
      <c r="Q1034" s="270"/>
      <c r="R1034" s="74"/>
      <c r="S1034" s="74"/>
      <c r="T1034" s="74"/>
      <c r="U1034" s="74"/>
      <c r="V1034" s="74"/>
      <c r="W1034" s="74"/>
      <c r="X1034" s="74"/>
      <c r="Y1034" s="272"/>
    </row>
    <row r="1035" spans="13:25" x14ac:dyDescent="0.25">
      <c r="M1035" s="109"/>
      <c r="N1035" s="109"/>
      <c r="P1035" s="274">
        <v>465</v>
      </c>
      <c r="Q1035" s="270"/>
      <c r="R1035" s="74"/>
      <c r="S1035" s="74"/>
      <c r="T1035" s="74"/>
      <c r="U1035" s="74"/>
      <c r="V1035" s="74"/>
      <c r="W1035" s="74"/>
      <c r="X1035" s="74"/>
      <c r="Y1035" s="272"/>
    </row>
    <row r="1036" spans="13:25" x14ac:dyDescent="0.25">
      <c r="M1036" s="109"/>
      <c r="N1036" s="109"/>
      <c r="P1036" s="274">
        <v>460</v>
      </c>
      <c r="Q1036" s="270"/>
      <c r="R1036" s="74"/>
      <c r="S1036" s="74"/>
      <c r="T1036" s="74"/>
      <c r="U1036" s="74"/>
      <c r="V1036" s="74"/>
      <c r="W1036" s="74"/>
      <c r="X1036" s="74"/>
      <c r="Y1036" s="272"/>
    </row>
    <row r="1037" spans="13:25" x14ac:dyDescent="0.25">
      <c r="M1037" s="109"/>
      <c r="N1037" s="109"/>
      <c r="P1037" s="274">
        <v>455</v>
      </c>
      <c r="Q1037" s="270"/>
      <c r="R1037" s="74"/>
      <c r="S1037" s="74"/>
      <c r="T1037" s="74"/>
      <c r="U1037" s="74"/>
      <c r="V1037" s="74"/>
      <c r="W1037" s="74"/>
      <c r="X1037" s="74"/>
      <c r="Y1037" s="272"/>
    </row>
    <row r="1038" spans="13:25" x14ac:dyDescent="0.25">
      <c r="M1038" s="109"/>
      <c r="N1038" s="109"/>
      <c r="P1038" s="274">
        <v>450</v>
      </c>
      <c r="Q1038" s="270"/>
      <c r="R1038" s="74"/>
      <c r="S1038" s="74"/>
      <c r="T1038" s="74"/>
      <c r="U1038" s="74"/>
      <c r="V1038" s="74"/>
      <c r="W1038" s="74"/>
      <c r="X1038" s="74"/>
      <c r="Y1038" s="272"/>
    </row>
    <row r="1039" spans="13:25" x14ac:dyDescent="0.25">
      <c r="M1039" s="109"/>
      <c r="N1039" s="109"/>
      <c r="P1039" s="274">
        <v>445</v>
      </c>
      <c r="Q1039" s="270"/>
      <c r="R1039" s="74"/>
      <c r="S1039" s="74"/>
      <c r="T1039" s="74"/>
      <c r="U1039" s="74"/>
      <c r="V1039" s="74"/>
      <c r="W1039" s="74"/>
      <c r="X1039" s="74"/>
      <c r="Y1039" s="272"/>
    </row>
    <row r="1040" spans="13:25" x14ac:dyDescent="0.25">
      <c r="M1040" s="109"/>
      <c r="N1040" s="109"/>
      <c r="P1040" s="274">
        <v>440</v>
      </c>
      <c r="Q1040" s="270"/>
      <c r="R1040" s="74"/>
      <c r="S1040" s="74"/>
      <c r="T1040" s="74"/>
      <c r="U1040" s="74"/>
      <c r="V1040" s="74"/>
      <c r="W1040" s="74"/>
      <c r="X1040" s="74"/>
      <c r="Y1040" s="272"/>
    </row>
    <row r="1041" spans="13:25" x14ac:dyDescent="0.25">
      <c r="M1041" s="109"/>
      <c r="N1041" s="109"/>
      <c r="P1041" s="274">
        <v>435</v>
      </c>
      <c r="Q1041" s="270"/>
      <c r="R1041" s="74"/>
      <c r="S1041" s="74"/>
      <c r="T1041" s="74"/>
      <c r="U1041" s="74"/>
      <c r="V1041" s="74"/>
      <c r="W1041" s="74"/>
      <c r="X1041" s="74"/>
      <c r="Y1041" s="272"/>
    </row>
    <row r="1042" spans="13:25" x14ac:dyDescent="0.25">
      <c r="M1042" s="109"/>
      <c r="N1042" s="109"/>
      <c r="P1042" s="274">
        <v>430</v>
      </c>
      <c r="Q1042" s="270"/>
      <c r="R1042" s="74"/>
      <c r="S1042" s="74"/>
      <c r="T1042" s="74"/>
      <c r="U1042" s="74"/>
      <c r="V1042" s="74"/>
      <c r="W1042" s="74"/>
      <c r="X1042" s="74"/>
      <c r="Y1042" s="272"/>
    </row>
    <row r="1043" spans="13:25" x14ac:dyDescent="0.25">
      <c r="M1043" s="109"/>
      <c r="N1043" s="109"/>
      <c r="P1043" s="274">
        <v>425</v>
      </c>
      <c r="Q1043" s="270"/>
      <c r="R1043" s="74"/>
      <c r="S1043" s="74"/>
      <c r="T1043" s="74"/>
      <c r="U1043" s="74"/>
      <c r="V1043" s="74"/>
      <c r="W1043" s="74"/>
      <c r="X1043" s="74"/>
      <c r="Y1043" s="272"/>
    </row>
    <row r="1044" spans="13:25" x14ac:dyDescent="0.25">
      <c r="M1044" s="109"/>
      <c r="N1044" s="109"/>
      <c r="P1044" s="274">
        <v>420</v>
      </c>
      <c r="Q1044" s="270"/>
      <c r="R1044" s="74"/>
      <c r="S1044" s="74"/>
      <c r="T1044" s="74"/>
      <c r="U1044" s="74"/>
      <c r="V1044" s="74"/>
      <c r="W1044" s="74"/>
      <c r="X1044" s="74"/>
      <c r="Y1044" s="272"/>
    </row>
    <row r="1045" spans="13:25" x14ac:dyDescent="0.25">
      <c r="M1045" s="109"/>
      <c r="N1045" s="109"/>
      <c r="P1045" s="274">
        <v>415</v>
      </c>
      <c r="Q1045" s="270"/>
      <c r="R1045" s="74"/>
      <c r="S1045" s="74"/>
      <c r="T1045" s="74"/>
      <c r="U1045" s="74"/>
      <c r="V1045" s="74"/>
      <c r="W1045" s="74"/>
      <c r="X1045" s="74"/>
      <c r="Y1045" s="272"/>
    </row>
    <row r="1046" spans="13:25" x14ac:dyDescent="0.25">
      <c r="M1046" s="109"/>
      <c r="N1046" s="109"/>
      <c r="P1046" s="274">
        <v>410</v>
      </c>
      <c r="Q1046" s="270"/>
      <c r="R1046" s="74"/>
      <c r="S1046" s="74"/>
      <c r="T1046" s="74"/>
      <c r="U1046" s="74"/>
      <c r="V1046" s="74"/>
      <c r="W1046" s="74"/>
      <c r="X1046" s="74"/>
      <c r="Y1046" s="272"/>
    </row>
    <row r="1047" spans="13:25" x14ac:dyDescent="0.25">
      <c r="M1047" s="109"/>
      <c r="N1047" s="109"/>
      <c r="P1047" s="274">
        <v>405</v>
      </c>
      <c r="Q1047" s="270"/>
      <c r="R1047" s="74"/>
      <c r="S1047" s="74"/>
      <c r="T1047" s="74"/>
      <c r="U1047" s="74"/>
      <c r="V1047" s="74"/>
      <c r="W1047" s="74"/>
      <c r="X1047" s="74"/>
      <c r="Y1047" s="272"/>
    </row>
    <row r="1048" spans="13:25" x14ac:dyDescent="0.25">
      <c r="M1048" s="109"/>
      <c r="N1048" s="109"/>
      <c r="P1048" s="274">
        <v>400</v>
      </c>
      <c r="Q1048" s="270"/>
      <c r="R1048" s="74"/>
      <c r="S1048" s="74"/>
      <c r="T1048" s="74"/>
      <c r="U1048" s="74"/>
      <c r="V1048" s="74"/>
      <c r="W1048" s="74"/>
      <c r="X1048" s="74"/>
      <c r="Y1048" s="272"/>
    </row>
    <row r="1049" spans="13:25" x14ac:dyDescent="0.25">
      <c r="M1049" s="109"/>
      <c r="N1049" s="109"/>
      <c r="P1049" s="274">
        <v>395</v>
      </c>
      <c r="Q1049" s="270"/>
      <c r="R1049" s="74"/>
      <c r="S1049" s="74"/>
      <c r="T1049" s="74"/>
      <c r="U1049" s="74"/>
      <c r="V1049" s="74"/>
      <c r="W1049" s="74"/>
      <c r="X1049" s="74"/>
      <c r="Y1049" s="272"/>
    </row>
    <row r="1050" spans="13:25" x14ac:dyDescent="0.25">
      <c r="M1050" s="109"/>
      <c r="N1050" s="109"/>
      <c r="P1050" s="274">
        <v>390</v>
      </c>
      <c r="Q1050" s="270"/>
      <c r="R1050" s="74"/>
      <c r="S1050" s="74"/>
      <c r="T1050" s="74"/>
      <c r="U1050" s="74"/>
      <c r="V1050" s="74"/>
      <c r="W1050" s="74"/>
      <c r="X1050" s="74"/>
      <c r="Y1050" s="272"/>
    </row>
    <row r="1051" spans="13:25" x14ac:dyDescent="0.25">
      <c r="M1051" s="109"/>
      <c r="N1051" s="109"/>
      <c r="P1051" s="274">
        <v>385</v>
      </c>
      <c r="Q1051" s="270"/>
      <c r="R1051" s="74"/>
      <c r="S1051" s="74"/>
      <c r="T1051" s="74"/>
      <c r="U1051" s="74"/>
      <c r="V1051" s="74"/>
      <c r="W1051" s="74"/>
      <c r="X1051" s="74"/>
      <c r="Y1051" s="272"/>
    </row>
    <row r="1052" spans="13:25" x14ac:dyDescent="0.25">
      <c r="M1052" s="109"/>
      <c r="N1052" s="109"/>
      <c r="P1052" s="274">
        <v>380</v>
      </c>
      <c r="Q1052" s="270"/>
      <c r="R1052" s="74"/>
      <c r="S1052" s="74"/>
      <c r="T1052" s="74"/>
      <c r="U1052" s="74"/>
      <c r="V1052" s="74"/>
      <c r="W1052" s="74"/>
      <c r="X1052" s="74"/>
      <c r="Y1052" s="272"/>
    </row>
    <row r="1053" spans="13:25" x14ac:dyDescent="0.25">
      <c r="M1053" s="109"/>
      <c r="N1053" s="109"/>
      <c r="P1053" s="274">
        <v>375</v>
      </c>
      <c r="Q1053" s="270"/>
      <c r="R1053" s="74"/>
      <c r="S1053" s="74"/>
      <c r="T1053" s="74"/>
      <c r="U1053" s="74"/>
      <c r="V1053" s="74"/>
      <c r="W1053" s="74"/>
      <c r="X1053" s="74"/>
      <c r="Y1053" s="272"/>
    </row>
    <row r="1054" spans="13:25" x14ac:dyDescent="0.25">
      <c r="M1054" s="109"/>
      <c r="N1054" s="109"/>
      <c r="P1054" s="274">
        <v>370</v>
      </c>
      <c r="Q1054" s="270"/>
      <c r="R1054" s="74"/>
      <c r="S1054" s="74"/>
      <c r="T1054" s="74"/>
      <c r="U1054" s="74"/>
      <c r="V1054" s="74"/>
      <c r="W1054" s="74"/>
      <c r="X1054" s="74"/>
      <c r="Y1054" s="272"/>
    </row>
    <row r="1055" spans="13:25" x14ac:dyDescent="0.25">
      <c r="M1055" s="109"/>
      <c r="N1055" s="109"/>
      <c r="P1055" s="274">
        <v>365</v>
      </c>
      <c r="Q1055" s="270"/>
      <c r="R1055" s="74"/>
      <c r="S1055" s="74"/>
      <c r="T1055" s="74"/>
      <c r="U1055" s="74"/>
      <c r="V1055" s="74"/>
      <c r="W1055" s="74"/>
      <c r="X1055" s="74"/>
      <c r="Y1055" s="272"/>
    </row>
    <row r="1056" spans="13:25" x14ac:dyDescent="0.25">
      <c r="M1056" s="109"/>
      <c r="N1056" s="109"/>
      <c r="P1056" s="274">
        <v>360</v>
      </c>
      <c r="Q1056" s="270"/>
      <c r="R1056" s="74"/>
      <c r="S1056" s="74"/>
      <c r="T1056" s="74"/>
      <c r="U1056" s="74"/>
      <c r="V1056" s="74"/>
      <c r="W1056" s="74"/>
      <c r="X1056" s="74"/>
      <c r="Y1056" s="272"/>
    </row>
    <row r="1057" spans="13:25" x14ac:dyDescent="0.25">
      <c r="M1057" s="109"/>
      <c r="N1057" s="109"/>
      <c r="P1057" s="274">
        <v>355</v>
      </c>
      <c r="Q1057" s="270"/>
      <c r="R1057" s="74"/>
      <c r="S1057" s="74"/>
      <c r="T1057" s="74"/>
      <c r="U1057" s="74"/>
      <c r="V1057" s="74"/>
      <c r="W1057" s="74"/>
      <c r="X1057" s="74"/>
      <c r="Y1057" s="272"/>
    </row>
    <row r="1058" spans="13:25" x14ac:dyDescent="0.25">
      <c r="M1058" s="109"/>
      <c r="N1058" s="109"/>
      <c r="P1058" s="274">
        <v>350</v>
      </c>
      <c r="Q1058" s="270"/>
      <c r="R1058" s="74"/>
      <c r="S1058" s="74"/>
      <c r="T1058" s="74"/>
      <c r="U1058" s="74"/>
      <c r="V1058" s="74"/>
      <c r="W1058" s="74"/>
      <c r="X1058" s="74"/>
      <c r="Y1058" s="272"/>
    </row>
    <row r="1059" spans="13:25" x14ac:dyDescent="0.25">
      <c r="M1059" s="109"/>
      <c r="N1059" s="109"/>
      <c r="P1059" s="274">
        <v>345</v>
      </c>
      <c r="Q1059" s="270"/>
      <c r="R1059" s="74"/>
      <c r="S1059" s="74"/>
      <c r="T1059" s="74"/>
      <c r="U1059" s="74"/>
      <c r="V1059" s="74"/>
      <c r="W1059" s="74"/>
      <c r="X1059" s="74"/>
      <c r="Y1059" s="272"/>
    </row>
    <row r="1060" spans="13:25" x14ac:dyDescent="0.25">
      <c r="M1060" s="109"/>
      <c r="N1060" s="109"/>
      <c r="P1060" s="274">
        <v>340</v>
      </c>
      <c r="Q1060" s="270"/>
      <c r="R1060" s="74"/>
      <c r="S1060" s="74"/>
      <c r="T1060" s="74"/>
      <c r="U1060" s="74"/>
      <c r="V1060" s="74"/>
      <c r="W1060" s="74"/>
      <c r="X1060" s="74"/>
      <c r="Y1060" s="272"/>
    </row>
    <row r="1061" spans="13:25" x14ac:dyDescent="0.25">
      <c r="M1061" s="109"/>
      <c r="N1061" s="109"/>
      <c r="P1061" s="274">
        <v>335</v>
      </c>
      <c r="Q1061" s="270"/>
      <c r="R1061" s="74"/>
      <c r="S1061" s="74"/>
      <c r="T1061" s="74"/>
      <c r="U1061" s="74"/>
      <c r="V1061" s="74"/>
      <c r="W1061" s="74"/>
      <c r="X1061" s="74"/>
      <c r="Y1061" s="272"/>
    </row>
    <row r="1062" spans="13:25" x14ac:dyDescent="0.25">
      <c r="M1062" s="109"/>
      <c r="N1062" s="109"/>
      <c r="P1062" s="274">
        <v>330</v>
      </c>
      <c r="Q1062" s="270"/>
      <c r="R1062" s="74"/>
      <c r="S1062" s="74"/>
      <c r="T1062" s="74"/>
      <c r="U1062" s="74"/>
      <c r="V1062" s="74"/>
      <c r="W1062" s="74"/>
      <c r="X1062" s="74"/>
      <c r="Y1062" s="272"/>
    </row>
    <row r="1063" spans="13:25" x14ac:dyDescent="0.25">
      <c r="M1063" s="109"/>
      <c r="N1063" s="109"/>
      <c r="P1063" s="274">
        <v>325</v>
      </c>
      <c r="Q1063" s="270"/>
      <c r="R1063" s="74"/>
      <c r="S1063" s="74"/>
      <c r="T1063" s="74"/>
      <c r="U1063" s="74"/>
      <c r="V1063" s="74"/>
      <c r="W1063" s="74"/>
      <c r="X1063" s="74"/>
      <c r="Y1063" s="272"/>
    </row>
    <row r="1064" spans="13:25" x14ac:dyDescent="0.25">
      <c r="M1064" s="109"/>
      <c r="N1064" s="109"/>
      <c r="P1064" s="274">
        <v>320</v>
      </c>
      <c r="Q1064" s="270"/>
      <c r="R1064" s="74"/>
      <c r="S1064" s="74"/>
      <c r="T1064" s="74"/>
      <c r="U1064" s="74"/>
      <c r="V1064" s="74"/>
      <c r="W1064" s="74"/>
      <c r="X1064" s="74"/>
      <c r="Y1064" s="272"/>
    </row>
    <row r="1065" spans="13:25" x14ac:dyDescent="0.25">
      <c r="M1065" s="109"/>
      <c r="N1065" s="109"/>
      <c r="P1065" s="274">
        <v>315</v>
      </c>
      <c r="Q1065" s="270"/>
      <c r="R1065" s="74"/>
      <c r="S1065" s="74"/>
      <c r="T1065" s="74"/>
      <c r="U1065" s="74"/>
      <c r="V1065" s="74"/>
      <c r="W1065" s="74"/>
      <c r="X1065" s="74"/>
      <c r="Y1065" s="272"/>
    </row>
    <row r="1066" spans="13:25" x14ac:dyDescent="0.25">
      <c r="M1066" s="109"/>
      <c r="N1066" s="109"/>
      <c r="P1066" s="274">
        <v>310</v>
      </c>
      <c r="Q1066" s="270"/>
      <c r="R1066" s="74"/>
      <c r="S1066" s="74"/>
      <c r="T1066" s="74"/>
      <c r="U1066" s="74"/>
      <c r="V1066" s="74"/>
      <c r="W1066" s="74"/>
      <c r="X1066" s="74"/>
      <c r="Y1066" s="272"/>
    </row>
    <row r="1067" spans="13:25" x14ac:dyDescent="0.25">
      <c r="M1067" s="109"/>
      <c r="N1067" s="109"/>
      <c r="P1067" s="274">
        <v>305</v>
      </c>
      <c r="Q1067" s="270"/>
      <c r="R1067" s="74"/>
      <c r="S1067" s="74"/>
      <c r="T1067" s="74"/>
      <c r="U1067" s="74"/>
      <c r="V1067" s="74"/>
      <c r="W1067" s="74"/>
      <c r="X1067" s="74"/>
      <c r="Y1067" s="272"/>
    </row>
    <row r="1068" spans="13:25" x14ac:dyDescent="0.25">
      <c r="M1068" s="109"/>
      <c r="N1068" s="109"/>
      <c r="P1068" s="274">
        <v>300</v>
      </c>
      <c r="Q1068" s="270"/>
      <c r="R1068" s="74"/>
      <c r="S1068" s="74"/>
      <c r="T1068" s="74"/>
      <c r="U1068" s="74"/>
      <c r="V1068" s="74"/>
      <c r="W1068" s="74"/>
      <c r="X1068" s="74"/>
      <c r="Y1068" s="272"/>
    </row>
    <row r="1069" spans="13:25" x14ac:dyDescent="0.25">
      <c r="M1069" s="109"/>
      <c r="N1069" s="109"/>
      <c r="P1069" s="274">
        <v>295</v>
      </c>
      <c r="Q1069" s="270"/>
      <c r="R1069" s="74"/>
      <c r="S1069" s="74"/>
      <c r="T1069" s="74"/>
      <c r="U1069" s="74"/>
      <c r="V1069" s="74"/>
      <c r="W1069" s="74"/>
      <c r="X1069" s="74"/>
      <c r="Y1069" s="272"/>
    </row>
    <row r="1070" spans="13:25" x14ac:dyDescent="0.25">
      <c r="M1070" s="109"/>
      <c r="N1070" s="109"/>
      <c r="P1070" s="274">
        <v>290</v>
      </c>
      <c r="Q1070" s="270"/>
      <c r="R1070" s="74"/>
      <c r="S1070" s="74"/>
      <c r="T1070" s="74"/>
      <c r="U1070" s="74"/>
      <c r="V1070" s="74"/>
      <c r="W1070" s="74"/>
      <c r="X1070" s="74"/>
      <c r="Y1070" s="272"/>
    </row>
    <row r="1071" spans="13:25" x14ac:dyDescent="0.25">
      <c r="M1071" s="109"/>
      <c r="N1071" s="109"/>
      <c r="P1071" s="274">
        <v>285</v>
      </c>
      <c r="Q1071" s="270"/>
      <c r="R1071" s="74"/>
      <c r="S1071" s="74"/>
      <c r="T1071" s="74"/>
      <c r="U1071" s="74"/>
      <c r="V1071" s="74"/>
      <c r="W1071" s="74"/>
      <c r="X1071" s="74"/>
      <c r="Y1071" s="272"/>
    </row>
    <row r="1072" spans="13:25" x14ac:dyDescent="0.25">
      <c r="M1072" s="109"/>
      <c r="N1072" s="109"/>
      <c r="P1072" s="274">
        <v>280</v>
      </c>
      <c r="Q1072" s="270"/>
      <c r="R1072" s="74"/>
      <c r="S1072" s="74"/>
      <c r="T1072" s="74"/>
      <c r="U1072" s="74"/>
      <c r="V1072" s="74"/>
      <c r="W1072" s="74"/>
      <c r="X1072" s="74"/>
      <c r="Y1072" s="272"/>
    </row>
    <row r="1073" spans="13:25" x14ac:dyDescent="0.25">
      <c r="M1073" s="109"/>
      <c r="N1073" s="109"/>
      <c r="P1073" s="274">
        <v>275</v>
      </c>
      <c r="Q1073" s="270"/>
      <c r="R1073" s="74"/>
      <c r="S1073" s="74"/>
      <c r="T1073" s="74"/>
      <c r="U1073" s="74"/>
      <c r="V1073" s="74"/>
      <c r="W1073" s="74"/>
      <c r="X1073" s="74"/>
      <c r="Y1073" s="272"/>
    </row>
    <row r="1074" spans="13:25" x14ac:dyDescent="0.25">
      <c r="M1074" s="109"/>
      <c r="N1074" s="109"/>
      <c r="P1074" s="274">
        <v>270</v>
      </c>
      <c r="Q1074" s="270"/>
      <c r="R1074" s="74"/>
      <c r="S1074" s="74"/>
      <c r="T1074" s="74"/>
      <c r="U1074" s="74"/>
      <c r="V1074" s="74"/>
      <c r="W1074" s="74"/>
      <c r="X1074" s="74"/>
      <c r="Y1074" s="272"/>
    </row>
    <row r="1075" spans="13:25" x14ac:dyDescent="0.25">
      <c r="M1075" s="109"/>
      <c r="N1075" s="109"/>
      <c r="P1075" s="274">
        <v>265</v>
      </c>
      <c r="Q1075" s="270"/>
      <c r="R1075" s="74"/>
      <c r="S1075" s="74"/>
      <c r="T1075" s="74"/>
      <c r="U1075" s="74"/>
      <c r="V1075" s="74"/>
      <c r="W1075" s="74"/>
      <c r="X1075" s="74"/>
      <c r="Y1075" s="272"/>
    </row>
    <row r="1076" spans="13:25" x14ac:dyDescent="0.25">
      <c r="M1076" s="109"/>
      <c r="N1076" s="109"/>
      <c r="P1076" s="274">
        <v>260</v>
      </c>
      <c r="Q1076" s="270"/>
      <c r="R1076" s="74"/>
      <c r="S1076" s="74"/>
      <c r="T1076" s="74"/>
      <c r="U1076" s="74"/>
      <c r="V1076" s="74"/>
      <c r="W1076" s="74"/>
      <c r="X1076" s="74"/>
      <c r="Y1076" s="272"/>
    </row>
    <row r="1077" spans="13:25" x14ac:dyDescent="0.25">
      <c r="M1077" s="109"/>
      <c r="N1077" s="109"/>
      <c r="P1077" s="274">
        <v>255</v>
      </c>
      <c r="Q1077" s="270"/>
      <c r="R1077" s="74"/>
      <c r="S1077" s="74"/>
      <c r="T1077" s="74"/>
      <c r="U1077" s="74"/>
      <c r="V1077" s="74"/>
      <c r="W1077" s="74"/>
      <c r="X1077" s="74"/>
      <c r="Y1077" s="272"/>
    </row>
    <row r="1078" spans="13:25" ht="13" thickBot="1" x14ac:dyDescent="0.3">
      <c r="M1078" s="34"/>
      <c r="N1078" s="34"/>
      <c r="P1078" s="275">
        <v>250</v>
      </c>
      <c r="Q1078" s="276"/>
      <c r="R1078" s="277"/>
      <c r="S1078" s="277"/>
      <c r="T1078" s="277"/>
      <c r="U1078" s="277"/>
      <c r="V1078" s="277"/>
      <c r="W1078" s="277"/>
      <c r="X1078" s="277"/>
      <c r="Y1078" s="278"/>
    </row>
  </sheetData>
  <conditionalFormatting sqref="C28:C30 E74:G74">
    <cfRule type="cellIs" dxfId="2" priority="3" stopIfTrue="1" operator="lessThan">
      <formula>0.01</formula>
    </cfRule>
  </conditionalFormatting>
  <conditionalFormatting sqref="D28:D30 D34:D36">
    <cfRule type="cellIs" dxfId="1" priority="2" stopIfTrue="1" operator="greaterThan">
      <formula>0.01</formula>
    </cfRule>
  </conditionalFormatting>
  <conditionalFormatting sqref="D52">
    <cfRule type="cellIs" dxfId="0" priority="1" stopIfTrue="1" operator="notEqual">
      <formula>$C$52</formula>
    </cfRule>
  </conditionalFormatting>
  <dataValidations disablePrompts="1" count="2">
    <dataValidation type="list" errorStyle="warning" showErrorMessage="1" errorTitle="Referenzspektrum " error="Referenzspektrum ungültig" sqref="C23" xr:uid="{824F06C8-9F0E-4A61-A834-A02639E1481F}">
      <formula1>$O$52:$O$59</formula1>
    </dataValidation>
    <dataValidation type="list" errorStyle="warning" showErrorMessage="1" errorTitle="Referenzspektrum " error="Referenzspektrum ungültig" sqref="C52" xr:uid="{3F54054C-F8AB-4156-8520-8EEA0D20525E}">
      <formula1>$O$52:$O$58</formula1>
    </dataValidation>
  </dataValidations>
  <pageMargins left="0.75" right="0.75" top="1" bottom="1" header="0.4921259845" footer="0.4921259845"/>
  <pageSetup paperSize="9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29</vt:i4>
      </vt:variant>
    </vt:vector>
  </HeadingPairs>
  <TitlesOfParts>
    <vt:vector size="31" baseType="lpstr">
      <vt:lpstr>data</vt:lpstr>
      <vt:lpstr>refl5</vt:lpstr>
      <vt:lpstr>refl5!_Mes1</vt:lpstr>
      <vt:lpstr>refl5!_Mes2</vt:lpstr>
      <vt:lpstr>refl5!_Mes3</vt:lpstr>
      <vt:lpstr>refl5!_Mes4</vt:lpstr>
      <vt:lpstr>refl5!_Mes5</vt:lpstr>
      <vt:lpstr>refl5!Form1</vt:lpstr>
      <vt:lpstr>refl5!Form2</vt:lpstr>
      <vt:lpstr>refl5!MesB1</vt:lpstr>
      <vt:lpstr>refl5!MesB2</vt:lpstr>
      <vt:lpstr>refl5!Mesn1</vt:lpstr>
      <vt:lpstr>refl5!Mesn2</vt:lpstr>
      <vt:lpstr>refl5!Mesn3</vt:lpstr>
      <vt:lpstr>refl5!Mesn4</vt:lpstr>
      <vt:lpstr>refl5!Mesn5</vt:lpstr>
      <vt:lpstr>refl5!Mesna1</vt:lpstr>
      <vt:lpstr>refl5!Mesna2</vt:lpstr>
      <vt:lpstr>refl5!Mesna3</vt:lpstr>
      <vt:lpstr>refl5!Mesna4</vt:lpstr>
      <vt:lpstr>refl5!Mesna5</vt:lpstr>
      <vt:lpstr>refl5!MesnaB1</vt:lpstr>
      <vt:lpstr>refl5!MesnaB2</vt:lpstr>
      <vt:lpstr>refl5!RefListeStart</vt:lpstr>
      <vt:lpstr>refl5!refname</vt:lpstr>
      <vt:lpstr>refl5!RefSpec</vt:lpstr>
      <vt:lpstr>refl5!Sol_E891</vt:lpstr>
      <vt:lpstr>refl5!Sol_G173b</vt:lpstr>
      <vt:lpstr>refl5!Sol_G173g</vt:lpstr>
      <vt:lpstr>refl5!Sol_I9050</vt:lpstr>
      <vt:lpstr>refl5!SpecAverage</vt:lpstr>
    </vt:vector>
  </TitlesOfParts>
  <Company>DLR e.V.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Campos Guzman, Laura</dc:creator>
  <cp:lastModifiedBy>Campos Guzman, Laura</cp:lastModifiedBy>
  <dcterms:created xsi:type="dcterms:W3CDTF">2025-02-14T12:57:15Z</dcterms:created>
  <dcterms:modified xsi:type="dcterms:W3CDTF">2026-02-19T09:05:32Z</dcterms:modified>
</cp:coreProperties>
</file>