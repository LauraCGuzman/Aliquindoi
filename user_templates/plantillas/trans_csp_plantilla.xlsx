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mp_la\PycharmProjects\OPAC\user_templates\plantillas\"/>
    </mc:Choice>
  </mc:AlternateContent>
  <xr:revisionPtr revIDLastSave="0" documentId="13_ncr:1_{0732D5A3-152B-466A-89BE-D85D344EF527}" xr6:coauthVersionLast="47" xr6:coauthVersionMax="47" xr10:uidLastSave="{00000000-0000-0000-0000-000000000000}"/>
  <bookViews>
    <workbookView xWindow="-110" yWindow="-110" windowWidth="25820" windowHeight="13900" xr2:uid="{352B3CEF-6C72-407C-AC77-187DFA15AE7F}"/>
  </bookViews>
  <sheets>
    <sheet name="trans" sheetId="1" r:id="rId1"/>
  </sheets>
  <externalReferences>
    <externalReference r:id="rId2"/>
  </externalReferences>
  <definedNames>
    <definedName name="__Mes1">#REF!</definedName>
    <definedName name="__Mes2">#REF!</definedName>
    <definedName name="__Mes3">#REF!</definedName>
    <definedName name="__Mes4">#REF!</definedName>
    <definedName name="__Mes5">#REF!</definedName>
    <definedName name="_Mes1" localSheetId="0">trans!$T$538</definedName>
    <definedName name="_Mes2" localSheetId="0">trans!$U$538</definedName>
    <definedName name="_Mes3" localSheetId="0">trans!$V$538</definedName>
    <definedName name="_Mes4" localSheetId="0">trans!$W$538</definedName>
    <definedName name="_Mes5" localSheetId="0">trans!$AB$540</definedName>
    <definedName name="Fabricante">#REF!</definedName>
    <definedName name="Form1" localSheetId="0">trans!$B$1:$C$47</definedName>
    <definedName name="Form1">#REF!</definedName>
    <definedName name="Form2" localSheetId="0">trans!$M$1:$S$50</definedName>
    <definedName name="Form2">#REF!</definedName>
    <definedName name="MesB1" localSheetId="0">trans!$P$538</definedName>
    <definedName name="MesB1">#REF!</definedName>
    <definedName name="MesB2" localSheetId="0">trans!$Q$538</definedName>
    <definedName name="MesB2">#REF!</definedName>
    <definedName name="Mesn1" localSheetId="0">trans!$C$59</definedName>
    <definedName name="Mesn1">#REF!</definedName>
    <definedName name="Mesn2" localSheetId="0">trans!$C$60</definedName>
    <definedName name="Mesn2">#REF!</definedName>
    <definedName name="Mesn3" localSheetId="0">trans!$C$61</definedName>
    <definedName name="Mesn3">#REF!</definedName>
    <definedName name="Mesn4" localSheetId="0">trans!$C$62</definedName>
    <definedName name="Mesn4">#REF!</definedName>
    <definedName name="Mesn5" localSheetId="0">trans!$C$63</definedName>
    <definedName name="Mesn5">#REF!</definedName>
    <definedName name="Mesna1" localSheetId="0">trans!$T$539</definedName>
    <definedName name="Mesna1">#REF!</definedName>
    <definedName name="Mesna2" localSheetId="0">trans!$U$539</definedName>
    <definedName name="Mesna2">#REF!</definedName>
    <definedName name="Mesna3" localSheetId="0">trans!$V$539</definedName>
    <definedName name="Mesna3">#REF!</definedName>
    <definedName name="Mesna4" localSheetId="0">trans!$W$539</definedName>
    <definedName name="Mesna4">#REF!</definedName>
    <definedName name="Mesna5" localSheetId="0">trans!$AB$541</definedName>
    <definedName name="Mesna5">#REF!</definedName>
    <definedName name="MesnaB1" localSheetId="0">trans!$P$539</definedName>
    <definedName name="MesnaB1">#REF!</definedName>
    <definedName name="MesnaB2" localSheetId="0">trans!$Q$539</definedName>
    <definedName name="MesnaB2">#REF!</definedName>
    <definedName name="RefListeStart" localSheetId="0">trans!$AU$76:$AZ$76</definedName>
    <definedName name="RefListeStart">#REF!</definedName>
    <definedName name="refname" localSheetId="0">trans!$C$52</definedName>
    <definedName name="refname">#REF!</definedName>
    <definedName name="RefSpec" localSheetId="0">trans!$R$76</definedName>
    <definedName name="RefSpec">#REF!</definedName>
    <definedName name="Size">#REF!</definedName>
    <definedName name="Sol_E891" localSheetId="0">trans!$AP$80:$AP$519</definedName>
    <definedName name="Sol_E891">#REF!</definedName>
    <definedName name="Sol_G173b" localSheetId="0">trans!$AS$80:$AS$524</definedName>
    <definedName name="Sol_G173b">#REF!</definedName>
    <definedName name="Sol_G173g" localSheetId="0">trans!$AR$80:$AR$524</definedName>
    <definedName name="Sol_G173g">#REF!</definedName>
    <definedName name="Sol_I9050" localSheetId="0">trans!$AQ$80:$AQ$519</definedName>
    <definedName name="Sol_I9050">#REF!</definedName>
    <definedName name="SpecAverage" localSheetId="0">trans!$AL$79:$AL$530</definedName>
    <definedName name="SpecAverage">#REF!</definedName>
    <definedName name="TestSite">#REF!</definedName>
    <definedName name="Thickne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78" i="1" l="1"/>
  <c r="AA78" i="1"/>
  <c r="Z78" i="1"/>
  <c r="Y78" i="1"/>
  <c r="X78" i="1"/>
  <c r="W78" i="1"/>
  <c r="V78" i="1"/>
  <c r="U78" i="1"/>
  <c r="T78" i="1"/>
  <c r="AH236" i="1"/>
  <c r="AH331" i="1"/>
  <c r="AH340" i="1"/>
  <c r="AH341" i="1"/>
  <c r="AH353" i="1"/>
  <c r="AH525" i="1"/>
  <c r="AH528" i="1"/>
  <c r="AI81" i="1"/>
  <c r="AJ96" i="1"/>
  <c r="AI98" i="1"/>
  <c r="AJ119" i="1"/>
  <c r="AJ152" i="1"/>
  <c r="AI154" i="1"/>
  <c r="AI166" i="1"/>
  <c r="AJ169" i="1"/>
  <c r="AI217" i="1"/>
  <c r="AJ239" i="1"/>
  <c r="AJ251" i="1"/>
  <c r="AJ252" i="1"/>
  <c r="AI271" i="1"/>
  <c r="AI310" i="1"/>
  <c r="AJ313" i="1"/>
  <c r="AJ317" i="1"/>
  <c r="AJ318" i="1"/>
  <c r="AJ363" i="1"/>
  <c r="AI384" i="1"/>
  <c r="AI395" i="1"/>
  <c r="AI400" i="1"/>
  <c r="AI416" i="1"/>
  <c r="AI429" i="1"/>
  <c r="AJ430" i="1"/>
  <c r="AI435" i="1"/>
  <c r="AJ440" i="1"/>
  <c r="AJ452" i="1"/>
  <c r="AJ462" i="1"/>
  <c r="AJ479" i="1"/>
  <c r="AJ480" i="1"/>
  <c r="AI484" i="1"/>
  <c r="AJ490" i="1"/>
  <c r="AJ491" i="1"/>
  <c r="AJ492" i="1"/>
  <c r="AJ501" i="1"/>
  <c r="AI62" i="1"/>
  <c r="AJ62" i="1"/>
  <c r="AK62" i="1"/>
  <c r="AG62" i="1"/>
  <c r="AH62" i="1"/>
  <c r="AA81" i="1" a="1"/>
  <c r="AA81" i="1"/>
  <c r="AJ81" i="1"/>
  <c r="AA82" i="1" a="1"/>
  <c r="AA82" i="1"/>
  <c r="AJ82" i="1"/>
  <c r="AA83" i="1" a="1"/>
  <c r="AA83" i="1"/>
  <c r="AJ83" i="1"/>
  <c r="AA84" i="1" a="1"/>
  <c r="AA84" i="1"/>
  <c r="AJ84" i="1"/>
  <c r="AA85" i="1" a="1"/>
  <c r="AA85" i="1"/>
  <c r="AJ85" i="1"/>
  <c r="AA86" i="1" a="1"/>
  <c r="AA86" i="1"/>
  <c r="AJ86" i="1"/>
  <c r="AA87" i="1" a="1"/>
  <c r="AA87" i="1"/>
  <c r="AJ87" i="1"/>
  <c r="AA88" i="1" a="1"/>
  <c r="AA88" i="1"/>
  <c r="AJ88" i="1"/>
  <c r="AA89" i="1" a="1"/>
  <c r="AA89" i="1"/>
  <c r="AJ89" i="1"/>
  <c r="AA90" i="1" a="1"/>
  <c r="AA90" i="1"/>
  <c r="AJ90" i="1"/>
  <c r="AA91" i="1" a="1"/>
  <c r="AA91" i="1"/>
  <c r="AJ91" i="1"/>
  <c r="AA92" i="1" a="1"/>
  <c r="AA92" i="1"/>
  <c r="AJ92" i="1"/>
  <c r="AA93" i="1" a="1"/>
  <c r="AA93" i="1"/>
  <c r="AJ93" i="1"/>
  <c r="AA94" i="1" a="1"/>
  <c r="AA94" i="1"/>
  <c r="AJ94" i="1"/>
  <c r="AA95" i="1" a="1"/>
  <c r="AA95" i="1"/>
  <c r="AJ95" i="1"/>
  <c r="AA96" i="1" a="1"/>
  <c r="AA96" i="1"/>
  <c r="AA97" i="1" a="1"/>
  <c r="AA97" i="1"/>
  <c r="AJ97" i="1"/>
  <c r="AA98" i="1" a="1"/>
  <c r="AA98" i="1"/>
  <c r="AJ98" i="1"/>
  <c r="AA99" i="1" a="1"/>
  <c r="AA99" i="1"/>
  <c r="AJ99" i="1"/>
  <c r="AA100" i="1" a="1"/>
  <c r="AA100" i="1"/>
  <c r="AJ100" i="1"/>
  <c r="AA101" i="1" a="1"/>
  <c r="AA101" i="1"/>
  <c r="AJ101" i="1"/>
  <c r="AA102" i="1" a="1"/>
  <c r="AA102" i="1"/>
  <c r="AJ102" i="1"/>
  <c r="AA103" i="1" a="1"/>
  <c r="AA103" i="1"/>
  <c r="AJ103" i="1"/>
  <c r="AA104" i="1" a="1"/>
  <c r="AA104" i="1"/>
  <c r="AJ104" i="1"/>
  <c r="AA105" i="1" a="1"/>
  <c r="AA105" i="1"/>
  <c r="AJ105" i="1"/>
  <c r="AA106" i="1" a="1"/>
  <c r="AA106" i="1"/>
  <c r="AJ106" i="1"/>
  <c r="AA107" i="1" a="1"/>
  <c r="AA107" i="1"/>
  <c r="AJ107" i="1"/>
  <c r="AA108" i="1" a="1"/>
  <c r="AA108" i="1"/>
  <c r="AJ108" i="1"/>
  <c r="AA109" i="1" a="1"/>
  <c r="AA109" i="1"/>
  <c r="AJ109" i="1"/>
  <c r="AA110" i="1" a="1"/>
  <c r="AA110" i="1"/>
  <c r="AJ110" i="1"/>
  <c r="AA111" i="1" a="1"/>
  <c r="AA111" i="1"/>
  <c r="AJ111" i="1"/>
  <c r="AA112" i="1" a="1"/>
  <c r="AA112" i="1"/>
  <c r="AJ112" i="1"/>
  <c r="AA113" i="1" a="1"/>
  <c r="AA113" i="1"/>
  <c r="AJ113" i="1"/>
  <c r="AA114" i="1" a="1"/>
  <c r="AA114" i="1"/>
  <c r="AJ114" i="1"/>
  <c r="AA115" i="1" a="1"/>
  <c r="AA115" i="1"/>
  <c r="AJ115" i="1"/>
  <c r="AA116" i="1" a="1"/>
  <c r="AA116" i="1"/>
  <c r="AJ116" i="1"/>
  <c r="AA117" i="1" a="1"/>
  <c r="AA117" i="1"/>
  <c r="AJ117" i="1"/>
  <c r="AA118" i="1" a="1"/>
  <c r="AA118" i="1"/>
  <c r="AJ118" i="1"/>
  <c r="AA119" i="1" a="1"/>
  <c r="AA119" i="1"/>
  <c r="AA120" i="1" a="1"/>
  <c r="AA120" i="1"/>
  <c r="AJ120" i="1"/>
  <c r="AA121" i="1" a="1"/>
  <c r="AA121" i="1"/>
  <c r="AJ121" i="1"/>
  <c r="AA122" i="1" a="1"/>
  <c r="AA122" i="1"/>
  <c r="AJ122" i="1"/>
  <c r="AA123" i="1" a="1"/>
  <c r="AA123" i="1"/>
  <c r="AJ123" i="1"/>
  <c r="AA124" i="1" a="1"/>
  <c r="AA124" i="1"/>
  <c r="AJ124" i="1"/>
  <c r="AA125" i="1" a="1"/>
  <c r="AA125" i="1"/>
  <c r="AJ125" i="1"/>
  <c r="AA126" i="1" a="1"/>
  <c r="AA126" i="1"/>
  <c r="AJ126" i="1"/>
  <c r="AA127" i="1" a="1"/>
  <c r="AA127" i="1"/>
  <c r="AJ127" i="1"/>
  <c r="AA128" i="1" a="1"/>
  <c r="AA128" i="1"/>
  <c r="AJ128" i="1"/>
  <c r="AA129" i="1" a="1"/>
  <c r="AA129" i="1"/>
  <c r="AJ129" i="1"/>
  <c r="AA130" i="1" a="1"/>
  <c r="AA130" i="1"/>
  <c r="AJ130" i="1"/>
  <c r="AA131" i="1" a="1"/>
  <c r="AA131" i="1"/>
  <c r="AJ131" i="1"/>
  <c r="AA132" i="1" a="1"/>
  <c r="AA132" i="1"/>
  <c r="AJ132" i="1"/>
  <c r="AA133" i="1" a="1"/>
  <c r="AA133" i="1"/>
  <c r="AJ133" i="1"/>
  <c r="AA134" i="1" a="1"/>
  <c r="AA134" i="1"/>
  <c r="AJ134" i="1"/>
  <c r="AA135" i="1" a="1"/>
  <c r="AA135" i="1"/>
  <c r="AJ135" i="1"/>
  <c r="AA136" i="1" a="1"/>
  <c r="AA136" i="1"/>
  <c r="AJ136" i="1"/>
  <c r="AA137" i="1" a="1"/>
  <c r="AA137" i="1"/>
  <c r="AJ137" i="1"/>
  <c r="AA138" i="1" a="1"/>
  <c r="AA138" i="1"/>
  <c r="AJ138" i="1"/>
  <c r="AA139" i="1" a="1"/>
  <c r="AA139" i="1"/>
  <c r="AJ139" i="1"/>
  <c r="AA140" i="1" a="1"/>
  <c r="AA140" i="1"/>
  <c r="AJ140" i="1"/>
  <c r="AA141" i="1" a="1"/>
  <c r="AA141" i="1"/>
  <c r="AJ141" i="1"/>
  <c r="AA142" i="1" a="1"/>
  <c r="AA142" i="1"/>
  <c r="AJ142" i="1"/>
  <c r="AA143" i="1" a="1"/>
  <c r="AA143" i="1"/>
  <c r="AJ143" i="1"/>
  <c r="AA144" i="1" a="1"/>
  <c r="AA144" i="1"/>
  <c r="AJ144" i="1"/>
  <c r="AA145" i="1" a="1"/>
  <c r="AA145" i="1"/>
  <c r="AJ145" i="1"/>
  <c r="AA146" i="1" a="1"/>
  <c r="AA146" i="1"/>
  <c r="AJ146" i="1"/>
  <c r="AA147" i="1" a="1"/>
  <c r="AA147" i="1"/>
  <c r="AJ147" i="1"/>
  <c r="AA148" i="1" a="1"/>
  <c r="AA148" i="1"/>
  <c r="AJ148" i="1"/>
  <c r="AA149" i="1" a="1"/>
  <c r="AA149" i="1"/>
  <c r="AJ149" i="1"/>
  <c r="AA150" i="1" a="1"/>
  <c r="AA150" i="1"/>
  <c r="AJ150" i="1"/>
  <c r="AA151" i="1" a="1"/>
  <c r="AA151" i="1"/>
  <c r="AJ151" i="1"/>
  <c r="AA152" i="1" a="1"/>
  <c r="AA152" i="1"/>
  <c r="AA153" i="1" a="1"/>
  <c r="AA153" i="1"/>
  <c r="AJ153" i="1"/>
  <c r="AA154" i="1" a="1"/>
  <c r="AA154" i="1"/>
  <c r="AJ154" i="1"/>
  <c r="AA155" i="1" a="1"/>
  <c r="AA155" i="1"/>
  <c r="AJ155" i="1"/>
  <c r="AA156" i="1" a="1"/>
  <c r="AA156" i="1"/>
  <c r="AJ156" i="1"/>
  <c r="AA157" i="1" a="1"/>
  <c r="AA157" i="1"/>
  <c r="AJ157" i="1"/>
  <c r="AA158" i="1" a="1"/>
  <c r="AA158" i="1"/>
  <c r="AJ158" i="1"/>
  <c r="AA159" i="1" a="1"/>
  <c r="AA159" i="1"/>
  <c r="AJ159" i="1"/>
  <c r="AA160" i="1" a="1"/>
  <c r="AA160" i="1"/>
  <c r="AJ160" i="1"/>
  <c r="AA161" i="1" a="1"/>
  <c r="AA161" i="1"/>
  <c r="AJ161" i="1"/>
  <c r="AA162" i="1" a="1"/>
  <c r="AA162" i="1"/>
  <c r="AJ162" i="1"/>
  <c r="AA163" i="1" a="1"/>
  <c r="AA163" i="1"/>
  <c r="AJ163" i="1"/>
  <c r="AA164" i="1" a="1"/>
  <c r="AA164" i="1"/>
  <c r="AJ164" i="1"/>
  <c r="AA165" i="1" a="1"/>
  <c r="AA165" i="1"/>
  <c r="AJ165" i="1"/>
  <c r="AA166" i="1" a="1"/>
  <c r="AA166" i="1"/>
  <c r="AJ166" i="1"/>
  <c r="AA167" i="1" a="1"/>
  <c r="AA167" i="1"/>
  <c r="AJ167" i="1"/>
  <c r="AA168" i="1" a="1"/>
  <c r="AA168" i="1"/>
  <c r="AJ168" i="1"/>
  <c r="AA169" i="1" a="1"/>
  <c r="AA169" i="1"/>
  <c r="AA170" i="1" a="1"/>
  <c r="AA170" i="1"/>
  <c r="AJ170" i="1"/>
  <c r="AA171" i="1" a="1"/>
  <c r="AA171" i="1"/>
  <c r="AJ171" i="1"/>
  <c r="AA172" i="1" a="1"/>
  <c r="AA172" i="1"/>
  <c r="AJ172" i="1"/>
  <c r="AA173" i="1" a="1"/>
  <c r="AA173" i="1"/>
  <c r="AJ173" i="1"/>
  <c r="AA174" i="1" a="1"/>
  <c r="AA174" i="1"/>
  <c r="AJ174" i="1"/>
  <c r="AA175" i="1" a="1"/>
  <c r="AA175" i="1"/>
  <c r="AJ175" i="1"/>
  <c r="AA176" i="1" a="1"/>
  <c r="AA176" i="1"/>
  <c r="AJ176" i="1"/>
  <c r="AA177" i="1" a="1"/>
  <c r="AA177" i="1"/>
  <c r="AJ177" i="1"/>
  <c r="AA178" i="1" a="1"/>
  <c r="AA178" i="1"/>
  <c r="AJ178" i="1"/>
  <c r="AA179" i="1" a="1"/>
  <c r="AA179" i="1"/>
  <c r="AJ179" i="1"/>
  <c r="AA180" i="1" a="1"/>
  <c r="AA180" i="1"/>
  <c r="AJ180" i="1"/>
  <c r="AA181" i="1" a="1"/>
  <c r="AA181" i="1"/>
  <c r="AJ181" i="1"/>
  <c r="AA182" i="1" a="1"/>
  <c r="AA182" i="1"/>
  <c r="AJ182" i="1"/>
  <c r="AA183" i="1" a="1"/>
  <c r="AA183" i="1"/>
  <c r="AJ183" i="1"/>
  <c r="AA184" i="1" a="1"/>
  <c r="AA184" i="1"/>
  <c r="AJ184" i="1"/>
  <c r="AA185" i="1" a="1"/>
  <c r="AA185" i="1"/>
  <c r="AJ185" i="1"/>
  <c r="AA186" i="1" a="1"/>
  <c r="AA186" i="1"/>
  <c r="AJ186" i="1"/>
  <c r="AA187" i="1" a="1"/>
  <c r="AA187" i="1"/>
  <c r="AJ187" i="1"/>
  <c r="AA188" i="1" a="1"/>
  <c r="AA188" i="1"/>
  <c r="AJ188" i="1"/>
  <c r="AA189" i="1" a="1"/>
  <c r="AA189" i="1"/>
  <c r="AJ189" i="1"/>
  <c r="AA190" i="1" a="1"/>
  <c r="AA190" i="1"/>
  <c r="AJ190" i="1"/>
  <c r="AA191" i="1" a="1"/>
  <c r="AA191" i="1"/>
  <c r="AJ191" i="1"/>
  <c r="AA192" i="1" a="1"/>
  <c r="AA192" i="1"/>
  <c r="AJ192" i="1"/>
  <c r="AA193" i="1" a="1"/>
  <c r="AA193" i="1"/>
  <c r="AJ193" i="1"/>
  <c r="AA194" i="1" a="1"/>
  <c r="AA194" i="1"/>
  <c r="AJ194" i="1"/>
  <c r="AA195" i="1" a="1"/>
  <c r="AA195" i="1"/>
  <c r="AJ195" i="1"/>
  <c r="AA196" i="1" a="1"/>
  <c r="AA196" i="1"/>
  <c r="AJ196" i="1"/>
  <c r="AA197" i="1" a="1"/>
  <c r="AA197" i="1"/>
  <c r="AJ197" i="1"/>
  <c r="AA198" i="1" a="1"/>
  <c r="AA198" i="1"/>
  <c r="AJ198" i="1"/>
  <c r="AA199" i="1" a="1"/>
  <c r="AA199" i="1"/>
  <c r="AJ199" i="1"/>
  <c r="AA200" i="1" a="1"/>
  <c r="AA200" i="1"/>
  <c r="AJ200" i="1"/>
  <c r="AA201" i="1" a="1"/>
  <c r="AA201" i="1"/>
  <c r="AJ201" i="1"/>
  <c r="AA202" i="1" a="1"/>
  <c r="AA202" i="1"/>
  <c r="AJ202" i="1"/>
  <c r="AA203" i="1" a="1"/>
  <c r="AA203" i="1"/>
  <c r="AJ203" i="1"/>
  <c r="AA204" i="1" a="1"/>
  <c r="AA204" i="1"/>
  <c r="AJ204" i="1"/>
  <c r="AA205" i="1" a="1"/>
  <c r="AA205" i="1"/>
  <c r="AJ205" i="1"/>
  <c r="AA206" i="1" a="1"/>
  <c r="AA206" i="1"/>
  <c r="AJ206" i="1"/>
  <c r="AA207" i="1" a="1"/>
  <c r="AA207" i="1"/>
  <c r="AJ207" i="1"/>
  <c r="AA208" i="1" a="1"/>
  <c r="AA208" i="1"/>
  <c r="AJ208" i="1"/>
  <c r="AA209" i="1" a="1"/>
  <c r="AA209" i="1"/>
  <c r="AJ209" i="1"/>
  <c r="AA210" i="1" a="1"/>
  <c r="AA210" i="1"/>
  <c r="AJ210" i="1"/>
  <c r="AA211" i="1" a="1"/>
  <c r="AA211" i="1"/>
  <c r="AJ211" i="1"/>
  <c r="AA212" i="1" a="1"/>
  <c r="AA212" i="1"/>
  <c r="AJ212" i="1"/>
  <c r="AA213" i="1" a="1"/>
  <c r="AA213" i="1"/>
  <c r="AJ213" i="1"/>
  <c r="AA214" i="1" a="1"/>
  <c r="AA214" i="1"/>
  <c r="AJ214" i="1"/>
  <c r="AA215" i="1" a="1"/>
  <c r="AA215" i="1"/>
  <c r="AJ215" i="1"/>
  <c r="AA216" i="1" a="1"/>
  <c r="AA216" i="1"/>
  <c r="AJ216" i="1"/>
  <c r="AA217" i="1" a="1"/>
  <c r="AA217" i="1"/>
  <c r="AJ217" i="1"/>
  <c r="AA218" i="1" a="1"/>
  <c r="AA218" i="1"/>
  <c r="AJ218" i="1"/>
  <c r="AA219" i="1" a="1"/>
  <c r="AA219" i="1"/>
  <c r="AJ219" i="1"/>
  <c r="AA220" i="1" a="1"/>
  <c r="AA220" i="1"/>
  <c r="AJ220" i="1"/>
  <c r="AA221" i="1" a="1"/>
  <c r="AA221" i="1"/>
  <c r="AJ221" i="1"/>
  <c r="AA222" i="1" a="1"/>
  <c r="AA222" i="1"/>
  <c r="AJ222" i="1"/>
  <c r="AA223" i="1" a="1"/>
  <c r="AA223" i="1"/>
  <c r="AJ223" i="1"/>
  <c r="AA224" i="1" a="1"/>
  <c r="AA224" i="1"/>
  <c r="AJ224" i="1"/>
  <c r="AA225" i="1" a="1"/>
  <c r="AA225" i="1"/>
  <c r="AJ225" i="1"/>
  <c r="AA226" i="1" a="1"/>
  <c r="AA226" i="1"/>
  <c r="AJ226" i="1"/>
  <c r="AA227" i="1" a="1"/>
  <c r="AA227" i="1"/>
  <c r="AJ227" i="1"/>
  <c r="AA228" i="1" a="1"/>
  <c r="AA228" i="1"/>
  <c r="AJ228" i="1"/>
  <c r="AA229" i="1" a="1"/>
  <c r="AA229" i="1"/>
  <c r="AJ229" i="1"/>
  <c r="AA230" i="1" a="1"/>
  <c r="AA230" i="1"/>
  <c r="AJ230" i="1"/>
  <c r="AA231" i="1" a="1"/>
  <c r="AA231" i="1"/>
  <c r="AJ231" i="1"/>
  <c r="AA232" i="1" a="1"/>
  <c r="AA232" i="1"/>
  <c r="AJ232" i="1"/>
  <c r="AA233" i="1" a="1"/>
  <c r="AA233" i="1"/>
  <c r="AJ233" i="1"/>
  <c r="AA234" i="1" a="1"/>
  <c r="AA234" i="1"/>
  <c r="AJ234" i="1"/>
  <c r="AA235" i="1" a="1"/>
  <c r="AA235" i="1"/>
  <c r="AJ235" i="1"/>
  <c r="AA236" i="1" a="1"/>
  <c r="AA236" i="1"/>
  <c r="AJ236" i="1"/>
  <c r="AA237" i="1" a="1"/>
  <c r="AA237" i="1"/>
  <c r="AJ237" i="1"/>
  <c r="AA238" i="1" a="1"/>
  <c r="AA238" i="1"/>
  <c r="AJ238" i="1"/>
  <c r="AA239" i="1" a="1"/>
  <c r="AA239" i="1"/>
  <c r="AA240" i="1" a="1"/>
  <c r="AA240" i="1"/>
  <c r="AJ240" i="1"/>
  <c r="AA241" i="1" a="1"/>
  <c r="AA241" i="1"/>
  <c r="AJ241" i="1"/>
  <c r="AA242" i="1" a="1"/>
  <c r="AA242" i="1"/>
  <c r="AJ242" i="1"/>
  <c r="AA243" i="1" a="1"/>
  <c r="AA243" i="1"/>
  <c r="AJ243" i="1"/>
  <c r="AA244" i="1" a="1"/>
  <c r="AA244" i="1"/>
  <c r="AJ244" i="1"/>
  <c r="AA245" i="1" a="1"/>
  <c r="AA245" i="1"/>
  <c r="AJ245" i="1"/>
  <c r="AA246" i="1" a="1"/>
  <c r="AA246" i="1"/>
  <c r="AJ246" i="1"/>
  <c r="AA247" i="1" a="1"/>
  <c r="AA247" i="1"/>
  <c r="AJ247" i="1"/>
  <c r="AA248" i="1" a="1"/>
  <c r="AA248" i="1"/>
  <c r="AJ248" i="1"/>
  <c r="AA249" i="1" a="1"/>
  <c r="AA249" i="1"/>
  <c r="AJ249" i="1"/>
  <c r="AA250" i="1" a="1"/>
  <c r="AA250" i="1"/>
  <c r="AJ250" i="1"/>
  <c r="AA251" i="1" a="1"/>
  <c r="AA251" i="1"/>
  <c r="AA252" i="1" a="1"/>
  <c r="AA252" i="1"/>
  <c r="AA253" i="1" a="1"/>
  <c r="AA253" i="1"/>
  <c r="AJ253" i="1"/>
  <c r="AA254" i="1" a="1"/>
  <c r="AA254" i="1"/>
  <c r="AJ254" i="1"/>
  <c r="AA255" i="1" a="1"/>
  <c r="AA255" i="1"/>
  <c r="AJ255" i="1"/>
  <c r="AA256" i="1" a="1"/>
  <c r="AA256" i="1"/>
  <c r="AJ256" i="1"/>
  <c r="AA257" i="1" a="1"/>
  <c r="AA257" i="1"/>
  <c r="AJ257" i="1"/>
  <c r="AA258" i="1" a="1"/>
  <c r="AA258" i="1"/>
  <c r="AJ258" i="1"/>
  <c r="AA259" i="1" a="1"/>
  <c r="AA259" i="1"/>
  <c r="AJ259" i="1"/>
  <c r="AA260" i="1" a="1"/>
  <c r="AA260" i="1"/>
  <c r="AJ260" i="1"/>
  <c r="AA261" i="1" a="1"/>
  <c r="AA261" i="1"/>
  <c r="AJ261" i="1"/>
  <c r="AA262" i="1" a="1"/>
  <c r="AA262" i="1"/>
  <c r="AJ262" i="1"/>
  <c r="AA263" i="1" a="1"/>
  <c r="AA263" i="1"/>
  <c r="AJ263" i="1"/>
  <c r="AA264" i="1" a="1"/>
  <c r="AA264" i="1"/>
  <c r="AJ264" i="1"/>
  <c r="AA265" i="1" a="1"/>
  <c r="AA265" i="1"/>
  <c r="AJ265" i="1"/>
  <c r="AA266" i="1" a="1"/>
  <c r="AA266" i="1"/>
  <c r="AJ266" i="1"/>
  <c r="AA267" i="1" a="1"/>
  <c r="AA267" i="1"/>
  <c r="AJ267" i="1"/>
  <c r="AA268" i="1" a="1"/>
  <c r="AA268" i="1"/>
  <c r="AJ268" i="1"/>
  <c r="AA269" i="1" a="1"/>
  <c r="AA269" i="1"/>
  <c r="AJ269" i="1"/>
  <c r="AA270" i="1" a="1"/>
  <c r="AA270" i="1"/>
  <c r="AJ270" i="1"/>
  <c r="AA271" i="1" a="1"/>
  <c r="AA271" i="1"/>
  <c r="AJ271" i="1"/>
  <c r="AA272" i="1" a="1"/>
  <c r="AA272" i="1"/>
  <c r="AJ272" i="1"/>
  <c r="AA273" i="1" a="1"/>
  <c r="AA273" i="1"/>
  <c r="AJ273" i="1"/>
  <c r="AA274" i="1" a="1"/>
  <c r="AA274" i="1"/>
  <c r="AJ274" i="1"/>
  <c r="AA275" i="1" a="1"/>
  <c r="AA275" i="1"/>
  <c r="AJ275" i="1"/>
  <c r="AA276" i="1" a="1"/>
  <c r="AA276" i="1"/>
  <c r="AJ276" i="1"/>
  <c r="AA277" i="1" a="1"/>
  <c r="AA277" i="1"/>
  <c r="AJ277" i="1"/>
  <c r="AA278" i="1" a="1"/>
  <c r="AA278" i="1"/>
  <c r="AJ278" i="1"/>
  <c r="AA279" i="1" a="1"/>
  <c r="AA279" i="1"/>
  <c r="AJ279" i="1"/>
  <c r="AA280" i="1" a="1"/>
  <c r="AA280" i="1"/>
  <c r="AJ280" i="1"/>
  <c r="AA281" i="1" a="1"/>
  <c r="AA281" i="1"/>
  <c r="AJ281" i="1"/>
  <c r="AA282" i="1" a="1"/>
  <c r="AA282" i="1"/>
  <c r="AJ282" i="1"/>
  <c r="AA283" i="1" a="1"/>
  <c r="AA283" i="1"/>
  <c r="AJ283" i="1"/>
  <c r="AA284" i="1" a="1"/>
  <c r="AA284" i="1"/>
  <c r="AJ284" i="1"/>
  <c r="AA285" i="1" a="1"/>
  <c r="AA285" i="1"/>
  <c r="AJ285" i="1"/>
  <c r="AA286" i="1" a="1"/>
  <c r="AA286" i="1"/>
  <c r="AJ286" i="1"/>
  <c r="AA287" i="1" a="1"/>
  <c r="AA287" i="1"/>
  <c r="AJ287" i="1"/>
  <c r="AA288" i="1" a="1"/>
  <c r="AA288" i="1"/>
  <c r="AJ288" i="1"/>
  <c r="AA289" i="1" a="1"/>
  <c r="AA289" i="1"/>
  <c r="AJ289" i="1"/>
  <c r="AA290" i="1" a="1"/>
  <c r="AA290" i="1"/>
  <c r="AJ290" i="1"/>
  <c r="AA291" i="1" a="1"/>
  <c r="AA291" i="1"/>
  <c r="AJ291" i="1"/>
  <c r="AA292" i="1" a="1"/>
  <c r="AA292" i="1"/>
  <c r="AJ292" i="1"/>
  <c r="AA293" i="1" a="1"/>
  <c r="AA293" i="1"/>
  <c r="AJ293" i="1"/>
  <c r="AA294" i="1" a="1"/>
  <c r="AA294" i="1"/>
  <c r="AJ294" i="1"/>
  <c r="AA295" i="1" a="1"/>
  <c r="AA295" i="1"/>
  <c r="AJ295" i="1"/>
  <c r="AA296" i="1" a="1"/>
  <c r="AA296" i="1"/>
  <c r="AJ296" i="1"/>
  <c r="AA297" i="1" a="1"/>
  <c r="AA297" i="1"/>
  <c r="AJ297" i="1"/>
  <c r="AA298" i="1" a="1"/>
  <c r="AA298" i="1"/>
  <c r="AJ298" i="1"/>
  <c r="AA299" i="1" a="1"/>
  <c r="AA299" i="1"/>
  <c r="AJ299" i="1"/>
  <c r="AA300" i="1" a="1"/>
  <c r="AA300" i="1"/>
  <c r="AJ300" i="1"/>
  <c r="AA301" i="1" a="1"/>
  <c r="AA301" i="1"/>
  <c r="AJ301" i="1"/>
  <c r="AA302" i="1" a="1"/>
  <c r="AA302" i="1"/>
  <c r="AJ302" i="1"/>
  <c r="AA303" i="1" a="1"/>
  <c r="AA303" i="1"/>
  <c r="AJ303" i="1"/>
  <c r="AA304" i="1" a="1"/>
  <c r="AA304" i="1"/>
  <c r="AJ304" i="1"/>
  <c r="AA305" i="1" a="1"/>
  <c r="AA305" i="1"/>
  <c r="AJ305" i="1"/>
  <c r="AA306" i="1" a="1"/>
  <c r="AA306" i="1"/>
  <c r="AJ306" i="1"/>
  <c r="AA307" i="1" a="1"/>
  <c r="AA307" i="1"/>
  <c r="AJ307" i="1"/>
  <c r="AA308" i="1" a="1"/>
  <c r="AA308" i="1"/>
  <c r="AJ308" i="1"/>
  <c r="AA309" i="1" a="1"/>
  <c r="AA309" i="1"/>
  <c r="AJ309" i="1"/>
  <c r="AA310" i="1" a="1"/>
  <c r="AA310" i="1"/>
  <c r="AJ310" i="1"/>
  <c r="AA311" i="1" a="1"/>
  <c r="AA311" i="1"/>
  <c r="AJ311" i="1"/>
  <c r="AA312" i="1" a="1"/>
  <c r="AA312" i="1"/>
  <c r="AJ312" i="1"/>
  <c r="AA313" i="1" a="1"/>
  <c r="AA313" i="1"/>
  <c r="AA314" i="1" a="1"/>
  <c r="AA314" i="1"/>
  <c r="AJ314" i="1"/>
  <c r="AA315" i="1" a="1"/>
  <c r="AA315" i="1"/>
  <c r="AJ315" i="1"/>
  <c r="AA316" i="1" a="1"/>
  <c r="AA316" i="1"/>
  <c r="AJ316" i="1"/>
  <c r="AA317" i="1" a="1"/>
  <c r="AA317" i="1"/>
  <c r="AA318" i="1" a="1"/>
  <c r="AA318" i="1"/>
  <c r="AA319" i="1" a="1"/>
  <c r="AA319" i="1"/>
  <c r="AJ319" i="1"/>
  <c r="AA320" i="1" a="1"/>
  <c r="AA320" i="1"/>
  <c r="AJ320" i="1"/>
  <c r="AA321" i="1" a="1"/>
  <c r="AA321" i="1"/>
  <c r="AJ321" i="1"/>
  <c r="AA322" i="1" a="1"/>
  <c r="AA322" i="1"/>
  <c r="AJ322" i="1"/>
  <c r="AA323" i="1" a="1"/>
  <c r="AA323" i="1"/>
  <c r="AJ323" i="1"/>
  <c r="AA324" i="1" a="1"/>
  <c r="AA324" i="1"/>
  <c r="AJ324" i="1"/>
  <c r="AA325" i="1" a="1"/>
  <c r="AA325" i="1"/>
  <c r="AJ325" i="1"/>
  <c r="AA326" i="1" a="1"/>
  <c r="AA326" i="1"/>
  <c r="AJ326" i="1"/>
  <c r="AA327" i="1" a="1"/>
  <c r="AA327" i="1"/>
  <c r="AJ327" i="1"/>
  <c r="AA328" i="1" a="1"/>
  <c r="AA328" i="1"/>
  <c r="AJ328" i="1"/>
  <c r="AA329" i="1" a="1"/>
  <c r="AA329" i="1"/>
  <c r="AJ329" i="1"/>
  <c r="AA330" i="1" a="1"/>
  <c r="AA330" i="1"/>
  <c r="AJ330" i="1"/>
  <c r="AA331" i="1" a="1"/>
  <c r="AA331" i="1"/>
  <c r="AJ331" i="1"/>
  <c r="AA332" i="1" a="1"/>
  <c r="AA332" i="1"/>
  <c r="AJ332" i="1"/>
  <c r="AA333" i="1" a="1"/>
  <c r="AA333" i="1"/>
  <c r="AJ333" i="1"/>
  <c r="AA334" i="1" a="1"/>
  <c r="AA334" i="1"/>
  <c r="AJ334" i="1"/>
  <c r="AA335" i="1" a="1"/>
  <c r="AA335" i="1"/>
  <c r="AJ335" i="1"/>
  <c r="AA336" i="1" a="1"/>
  <c r="AA336" i="1"/>
  <c r="AJ336" i="1"/>
  <c r="AA337" i="1" a="1"/>
  <c r="AA337" i="1"/>
  <c r="AJ337" i="1"/>
  <c r="AA338" i="1" a="1"/>
  <c r="AA338" i="1"/>
  <c r="AJ338" i="1"/>
  <c r="AA339" i="1" a="1"/>
  <c r="AA339" i="1"/>
  <c r="AJ339" i="1"/>
  <c r="AA340" i="1" a="1"/>
  <c r="AA340" i="1"/>
  <c r="AJ340" i="1"/>
  <c r="AA341" i="1" a="1"/>
  <c r="AA341" i="1"/>
  <c r="AJ341" i="1"/>
  <c r="AA342" i="1" a="1"/>
  <c r="AA342" i="1"/>
  <c r="AJ342" i="1"/>
  <c r="AA343" i="1" a="1"/>
  <c r="AA343" i="1"/>
  <c r="AJ343" i="1"/>
  <c r="AA344" i="1" a="1"/>
  <c r="AA344" i="1"/>
  <c r="AJ344" i="1"/>
  <c r="AA345" i="1" a="1"/>
  <c r="AA345" i="1"/>
  <c r="AJ345" i="1"/>
  <c r="AA346" i="1" a="1"/>
  <c r="AA346" i="1"/>
  <c r="AJ346" i="1"/>
  <c r="AA347" i="1" a="1"/>
  <c r="AA347" i="1"/>
  <c r="AJ347" i="1"/>
  <c r="AA348" i="1" a="1"/>
  <c r="AA348" i="1"/>
  <c r="AJ348" i="1"/>
  <c r="AA349" i="1" a="1"/>
  <c r="AA349" i="1"/>
  <c r="AJ349" i="1"/>
  <c r="AA350" i="1" a="1"/>
  <c r="AA350" i="1"/>
  <c r="AJ350" i="1"/>
  <c r="AA351" i="1" a="1"/>
  <c r="AA351" i="1"/>
  <c r="AJ351" i="1"/>
  <c r="AA352" i="1" a="1"/>
  <c r="AA352" i="1"/>
  <c r="AJ352" i="1"/>
  <c r="AA353" i="1" a="1"/>
  <c r="AA353" i="1"/>
  <c r="AJ353" i="1"/>
  <c r="AA354" i="1" a="1"/>
  <c r="AA354" i="1"/>
  <c r="AJ354" i="1"/>
  <c r="AA355" i="1" a="1"/>
  <c r="AA355" i="1"/>
  <c r="AJ355" i="1"/>
  <c r="AA356" i="1" a="1"/>
  <c r="AA356" i="1"/>
  <c r="AJ356" i="1"/>
  <c r="AA357" i="1" a="1"/>
  <c r="AA357" i="1"/>
  <c r="AJ357" i="1"/>
  <c r="AA358" i="1" a="1"/>
  <c r="AA358" i="1"/>
  <c r="AJ358" i="1"/>
  <c r="AA359" i="1" a="1"/>
  <c r="AA359" i="1"/>
  <c r="AJ359" i="1"/>
  <c r="AA360" i="1" a="1"/>
  <c r="AA360" i="1"/>
  <c r="AJ360" i="1"/>
  <c r="AA361" i="1" a="1"/>
  <c r="AA361" i="1"/>
  <c r="AJ361" i="1"/>
  <c r="AA362" i="1" a="1"/>
  <c r="AA362" i="1"/>
  <c r="AJ362" i="1"/>
  <c r="AA363" i="1" a="1"/>
  <c r="AA363" i="1"/>
  <c r="AA364" i="1" a="1"/>
  <c r="AA364" i="1"/>
  <c r="AJ364" i="1"/>
  <c r="AA365" i="1" a="1"/>
  <c r="AA365" i="1"/>
  <c r="AJ365" i="1"/>
  <c r="AA366" i="1" a="1"/>
  <c r="AA366" i="1"/>
  <c r="AJ366" i="1"/>
  <c r="AA367" i="1" a="1"/>
  <c r="AA367" i="1"/>
  <c r="AJ367" i="1"/>
  <c r="AA368" i="1" a="1"/>
  <c r="AA368" i="1"/>
  <c r="AJ368" i="1"/>
  <c r="AA369" i="1" a="1"/>
  <c r="AA369" i="1"/>
  <c r="AJ369" i="1"/>
  <c r="AA370" i="1" a="1"/>
  <c r="AA370" i="1"/>
  <c r="AJ370" i="1"/>
  <c r="AA371" i="1" a="1"/>
  <c r="AA371" i="1"/>
  <c r="AJ371" i="1"/>
  <c r="AA372" i="1" a="1"/>
  <c r="AA372" i="1"/>
  <c r="AJ372" i="1"/>
  <c r="AA373" i="1" a="1"/>
  <c r="AA373" i="1"/>
  <c r="AJ373" i="1"/>
  <c r="AA374" i="1" a="1"/>
  <c r="AA374" i="1"/>
  <c r="AJ374" i="1"/>
  <c r="AA375" i="1" a="1"/>
  <c r="AA375" i="1"/>
  <c r="AJ375" i="1"/>
  <c r="AA376" i="1" a="1"/>
  <c r="AA376" i="1"/>
  <c r="AJ376" i="1"/>
  <c r="AA377" i="1" a="1"/>
  <c r="AA377" i="1"/>
  <c r="AJ377" i="1"/>
  <c r="AA378" i="1" a="1"/>
  <c r="AA378" i="1"/>
  <c r="AJ378" i="1"/>
  <c r="AA379" i="1" a="1"/>
  <c r="AA379" i="1"/>
  <c r="AJ379" i="1"/>
  <c r="AA380" i="1" a="1"/>
  <c r="AA380" i="1"/>
  <c r="AJ380" i="1"/>
  <c r="AA381" i="1" a="1"/>
  <c r="AA381" i="1"/>
  <c r="AJ381" i="1"/>
  <c r="AA382" i="1" a="1"/>
  <c r="AA382" i="1"/>
  <c r="AJ382" i="1"/>
  <c r="AA383" i="1" a="1"/>
  <c r="AA383" i="1"/>
  <c r="AJ383" i="1"/>
  <c r="AA384" i="1" a="1"/>
  <c r="AA384" i="1"/>
  <c r="AJ384" i="1"/>
  <c r="AA385" i="1" a="1"/>
  <c r="AA385" i="1"/>
  <c r="AJ385" i="1"/>
  <c r="AA386" i="1" a="1"/>
  <c r="AA386" i="1"/>
  <c r="AJ386" i="1"/>
  <c r="AA387" i="1" a="1"/>
  <c r="AA387" i="1"/>
  <c r="AJ387" i="1"/>
  <c r="AA388" i="1" a="1"/>
  <c r="AA388" i="1"/>
  <c r="AJ388" i="1"/>
  <c r="AA389" i="1" a="1"/>
  <c r="AA389" i="1"/>
  <c r="AJ389" i="1"/>
  <c r="AA390" i="1" a="1"/>
  <c r="AA390" i="1"/>
  <c r="AJ390" i="1"/>
  <c r="AA391" i="1" a="1"/>
  <c r="AA391" i="1"/>
  <c r="AJ391" i="1"/>
  <c r="AA392" i="1" a="1"/>
  <c r="AA392" i="1"/>
  <c r="AJ392" i="1"/>
  <c r="AA393" i="1" a="1"/>
  <c r="AA393" i="1"/>
  <c r="AJ393" i="1"/>
  <c r="AA394" i="1" a="1"/>
  <c r="AA394" i="1"/>
  <c r="AJ394" i="1"/>
  <c r="AA395" i="1" a="1"/>
  <c r="AA395" i="1"/>
  <c r="AJ395" i="1"/>
  <c r="AA396" i="1" a="1"/>
  <c r="AA396" i="1"/>
  <c r="AJ396" i="1"/>
  <c r="AA397" i="1" a="1"/>
  <c r="AA397" i="1"/>
  <c r="AJ397" i="1"/>
  <c r="AA398" i="1" a="1"/>
  <c r="AA398" i="1"/>
  <c r="AJ398" i="1"/>
  <c r="AA399" i="1" a="1"/>
  <c r="AA399" i="1"/>
  <c r="AJ399" i="1"/>
  <c r="AA400" i="1" a="1"/>
  <c r="AA400" i="1"/>
  <c r="AJ400" i="1"/>
  <c r="AA401" i="1" a="1"/>
  <c r="AA401" i="1"/>
  <c r="AJ401" i="1"/>
  <c r="AA402" i="1" a="1"/>
  <c r="AA402" i="1"/>
  <c r="AJ402" i="1"/>
  <c r="AA403" i="1" a="1"/>
  <c r="AA403" i="1"/>
  <c r="AJ403" i="1"/>
  <c r="AA404" i="1" a="1"/>
  <c r="AA404" i="1"/>
  <c r="AJ404" i="1"/>
  <c r="AA405" i="1" a="1"/>
  <c r="AA405" i="1"/>
  <c r="AJ405" i="1"/>
  <c r="AA406" i="1" a="1"/>
  <c r="AA406" i="1"/>
  <c r="AJ406" i="1"/>
  <c r="AA407" i="1" a="1"/>
  <c r="AA407" i="1"/>
  <c r="AJ407" i="1"/>
  <c r="AA408" i="1" a="1"/>
  <c r="AA408" i="1"/>
  <c r="AJ408" i="1"/>
  <c r="AA409" i="1" a="1"/>
  <c r="AA409" i="1"/>
  <c r="AJ409" i="1"/>
  <c r="AA410" i="1" a="1"/>
  <c r="AA410" i="1"/>
  <c r="AJ410" i="1"/>
  <c r="AA411" i="1" a="1"/>
  <c r="AA411" i="1"/>
  <c r="AJ411" i="1"/>
  <c r="AA412" i="1" a="1"/>
  <c r="AA412" i="1"/>
  <c r="AJ412" i="1"/>
  <c r="AA413" i="1" a="1"/>
  <c r="AA413" i="1"/>
  <c r="AJ413" i="1"/>
  <c r="AA414" i="1" a="1"/>
  <c r="AA414" i="1"/>
  <c r="AJ414" i="1"/>
  <c r="AA415" i="1" a="1"/>
  <c r="AA415" i="1"/>
  <c r="AJ415" i="1"/>
  <c r="AA416" i="1" a="1"/>
  <c r="AA416" i="1"/>
  <c r="AJ416" i="1"/>
  <c r="AA417" i="1" a="1"/>
  <c r="AA417" i="1"/>
  <c r="AJ417" i="1"/>
  <c r="AA418" i="1" a="1"/>
  <c r="AA418" i="1"/>
  <c r="AJ418" i="1"/>
  <c r="AA419" i="1" a="1"/>
  <c r="AA419" i="1"/>
  <c r="AJ419" i="1"/>
  <c r="AA420" i="1" a="1"/>
  <c r="AA420" i="1"/>
  <c r="AJ420" i="1"/>
  <c r="AA421" i="1" a="1"/>
  <c r="AA421" i="1"/>
  <c r="AJ421" i="1"/>
  <c r="AA422" i="1" a="1"/>
  <c r="AA422" i="1"/>
  <c r="AJ422" i="1"/>
  <c r="AA423" i="1" a="1"/>
  <c r="AA423" i="1"/>
  <c r="AJ423" i="1"/>
  <c r="AA424" i="1" a="1"/>
  <c r="AA424" i="1"/>
  <c r="AJ424" i="1"/>
  <c r="AA425" i="1" a="1"/>
  <c r="AA425" i="1"/>
  <c r="AJ425" i="1"/>
  <c r="AA426" i="1" a="1"/>
  <c r="AA426" i="1"/>
  <c r="AJ426" i="1"/>
  <c r="AA427" i="1" a="1"/>
  <c r="AA427" i="1"/>
  <c r="AJ427" i="1"/>
  <c r="AA428" i="1" a="1"/>
  <c r="AA428" i="1"/>
  <c r="AJ428" i="1"/>
  <c r="AA429" i="1" a="1"/>
  <c r="AA429" i="1"/>
  <c r="AJ429" i="1"/>
  <c r="AA430" i="1" a="1"/>
  <c r="AA430" i="1"/>
  <c r="AA431" i="1" a="1"/>
  <c r="AA431" i="1"/>
  <c r="AJ431" i="1"/>
  <c r="AA432" i="1" a="1"/>
  <c r="AA432" i="1"/>
  <c r="AJ432" i="1"/>
  <c r="AA433" i="1" a="1"/>
  <c r="AA433" i="1"/>
  <c r="AJ433" i="1"/>
  <c r="AA434" i="1" a="1"/>
  <c r="AA434" i="1"/>
  <c r="AJ434" i="1"/>
  <c r="AA435" i="1" a="1"/>
  <c r="AA435" i="1"/>
  <c r="AJ435" i="1"/>
  <c r="AA436" i="1" a="1"/>
  <c r="AA436" i="1"/>
  <c r="AJ436" i="1"/>
  <c r="AA437" i="1" a="1"/>
  <c r="AA437" i="1"/>
  <c r="AJ437" i="1"/>
  <c r="AA438" i="1" a="1"/>
  <c r="AA438" i="1"/>
  <c r="AJ438" i="1"/>
  <c r="AA439" i="1" a="1"/>
  <c r="AA439" i="1"/>
  <c r="AJ439" i="1"/>
  <c r="AA440" i="1" a="1"/>
  <c r="AA440" i="1"/>
  <c r="AA441" i="1" a="1"/>
  <c r="AA441" i="1"/>
  <c r="AJ441" i="1"/>
  <c r="AA442" i="1" a="1"/>
  <c r="AA442" i="1"/>
  <c r="AJ442" i="1"/>
  <c r="AA443" i="1" a="1"/>
  <c r="AA443" i="1"/>
  <c r="AJ443" i="1"/>
  <c r="AA444" i="1" a="1"/>
  <c r="AA444" i="1"/>
  <c r="AJ444" i="1"/>
  <c r="AA445" i="1" a="1"/>
  <c r="AA445" i="1"/>
  <c r="AJ445" i="1"/>
  <c r="AA446" i="1" a="1"/>
  <c r="AA446" i="1"/>
  <c r="AJ446" i="1"/>
  <c r="AA447" i="1" a="1"/>
  <c r="AA447" i="1"/>
  <c r="AJ447" i="1"/>
  <c r="AA448" i="1" a="1"/>
  <c r="AA448" i="1"/>
  <c r="AJ448" i="1"/>
  <c r="AA449" i="1" a="1"/>
  <c r="AA449" i="1"/>
  <c r="AJ449" i="1"/>
  <c r="AA450" i="1" a="1"/>
  <c r="AA450" i="1"/>
  <c r="AJ450" i="1"/>
  <c r="AA451" i="1" a="1"/>
  <c r="AA451" i="1"/>
  <c r="AJ451" i="1"/>
  <c r="AA452" i="1" a="1"/>
  <c r="AA452" i="1"/>
  <c r="AA453" i="1" a="1"/>
  <c r="AA453" i="1"/>
  <c r="AJ453" i="1"/>
  <c r="AA454" i="1" a="1"/>
  <c r="AA454" i="1"/>
  <c r="AJ454" i="1"/>
  <c r="AA455" i="1" a="1"/>
  <c r="AA455" i="1"/>
  <c r="AJ455" i="1"/>
  <c r="AA456" i="1" a="1"/>
  <c r="AA456" i="1"/>
  <c r="AJ456" i="1"/>
  <c r="AA457" i="1" a="1"/>
  <c r="AA457" i="1"/>
  <c r="AJ457" i="1"/>
  <c r="AA458" i="1" a="1"/>
  <c r="AA458" i="1"/>
  <c r="AJ458" i="1"/>
  <c r="AA459" i="1" a="1"/>
  <c r="AA459" i="1"/>
  <c r="AJ459" i="1"/>
  <c r="AA460" i="1" a="1"/>
  <c r="AA460" i="1"/>
  <c r="AJ460" i="1"/>
  <c r="AA461" i="1" a="1"/>
  <c r="AA461" i="1"/>
  <c r="AJ461" i="1"/>
  <c r="AA462" i="1" a="1"/>
  <c r="AA462" i="1"/>
  <c r="AA463" i="1" a="1"/>
  <c r="AA463" i="1"/>
  <c r="AJ463" i="1"/>
  <c r="AA464" i="1" a="1"/>
  <c r="AA464" i="1"/>
  <c r="AJ464" i="1"/>
  <c r="AA465" i="1" a="1"/>
  <c r="AA465" i="1"/>
  <c r="AJ465" i="1"/>
  <c r="AA466" i="1" a="1"/>
  <c r="AA466" i="1"/>
  <c r="AJ466" i="1"/>
  <c r="AA467" i="1" a="1"/>
  <c r="AA467" i="1"/>
  <c r="AJ467" i="1"/>
  <c r="AA468" i="1" a="1"/>
  <c r="AA468" i="1"/>
  <c r="AJ468" i="1"/>
  <c r="AA469" i="1" a="1"/>
  <c r="AA469" i="1"/>
  <c r="AJ469" i="1"/>
  <c r="AA470" i="1" a="1"/>
  <c r="AA470" i="1"/>
  <c r="AJ470" i="1"/>
  <c r="AA471" i="1" a="1"/>
  <c r="AA471" i="1"/>
  <c r="AJ471" i="1"/>
  <c r="AA472" i="1" a="1"/>
  <c r="AA472" i="1"/>
  <c r="AJ472" i="1"/>
  <c r="AA473" i="1" a="1"/>
  <c r="AA473" i="1"/>
  <c r="AJ473" i="1"/>
  <c r="AA474" i="1" a="1"/>
  <c r="AA474" i="1"/>
  <c r="AJ474" i="1"/>
  <c r="AA475" i="1" a="1"/>
  <c r="AA475" i="1"/>
  <c r="AJ475" i="1"/>
  <c r="AA476" i="1" a="1"/>
  <c r="AA476" i="1"/>
  <c r="AJ476" i="1"/>
  <c r="AA477" i="1" a="1"/>
  <c r="AA477" i="1"/>
  <c r="AJ477" i="1"/>
  <c r="AA478" i="1" a="1"/>
  <c r="AA478" i="1"/>
  <c r="AJ478" i="1"/>
  <c r="AA479" i="1" a="1"/>
  <c r="AA479" i="1"/>
  <c r="AA480" i="1" a="1"/>
  <c r="AA480" i="1"/>
  <c r="AA481" i="1" a="1"/>
  <c r="AA481" i="1"/>
  <c r="AJ481" i="1"/>
  <c r="AA482" i="1" a="1"/>
  <c r="AA482" i="1"/>
  <c r="AJ482" i="1"/>
  <c r="AA483" i="1" a="1"/>
  <c r="AA483" i="1"/>
  <c r="AJ483" i="1"/>
  <c r="AA484" i="1" a="1"/>
  <c r="AA484" i="1"/>
  <c r="AJ484" i="1"/>
  <c r="AA485" i="1" a="1"/>
  <c r="AA485" i="1"/>
  <c r="AJ485" i="1"/>
  <c r="AA486" i="1" a="1"/>
  <c r="AA486" i="1"/>
  <c r="AJ486" i="1"/>
  <c r="AA487" i="1" a="1"/>
  <c r="AA487" i="1"/>
  <c r="AJ487" i="1"/>
  <c r="AA488" i="1" a="1"/>
  <c r="AA488" i="1"/>
  <c r="AJ488" i="1"/>
  <c r="AA489" i="1" a="1"/>
  <c r="AA489" i="1"/>
  <c r="AJ489" i="1"/>
  <c r="AA490" i="1" a="1"/>
  <c r="AA490" i="1"/>
  <c r="AA491" i="1" a="1"/>
  <c r="AA491" i="1"/>
  <c r="AA492" i="1" a="1"/>
  <c r="AA492" i="1"/>
  <c r="AA493" i="1" a="1"/>
  <c r="AA493" i="1"/>
  <c r="AJ493" i="1"/>
  <c r="AA494" i="1" a="1"/>
  <c r="AA494" i="1"/>
  <c r="AJ494" i="1"/>
  <c r="AA495" i="1" a="1"/>
  <c r="AA495" i="1"/>
  <c r="AJ495" i="1"/>
  <c r="AA496" i="1" a="1"/>
  <c r="AA496" i="1"/>
  <c r="AJ496" i="1"/>
  <c r="AA497" i="1" a="1"/>
  <c r="AA497" i="1"/>
  <c r="AJ497" i="1"/>
  <c r="AA498" i="1" a="1"/>
  <c r="AA498" i="1"/>
  <c r="AJ498" i="1"/>
  <c r="AA499" i="1" a="1"/>
  <c r="AA499" i="1"/>
  <c r="AJ499" i="1"/>
  <c r="AA500" i="1" a="1"/>
  <c r="AA500" i="1"/>
  <c r="AJ500" i="1"/>
  <c r="AA501" i="1" a="1"/>
  <c r="AA501" i="1"/>
  <c r="AA502" i="1" a="1"/>
  <c r="AA502" i="1"/>
  <c r="AJ502" i="1"/>
  <c r="AA503" i="1" a="1"/>
  <c r="AA503" i="1"/>
  <c r="AJ503" i="1"/>
  <c r="AA504" i="1" a="1"/>
  <c r="AA504" i="1"/>
  <c r="AJ504" i="1"/>
  <c r="AA505" i="1" a="1"/>
  <c r="AA505" i="1"/>
  <c r="AJ505" i="1"/>
  <c r="AA506" i="1" a="1"/>
  <c r="AA506" i="1"/>
  <c r="AJ506" i="1"/>
  <c r="AA507" i="1" a="1"/>
  <c r="AA507" i="1"/>
  <c r="AJ507" i="1"/>
  <c r="AA508" i="1" a="1"/>
  <c r="AA508" i="1"/>
  <c r="AJ508" i="1"/>
  <c r="AA509" i="1" a="1"/>
  <c r="AA509" i="1"/>
  <c r="AJ509" i="1"/>
  <c r="AA510" i="1" a="1"/>
  <c r="AA510" i="1"/>
  <c r="AJ510" i="1"/>
  <c r="AA511" i="1" a="1"/>
  <c r="AA511" i="1"/>
  <c r="AJ511" i="1"/>
  <c r="AA512" i="1" a="1"/>
  <c r="AA512" i="1"/>
  <c r="AJ512" i="1"/>
  <c r="AA513" i="1" a="1"/>
  <c r="AA513" i="1"/>
  <c r="AJ513" i="1"/>
  <c r="AA514" i="1" a="1"/>
  <c r="AA514" i="1"/>
  <c r="AJ514" i="1"/>
  <c r="AA515" i="1" a="1"/>
  <c r="AA515" i="1"/>
  <c r="AJ515" i="1"/>
  <c r="AA516" i="1" a="1"/>
  <c r="AA516" i="1"/>
  <c r="AJ516" i="1"/>
  <c r="AA517" i="1" a="1"/>
  <c r="AA517" i="1"/>
  <c r="AJ517" i="1"/>
  <c r="AA518" i="1" a="1"/>
  <c r="AA518" i="1"/>
  <c r="AJ518" i="1"/>
  <c r="AA519" i="1" a="1"/>
  <c r="AA519" i="1"/>
  <c r="AJ519" i="1"/>
  <c r="AA520" i="1" a="1"/>
  <c r="AA520" i="1"/>
  <c r="AJ520" i="1"/>
  <c r="AA521" i="1" a="1"/>
  <c r="AA521" i="1"/>
  <c r="AJ521" i="1"/>
  <c r="AA522" i="1" a="1"/>
  <c r="AA522" i="1"/>
  <c r="AJ522" i="1"/>
  <c r="AA523" i="1" a="1"/>
  <c r="AA523" i="1"/>
  <c r="AJ523" i="1"/>
  <c r="AA524" i="1" a="1"/>
  <c r="AA524" i="1"/>
  <c r="AJ524" i="1"/>
  <c r="AA525" i="1" a="1"/>
  <c r="AA525" i="1"/>
  <c r="AJ525" i="1"/>
  <c r="AA526" i="1" a="1"/>
  <c r="AA526" i="1"/>
  <c r="AJ526" i="1"/>
  <c r="AA527" i="1" a="1"/>
  <c r="AA527" i="1"/>
  <c r="AJ527" i="1"/>
  <c r="AA528" i="1" a="1"/>
  <c r="AA528" i="1"/>
  <c r="AJ528" i="1"/>
  <c r="AA529" i="1" a="1"/>
  <c r="AA529" i="1"/>
  <c r="AJ529" i="1"/>
  <c r="AA530" i="1" a="1"/>
  <c r="AA530" i="1"/>
  <c r="AJ530" i="1"/>
  <c r="Z81" i="1" a="1"/>
  <c r="Z81" i="1"/>
  <c r="Z82" i="1" a="1"/>
  <c r="Z82" i="1"/>
  <c r="AI82" i="1"/>
  <c r="Z83" i="1" a="1"/>
  <c r="Z83" i="1"/>
  <c r="AI83" i="1"/>
  <c r="Z84" i="1" a="1"/>
  <c r="Z84" i="1"/>
  <c r="AI84" i="1"/>
  <c r="Z85" i="1" a="1"/>
  <c r="Z85" i="1"/>
  <c r="AI85" i="1"/>
  <c r="Z86" i="1" a="1"/>
  <c r="Z86" i="1"/>
  <c r="AI86" i="1"/>
  <c r="Z87" i="1" a="1"/>
  <c r="Z87" i="1"/>
  <c r="AI87" i="1"/>
  <c r="Z88" i="1" a="1"/>
  <c r="Z88" i="1"/>
  <c r="AI88" i="1"/>
  <c r="Z89" i="1" a="1"/>
  <c r="Z89" i="1"/>
  <c r="AI89" i="1"/>
  <c r="Z90" i="1" a="1"/>
  <c r="Z90" i="1"/>
  <c r="AI90" i="1"/>
  <c r="Z91" i="1" a="1"/>
  <c r="Z91" i="1"/>
  <c r="AI91" i="1"/>
  <c r="Z92" i="1" a="1"/>
  <c r="Z92" i="1"/>
  <c r="AI92" i="1"/>
  <c r="Z93" i="1" a="1"/>
  <c r="Z93" i="1"/>
  <c r="AI93" i="1"/>
  <c r="Z94" i="1" a="1"/>
  <c r="Z94" i="1"/>
  <c r="AI94" i="1"/>
  <c r="Z95" i="1" a="1"/>
  <c r="Z95" i="1"/>
  <c r="AI95" i="1"/>
  <c r="Z96" i="1" a="1"/>
  <c r="Z96" i="1"/>
  <c r="AI96" i="1"/>
  <c r="Z97" i="1" a="1"/>
  <c r="Z97" i="1"/>
  <c r="AI97" i="1"/>
  <c r="Z98" i="1" a="1"/>
  <c r="Z98" i="1"/>
  <c r="Z99" i="1" a="1"/>
  <c r="Z99" i="1"/>
  <c r="AI99" i="1"/>
  <c r="Z100" i="1" a="1"/>
  <c r="Z100" i="1"/>
  <c r="AI100" i="1"/>
  <c r="Z101" i="1" a="1"/>
  <c r="Z101" i="1"/>
  <c r="AI101" i="1"/>
  <c r="Z102" i="1" a="1"/>
  <c r="Z102" i="1"/>
  <c r="AI102" i="1"/>
  <c r="Z103" i="1" a="1"/>
  <c r="Z103" i="1"/>
  <c r="AI103" i="1"/>
  <c r="Z104" i="1" a="1"/>
  <c r="Z104" i="1"/>
  <c r="AI104" i="1"/>
  <c r="Z105" i="1" a="1"/>
  <c r="Z105" i="1"/>
  <c r="AI105" i="1"/>
  <c r="Z106" i="1" a="1"/>
  <c r="Z106" i="1"/>
  <c r="AI106" i="1"/>
  <c r="Z107" i="1" a="1"/>
  <c r="Z107" i="1"/>
  <c r="AI107" i="1"/>
  <c r="Z108" i="1" a="1"/>
  <c r="Z108" i="1"/>
  <c r="AI108" i="1"/>
  <c r="Z109" i="1" a="1"/>
  <c r="Z109" i="1"/>
  <c r="AI109" i="1"/>
  <c r="Z110" i="1" a="1"/>
  <c r="Z110" i="1"/>
  <c r="AI110" i="1"/>
  <c r="Z111" i="1" a="1"/>
  <c r="Z111" i="1"/>
  <c r="AI111" i="1"/>
  <c r="Z112" i="1" a="1"/>
  <c r="Z112" i="1"/>
  <c r="AI112" i="1"/>
  <c r="Z113" i="1" a="1"/>
  <c r="Z113" i="1"/>
  <c r="AI113" i="1"/>
  <c r="Z114" i="1" a="1"/>
  <c r="Z114" i="1"/>
  <c r="AI114" i="1"/>
  <c r="Z115" i="1" a="1"/>
  <c r="Z115" i="1"/>
  <c r="AI115" i="1"/>
  <c r="Z116" i="1" a="1"/>
  <c r="Z116" i="1"/>
  <c r="AI116" i="1"/>
  <c r="Z117" i="1" a="1"/>
  <c r="Z117" i="1"/>
  <c r="AI117" i="1"/>
  <c r="Z118" i="1" a="1"/>
  <c r="Z118" i="1"/>
  <c r="AI118" i="1"/>
  <c r="Z119" i="1" a="1"/>
  <c r="Z119" i="1"/>
  <c r="AI119" i="1"/>
  <c r="Z120" i="1" a="1"/>
  <c r="Z120" i="1"/>
  <c r="AI120" i="1"/>
  <c r="Z121" i="1" a="1"/>
  <c r="Z121" i="1"/>
  <c r="AI121" i="1"/>
  <c r="Z122" i="1" a="1"/>
  <c r="Z122" i="1"/>
  <c r="AI122" i="1"/>
  <c r="Z123" i="1" a="1"/>
  <c r="Z123" i="1"/>
  <c r="AI123" i="1"/>
  <c r="Z124" i="1" a="1"/>
  <c r="Z124" i="1"/>
  <c r="AI124" i="1"/>
  <c r="Z125" i="1" a="1"/>
  <c r="Z125" i="1"/>
  <c r="AI125" i="1"/>
  <c r="Z126" i="1" a="1"/>
  <c r="Z126" i="1"/>
  <c r="AI126" i="1"/>
  <c r="Z127" i="1" a="1"/>
  <c r="Z127" i="1"/>
  <c r="AI127" i="1"/>
  <c r="Z128" i="1" a="1"/>
  <c r="Z128" i="1"/>
  <c r="AI128" i="1"/>
  <c r="Z129" i="1" a="1"/>
  <c r="Z129" i="1"/>
  <c r="AI129" i="1"/>
  <c r="Z130" i="1" a="1"/>
  <c r="Z130" i="1"/>
  <c r="AI130" i="1"/>
  <c r="Z131" i="1" a="1"/>
  <c r="Z131" i="1"/>
  <c r="AI131" i="1"/>
  <c r="Z132" i="1" a="1"/>
  <c r="Z132" i="1"/>
  <c r="AI132" i="1"/>
  <c r="Z133" i="1" a="1"/>
  <c r="Z133" i="1"/>
  <c r="AI133" i="1"/>
  <c r="Z134" i="1" a="1"/>
  <c r="Z134" i="1"/>
  <c r="AI134" i="1"/>
  <c r="Z135" i="1" a="1"/>
  <c r="Z135" i="1"/>
  <c r="AI135" i="1"/>
  <c r="Z136" i="1" a="1"/>
  <c r="Z136" i="1"/>
  <c r="AI136" i="1"/>
  <c r="Z137" i="1" a="1"/>
  <c r="Z137" i="1"/>
  <c r="AI137" i="1"/>
  <c r="Z138" i="1" a="1"/>
  <c r="Z138" i="1"/>
  <c r="AI138" i="1"/>
  <c r="Z139" i="1" a="1"/>
  <c r="Z139" i="1"/>
  <c r="AI139" i="1"/>
  <c r="Z140" i="1" a="1"/>
  <c r="Z140" i="1"/>
  <c r="AI140" i="1"/>
  <c r="Z141" i="1" a="1"/>
  <c r="Z141" i="1"/>
  <c r="AI141" i="1"/>
  <c r="Z142" i="1" a="1"/>
  <c r="Z142" i="1"/>
  <c r="AI142" i="1"/>
  <c r="Z143" i="1" a="1"/>
  <c r="Z143" i="1"/>
  <c r="AI143" i="1"/>
  <c r="Z144" i="1" a="1"/>
  <c r="Z144" i="1"/>
  <c r="AI144" i="1"/>
  <c r="Z145" i="1" a="1"/>
  <c r="Z145" i="1"/>
  <c r="AI145" i="1"/>
  <c r="Z146" i="1" a="1"/>
  <c r="Z146" i="1"/>
  <c r="AI146" i="1"/>
  <c r="Z147" i="1" a="1"/>
  <c r="Z147" i="1"/>
  <c r="AI147" i="1"/>
  <c r="Z148" i="1" a="1"/>
  <c r="Z148" i="1"/>
  <c r="AI148" i="1"/>
  <c r="Z149" i="1" a="1"/>
  <c r="Z149" i="1"/>
  <c r="AI149" i="1"/>
  <c r="Z150" i="1" a="1"/>
  <c r="Z150" i="1"/>
  <c r="AI150" i="1"/>
  <c r="Z151" i="1" a="1"/>
  <c r="Z151" i="1"/>
  <c r="AI151" i="1"/>
  <c r="Z152" i="1" a="1"/>
  <c r="Z152" i="1"/>
  <c r="AI152" i="1"/>
  <c r="Z153" i="1" a="1"/>
  <c r="Z153" i="1"/>
  <c r="AI153" i="1"/>
  <c r="Z154" i="1" a="1"/>
  <c r="Z154" i="1"/>
  <c r="Z155" i="1" a="1"/>
  <c r="Z155" i="1"/>
  <c r="AI155" i="1"/>
  <c r="Z156" i="1" a="1"/>
  <c r="Z156" i="1"/>
  <c r="AI156" i="1"/>
  <c r="Z157" i="1" a="1"/>
  <c r="Z157" i="1"/>
  <c r="AI157" i="1"/>
  <c r="Z158" i="1" a="1"/>
  <c r="Z158" i="1"/>
  <c r="AI158" i="1"/>
  <c r="Z159" i="1" a="1"/>
  <c r="Z159" i="1"/>
  <c r="AI159" i="1"/>
  <c r="Z160" i="1" a="1"/>
  <c r="Z160" i="1"/>
  <c r="AI160" i="1"/>
  <c r="Z161" i="1" a="1"/>
  <c r="Z161" i="1"/>
  <c r="AI161" i="1"/>
  <c r="Z162" i="1" a="1"/>
  <c r="Z162" i="1"/>
  <c r="AI162" i="1"/>
  <c r="Z163" i="1" a="1"/>
  <c r="Z163" i="1"/>
  <c r="AI163" i="1"/>
  <c r="Z164" i="1" a="1"/>
  <c r="Z164" i="1"/>
  <c r="AI164" i="1"/>
  <c r="Z165" i="1" a="1"/>
  <c r="Z165" i="1"/>
  <c r="AI165" i="1"/>
  <c r="Z166" i="1" a="1"/>
  <c r="Z166" i="1"/>
  <c r="Z167" i="1" a="1"/>
  <c r="Z167" i="1"/>
  <c r="AI167" i="1"/>
  <c r="Z168" i="1" a="1"/>
  <c r="Z168" i="1"/>
  <c r="AI168" i="1"/>
  <c r="Z169" i="1" a="1"/>
  <c r="Z169" i="1"/>
  <c r="AI169" i="1"/>
  <c r="Z170" i="1" a="1"/>
  <c r="Z170" i="1"/>
  <c r="AI170" i="1"/>
  <c r="Z171" i="1" a="1"/>
  <c r="Z171" i="1"/>
  <c r="AI171" i="1"/>
  <c r="Z172" i="1" a="1"/>
  <c r="Z172" i="1"/>
  <c r="AI172" i="1"/>
  <c r="Z173" i="1" a="1"/>
  <c r="Z173" i="1"/>
  <c r="AI173" i="1"/>
  <c r="Z174" i="1" a="1"/>
  <c r="Z174" i="1"/>
  <c r="AI174" i="1"/>
  <c r="Z175" i="1" a="1"/>
  <c r="Z175" i="1"/>
  <c r="AI175" i="1"/>
  <c r="Z176" i="1" a="1"/>
  <c r="Z176" i="1"/>
  <c r="AI176" i="1"/>
  <c r="Z177" i="1" a="1"/>
  <c r="Z177" i="1"/>
  <c r="AI177" i="1"/>
  <c r="Z178" i="1" a="1"/>
  <c r="Z178" i="1"/>
  <c r="AI178" i="1"/>
  <c r="Z179" i="1" a="1"/>
  <c r="Z179" i="1"/>
  <c r="AI179" i="1"/>
  <c r="Z180" i="1" a="1"/>
  <c r="Z180" i="1"/>
  <c r="AI180" i="1"/>
  <c r="Z181" i="1" a="1"/>
  <c r="Z181" i="1"/>
  <c r="AI181" i="1"/>
  <c r="Z182" i="1" a="1"/>
  <c r="Z182" i="1"/>
  <c r="AI182" i="1"/>
  <c r="Z183" i="1" a="1"/>
  <c r="Z183" i="1"/>
  <c r="AI183" i="1"/>
  <c r="Z184" i="1" a="1"/>
  <c r="Z184" i="1"/>
  <c r="AI184" i="1"/>
  <c r="Z185" i="1" a="1"/>
  <c r="Z185" i="1"/>
  <c r="AI185" i="1"/>
  <c r="Z186" i="1" a="1"/>
  <c r="Z186" i="1"/>
  <c r="AI186" i="1"/>
  <c r="Z187" i="1" a="1"/>
  <c r="Z187" i="1"/>
  <c r="AI187" i="1"/>
  <c r="Z188" i="1" a="1"/>
  <c r="Z188" i="1"/>
  <c r="AI188" i="1"/>
  <c r="Z189" i="1" a="1"/>
  <c r="Z189" i="1"/>
  <c r="AI189" i="1"/>
  <c r="Z190" i="1" a="1"/>
  <c r="Z190" i="1"/>
  <c r="AI190" i="1"/>
  <c r="Z191" i="1" a="1"/>
  <c r="Z191" i="1"/>
  <c r="AI191" i="1"/>
  <c r="Z192" i="1" a="1"/>
  <c r="Z192" i="1"/>
  <c r="AI192" i="1"/>
  <c r="Z193" i="1" a="1"/>
  <c r="Z193" i="1"/>
  <c r="AI193" i="1"/>
  <c r="Z194" i="1" a="1"/>
  <c r="Z194" i="1"/>
  <c r="AI194" i="1"/>
  <c r="Z195" i="1" a="1"/>
  <c r="Z195" i="1"/>
  <c r="AI195" i="1"/>
  <c r="Z196" i="1" a="1"/>
  <c r="Z196" i="1"/>
  <c r="AI196" i="1"/>
  <c r="Z197" i="1" a="1"/>
  <c r="Z197" i="1"/>
  <c r="AI197" i="1"/>
  <c r="Z198" i="1" a="1"/>
  <c r="Z198" i="1"/>
  <c r="AI198" i="1"/>
  <c r="Z199" i="1" a="1"/>
  <c r="Z199" i="1"/>
  <c r="AI199" i="1"/>
  <c r="Z200" i="1" a="1"/>
  <c r="Z200" i="1"/>
  <c r="AI200" i="1"/>
  <c r="Z201" i="1" a="1"/>
  <c r="Z201" i="1"/>
  <c r="AI201" i="1"/>
  <c r="Z202" i="1" a="1"/>
  <c r="Z202" i="1"/>
  <c r="AI202" i="1"/>
  <c r="Z203" i="1" a="1"/>
  <c r="Z203" i="1"/>
  <c r="AI203" i="1"/>
  <c r="Z204" i="1" a="1"/>
  <c r="Z204" i="1"/>
  <c r="AI204" i="1"/>
  <c r="Z205" i="1" a="1"/>
  <c r="Z205" i="1"/>
  <c r="AI205" i="1"/>
  <c r="Z206" i="1" a="1"/>
  <c r="Z206" i="1"/>
  <c r="AI206" i="1"/>
  <c r="Z207" i="1" a="1"/>
  <c r="Z207" i="1"/>
  <c r="AI207" i="1"/>
  <c r="Z208" i="1" a="1"/>
  <c r="Z208" i="1"/>
  <c r="AI208" i="1"/>
  <c r="Z209" i="1" a="1"/>
  <c r="Z209" i="1"/>
  <c r="AI209" i="1"/>
  <c r="Z210" i="1" a="1"/>
  <c r="Z210" i="1"/>
  <c r="AI210" i="1"/>
  <c r="Z211" i="1" a="1"/>
  <c r="Z211" i="1"/>
  <c r="AI211" i="1"/>
  <c r="Z212" i="1" a="1"/>
  <c r="Z212" i="1"/>
  <c r="AI212" i="1"/>
  <c r="Z213" i="1" a="1"/>
  <c r="Z213" i="1"/>
  <c r="AI213" i="1"/>
  <c r="Z214" i="1" a="1"/>
  <c r="Z214" i="1"/>
  <c r="AI214" i="1"/>
  <c r="Z215" i="1" a="1"/>
  <c r="Z215" i="1"/>
  <c r="AI215" i="1"/>
  <c r="Z216" i="1" a="1"/>
  <c r="Z216" i="1"/>
  <c r="AI216" i="1"/>
  <c r="Z217" i="1" a="1"/>
  <c r="Z217" i="1"/>
  <c r="Z218" i="1" a="1"/>
  <c r="Z218" i="1"/>
  <c r="AI218" i="1"/>
  <c r="Z219" i="1" a="1"/>
  <c r="Z219" i="1"/>
  <c r="AI219" i="1"/>
  <c r="Z220" i="1" a="1"/>
  <c r="Z220" i="1"/>
  <c r="AI220" i="1"/>
  <c r="Z221" i="1" a="1"/>
  <c r="Z221" i="1"/>
  <c r="AI221" i="1"/>
  <c r="Z222" i="1" a="1"/>
  <c r="Z222" i="1"/>
  <c r="AI222" i="1"/>
  <c r="Z223" i="1" a="1"/>
  <c r="Z223" i="1"/>
  <c r="AI223" i="1"/>
  <c r="Z224" i="1" a="1"/>
  <c r="Z224" i="1"/>
  <c r="AI224" i="1"/>
  <c r="Z225" i="1" a="1"/>
  <c r="Z225" i="1"/>
  <c r="AI225" i="1"/>
  <c r="Z226" i="1" a="1"/>
  <c r="Z226" i="1"/>
  <c r="AI226" i="1"/>
  <c r="Z227" i="1" a="1"/>
  <c r="Z227" i="1"/>
  <c r="AI227" i="1"/>
  <c r="Z228" i="1" a="1"/>
  <c r="Z228" i="1"/>
  <c r="AI228" i="1"/>
  <c r="Z229" i="1" a="1"/>
  <c r="Z229" i="1"/>
  <c r="AI229" i="1"/>
  <c r="Z230" i="1" a="1"/>
  <c r="Z230" i="1"/>
  <c r="AI230" i="1"/>
  <c r="Z231" i="1" a="1"/>
  <c r="Z231" i="1"/>
  <c r="AI231" i="1"/>
  <c r="Z232" i="1" a="1"/>
  <c r="Z232" i="1"/>
  <c r="AI232" i="1"/>
  <c r="Z233" i="1" a="1"/>
  <c r="Z233" i="1"/>
  <c r="AI233" i="1"/>
  <c r="Z234" i="1" a="1"/>
  <c r="Z234" i="1"/>
  <c r="AI234" i="1"/>
  <c r="Z235" i="1" a="1"/>
  <c r="Z235" i="1"/>
  <c r="AI235" i="1"/>
  <c r="Z236" i="1" a="1"/>
  <c r="Z236" i="1"/>
  <c r="AI236" i="1"/>
  <c r="Z237" i="1" a="1"/>
  <c r="Z237" i="1"/>
  <c r="AI237" i="1"/>
  <c r="Z238" i="1" a="1"/>
  <c r="Z238" i="1"/>
  <c r="AI238" i="1"/>
  <c r="Z239" i="1" a="1"/>
  <c r="Z239" i="1"/>
  <c r="AI239" i="1"/>
  <c r="Z240" i="1" a="1"/>
  <c r="Z240" i="1"/>
  <c r="AI240" i="1"/>
  <c r="Z241" i="1" a="1"/>
  <c r="Z241" i="1"/>
  <c r="AI241" i="1"/>
  <c r="Z242" i="1" a="1"/>
  <c r="Z242" i="1"/>
  <c r="AI242" i="1"/>
  <c r="Z243" i="1" a="1"/>
  <c r="Z243" i="1"/>
  <c r="AI243" i="1"/>
  <c r="Z244" i="1" a="1"/>
  <c r="Z244" i="1"/>
  <c r="AI244" i="1"/>
  <c r="Z245" i="1" a="1"/>
  <c r="Z245" i="1"/>
  <c r="AI245" i="1"/>
  <c r="Z246" i="1" a="1"/>
  <c r="Z246" i="1"/>
  <c r="AI246" i="1"/>
  <c r="Z247" i="1" a="1"/>
  <c r="Z247" i="1"/>
  <c r="AI247" i="1"/>
  <c r="Z248" i="1" a="1"/>
  <c r="Z248" i="1"/>
  <c r="AI248" i="1"/>
  <c r="Z249" i="1" a="1"/>
  <c r="Z249" i="1"/>
  <c r="AI249" i="1"/>
  <c r="Z250" i="1" a="1"/>
  <c r="Z250" i="1"/>
  <c r="AI250" i="1"/>
  <c r="Z251" i="1" a="1"/>
  <c r="Z251" i="1"/>
  <c r="AI251" i="1"/>
  <c r="Z252" i="1" a="1"/>
  <c r="Z252" i="1"/>
  <c r="AI252" i="1"/>
  <c r="Z253" i="1" a="1"/>
  <c r="Z253" i="1"/>
  <c r="AI253" i="1"/>
  <c r="Z254" i="1" a="1"/>
  <c r="Z254" i="1"/>
  <c r="AI254" i="1"/>
  <c r="Z255" i="1" a="1"/>
  <c r="Z255" i="1"/>
  <c r="AI255" i="1"/>
  <c r="Z256" i="1" a="1"/>
  <c r="Z256" i="1"/>
  <c r="AI256" i="1"/>
  <c r="Z257" i="1" a="1"/>
  <c r="Z257" i="1"/>
  <c r="AI257" i="1"/>
  <c r="Z258" i="1" a="1"/>
  <c r="Z258" i="1"/>
  <c r="AI258" i="1"/>
  <c r="Z259" i="1" a="1"/>
  <c r="Z259" i="1"/>
  <c r="AI259" i="1"/>
  <c r="Z260" i="1" a="1"/>
  <c r="Z260" i="1"/>
  <c r="AI260" i="1"/>
  <c r="Z261" i="1" a="1"/>
  <c r="Z261" i="1"/>
  <c r="AI261" i="1"/>
  <c r="Z262" i="1" a="1"/>
  <c r="Z262" i="1"/>
  <c r="AI262" i="1"/>
  <c r="Z263" i="1" a="1"/>
  <c r="Z263" i="1"/>
  <c r="AI263" i="1"/>
  <c r="Z264" i="1" a="1"/>
  <c r="Z264" i="1"/>
  <c r="AI264" i="1"/>
  <c r="Z265" i="1" a="1"/>
  <c r="Z265" i="1"/>
  <c r="AI265" i="1"/>
  <c r="Z266" i="1" a="1"/>
  <c r="Z266" i="1"/>
  <c r="AI266" i="1"/>
  <c r="Z267" i="1" a="1"/>
  <c r="Z267" i="1"/>
  <c r="AI267" i="1"/>
  <c r="Z268" i="1" a="1"/>
  <c r="Z268" i="1"/>
  <c r="AI268" i="1"/>
  <c r="Z269" i="1" a="1"/>
  <c r="Z269" i="1"/>
  <c r="AI269" i="1"/>
  <c r="Z270" i="1" a="1"/>
  <c r="Z270" i="1"/>
  <c r="AI270" i="1"/>
  <c r="Z271" i="1" a="1"/>
  <c r="Z271" i="1"/>
  <c r="Z272" i="1" a="1"/>
  <c r="Z272" i="1"/>
  <c r="AI272" i="1"/>
  <c r="Z273" i="1" a="1"/>
  <c r="Z273" i="1"/>
  <c r="AI273" i="1"/>
  <c r="Z274" i="1" a="1"/>
  <c r="Z274" i="1"/>
  <c r="AI274" i="1"/>
  <c r="Z275" i="1" a="1"/>
  <c r="Z275" i="1"/>
  <c r="AI275" i="1"/>
  <c r="Z276" i="1" a="1"/>
  <c r="Z276" i="1"/>
  <c r="AI276" i="1"/>
  <c r="Z277" i="1" a="1"/>
  <c r="Z277" i="1"/>
  <c r="AI277" i="1"/>
  <c r="Z278" i="1" a="1"/>
  <c r="Z278" i="1"/>
  <c r="AI278" i="1"/>
  <c r="Z279" i="1" a="1"/>
  <c r="Z279" i="1"/>
  <c r="AI279" i="1"/>
  <c r="Z280" i="1" a="1"/>
  <c r="Z280" i="1"/>
  <c r="AI280" i="1"/>
  <c r="Z281" i="1" a="1"/>
  <c r="Z281" i="1"/>
  <c r="AI281" i="1"/>
  <c r="Z282" i="1" a="1"/>
  <c r="Z282" i="1"/>
  <c r="AI282" i="1"/>
  <c r="Z283" i="1" a="1"/>
  <c r="Z283" i="1"/>
  <c r="AI283" i="1"/>
  <c r="Z284" i="1" a="1"/>
  <c r="Z284" i="1"/>
  <c r="AI284" i="1"/>
  <c r="Z285" i="1" a="1"/>
  <c r="Z285" i="1"/>
  <c r="AI285" i="1"/>
  <c r="Z286" i="1" a="1"/>
  <c r="Z286" i="1"/>
  <c r="AI286" i="1"/>
  <c r="Z287" i="1" a="1"/>
  <c r="Z287" i="1"/>
  <c r="AI287" i="1"/>
  <c r="Z288" i="1" a="1"/>
  <c r="Z288" i="1"/>
  <c r="AI288" i="1"/>
  <c r="Z289" i="1" a="1"/>
  <c r="Z289" i="1"/>
  <c r="AI289" i="1"/>
  <c r="Z290" i="1" a="1"/>
  <c r="Z290" i="1"/>
  <c r="AI290" i="1"/>
  <c r="Z291" i="1" a="1"/>
  <c r="Z291" i="1"/>
  <c r="AI291" i="1"/>
  <c r="Z292" i="1" a="1"/>
  <c r="Z292" i="1"/>
  <c r="AI292" i="1"/>
  <c r="Z293" i="1" a="1"/>
  <c r="Z293" i="1"/>
  <c r="AI293" i="1"/>
  <c r="Z294" i="1" a="1"/>
  <c r="Z294" i="1"/>
  <c r="AI294" i="1"/>
  <c r="Z295" i="1" a="1"/>
  <c r="Z295" i="1"/>
  <c r="AI295" i="1"/>
  <c r="Z296" i="1" a="1"/>
  <c r="Z296" i="1"/>
  <c r="AI296" i="1"/>
  <c r="Z297" i="1" a="1"/>
  <c r="Z297" i="1"/>
  <c r="AI297" i="1"/>
  <c r="Z298" i="1" a="1"/>
  <c r="Z298" i="1"/>
  <c r="AI298" i="1"/>
  <c r="Z299" i="1" a="1"/>
  <c r="Z299" i="1"/>
  <c r="AI299" i="1"/>
  <c r="Z300" i="1" a="1"/>
  <c r="Z300" i="1"/>
  <c r="AI300" i="1"/>
  <c r="Z301" i="1" a="1"/>
  <c r="Z301" i="1"/>
  <c r="AI301" i="1"/>
  <c r="Z302" i="1" a="1"/>
  <c r="Z302" i="1"/>
  <c r="AI302" i="1"/>
  <c r="Z303" i="1" a="1"/>
  <c r="Z303" i="1"/>
  <c r="AI303" i="1"/>
  <c r="Z304" i="1" a="1"/>
  <c r="Z304" i="1"/>
  <c r="AI304" i="1"/>
  <c r="Z305" i="1" a="1"/>
  <c r="Z305" i="1"/>
  <c r="AI305" i="1"/>
  <c r="Z306" i="1" a="1"/>
  <c r="Z306" i="1"/>
  <c r="AI306" i="1"/>
  <c r="Z307" i="1" a="1"/>
  <c r="Z307" i="1"/>
  <c r="AI307" i="1"/>
  <c r="Z308" i="1" a="1"/>
  <c r="Z308" i="1"/>
  <c r="AI308" i="1"/>
  <c r="Z309" i="1" a="1"/>
  <c r="Z309" i="1"/>
  <c r="AI309" i="1"/>
  <c r="Z310" i="1" a="1"/>
  <c r="Z310" i="1"/>
  <c r="Z311" i="1" a="1"/>
  <c r="Z311" i="1"/>
  <c r="AI311" i="1"/>
  <c r="Z312" i="1" a="1"/>
  <c r="Z312" i="1"/>
  <c r="AI312" i="1"/>
  <c r="Z313" i="1" a="1"/>
  <c r="Z313" i="1"/>
  <c r="AI313" i="1"/>
  <c r="Z314" i="1" a="1"/>
  <c r="Z314" i="1"/>
  <c r="AI314" i="1"/>
  <c r="Z315" i="1" a="1"/>
  <c r="Z315" i="1"/>
  <c r="AI315" i="1"/>
  <c r="Z316" i="1" a="1"/>
  <c r="Z316" i="1"/>
  <c r="AI316" i="1"/>
  <c r="Z317" i="1" a="1"/>
  <c r="Z317" i="1"/>
  <c r="AI317" i="1"/>
  <c r="Z318" i="1" a="1"/>
  <c r="Z318" i="1"/>
  <c r="AI318" i="1"/>
  <c r="Z319" i="1" a="1"/>
  <c r="Z319" i="1"/>
  <c r="AI319" i="1"/>
  <c r="Z320" i="1" a="1"/>
  <c r="Z320" i="1"/>
  <c r="AI320" i="1"/>
  <c r="Z321" i="1" a="1"/>
  <c r="Z321" i="1"/>
  <c r="AI321" i="1"/>
  <c r="Z322" i="1" a="1"/>
  <c r="Z322" i="1"/>
  <c r="AI322" i="1"/>
  <c r="Z323" i="1" a="1"/>
  <c r="Z323" i="1"/>
  <c r="AI323" i="1"/>
  <c r="Z324" i="1" a="1"/>
  <c r="Z324" i="1"/>
  <c r="AI324" i="1"/>
  <c r="Z325" i="1" a="1"/>
  <c r="Z325" i="1"/>
  <c r="AI325" i="1"/>
  <c r="Z326" i="1" a="1"/>
  <c r="Z326" i="1"/>
  <c r="AI326" i="1"/>
  <c r="Z327" i="1" a="1"/>
  <c r="Z327" i="1"/>
  <c r="AI327" i="1"/>
  <c r="Z328" i="1" a="1"/>
  <c r="Z328" i="1"/>
  <c r="AI328" i="1"/>
  <c r="Z329" i="1" a="1"/>
  <c r="Z329" i="1"/>
  <c r="AI329" i="1"/>
  <c r="Z330" i="1" a="1"/>
  <c r="Z330" i="1"/>
  <c r="AI330" i="1"/>
  <c r="Z331" i="1" a="1"/>
  <c r="Z331" i="1"/>
  <c r="AI331" i="1"/>
  <c r="Z332" i="1" a="1"/>
  <c r="Z332" i="1"/>
  <c r="AI332" i="1"/>
  <c r="Z333" i="1" a="1"/>
  <c r="Z333" i="1"/>
  <c r="AI333" i="1"/>
  <c r="Z334" i="1" a="1"/>
  <c r="Z334" i="1"/>
  <c r="AI334" i="1"/>
  <c r="Z335" i="1" a="1"/>
  <c r="Z335" i="1"/>
  <c r="AI335" i="1"/>
  <c r="Z336" i="1" a="1"/>
  <c r="Z336" i="1"/>
  <c r="AI336" i="1"/>
  <c r="Z337" i="1" a="1"/>
  <c r="Z337" i="1"/>
  <c r="AI337" i="1"/>
  <c r="Z338" i="1" a="1"/>
  <c r="Z338" i="1"/>
  <c r="AI338" i="1"/>
  <c r="Z339" i="1" a="1"/>
  <c r="Z339" i="1"/>
  <c r="AI339" i="1"/>
  <c r="Z340" i="1" a="1"/>
  <c r="Z340" i="1"/>
  <c r="AI340" i="1"/>
  <c r="Z341" i="1" a="1"/>
  <c r="Z341" i="1"/>
  <c r="AI341" i="1"/>
  <c r="Z342" i="1" a="1"/>
  <c r="Z342" i="1"/>
  <c r="AI342" i="1"/>
  <c r="Z343" i="1" a="1"/>
  <c r="Z343" i="1"/>
  <c r="AI343" i="1"/>
  <c r="Z344" i="1" a="1"/>
  <c r="Z344" i="1"/>
  <c r="AI344" i="1"/>
  <c r="Z345" i="1" a="1"/>
  <c r="Z345" i="1"/>
  <c r="AI345" i="1"/>
  <c r="Z346" i="1" a="1"/>
  <c r="Z346" i="1"/>
  <c r="AI346" i="1"/>
  <c r="Z347" i="1" a="1"/>
  <c r="Z347" i="1"/>
  <c r="AI347" i="1"/>
  <c r="Z348" i="1" a="1"/>
  <c r="Z348" i="1"/>
  <c r="AI348" i="1"/>
  <c r="Z349" i="1" a="1"/>
  <c r="Z349" i="1"/>
  <c r="AI349" i="1"/>
  <c r="Z350" i="1" a="1"/>
  <c r="Z350" i="1"/>
  <c r="AI350" i="1"/>
  <c r="Z351" i="1" a="1"/>
  <c r="Z351" i="1"/>
  <c r="AI351" i="1"/>
  <c r="Z352" i="1" a="1"/>
  <c r="Z352" i="1"/>
  <c r="AI352" i="1"/>
  <c r="Z353" i="1" a="1"/>
  <c r="Z353" i="1"/>
  <c r="AI353" i="1"/>
  <c r="Z354" i="1" a="1"/>
  <c r="Z354" i="1"/>
  <c r="AI354" i="1"/>
  <c r="Z355" i="1" a="1"/>
  <c r="Z355" i="1"/>
  <c r="AI355" i="1"/>
  <c r="Z356" i="1" a="1"/>
  <c r="Z356" i="1"/>
  <c r="AI356" i="1"/>
  <c r="Z357" i="1" a="1"/>
  <c r="Z357" i="1"/>
  <c r="AI357" i="1"/>
  <c r="Z358" i="1" a="1"/>
  <c r="Z358" i="1"/>
  <c r="AI358" i="1"/>
  <c r="Z359" i="1" a="1"/>
  <c r="Z359" i="1"/>
  <c r="AI359" i="1"/>
  <c r="Z360" i="1" a="1"/>
  <c r="Z360" i="1"/>
  <c r="AI360" i="1"/>
  <c r="Z361" i="1" a="1"/>
  <c r="Z361" i="1"/>
  <c r="AI361" i="1"/>
  <c r="Z362" i="1" a="1"/>
  <c r="Z362" i="1"/>
  <c r="AI362" i="1"/>
  <c r="Z363" i="1" a="1"/>
  <c r="Z363" i="1"/>
  <c r="AI363" i="1"/>
  <c r="Z364" i="1" a="1"/>
  <c r="Z364" i="1"/>
  <c r="AI364" i="1"/>
  <c r="Z365" i="1" a="1"/>
  <c r="Z365" i="1"/>
  <c r="AI365" i="1"/>
  <c r="Z366" i="1" a="1"/>
  <c r="Z366" i="1"/>
  <c r="AI366" i="1"/>
  <c r="Z367" i="1" a="1"/>
  <c r="Z367" i="1"/>
  <c r="AI367" i="1"/>
  <c r="Z368" i="1" a="1"/>
  <c r="Z368" i="1"/>
  <c r="AI368" i="1"/>
  <c r="Z369" i="1" a="1"/>
  <c r="Z369" i="1"/>
  <c r="AI369" i="1"/>
  <c r="Z370" i="1" a="1"/>
  <c r="Z370" i="1"/>
  <c r="AI370" i="1"/>
  <c r="Z371" i="1" a="1"/>
  <c r="Z371" i="1"/>
  <c r="AI371" i="1"/>
  <c r="Z372" i="1" a="1"/>
  <c r="Z372" i="1"/>
  <c r="AI372" i="1"/>
  <c r="Z373" i="1" a="1"/>
  <c r="Z373" i="1"/>
  <c r="AI373" i="1"/>
  <c r="Z374" i="1" a="1"/>
  <c r="Z374" i="1"/>
  <c r="AI374" i="1"/>
  <c r="Z375" i="1" a="1"/>
  <c r="Z375" i="1"/>
  <c r="AI375" i="1"/>
  <c r="Z376" i="1" a="1"/>
  <c r="Z376" i="1"/>
  <c r="AI376" i="1"/>
  <c r="Z377" i="1" a="1"/>
  <c r="Z377" i="1"/>
  <c r="AI377" i="1"/>
  <c r="Z378" i="1" a="1"/>
  <c r="Z378" i="1"/>
  <c r="AI378" i="1"/>
  <c r="Z379" i="1" a="1"/>
  <c r="Z379" i="1"/>
  <c r="AI379" i="1"/>
  <c r="Z380" i="1" a="1"/>
  <c r="Z380" i="1"/>
  <c r="AI380" i="1"/>
  <c r="Z381" i="1" a="1"/>
  <c r="Z381" i="1"/>
  <c r="AI381" i="1"/>
  <c r="Z382" i="1" a="1"/>
  <c r="Z382" i="1"/>
  <c r="AI382" i="1"/>
  <c r="Z383" i="1" a="1"/>
  <c r="Z383" i="1"/>
  <c r="AI383" i="1"/>
  <c r="Z384" i="1" a="1"/>
  <c r="Z384" i="1"/>
  <c r="Z385" i="1" a="1"/>
  <c r="Z385" i="1"/>
  <c r="AI385" i="1"/>
  <c r="Z386" i="1" a="1"/>
  <c r="Z386" i="1"/>
  <c r="AI386" i="1"/>
  <c r="Z387" i="1" a="1"/>
  <c r="Z387" i="1"/>
  <c r="AI387" i="1"/>
  <c r="Z388" i="1" a="1"/>
  <c r="Z388" i="1"/>
  <c r="AI388" i="1"/>
  <c r="Z389" i="1" a="1"/>
  <c r="Z389" i="1"/>
  <c r="AI389" i="1"/>
  <c r="Z390" i="1" a="1"/>
  <c r="Z390" i="1"/>
  <c r="AI390" i="1"/>
  <c r="Z391" i="1" a="1"/>
  <c r="Z391" i="1"/>
  <c r="AI391" i="1"/>
  <c r="Z392" i="1" a="1"/>
  <c r="Z392" i="1"/>
  <c r="AI392" i="1"/>
  <c r="Z393" i="1" a="1"/>
  <c r="Z393" i="1"/>
  <c r="AI393" i="1"/>
  <c r="Z394" i="1" a="1"/>
  <c r="Z394" i="1"/>
  <c r="AI394" i="1"/>
  <c r="Z395" i="1" a="1"/>
  <c r="Z395" i="1"/>
  <c r="Z396" i="1" a="1"/>
  <c r="Z396" i="1"/>
  <c r="AI396" i="1"/>
  <c r="Z397" i="1" a="1"/>
  <c r="Z397" i="1"/>
  <c r="AI397" i="1"/>
  <c r="Z398" i="1" a="1"/>
  <c r="Z398" i="1"/>
  <c r="AI398" i="1"/>
  <c r="Z399" i="1" a="1"/>
  <c r="Z399" i="1"/>
  <c r="AI399" i="1"/>
  <c r="Z400" i="1" a="1"/>
  <c r="Z400" i="1"/>
  <c r="Z401" i="1" a="1"/>
  <c r="Z401" i="1"/>
  <c r="AI401" i="1"/>
  <c r="Z402" i="1" a="1"/>
  <c r="Z402" i="1"/>
  <c r="AI402" i="1"/>
  <c r="Z403" i="1" a="1"/>
  <c r="Z403" i="1"/>
  <c r="AI403" i="1"/>
  <c r="Z404" i="1" a="1"/>
  <c r="Z404" i="1"/>
  <c r="AI404" i="1"/>
  <c r="Z405" i="1" a="1"/>
  <c r="Z405" i="1"/>
  <c r="AI405" i="1"/>
  <c r="Z406" i="1" a="1"/>
  <c r="Z406" i="1"/>
  <c r="AI406" i="1"/>
  <c r="Z407" i="1" a="1"/>
  <c r="Z407" i="1"/>
  <c r="AI407" i="1"/>
  <c r="Z408" i="1" a="1"/>
  <c r="Z408" i="1"/>
  <c r="AI408" i="1"/>
  <c r="Z409" i="1" a="1"/>
  <c r="Z409" i="1"/>
  <c r="AI409" i="1"/>
  <c r="Z410" i="1" a="1"/>
  <c r="Z410" i="1"/>
  <c r="AI410" i="1"/>
  <c r="Z411" i="1" a="1"/>
  <c r="Z411" i="1"/>
  <c r="AI411" i="1"/>
  <c r="Z412" i="1" a="1"/>
  <c r="Z412" i="1"/>
  <c r="AI412" i="1"/>
  <c r="Z413" i="1" a="1"/>
  <c r="Z413" i="1"/>
  <c r="AI413" i="1"/>
  <c r="Z414" i="1" a="1"/>
  <c r="Z414" i="1"/>
  <c r="AI414" i="1"/>
  <c r="Z415" i="1" a="1"/>
  <c r="Z415" i="1"/>
  <c r="AI415" i="1"/>
  <c r="Z416" i="1" a="1"/>
  <c r="Z416" i="1"/>
  <c r="Z417" i="1" a="1"/>
  <c r="Z417" i="1"/>
  <c r="AI417" i="1"/>
  <c r="Z418" i="1" a="1"/>
  <c r="Z418" i="1"/>
  <c r="AI418" i="1"/>
  <c r="Z419" i="1" a="1"/>
  <c r="Z419" i="1"/>
  <c r="AI419" i="1"/>
  <c r="Z420" i="1" a="1"/>
  <c r="Z420" i="1"/>
  <c r="AI420" i="1"/>
  <c r="Z421" i="1" a="1"/>
  <c r="Z421" i="1"/>
  <c r="AI421" i="1"/>
  <c r="Z422" i="1" a="1"/>
  <c r="Z422" i="1"/>
  <c r="AI422" i="1"/>
  <c r="Z423" i="1" a="1"/>
  <c r="Z423" i="1"/>
  <c r="AI423" i="1"/>
  <c r="Z424" i="1" a="1"/>
  <c r="Z424" i="1"/>
  <c r="AI424" i="1"/>
  <c r="Z425" i="1" a="1"/>
  <c r="Z425" i="1"/>
  <c r="AI425" i="1"/>
  <c r="Z426" i="1" a="1"/>
  <c r="Z426" i="1"/>
  <c r="AI426" i="1"/>
  <c r="Z427" i="1" a="1"/>
  <c r="Z427" i="1"/>
  <c r="AI427" i="1"/>
  <c r="Z428" i="1" a="1"/>
  <c r="Z428" i="1"/>
  <c r="AI428" i="1"/>
  <c r="Z429" i="1" a="1"/>
  <c r="Z429" i="1"/>
  <c r="Z430" i="1" a="1"/>
  <c r="Z430" i="1"/>
  <c r="AI430" i="1"/>
  <c r="Z431" i="1" a="1"/>
  <c r="Z431" i="1"/>
  <c r="AI431" i="1"/>
  <c r="Z432" i="1" a="1"/>
  <c r="Z432" i="1"/>
  <c r="AI432" i="1"/>
  <c r="Z433" i="1" a="1"/>
  <c r="Z433" i="1"/>
  <c r="AI433" i="1"/>
  <c r="Z434" i="1" a="1"/>
  <c r="Z434" i="1"/>
  <c r="AI434" i="1"/>
  <c r="Z435" i="1" a="1"/>
  <c r="Z435" i="1"/>
  <c r="Z436" i="1" a="1"/>
  <c r="Z436" i="1"/>
  <c r="AI436" i="1"/>
  <c r="Z437" i="1" a="1"/>
  <c r="Z437" i="1"/>
  <c r="AI437" i="1"/>
  <c r="Z438" i="1" a="1"/>
  <c r="Z438" i="1"/>
  <c r="AI438" i="1"/>
  <c r="Z439" i="1" a="1"/>
  <c r="Z439" i="1"/>
  <c r="AI439" i="1"/>
  <c r="Z440" i="1" a="1"/>
  <c r="Z440" i="1"/>
  <c r="AI440" i="1"/>
  <c r="Z441" i="1" a="1"/>
  <c r="Z441" i="1"/>
  <c r="AI441" i="1"/>
  <c r="Z442" i="1" a="1"/>
  <c r="Z442" i="1"/>
  <c r="AI442" i="1"/>
  <c r="Z443" i="1" a="1"/>
  <c r="Z443" i="1"/>
  <c r="AI443" i="1"/>
  <c r="Z444" i="1" a="1"/>
  <c r="Z444" i="1"/>
  <c r="AI444" i="1"/>
  <c r="Z445" i="1" a="1"/>
  <c r="Z445" i="1"/>
  <c r="AI445" i="1"/>
  <c r="Z446" i="1" a="1"/>
  <c r="Z446" i="1"/>
  <c r="AI446" i="1"/>
  <c r="Z447" i="1" a="1"/>
  <c r="Z447" i="1"/>
  <c r="AI447" i="1"/>
  <c r="Z448" i="1" a="1"/>
  <c r="Z448" i="1"/>
  <c r="AI448" i="1"/>
  <c r="Z449" i="1" a="1"/>
  <c r="Z449" i="1"/>
  <c r="AI449" i="1"/>
  <c r="Z450" i="1" a="1"/>
  <c r="Z450" i="1"/>
  <c r="AI450" i="1"/>
  <c r="Z451" i="1" a="1"/>
  <c r="Z451" i="1"/>
  <c r="AI451" i="1"/>
  <c r="Z452" i="1" a="1"/>
  <c r="Z452" i="1"/>
  <c r="AI452" i="1"/>
  <c r="Z453" i="1" a="1"/>
  <c r="Z453" i="1"/>
  <c r="AI453" i="1"/>
  <c r="Z454" i="1" a="1"/>
  <c r="Z454" i="1"/>
  <c r="AI454" i="1"/>
  <c r="Z455" i="1" a="1"/>
  <c r="Z455" i="1"/>
  <c r="AI455" i="1"/>
  <c r="Z456" i="1" a="1"/>
  <c r="Z456" i="1"/>
  <c r="AI456" i="1"/>
  <c r="Z457" i="1" a="1"/>
  <c r="Z457" i="1"/>
  <c r="AI457" i="1"/>
  <c r="Z458" i="1" a="1"/>
  <c r="Z458" i="1"/>
  <c r="AI458" i="1"/>
  <c r="Z459" i="1" a="1"/>
  <c r="Z459" i="1"/>
  <c r="AI459" i="1"/>
  <c r="Z460" i="1" a="1"/>
  <c r="Z460" i="1"/>
  <c r="AI460" i="1"/>
  <c r="Z461" i="1" a="1"/>
  <c r="Z461" i="1"/>
  <c r="AI461" i="1"/>
  <c r="Z462" i="1" a="1"/>
  <c r="Z462" i="1"/>
  <c r="AI462" i="1"/>
  <c r="Z463" i="1" a="1"/>
  <c r="Z463" i="1"/>
  <c r="AI463" i="1"/>
  <c r="Z464" i="1" a="1"/>
  <c r="Z464" i="1"/>
  <c r="AI464" i="1"/>
  <c r="Z465" i="1" a="1"/>
  <c r="Z465" i="1"/>
  <c r="AI465" i="1"/>
  <c r="Z466" i="1" a="1"/>
  <c r="Z466" i="1"/>
  <c r="AI466" i="1"/>
  <c r="Z467" i="1" a="1"/>
  <c r="Z467" i="1"/>
  <c r="AI467" i="1"/>
  <c r="Z468" i="1" a="1"/>
  <c r="Z468" i="1"/>
  <c r="AI468" i="1"/>
  <c r="Z469" i="1" a="1"/>
  <c r="Z469" i="1"/>
  <c r="AI469" i="1"/>
  <c r="Z470" i="1" a="1"/>
  <c r="Z470" i="1"/>
  <c r="AI470" i="1"/>
  <c r="Z471" i="1" a="1"/>
  <c r="Z471" i="1"/>
  <c r="AI471" i="1"/>
  <c r="Z472" i="1" a="1"/>
  <c r="Z472" i="1"/>
  <c r="AI472" i="1"/>
  <c r="Z473" i="1" a="1"/>
  <c r="Z473" i="1"/>
  <c r="AI473" i="1"/>
  <c r="Z474" i="1" a="1"/>
  <c r="Z474" i="1"/>
  <c r="AI474" i="1"/>
  <c r="Z475" i="1" a="1"/>
  <c r="Z475" i="1"/>
  <c r="AI475" i="1"/>
  <c r="Z476" i="1" a="1"/>
  <c r="Z476" i="1"/>
  <c r="AI476" i="1"/>
  <c r="Z477" i="1" a="1"/>
  <c r="Z477" i="1"/>
  <c r="AI477" i="1"/>
  <c r="Z478" i="1" a="1"/>
  <c r="Z478" i="1"/>
  <c r="AI478" i="1"/>
  <c r="Z479" i="1" a="1"/>
  <c r="Z479" i="1"/>
  <c r="AI479" i="1"/>
  <c r="Z480" i="1" a="1"/>
  <c r="Z480" i="1"/>
  <c r="AI480" i="1"/>
  <c r="Z481" i="1" a="1"/>
  <c r="Z481" i="1"/>
  <c r="AI481" i="1"/>
  <c r="Z482" i="1" a="1"/>
  <c r="Z482" i="1"/>
  <c r="AI482" i="1"/>
  <c r="Z483" i="1" a="1"/>
  <c r="Z483" i="1"/>
  <c r="AI483" i="1"/>
  <c r="Z484" i="1" a="1"/>
  <c r="Z484" i="1"/>
  <c r="Z485" i="1" a="1"/>
  <c r="Z485" i="1"/>
  <c r="AI485" i="1"/>
  <c r="Z486" i="1" a="1"/>
  <c r="Z486" i="1"/>
  <c r="AI486" i="1"/>
  <c r="Z487" i="1" a="1"/>
  <c r="Z487" i="1"/>
  <c r="AI487" i="1"/>
  <c r="Z488" i="1" a="1"/>
  <c r="Z488" i="1"/>
  <c r="AI488" i="1"/>
  <c r="Z489" i="1" a="1"/>
  <c r="Z489" i="1"/>
  <c r="AI489" i="1"/>
  <c r="Z490" i="1" a="1"/>
  <c r="Z490" i="1"/>
  <c r="AI490" i="1"/>
  <c r="Z491" i="1" a="1"/>
  <c r="Z491" i="1"/>
  <c r="AI491" i="1"/>
  <c r="Z492" i="1" a="1"/>
  <c r="Z492" i="1"/>
  <c r="AI492" i="1"/>
  <c r="Z493" i="1" a="1"/>
  <c r="Z493" i="1"/>
  <c r="AI493" i="1"/>
  <c r="Z494" i="1" a="1"/>
  <c r="Z494" i="1"/>
  <c r="AI494" i="1"/>
  <c r="Z495" i="1" a="1"/>
  <c r="Z495" i="1"/>
  <c r="AI495" i="1"/>
  <c r="Z496" i="1" a="1"/>
  <c r="Z496" i="1"/>
  <c r="AI496" i="1"/>
  <c r="Z497" i="1" a="1"/>
  <c r="Z497" i="1"/>
  <c r="AI497" i="1"/>
  <c r="Z498" i="1" a="1"/>
  <c r="Z498" i="1"/>
  <c r="AI498" i="1"/>
  <c r="Z499" i="1" a="1"/>
  <c r="Z499" i="1"/>
  <c r="AI499" i="1"/>
  <c r="Z500" i="1" a="1"/>
  <c r="Z500" i="1"/>
  <c r="AI500" i="1"/>
  <c r="Z501" i="1" a="1"/>
  <c r="Z501" i="1"/>
  <c r="AI501" i="1"/>
  <c r="Z502" i="1" a="1"/>
  <c r="Z502" i="1"/>
  <c r="AI502" i="1"/>
  <c r="Z503" i="1" a="1"/>
  <c r="Z503" i="1"/>
  <c r="AI503" i="1"/>
  <c r="Z504" i="1" a="1"/>
  <c r="Z504" i="1"/>
  <c r="AI504" i="1"/>
  <c r="Z505" i="1" a="1"/>
  <c r="Z505" i="1"/>
  <c r="AI505" i="1"/>
  <c r="Z506" i="1" a="1"/>
  <c r="Z506" i="1"/>
  <c r="AI506" i="1"/>
  <c r="Z507" i="1" a="1"/>
  <c r="Z507" i="1"/>
  <c r="AI507" i="1"/>
  <c r="Z508" i="1" a="1"/>
  <c r="Z508" i="1"/>
  <c r="AI508" i="1"/>
  <c r="Z509" i="1" a="1"/>
  <c r="Z509" i="1"/>
  <c r="AI509" i="1"/>
  <c r="Z510" i="1" a="1"/>
  <c r="Z510" i="1"/>
  <c r="AI510" i="1"/>
  <c r="Z511" i="1" a="1"/>
  <c r="Z511" i="1"/>
  <c r="AI511" i="1"/>
  <c r="Z512" i="1" a="1"/>
  <c r="Z512" i="1"/>
  <c r="AI512" i="1"/>
  <c r="Z513" i="1" a="1"/>
  <c r="Z513" i="1"/>
  <c r="AI513" i="1"/>
  <c r="Z514" i="1" a="1"/>
  <c r="Z514" i="1"/>
  <c r="AI514" i="1"/>
  <c r="Z515" i="1" a="1"/>
  <c r="Z515" i="1"/>
  <c r="AI515" i="1"/>
  <c r="Z516" i="1" a="1"/>
  <c r="Z516" i="1"/>
  <c r="AI516" i="1"/>
  <c r="Z517" i="1" a="1"/>
  <c r="Z517" i="1"/>
  <c r="AI517" i="1"/>
  <c r="Z518" i="1" a="1"/>
  <c r="Z518" i="1"/>
  <c r="AI518" i="1"/>
  <c r="Z519" i="1" a="1"/>
  <c r="Z519" i="1"/>
  <c r="AI519" i="1"/>
  <c r="Z520" i="1" a="1"/>
  <c r="Z520" i="1"/>
  <c r="AI520" i="1"/>
  <c r="Z521" i="1" a="1"/>
  <c r="Z521" i="1"/>
  <c r="AI521" i="1"/>
  <c r="Z522" i="1" a="1"/>
  <c r="Z522" i="1"/>
  <c r="AI522" i="1"/>
  <c r="Z523" i="1" a="1"/>
  <c r="Z523" i="1"/>
  <c r="AI523" i="1"/>
  <c r="Z524" i="1" a="1"/>
  <c r="Z524" i="1"/>
  <c r="AI524" i="1"/>
  <c r="Z525" i="1" a="1"/>
  <c r="Z525" i="1"/>
  <c r="AI525" i="1"/>
  <c r="Z526" i="1" a="1"/>
  <c r="Z526" i="1"/>
  <c r="AI526" i="1"/>
  <c r="Z527" i="1" a="1"/>
  <c r="Z527" i="1"/>
  <c r="AI527" i="1"/>
  <c r="Z528" i="1" a="1"/>
  <c r="Z528" i="1"/>
  <c r="AI528" i="1"/>
  <c r="Z529" i="1" a="1"/>
  <c r="Z529" i="1"/>
  <c r="AI529" i="1"/>
  <c r="Z530" i="1" a="1"/>
  <c r="Z530" i="1"/>
  <c r="AI530" i="1"/>
  <c r="Y81" i="1" a="1"/>
  <c r="Y81" i="1"/>
  <c r="AH81" i="1"/>
  <c r="Y82" i="1" a="1"/>
  <c r="Y82" i="1"/>
  <c r="AH82" i="1"/>
  <c r="Y83" i="1" a="1"/>
  <c r="Y83" i="1"/>
  <c r="AH83" i="1"/>
  <c r="Y84" i="1" a="1"/>
  <c r="Y84" i="1"/>
  <c r="AH84" i="1"/>
  <c r="Y85" i="1" a="1"/>
  <c r="Y85" i="1"/>
  <c r="AH85" i="1"/>
  <c r="Y86" i="1" a="1"/>
  <c r="Y86" i="1"/>
  <c r="AH86" i="1"/>
  <c r="Y87" i="1" a="1"/>
  <c r="Y87" i="1"/>
  <c r="AH87" i="1"/>
  <c r="Y88" i="1" a="1"/>
  <c r="Y88" i="1"/>
  <c r="AH88" i="1"/>
  <c r="Y89" i="1" a="1"/>
  <c r="Y89" i="1"/>
  <c r="AH89" i="1"/>
  <c r="Y90" i="1" a="1"/>
  <c r="Y90" i="1"/>
  <c r="AH90" i="1"/>
  <c r="Y91" i="1" a="1"/>
  <c r="Y91" i="1"/>
  <c r="AH91" i="1"/>
  <c r="Y92" i="1" a="1"/>
  <c r="Y92" i="1"/>
  <c r="AH92" i="1"/>
  <c r="Y93" i="1" a="1"/>
  <c r="Y93" i="1"/>
  <c r="AH93" i="1"/>
  <c r="Y94" i="1" a="1"/>
  <c r="Y94" i="1"/>
  <c r="AH94" i="1"/>
  <c r="Y95" i="1" a="1"/>
  <c r="Y95" i="1"/>
  <c r="AH95" i="1"/>
  <c r="Y96" i="1" a="1"/>
  <c r="Y96" i="1"/>
  <c r="AH96" i="1"/>
  <c r="Y97" i="1" a="1"/>
  <c r="Y97" i="1"/>
  <c r="AH97" i="1"/>
  <c r="Y98" i="1" a="1"/>
  <c r="Y98" i="1"/>
  <c r="AH98" i="1"/>
  <c r="Y99" i="1" a="1"/>
  <c r="Y99" i="1"/>
  <c r="AH99" i="1"/>
  <c r="Y100" i="1" a="1"/>
  <c r="Y100" i="1"/>
  <c r="AH100" i="1"/>
  <c r="Y101" i="1" a="1"/>
  <c r="Y101" i="1"/>
  <c r="AH101" i="1"/>
  <c r="Y102" i="1" a="1"/>
  <c r="Y102" i="1"/>
  <c r="AH102" i="1"/>
  <c r="Y103" i="1" a="1"/>
  <c r="Y103" i="1"/>
  <c r="AH103" i="1"/>
  <c r="Y104" i="1" a="1"/>
  <c r="Y104" i="1"/>
  <c r="AH104" i="1"/>
  <c r="Y105" i="1" a="1"/>
  <c r="Y105" i="1"/>
  <c r="AH105" i="1"/>
  <c r="Y106" i="1" a="1"/>
  <c r="Y106" i="1"/>
  <c r="AH106" i="1"/>
  <c r="Y107" i="1" a="1"/>
  <c r="Y107" i="1"/>
  <c r="AH107" i="1"/>
  <c r="Y108" i="1" a="1"/>
  <c r="Y108" i="1"/>
  <c r="AH108" i="1"/>
  <c r="Y109" i="1" a="1"/>
  <c r="Y109" i="1"/>
  <c r="AH109" i="1"/>
  <c r="Y110" i="1" a="1"/>
  <c r="Y110" i="1"/>
  <c r="AH110" i="1"/>
  <c r="Y111" i="1" a="1"/>
  <c r="Y111" i="1"/>
  <c r="AH111" i="1"/>
  <c r="Y112" i="1" a="1"/>
  <c r="Y112" i="1"/>
  <c r="AH112" i="1"/>
  <c r="Y113" i="1" a="1"/>
  <c r="Y113" i="1"/>
  <c r="AH113" i="1"/>
  <c r="Y114" i="1" a="1"/>
  <c r="Y114" i="1"/>
  <c r="AH114" i="1"/>
  <c r="Y115" i="1" a="1"/>
  <c r="Y115" i="1"/>
  <c r="AH115" i="1"/>
  <c r="Y116" i="1" a="1"/>
  <c r="Y116" i="1"/>
  <c r="AH116" i="1"/>
  <c r="Y117" i="1" a="1"/>
  <c r="Y117" i="1"/>
  <c r="AH117" i="1"/>
  <c r="Y118" i="1" a="1"/>
  <c r="Y118" i="1"/>
  <c r="AH118" i="1"/>
  <c r="Y119" i="1" a="1"/>
  <c r="Y119" i="1"/>
  <c r="AH119" i="1"/>
  <c r="Y120" i="1" a="1"/>
  <c r="Y120" i="1"/>
  <c r="AH120" i="1"/>
  <c r="Y121" i="1" a="1"/>
  <c r="Y121" i="1"/>
  <c r="AH121" i="1"/>
  <c r="Y122" i="1" a="1"/>
  <c r="Y122" i="1"/>
  <c r="AH122" i="1"/>
  <c r="Y123" i="1" a="1"/>
  <c r="Y123" i="1"/>
  <c r="AH123" i="1"/>
  <c r="Y124" i="1" a="1"/>
  <c r="Y124" i="1"/>
  <c r="AH124" i="1"/>
  <c r="Y125" i="1" a="1"/>
  <c r="Y125" i="1"/>
  <c r="AH125" i="1"/>
  <c r="Y126" i="1" a="1"/>
  <c r="Y126" i="1"/>
  <c r="AH126" i="1"/>
  <c r="Y127" i="1" a="1"/>
  <c r="Y127" i="1"/>
  <c r="AH127" i="1"/>
  <c r="Y128" i="1" a="1"/>
  <c r="Y128" i="1"/>
  <c r="AH128" i="1"/>
  <c r="Y129" i="1" a="1"/>
  <c r="Y129" i="1"/>
  <c r="AH129" i="1"/>
  <c r="Y130" i="1" a="1"/>
  <c r="Y130" i="1"/>
  <c r="AH130" i="1"/>
  <c r="Y131" i="1" a="1"/>
  <c r="Y131" i="1"/>
  <c r="AH131" i="1"/>
  <c r="Y132" i="1" a="1"/>
  <c r="Y132" i="1"/>
  <c r="AH132" i="1"/>
  <c r="Y133" i="1" a="1"/>
  <c r="Y133" i="1"/>
  <c r="AH133" i="1"/>
  <c r="Y134" i="1" a="1"/>
  <c r="Y134" i="1"/>
  <c r="AH134" i="1"/>
  <c r="Y135" i="1" a="1"/>
  <c r="Y135" i="1"/>
  <c r="AH135" i="1"/>
  <c r="Y136" i="1" a="1"/>
  <c r="Y136" i="1"/>
  <c r="AH136" i="1"/>
  <c r="Y137" i="1" a="1"/>
  <c r="Y137" i="1"/>
  <c r="AH137" i="1"/>
  <c r="Y138" i="1" a="1"/>
  <c r="Y138" i="1"/>
  <c r="AH138" i="1"/>
  <c r="Y139" i="1" a="1"/>
  <c r="Y139" i="1"/>
  <c r="AH139" i="1"/>
  <c r="Y140" i="1" a="1"/>
  <c r="Y140" i="1"/>
  <c r="AH140" i="1"/>
  <c r="Y141" i="1" a="1"/>
  <c r="Y141" i="1"/>
  <c r="AH141" i="1"/>
  <c r="Y142" i="1" a="1"/>
  <c r="Y142" i="1"/>
  <c r="AH142" i="1"/>
  <c r="Y143" i="1" a="1"/>
  <c r="Y143" i="1"/>
  <c r="AH143" i="1"/>
  <c r="Y144" i="1" a="1"/>
  <c r="Y144" i="1"/>
  <c r="AH144" i="1"/>
  <c r="Y145" i="1" a="1"/>
  <c r="Y145" i="1"/>
  <c r="AH145" i="1"/>
  <c r="Y146" i="1" a="1"/>
  <c r="Y146" i="1"/>
  <c r="AH146" i="1"/>
  <c r="Y147" i="1" a="1"/>
  <c r="Y147" i="1"/>
  <c r="AH147" i="1"/>
  <c r="Y148" i="1" a="1"/>
  <c r="Y148" i="1"/>
  <c r="AH148" i="1"/>
  <c r="Y149" i="1" a="1"/>
  <c r="Y149" i="1"/>
  <c r="AH149" i="1"/>
  <c r="Y150" i="1" a="1"/>
  <c r="Y150" i="1"/>
  <c r="AH150" i="1"/>
  <c r="Y151" i="1" a="1"/>
  <c r="Y151" i="1"/>
  <c r="AH151" i="1"/>
  <c r="Y152" i="1" a="1"/>
  <c r="Y152" i="1"/>
  <c r="AH152" i="1"/>
  <c r="Y153" i="1" a="1"/>
  <c r="Y153" i="1"/>
  <c r="AH153" i="1"/>
  <c r="Y154" i="1" a="1"/>
  <c r="Y154" i="1"/>
  <c r="AH154" i="1"/>
  <c r="Y155" i="1" a="1"/>
  <c r="Y155" i="1"/>
  <c r="AH155" i="1"/>
  <c r="Y156" i="1" a="1"/>
  <c r="Y156" i="1"/>
  <c r="AH156" i="1"/>
  <c r="Y157" i="1" a="1"/>
  <c r="Y157" i="1"/>
  <c r="AH157" i="1"/>
  <c r="Y158" i="1" a="1"/>
  <c r="Y158" i="1"/>
  <c r="AH158" i="1"/>
  <c r="Y159" i="1" a="1"/>
  <c r="Y159" i="1"/>
  <c r="AH159" i="1"/>
  <c r="Y160" i="1" a="1"/>
  <c r="Y160" i="1"/>
  <c r="AH160" i="1"/>
  <c r="Y161" i="1" a="1"/>
  <c r="Y161" i="1"/>
  <c r="AH161" i="1"/>
  <c r="Y162" i="1" a="1"/>
  <c r="Y162" i="1"/>
  <c r="AH162" i="1"/>
  <c r="Y163" i="1" a="1"/>
  <c r="Y163" i="1"/>
  <c r="AH163" i="1"/>
  <c r="Y164" i="1" a="1"/>
  <c r="Y164" i="1"/>
  <c r="AH164" i="1"/>
  <c r="Y165" i="1" a="1"/>
  <c r="Y165" i="1"/>
  <c r="AH165" i="1"/>
  <c r="Y166" i="1" a="1"/>
  <c r="Y166" i="1"/>
  <c r="AH166" i="1"/>
  <c r="Y167" i="1" a="1"/>
  <c r="Y167" i="1"/>
  <c r="AH167" i="1"/>
  <c r="Y168" i="1" a="1"/>
  <c r="Y168" i="1"/>
  <c r="AH168" i="1"/>
  <c r="Y169" i="1" a="1"/>
  <c r="Y169" i="1"/>
  <c r="AH169" i="1"/>
  <c r="Y170" i="1" a="1"/>
  <c r="Y170" i="1"/>
  <c r="AH170" i="1"/>
  <c r="Y171" i="1" a="1"/>
  <c r="Y171" i="1"/>
  <c r="AH171" i="1"/>
  <c r="Y172" i="1" a="1"/>
  <c r="Y172" i="1"/>
  <c r="AH172" i="1"/>
  <c r="Y173" i="1" a="1"/>
  <c r="Y173" i="1"/>
  <c r="AH173" i="1"/>
  <c r="Y174" i="1" a="1"/>
  <c r="Y174" i="1"/>
  <c r="AH174" i="1"/>
  <c r="Y175" i="1" a="1"/>
  <c r="Y175" i="1"/>
  <c r="AH175" i="1"/>
  <c r="Y176" i="1" a="1"/>
  <c r="Y176" i="1"/>
  <c r="AH176" i="1"/>
  <c r="Y177" i="1" a="1"/>
  <c r="Y177" i="1"/>
  <c r="AH177" i="1"/>
  <c r="Y178" i="1" a="1"/>
  <c r="Y178" i="1"/>
  <c r="AH178" i="1"/>
  <c r="Y179" i="1" a="1"/>
  <c r="Y179" i="1"/>
  <c r="AH179" i="1"/>
  <c r="Y180" i="1" a="1"/>
  <c r="Y180" i="1"/>
  <c r="AH180" i="1"/>
  <c r="Y181" i="1" a="1"/>
  <c r="Y181" i="1"/>
  <c r="AH181" i="1"/>
  <c r="Y182" i="1" a="1"/>
  <c r="Y182" i="1"/>
  <c r="AH182" i="1"/>
  <c r="Y183" i="1" a="1"/>
  <c r="Y183" i="1"/>
  <c r="AH183" i="1"/>
  <c r="Y184" i="1" a="1"/>
  <c r="Y184" i="1"/>
  <c r="AH184" i="1"/>
  <c r="Y185" i="1" a="1"/>
  <c r="Y185" i="1"/>
  <c r="AH185" i="1"/>
  <c r="Y186" i="1" a="1"/>
  <c r="Y186" i="1"/>
  <c r="AH186" i="1"/>
  <c r="Y187" i="1" a="1"/>
  <c r="Y187" i="1"/>
  <c r="AH187" i="1"/>
  <c r="Y188" i="1" a="1"/>
  <c r="Y188" i="1"/>
  <c r="AH188" i="1"/>
  <c r="Y189" i="1" a="1"/>
  <c r="Y189" i="1"/>
  <c r="AH189" i="1"/>
  <c r="Y190" i="1" a="1"/>
  <c r="Y190" i="1"/>
  <c r="AH190" i="1"/>
  <c r="Y191" i="1" a="1"/>
  <c r="Y191" i="1"/>
  <c r="AH191" i="1"/>
  <c r="Y192" i="1" a="1"/>
  <c r="Y192" i="1"/>
  <c r="AH192" i="1"/>
  <c r="Y193" i="1" a="1"/>
  <c r="Y193" i="1"/>
  <c r="AH193" i="1"/>
  <c r="Y194" i="1" a="1"/>
  <c r="Y194" i="1"/>
  <c r="AH194" i="1"/>
  <c r="Y195" i="1" a="1"/>
  <c r="Y195" i="1"/>
  <c r="AH195" i="1"/>
  <c r="Y196" i="1" a="1"/>
  <c r="Y196" i="1"/>
  <c r="AH196" i="1"/>
  <c r="Y197" i="1" a="1"/>
  <c r="Y197" i="1"/>
  <c r="AH197" i="1"/>
  <c r="Y198" i="1" a="1"/>
  <c r="Y198" i="1"/>
  <c r="AH198" i="1"/>
  <c r="Y199" i="1" a="1"/>
  <c r="Y199" i="1"/>
  <c r="AH199" i="1"/>
  <c r="Y200" i="1" a="1"/>
  <c r="Y200" i="1"/>
  <c r="AH200" i="1"/>
  <c r="Y201" i="1" a="1"/>
  <c r="Y201" i="1"/>
  <c r="AH201" i="1"/>
  <c r="Y202" i="1" a="1"/>
  <c r="Y202" i="1"/>
  <c r="AH202" i="1"/>
  <c r="Y203" i="1" a="1"/>
  <c r="Y203" i="1"/>
  <c r="AH203" i="1"/>
  <c r="Y204" i="1" a="1"/>
  <c r="Y204" i="1"/>
  <c r="AH204" i="1"/>
  <c r="Y205" i="1" a="1"/>
  <c r="Y205" i="1"/>
  <c r="AH205" i="1"/>
  <c r="Y206" i="1" a="1"/>
  <c r="Y206" i="1"/>
  <c r="AH206" i="1"/>
  <c r="Y207" i="1" a="1"/>
  <c r="Y207" i="1"/>
  <c r="AH207" i="1"/>
  <c r="Y208" i="1" a="1"/>
  <c r="Y208" i="1"/>
  <c r="AH208" i="1"/>
  <c r="Y209" i="1" a="1"/>
  <c r="Y209" i="1"/>
  <c r="AH209" i="1"/>
  <c r="Y210" i="1" a="1"/>
  <c r="Y210" i="1"/>
  <c r="AH210" i="1"/>
  <c r="Y211" i="1" a="1"/>
  <c r="Y211" i="1"/>
  <c r="AH211" i="1"/>
  <c r="Y212" i="1" a="1"/>
  <c r="Y212" i="1"/>
  <c r="AH212" i="1"/>
  <c r="Y213" i="1" a="1"/>
  <c r="Y213" i="1"/>
  <c r="AH213" i="1"/>
  <c r="Y214" i="1" a="1"/>
  <c r="Y214" i="1"/>
  <c r="AH214" i="1"/>
  <c r="Y215" i="1" a="1"/>
  <c r="Y215" i="1"/>
  <c r="AH215" i="1"/>
  <c r="Y216" i="1" a="1"/>
  <c r="Y216" i="1"/>
  <c r="AH216" i="1"/>
  <c r="Y217" i="1" a="1"/>
  <c r="Y217" i="1"/>
  <c r="AH217" i="1"/>
  <c r="Y218" i="1" a="1"/>
  <c r="Y218" i="1"/>
  <c r="AH218" i="1"/>
  <c r="Y219" i="1" a="1"/>
  <c r="Y219" i="1"/>
  <c r="AH219" i="1"/>
  <c r="Y220" i="1" a="1"/>
  <c r="Y220" i="1"/>
  <c r="AH220" i="1"/>
  <c r="Y221" i="1" a="1"/>
  <c r="Y221" i="1"/>
  <c r="AH221" i="1"/>
  <c r="Y222" i="1" a="1"/>
  <c r="Y222" i="1"/>
  <c r="AH222" i="1"/>
  <c r="Y223" i="1" a="1"/>
  <c r="Y223" i="1"/>
  <c r="AH223" i="1"/>
  <c r="Y224" i="1" a="1"/>
  <c r="Y224" i="1"/>
  <c r="AH224" i="1"/>
  <c r="Y225" i="1" a="1"/>
  <c r="Y225" i="1"/>
  <c r="AH225" i="1"/>
  <c r="Y226" i="1" a="1"/>
  <c r="Y226" i="1"/>
  <c r="AH226" i="1"/>
  <c r="Y227" i="1" a="1"/>
  <c r="Y227" i="1"/>
  <c r="AH227" i="1"/>
  <c r="Y228" i="1" a="1"/>
  <c r="Y228" i="1"/>
  <c r="AH228" i="1"/>
  <c r="Y229" i="1" a="1"/>
  <c r="Y229" i="1"/>
  <c r="AH229" i="1"/>
  <c r="Y230" i="1" a="1"/>
  <c r="Y230" i="1"/>
  <c r="AH230" i="1"/>
  <c r="Y231" i="1" a="1"/>
  <c r="Y231" i="1"/>
  <c r="AH231" i="1"/>
  <c r="Y232" i="1" a="1"/>
  <c r="Y232" i="1"/>
  <c r="AH232" i="1"/>
  <c r="Y233" i="1" a="1"/>
  <c r="Y233" i="1"/>
  <c r="AH233" i="1"/>
  <c r="Y234" i="1" a="1"/>
  <c r="Y234" i="1"/>
  <c r="AH234" i="1"/>
  <c r="Y235" i="1" a="1"/>
  <c r="Y235" i="1"/>
  <c r="AH235" i="1"/>
  <c r="Y236" i="1" a="1"/>
  <c r="Y236" i="1"/>
  <c r="Y237" i="1" a="1"/>
  <c r="Y237" i="1"/>
  <c r="AH237" i="1"/>
  <c r="Y238" i="1" a="1"/>
  <c r="Y238" i="1"/>
  <c r="AH238" i="1"/>
  <c r="Y239" i="1" a="1"/>
  <c r="Y239" i="1"/>
  <c r="AH239" i="1"/>
  <c r="Y240" i="1" a="1"/>
  <c r="Y240" i="1"/>
  <c r="AH240" i="1"/>
  <c r="Y241" i="1" a="1"/>
  <c r="Y241" i="1"/>
  <c r="AH241" i="1"/>
  <c r="Y242" i="1" a="1"/>
  <c r="Y242" i="1"/>
  <c r="AH242" i="1"/>
  <c r="Y243" i="1" a="1"/>
  <c r="Y243" i="1"/>
  <c r="AH243" i="1"/>
  <c r="Y244" i="1" a="1"/>
  <c r="Y244" i="1"/>
  <c r="AH244" i="1"/>
  <c r="Y245" i="1" a="1"/>
  <c r="Y245" i="1"/>
  <c r="AH245" i="1"/>
  <c r="Y246" i="1" a="1"/>
  <c r="Y246" i="1"/>
  <c r="AH246" i="1"/>
  <c r="Y247" i="1" a="1"/>
  <c r="Y247" i="1"/>
  <c r="AH247" i="1"/>
  <c r="Y248" i="1" a="1"/>
  <c r="Y248" i="1"/>
  <c r="AH248" i="1"/>
  <c r="Y249" i="1" a="1"/>
  <c r="Y249" i="1"/>
  <c r="AH249" i="1"/>
  <c r="Y250" i="1" a="1"/>
  <c r="Y250" i="1"/>
  <c r="AH250" i="1"/>
  <c r="Y251" i="1" a="1"/>
  <c r="Y251" i="1"/>
  <c r="AH251" i="1"/>
  <c r="Y252" i="1" a="1"/>
  <c r="Y252" i="1"/>
  <c r="AH252" i="1"/>
  <c r="Y253" i="1" a="1"/>
  <c r="Y253" i="1"/>
  <c r="AH253" i="1"/>
  <c r="Y254" i="1" a="1"/>
  <c r="Y254" i="1"/>
  <c r="AH254" i="1"/>
  <c r="Y255" i="1" a="1"/>
  <c r="Y255" i="1"/>
  <c r="AH255" i="1"/>
  <c r="Y256" i="1" a="1"/>
  <c r="Y256" i="1"/>
  <c r="AH256" i="1"/>
  <c r="Y257" i="1" a="1"/>
  <c r="Y257" i="1"/>
  <c r="AH257" i="1"/>
  <c r="Y258" i="1" a="1"/>
  <c r="Y258" i="1"/>
  <c r="AH258" i="1"/>
  <c r="Y259" i="1" a="1"/>
  <c r="Y259" i="1"/>
  <c r="AH259" i="1"/>
  <c r="Y260" i="1" a="1"/>
  <c r="Y260" i="1"/>
  <c r="AH260" i="1"/>
  <c r="Y261" i="1" a="1"/>
  <c r="Y261" i="1"/>
  <c r="AH261" i="1"/>
  <c r="Y262" i="1" a="1"/>
  <c r="Y262" i="1"/>
  <c r="AH262" i="1"/>
  <c r="Y263" i="1" a="1"/>
  <c r="Y263" i="1"/>
  <c r="AH263" i="1"/>
  <c r="Y264" i="1" a="1"/>
  <c r="Y264" i="1"/>
  <c r="AH264" i="1"/>
  <c r="Y265" i="1" a="1"/>
  <c r="Y265" i="1"/>
  <c r="AH265" i="1"/>
  <c r="Y266" i="1" a="1"/>
  <c r="Y266" i="1"/>
  <c r="AH266" i="1"/>
  <c r="Y267" i="1" a="1"/>
  <c r="Y267" i="1"/>
  <c r="AH267" i="1"/>
  <c r="Y268" i="1" a="1"/>
  <c r="Y268" i="1"/>
  <c r="AH268" i="1"/>
  <c r="Y269" i="1" a="1"/>
  <c r="Y269" i="1"/>
  <c r="AH269" i="1"/>
  <c r="Y270" i="1" a="1"/>
  <c r="Y270" i="1"/>
  <c r="AH270" i="1"/>
  <c r="Y271" i="1" a="1"/>
  <c r="Y271" i="1"/>
  <c r="AH271" i="1"/>
  <c r="Y272" i="1" a="1"/>
  <c r="Y272" i="1"/>
  <c r="AH272" i="1"/>
  <c r="Y273" i="1" a="1"/>
  <c r="Y273" i="1"/>
  <c r="AH273" i="1"/>
  <c r="Y274" i="1" a="1"/>
  <c r="Y274" i="1"/>
  <c r="AH274" i="1"/>
  <c r="Y275" i="1" a="1"/>
  <c r="Y275" i="1"/>
  <c r="AH275" i="1"/>
  <c r="Y276" i="1" a="1"/>
  <c r="Y276" i="1"/>
  <c r="AH276" i="1"/>
  <c r="Y277" i="1" a="1"/>
  <c r="Y277" i="1"/>
  <c r="AH277" i="1"/>
  <c r="Y278" i="1" a="1"/>
  <c r="Y278" i="1"/>
  <c r="AH278" i="1"/>
  <c r="Y279" i="1" a="1"/>
  <c r="Y279" i="1"/>
  <c r="AH279" i="1"/>
  <c r="Y280" i="1" a="1"/>
  <c r="Y280" i="1"/>
  <c r="AH280" i="1"/>
  <c r="Y281" i="1" a="1"/>
  <c r="Y281" i="1"/>
  <c r="AH281" i="1"/>
  <c r="Y282" i="1" a="1"/>
  <c r="Y282" i="1"/>
  <c r="AH282" i="1"/>
  <c r="Y283" i="1" a="1"/>
  <c r="Y283" i="1"/>
  <c r="AH283" i="1"/>
  <c r="Y284" i="1" a="1"/>
  <c r="Y284" i="1"/>
  <c r="AH284" i="1"/>
  <c r="Y285" i="1" a="1"/>
  <c r="Y285" i="1"/>
  <c r="AH285" i="1"/>
  <c r="Y286" i="1" a="1"/>
  <c r="Y286" i="1"/>
  <c r="AH286" i="1"/>
  <c r="Y287" i="1" a="1"/>
  <c r="Y287" i="1"/>
  <c r="AH287" i="1"/>
  <c r="Y288" i="1" a="1"/>
  <c r="Y288" i="1"/>
  <c r="AH288" i="1"/>
  <c r="Y289" i="1" a="1"/>
  <c r="Y289" i="1"/>
  <c r="AH289" i="1"/>
  <c r="Y290" i="1" a="1"/>
  <c r="Y290" i="1"/>
  <c r="AH290" i="1"/>
  <c r="Y291" i="1" a="1"/>
  <c r="Y291" i="1"/>
  <c r="AH291" i="1"/>
  <c r="Y292" i="1" a="1"/>
  <c r="Y292" i="1"/>
  <c r="AH292" i="1"/>
  <c r="Y293" i="1" a="1"/>
  <c r="Y293" i="1"/>
  <c r="AH293" i="1"/>
  <c r="Y294" i="1" a="1"/>
  <c r="Y294" i="1"/>
  <c r="AH294" i="1"/>
  <c r="Y295" i="1" a="1"/>
  <c r="Y295" i="1"/>
  <c r="AH295" i="1"/>
  <c r="Y296" i="1" a="1"/>
  <c r="Y296" i="1"/>
  <c r="AH296" i="1"/>
  <c r="Y297" i="1" a="1"/>
  <c r="Y297" i="1"/>
  <c r="AH297" i="1"/>
  <c r="Y298" i="1" a="1"/>
  <c r="Y298" i="1"/>
  <c r="AH298" i="1"/>
  <c r="Y299" i="1" a="1"/>
  <c r="Y299" i="1"/>
  <c r="AH299" i="1"/>
  <c r="Y300" i="1" a="1"/>
  <c r="Y300" i="1"/>
  <c r="AH300" i="1"/>
  <c r="Y301" i="1" a="1"/>
  <c r="Y301" i="1"/>
  <c r="AH301" i="1"/>
  <c r="Y302" i="1" a="1"/>
  <c r="Y302" i="1"/>
  <c r="AH302" i="1"/>
  <c r="Y303" i="1" a="1"/>
  <c r="Y303" i="1"/>
  <c r="AH303" i="1"/>
  <c r="Y304" i="1" a="1"/>
  <c r="Y304" i="1"/>
  <c r="AH304" i="1"/>
  <c r="Y305" i="1" a="1"/>
  <c r="Y305" i="1"/>
  <c r="AH305" i="1"/>
  <c r="Y306" i="1" a="1"/>
  <c r="Y306" i="1"/>
  <c r="AH306" i="1"/>
  <c r="Y307" i="1" a="1"/>
  <c r="Y307" i="1"/>
  <c r="AH307" i="1"/>
  <c r="Y308" i="1" a="1"/>
  <c r="Y308" i="1"/>
  <c r="AH308" i="1"/>
  <c r="Y309" i="1" a="1"/>
  <c r="Y309" i="1"/>
  <c r="AH309" i="1"/>
  <c r="Y310" i="1" a="1"/>
  <c r="Y310" i="1"/>
  <c r="AH310" i="1"/>
  <c r="Y311" i="1" a="1"/>
  <c r="Y311" i="1"/>
  <c r="AH311" i="1"/>
  <c r="Y312" i="1" a="1"/>
  <c r="Y312" i="1"/>
  <c r="AH312" i="1"/>
  <c r="Y313" i="1" a="1"/>
  <c r="Y313" i="1"/>
  <c r="AH313" i="1"/>
  <c r="Y314" i="1" a="1"/>
  <c r="Y314" i="1"/>
  <c r="AH314" i="1"/>
  <c r="Y315" i="1" a="1"/>
  <c r="Y315" i="1"/>
  <c r="AH315" i="1"/>
  <c r="Y316" i="1" a="1"/>
  <c r="Y316" i="1"/>
  <c r="AH316" i="1"/>
  <c r="Y317" i="1" a="1"/>
  <c r="Y317" i="1"/>
  <c r="AH317" i="1"/>
  <c r="Y318" i="1" a="1"/>
  <c r="Y318" i="1"/>
  <c r="AH318" i="1"/>
  <c r="Y319" i="1" a="1"/>
  <c r="Y319" i="1"/>
  <c r="AH319" i="1"/>
  <c r="Y320" i="1" a="1"/>
  <c r="Y320" i="1"/>
  <c r="AH320" i="1"/>
  <c r="Y321" i="1" a="1"/>
  <c r="Y321" i="1"/>
  <c r="AH321" i="1"/>
  <c r="Y322" i="1" a="1"/>
  <c r="Y322" i="1"/>
  <c r="AH322" i="1"/>
  <c r="Y323" i="1" a="1"/>
  <c r="Y323" i="1"/>
  <c r="AH323" i="1"/>
  <c r="Y324" i="1" a="1"/>
  <c r="Y324" i="1"/>
  <c r="AH324" i="1"/>
  <c r="Y325" i="1" a="1"/>
  <c r="Y325" i="1"/>
  <c r="AH325" i="1"/>
  <c r="Y326" i="1" a="1"/>
  <c r="Y326" i="1"/>
  <c r="AH326" i="1"/>
  <c r="Y327" i="1" a="1"/>
  <c r="Y327" i="1"/>
  <c r="AH327" i="1"/>
  <c r="Y328" i="1" a="1"/>
  <c r="Y328" i="1"/>
  <c r="AH328" i="1"/>
  <c r="Y329" i="1" a="1"/>
  <c r="Y329" i="1"/>
  <c r="AH329" i="1"/>
  <c r="Y330" i="1" a="1"/>
  <c r="Y330" i="1"/>
  <c r="AH330" i="1"/>
  <c r="Y331" i="1" a="1"/>
  <c r="Y331" i="1"/>
  <c r="Y332" i="1" a="1"/>
  <c r="Y332" i="1"/>
  <c r="AH332" i="1"/>
  <c r="Y333" i="1" a="1"/>
  <c r="Y333" i="1"/>
  <c r="AH333" i="1"/>
  <c r="Y334" i="1" a="1"/>
  <c r="Y334" i="1"/>
  <c r="AH334" i="1"/>
  <c r="Y335" i="1" a="1"/>
  <c r="Y335" i="1"/>
  <c r="AH335" i="1"/>
  <c r="Y336" i="1" a="1"/>
  <c r="Y336" i="1"/>
  <c r="AH336" i="1"/>
  <c r="Y337" i="1" a="1"/>
  <c r="Y337" i="1"/>
  <c r="AH337" i="1"/>
  <c r="Y338" i="1" a="1"/>
  <c r="Y338" i="1"/>
  <c r="AH338" i="1"/>
  <c r="Y339" i="1" a="1"/>
  <c r="Y339" i="1"/>
  <c r="AH339" i="1"/>
  <c r="Y340" i="1" a="1"/>
  <c r="Y340" i="1"/>
  <c r="Y341" i="1" a="1"/>
  <c r="Y341" i="1"/>
  <c r="Y342" i="1" a="1"/>
  <c r="Y342" i="1"/>
  <c r="AH342" i="1"/>
  <c r="Y343" i="1" a="1"/>
  <c r="Y343" i="1"/>
  <c r="AH343" i="1"/>
  <c r="Y344" i="1" a="1"/>
  <c r="Y344" i="1"/>
  <c r="AH344" i="1"/>
  <c r="Y345" i="1" a="1"/>
  <c r="Y345" i="1"/>
  <c r="AH345" i="1"/>
  <c r="Y346" i="1" a="1"/>
  <c r="Y346" i="1"/>
  <c r="AH346" i="1"/>
  <c r="Y347" i="1" a="1"/>
  <c r="Y347" i="1"/>
  <c r="AH347" i="1"/>
  <c r="Y348" i="1" a="1"/>
  <c r="Y348" i="1"/>
  <c r="AH348" i="1"/>
  <c r="Y349" i="1" a="1"/>
  <c r="Y349" i="1"/>
  <c r="AH349" i="1"/>
  <c r="Y350" i="1" a="1"/>
  <c r="Y350" i="1"/>
  <c r="AH350" i="1"/>
  <c r="Y351" i="1" a="1"/>
  <c r="Y351" i="1"/>
  <c r="AH351" i="1"/>
  <c r="Y352" i="1" a="1"/>
  <c r="Y352" i="1"/>
  <c r="AH352" i="1"/>
  <c r="Y353" i="1" a="1"/>
  <c r="Y353" i="1"/>
  <c r="Y354" i="1" a="1"/>
  <c r="Y354" i="1"/>
  <c r="AH354" i="1"/>
  <c r="Y355" i="1" a="1"/>
  <c r="Y355" i="1"/>
  <c r="AH355" i="1"/>
  <c r="Y356" i="1" a="1"/>
  <c r="Y356" i="1"/>
  <c r="AH356" i="1"/>
  <c r="Y357" i="1" a="1"/>
  <c r="Y357" i="1"/>
  <c r="AH357" i="1"/>
  <c r="Y358" i="1" a="1"/>
  <c r="Y358" i="1"/>
  <c r="AH358" i="1"/>
  <c r="Y359" i="1" a="1"/>
  <c r="Y359" i="1"/>
  <c r="AH359" i="1"/>
  <c r="Y360" i="1" a="1"/>
  <c r="Y360" i="1"/>
  <c r="AH360" i="1"/>
  <c r="Y361" i="1" a="1"/>
  <c r="Y361" i="1"/>
  <c r="AH361" i="1"/>
  <c r="Y362" i="1" a="1"/>
  <c r="Y362" i="1"/>
  <c r="AH362" i="1"/>
  <c r="Y363" i="1" a="1"/>
  <c r="Y363" i="1"/>
  <c r="AH363" i="1"/>
  <c r="Y364" i="1" a="1"/>
  <c r="Y364" i="1"/>
  <c r="AH364" i="1"/>
  <c r="Y365" i="1" a="1"/>
  <c r="Y365" i="1"/>
  <c r="AH365" i="1"/>
  <c r="Y366" i="1" a="1"/>
  <c r="Y366" i="1"/>
  <c r="AH366" i="1"/>
  <c r="Y367" i="1" a="1"/>
  <c r="Y367" i="1"/>
  <c r="AH367" i="1"/>
  <c r="Y368" i="1" a="1"/>
  <c r="Y368" i="1"/>
  <c r="AH368" i="1"/>
  <c r="Y369" i="1" a="1"/>
  <c r="Y369" i="1"/>
  <c r="AH369" i="1"/>
  <c r="Y370" i="1" a="1"/>
  <c r="Y370" i="1"/>
  <c r="AH370" i="1"/>
  <c r="Y371" i="1" a="1"/>
  <c r="Y371" i="1"/>
  <c r="AH371" i="1"/>
  <c r="Y372" i="1" a="1"/>
  <c r="Y372" i="1"/>
  <c r="AH372" i="1"/>
  <c r="Y373" i="1" a="1"/>
  <c r="Y373" i="1"/>
  <c r="AH373" i="1"/>
  <c r="Y374" i="1" a="1"/>
  <c r="Y374" i="1"/>
  <c r="AH374" i="1"/>
  <c r="Y375" i="1" a="1"/>
  <c r="Y375" i="1"/>
  <c r="AH375" i="1"/>
  <c r="Y376" i="1" a="1"/>
  <c r="Y376" i="1"/>
  <c r="AH376" i="1"/>
  <c r="Y377" i="1" a="1"/>
  <c r="Y377" i="1"/>
  <c r="AH377" i="1"/>
  <c r="Y378" i="1" a="1"/>
  <c r="Y378" i="1"/>
  <c r="AH378" i="1"/>
  <c r="Y379" i="1" a="1"/>
  <c r="Y379" i="1"/>
  <c r="AH379" i="1"/>
  <c r="Y380" i="1" a="1"/>
  <c r="Y380" i="1"/>
  <c r="AH380" i="1"/>
  <c r="Y381" i="1" a="1"/>
  <c r="Y381" i="1"/>
  <c r="AH381" i="1"/>
  <c r="Y382" i="1" a="1"/>
  <c r="Y382" i="1"/>
  <c r="AH382" i="1"/>
  <c r="Y383" i="1" a="1"/>
  <c r="Y383" i="1"/>
  <c r="AH383" i="1"/>
  <c r="Y384" i="1" a="1"/>
  <c r="Y384" i="1"/>
  <c r="AH384" i="1"/>
  <c r="Y385" i="1" a="1"/>
  <c r="Y385" i="1"/>
  <c r="AH385" i="1"/>
  <c r="Y386" i="1" a="1"/>
  <c r="Y386" i="1"/>
  <c r="AH386" i="1"/>
  <c r="Y387" i="1" a="1"/>
  <c r="Y387" i="1"/>
  <c r="AH387" i="1"/>
  <c r="Y388" i="1" a="1"/>
  <c r="Y388" i="1"/>
  <c r="AH388" i="1"/>
  <c r="Y389" i="1" a="1"/>
  <c r="Y389" i="1"/>
  <c r="AH389" i="1"/>
  <c r="Y390" i="1" a="1"/>
  <c r="Y390" i="1"/>
  <c r="AH390" i="1"/>
  <c r="Y391" i="1" a="1"/>
  <c r="Y391" i="1"/>
  <c r="AH391" i="1"/>
  <c r="Y392" i="1" a="1"/>
  <c r="Y392" i="1"/>
  <c r="AH392" i="1"/>
  <c r="Y393" i="1" a="1"/>
  <c r="Y393" i="1"/>
  <c r="AH393" i="1"/>
  <c r="Y394" i="1" a="1"/>
  <c r="Y394" i="1"/>
  <c r="AH394" i="1"/>
  <c r="Y395" i="1" a="1"/>
  <c r="Y395" i="1"/>
  <c r="AH395" i="1"/>
  <c r="Y396" i="1" a="1"/>
  <c r="Y396" i="1"/>
  <c r="AH396" i="1"/>
  <c r="Y397" i="1" a="1"/>
  <c r="Y397" i="1"/>
  <c r="AH397" i="1"/>
  <c r="Y398" i="1" a="1"/>
  <c r="Y398" i="1"/>
  <c r="AH398" i="1"/>
  <c r="Y399" i="1" a="1"/>
  <c r="Y399" i="1"/>
  <c r="AH399" i="1"/>
  <c r="Y400" i="1" a="1"/>
  <c r="Y400" i="1"/>
  <c r="AH400" i="1"/>
  <c r="Y401" i="1" a="1"/>
  <c r="Y401" i="1"/>
  <c r="AH401" i="1"/>
  <c r="Y402" i="1" a="1"/>
  <c r="Y402" i="1"/>
  <c r="AH402" i="1"/>
  <c r="Y403" i="1" a="1"/>
  <c r="Y403" i="1"/>
  <c r="AH403" i="1"/>
  <c r="Y404" i="1" a="1"/>
  <c r="Y404" i="1"/>
  <c r="AH404" i="1"/>
  <c r="Y405" i="1" a="1"/>
  <c r="Y405" i="1"/>
  <c r="AH405" i="1"/>
  <c r="Y406" i="1" a="1"/>
  <c r="Y406" i="1"/>
  <c r="AH406" i="1"/>
  <c r="Y407" i="1" a="1"/>
  <c r="Y407" i="1"/>
  <c r="AH407" i="1"/>
  <c r="Y408" i="1" a="1"/>
  <c r="Y408" i="1"/>
  <c r="AH408" i="1"/>
  <c r="Y409" i="1" a="1"/>
  <c r="Y409" i="1"/>
  <c r="AH409" i="1"/>
  <c r="Y410" i="1" a="1"/>
  <c r="Y410" i="1"/>
  <c r="AH410" i="1"/>
  <c r="Y411" i="1" a="1"/>
  <c r="Y411" i="1"/>
  <c r="AH411" i="1"/>
  <c r="Y412" i="1" a="1"/>
  <c r="Y412" i="1"/>
  <c r="AH412" i="1"/>
  <c r="Y413" i="1" a="1"/>
  <c r="Y413" i="1"/>
  <c r="AH413" i="1"/>
  <c r="Y414" i="1" a="1"/>
  <c r="Y414" i="1"/>
  <c r="AH414" i="1"/>
  <c r="Y415" i="1" a="1"/>
  <c r="Y415" i="1"/>
  <c r="AH415" i="1"/>
  <c r="Y416" i="1" a="1"/>
  <c r="Y416" i="1"/>
  <c r="AH416" i="1"/>
  <c r="Y417" i="1" a="1"/>
  <c r="Y417" i="1"/>
  <c r="AH417" i="1"/>
  <c r="Y418" i="1" a="1"/>
  <c r="Y418" i="1"/>
  <c r="AH418" i="1"/>
  <c r="Y419" i="1" a="1"/>
  <c r="Y419" i="1"/>
  <c r="AH419" i="1"/>
  <c r="Y420" i="1" a="1"/>
  <c r="Y420" i="1"/>
  <c r="AH420" i="1"/>
  <c r="Y421" i="1" a="1"/>
  <c r="Y421" i="1"/>
  <c r="AH421" i="1"/>
  <c r="Y422" i="1" a="1"/>
  <c r="Y422" i="1"/>
  <c r="AH422" i="1"/>
  <c r="Y423" i="1" a="1"/>
  <c r="Y423" i="1"/>
  <c r="AH423" i="1"/>
  <c r="Y424" i="1" a="1"/>
  <c r="Y424" i="1"/>
  <c r="AH424" i="1"/>
  <c r="Y425" i="1" a="1"/>
  <c r="Y425" i="1"/>
  <c r="AH425" i="1"/>
  <c r="Y426" i="1" a="1"/>
  <c r="Y426" i="1"/>
  <c r="AH426" i="1"/>
  <c r="Y427" i="1" a="1"/>
  <c r="Y427" i="1"/>
  <c r="AH427" i="1"/>
  <c r="Y428" i="1" a="1"/>
  <c r="Y428" i="1"/>
  <c r="AH428" i="1"/>
  <c r="Y429" i="1" a="1"/>
  <c r="Y429" i="1"/>
  <c r="AH429" i="1"/>
  <c r="Y430" i="1" a="1"/>
  <c r="Y430" i="1"/>
  <c r="AH430" i="1"/>
  <c r="Y431" i="1" a="1"/>
  <c r="Y431" i="1"/>
  <c r="AH431" i="1"/>
  <c r="Y432" i="1" a="1"/>
  <c r="Y432" i="1"/>
  <c r="AH432" i="1"/>
  <c r="Y433" i="1" a="1"/>
  <c r="Y433" i="1"/>
  <c r="AH433" i="1"/>
  <c r="Y434" i="1" a="1"/>
  <c r="Y434" i="1"/>
  <c r="AH434" i="1"/>
  <c r="Y435" i="1" a="1"/>
  <c r="Y435" i="1"/>
  <c r="AH435" i="1"/>
  <c r="Y436" i="1" a="1"/>
  <c r="Y436" i="1"/>
  <c r="AH436" i="1"/>
  <c r="Y437" i="1" a="1"/>
  <c r="Y437" i="1"/>
  <c r="AH437" i="1"/>
  <c r="Y438" i="1" a="1"/>
  <c r="Y438" i="1"/>
  <c r="AH438" i="1"/>
  <c r="Y439" i="1" a="1"/>
  <c r="Y439" i="1"/>
  <c r="AH439" i="1"/>
  <c r="Y440" i="1" a="1"/>
  <c r="Y440" i="1"/>
  <c r="AH440" i="1"/>
  <c r="Y441" i="1" a="1"/>
  <c r="Y441" i="1"/>
  <c r="AH441" i="1"/>
  <c r="Y442" i="1" a="1"/>
  <c r="Y442" i="1"/>
  <c r="AH442" i="1"/>
  <c r="Y443" i="1" a="1"/>
  <c r="Y443" i="1"/>
  <c r="AH443" i="1"/>
  <c r="Y444" i="1" a="1"/>
  <c r="Y444" i="1"/>
  <c r="AH444" i="1"/>
  <c r="Y445" i="1" a="1"/>
  <c r="Y445" i="1"/>
  <c r="AH445" i="1"/>
  <c r="Y446" i="1" a="1"/>
  <c r="Y446" i="1"/>
  <c r="AH446" i="1"/>
  <c r="Y447" i="1" a="1"/>
  <c r="Y447" i="1"/>
  <c r="AH447" i="1"/>
  <c r="Y448" i="1" a="1"/>
  <c r="Y448" i="1"/>
  <c r="AH448" i="1"/>
  <c r="Y449" i="1" a="1"/>
  <c r="Y449" i="1"/>
  <c r="AH449" i="1"/>
  <c r="Y450" i="1" a="1"/>
  <c r="Y450" i="1"/>
  <c r="AH450" i="1"/>
  <c r="Y451" i="1" a="1"/>
  <c r="Y451" i="1"/>
  <c r="AH451" i="1"/>
  <c r="Y452" i="1" a="1"/>
  <c r="Y452" i="1"/>
  <c r="AH452" i="1"/>
  <c r="Y453" i="1" a="1"/>
  <c r="Y453" i="1"/>
  <c r="AH453" i="1"/>
  <c r="Y454" i="1" a="1"/>
  <c r="Y454" i="1"/>
  <c r="AH454" i="1"/>
  <c r="Y455" i="1" a="1"/>
  <c r="Y455" i="1"/>
  <c r="AH455" i="1"/>
  <c r="Y456" i="1" a="1"/>
  <c r="Y456" i="1"/>
  <c r="AH456" i="1"/>
  <c r="Y457" i="1" a="1"/>
  <c r="Y457" i="1"/>
  <c r="AH457" i="1"/>
  <c r="Y458" i="1" a="1"/>
  <c r="Y458" i="1"/>
  <c r="AH458" i="1"/>
  <c r="Y459" i="1" a="1"/>
  <c r="Y459" i="1"/>
  <c r="AH459" i="1"/>
  <c r="Y460" i="1" a="1"/>
  <c r="Y460" i="1"/>
  <c r="AH460" i="1"/>
  <c r="Y461" i="1" a="1"/>
  <c r="Y461" i="1"/>
  <c r="AH461" i="1"/>
  <c r="Y462" i="1" a="1"/>
  <c r="Y462" i="1"/>
  <c r="AH462" i="1"/>
  <c r="Y463" i="1" a="1"/>
  <c r="Y463" i="1"/>
  <c r="AH463" i="1"/>
  <c r="Y464" i="1" a="1"/>
  <c r="Y464" i="1"/>
  <c r="AH464" i="1"/>
  <c r="Y465" i="1" a="1"/>
  <c r="Y465" i="1"/>
  <c r="AH465" i="1"/>
  <c r="Y466" i="1" a="1"/>
  <c r="Y466" i="1"/>
  <c r="AH466" i="1"/>
  <c r="Y467" i="1" a="1"/>
  <c r="Y467" i="1"/>
  <c r="AH467" i="1"/>
  <c r="Y468" i="1" a="1"/>
  <c r="Y468" i="1"/>
  <c r="AH468" i="1"/>
  <c r="Y469" i="1" a="1"/>
  <c r="Y469" i="1"/>
  <c r="AH469" i="1"/>
  <c r="Y470" i="1" a="1"/>
  <c r="Y470" i="1"/>
  <c r="AH470" i="1"/>
  <c r="Y471" i="1" a="1"/>
  <c r="Y471" i="1"/>
  <c r="AH471" i="1"/>
  <c r="Y472" i="1" a="1"/>
  <c r="Y472" i="1"/>
  <c r="AH472" i="1"/>
  <c r="Y473" i="1" a="1"/>
  <c r="Y473" i="1"/>
  <c r="AH473" i="1"/>
  <c r="Y474" i="1" a="1"/>
  <c r="Y474" i="1"/>
  <c r="AH474" i="1"/>
  <c r="Y475" i="1" a="1"/>
  <c r="Y475" i="1"/>
  <c r="AH475" i="1"/>
  <c r="Y476" i="1" a="1"/>
  <c r="Y476" i="1"/>
  <c r="AH476" i="1"/>
  <c r="Y477" i="1" a="1"/>
  <c r="Y477" i="1"/>
  <c r="AH477" i="1"/>
  <c r="Y478" i="1" a="1"/>
  <c r="Y478" i="1"/>
  <c r="AH478" i="1"/>
  <c r="Y479" i="1" a="1"/>
  <c r="Y479" i="1"/>
  <c r="AH479" i="1"/>
  <c r="Y480" i="1" a="1"/>
  <c r="Y480" i="1"/>
  <c r="AH480" i="1"/>
  <c r="Y481" i="1" a="1"/>
  <c r="Y481" i="1"/>
  <c r="AH481" i="1"/>
  <c r="Y482" i="1" a="1"/>
  <c r="Y482" i="1"/>
  <c r="AH482" i="1"/>
  <c r="Y483" i="1" a="1"/>
  <c r="Y483" i="1"/>
  <c r="AH483" i="1"/>
  <c r="Y484" i="1" a="1"/>
  <c r="Y484" i="1"/>
  <c r="AH484" i="1"/>
  <c r="Y485" i="1" a="1"/>
  <c r="Y485" i="1"/>
  <c r="AH485" i="1"/>
  <c r="Y486" i="1" a="1"/>
  <c r="Y486" i="1"/>
  <c r="AH486" i="1"/>
  <c r="Y487" i="1" a="1"/>
  <c r="Y487" i="1"/>
  <c r="AH487" i="1"/>
  <c r="Y488" i="1" a="1"/>
  <c r="Y488" i="1"/>
  <c r="AH488" i="1"/>
  <c r="Y489" i="1" a="1"/>
  <c r="Y489" i="1"/>
  <c r="AH489" i="1"/>
  <c r="Y490" i="1" a="1"/>
  <c r="Y490" i="1"/>
  <c r="AH490" i="1"/>
  <c r="Y491" i="1" a="1"/>
  <c r="Y491" i="1"/>
  <c r="AH491" i="1"/>
  <c r="Y492" i="1" a="1"/>
  <c r="Y492" i="1"/>
  <c r="AH492" i="1"/>
  <c r="Y493" i="1" a="1"/>
  <c r="Y493" i="1"/>
  <c r="AH493" i="1"/>
  <c r="Y494" i="1" a="1"/>
  <c r="Y494" i="1"/>
  <c r="AH494" i="1"/>
  <c r="Y495" i="1" a="1"/>
  <c r="Y495" i="1"/>
  <c r="AH495" i="1"/>
  <c r="Y496" i="1" a="1"/>
  <c r="Y496" i="1"/>
  <c r="AH496" i="1"/>
  <c r="Y497" i="1" a="1"/>
  <c r="Y497" i="1"/>
  <c r="AH497" i="1"/>
  <c r="Y498" i="1" a="1"/>
  <c r="Y498" i="1"/>
  <c r="AH498" i="1"/>
  <c r="Y499" i="1" a="1"/>
  <c r="Y499" i="1"/>
  <c r="AH499" i="1"/>
  <c r="Y500" i="1" a="1"/>
  <c r="Y500" i="1"/>
  <c r="AH500" i="1"/>
  <c r="Y501" i="1" a="1"/>
  <c r="Y501" i="1"/>
  <c r="AH501" i="1"/>
  <c r="Y502" i="1" a="1"/>
  <c r="Y502" i="1"/>
  <c r="AH502" i="1"/>
  <c r="Y503" i="1" a="1"/>
  <c r="Y503" i="1"/>
  <c r="AH503" i="1"/>
  <c r="Y504" i="1" a="1"/>
  <c r="Y504" i="1"/>
  <c r="AH504" i="1"/>
  <c r="Y505" i="1" a="1"/>
  <c r="Y505" i="1"/>
  <c r="AH505" i="1"/>
  <c r="Y506" i="1" a="1"/>
  <c r="Y506" i="1"/>
  <c r="AH506" i="1"/>
  <c r="Y507" i="1" a="1"/>
  <c r="Y507" i="1"/>
  <c r="AH507" i="1"/>
  <c r="Y508" i="1" a="1"/>
  <c r="Y508" i="1"/>
  <c r="AH508" i="1"/>
  <c r="Y509" i="1" a="1"/>
  <c r="Y509" i="1"/>
  <c r="AH509" i="1"/>
  <c r="Y510" i="1" a="1"/>
  <c r="Y510" i="1"/>
  <c r="AH510" i="1"/>
  <c r="Y511" i="1" a="1"/>
  <c r="Y511" i="1"/>
  <c r="AH511" i="1"/>
  <c r="Y512" i="1" a="1"/>
  <c r="Y512" i="1"/>
  <c r="AH512" i="1"/>
  <c r="Y513" i="1" a="1"/>
  <c r="Y513" i="1"/>
  <c r="AH513" i="1"/>
  <c r="Y514" i="1" a="1"/>
  <c r="Y514" i="1"/>
  <c r="AH514" i="1"/>
  <c r="Y515" i="1" a="1"/>
  <c r="Y515" i="1"/>
  <c r="AH515" i="1"/>
  <c r="Y516" i="1" a="1"/>
  <c r="Y516" i="1"/>
  <c r="AH516" i="1"/>
  <c r="Y517" i="1" a="1"/>
  <c r="Y517" i="1"/>
  <c r="AH517" i="1"/>
  <c r="Y518" i="1" a="1"/>
  <c r="Y518" i="1"/>
  <c r="AH518" i="1"/>
  <c r="Y519" i="1" a="1"/>
  <c r="Y519" i="1"/>
  <c r="AH519" i="1"/>
  <c r="Y520" i="1" a="1"/>
  <c r="Y520" i="1"/>
  <c r="AH520" i="1"/>
  <c r="Y521" i="1" a="1"/>
  <c r="Y521" i="1"/>
  <c r="AH521" i="1"/>
  <c r="Y522" i="1" a="1"/>
  <c r="Y522" i="1"/>
  <c r="AH522" i="1"/>
  <c r="Y523" i="1" a="1"/>
  <c r="Y523" i="1"/>
  <c r="AH523" i="1"/>
  <c r="Y524" i="1" a="1"/>
  <c r="Y524" i="1"/>
  <c r="AH524" i="1"/>
  <c r="Y525" i="1" a="1"/>
  <c r="Y525" i="1"/>
  <c r="Y526" i="1" a="1"/>
  <c r="Y526" i="1"/>
  <c r="AH526" i="1"/>
  <c r="Y527" i="1" a="1"/>
  <c r="Y527" i="1"/>
  <c r="AH527" i="1"/>
  <c r="Y528" i="1" a="1"/>
  <c r="Y528" i="1"/>
  <c r="Y529" i="1" a="1"/>
  <c r="Y529" i="1"/>
  <c r="AH529" i="1"/>
  <c r="Y530" i="1" a="1"/>
  <c r="Y530" i="1"/>
  <c r="AH530" i="1"/>
  <c r="Y80" i="1" a="1"/>
  <c r="Y80" i="1"/>
  <c r="AH80" i="1"/>
  <c r="Z80" i="1" a="1"/>
  <c r="Z80" i="1"/>
  <c r="AI80" i="1"/>
  <c r="AA80" i="1" a="1"/>
  <c r="AA80" i="1"/>
  <c r="AJ80" i="1"/>
  <c r="X81" i="1" a="1"/>
  <c r="X81" i="1"/>
  <c r="AG81" i="1"/>
  <c r="X82" i="1" a="1"/>
  <c r="X82" i="1"/>
  <c r="AG82" i="1"/>
  <c r="X83" i="1" a="1"/>
  <c r="X83" i="1"/>
  <c r="AG83" i="1"/>
  <c r="X84" i="1" a="1"/>
  <c r="X84" i="1"/>
  <c r="AG84" i="1"/>
  <c r="X85" i="1" a="1"/>
  <c r="X85" i="1"/>
  <c r="AG85" i="1"/>
  <c r="X86" i="1" a="1"/>
  <c r="X86" i="1"/>
  <c r="AG86" i="1"/>
  <c r="X87" i="1" a="1"/>
  <c r="X87" i="1"/>
  <c r="AG87" i="1"/>
  <c r="X88" i="1" a="1"/>
  <c r="X88" i="1"/>
  <c r="AG88" i="1"/>
  <c r="X89" i="1" a="1"/>
  <c r="X89" i="1"/>
  <c r="AG89" i="1"/>
  <c r="X90" i="1" a="1"/>
  <c r="X90" i="1"/>
  <c r="AG90" i="1"/>
  <c r="X91" i="1" a="1"/>
  <c r="X91" i="1"/>
  <c r="AG91" i="1"/>
  <c r="X92" i="1" a="1"/>
  <c r="X92" i="1"/>
  <c r="AG92" i="1"/>
  <c r="X93" i="1" a="1"/>
  <c r="X93" i="1"/>
  <c r="AG93" i="1"/>
  <c r="X94" i="1" a="1"/>
  <c r="X94" i="1"/>
  <c r="AG94" i="1"/>
  <c r="X95" i="1" a="1"/>
  <c r="X95" i="1"/>
  <c r="AG95" i="1"/>
  <c r="X96" i="1" a="1"/>
  <c r="X96" i="1"/>
  <c r="AG96" i="1"/>
  <c r="X97" i="1" a="1"/>
  <c r="X97" i="1"/>
  <c r="AG97" i="1"/>
  <c r="X98" i="1" a="1"/>
  <c r="X98" i="1"/>
  <c r="AG98" i="1"/>
  <c r="X99" i="1" a="1"/>
  <c r="X99" i="1"/>
  <c r="AG99" i="1"/>
  <c r="X100" i="1" a="1"/>
  <c r="X100" i="1"/>
  <c r="AG100" i="1"/>
  <c r="X101" i="1" a="1"/>
  <c r="X101" i="1"/>
  <c r="AG101" i="1"/>
  <c r="X102" i="1" a="1"/>
  <c r="X102" i="1"/>
  <c r="AG102" i="1"/>
  <c r="X103" i="1" a="1"/>
  <c r="X103" i="1"/>
  <c r="AG103" i="1"/>
  <c r="X104" i="1" a="1"/>
  <c r="X104" i="1"/>
  <c r="AG104" i="1"/>
  <c r="X105" i="1" a="1"/>
  <c r="X105" i="1"/>
  <c r="AG105" i="1"/>
  <c r="X106" i="1" a="1"/>
  <c r="X106" i="1"/>
  <c r="AG106" i="1"/>
  <c r="X107" i="1" a="1"/>
  <c r="X107" i="1"/>
  <c r="AG107" i="1"/>
  <c r="X108" i="1" a="1"/>
  <c r="X108" i="1"/>
  <c r="AG108" i="1"/>
  <c r="X109" i="1" a="1"/>
  <c r="X109" i="1"/>
  <c r="AG109" i="1"/>
  <c r="X110" i="1" a="1"/>
  <c r="X110" i="1"/>
  <c r="AG110" i="1"/>
  <c r="X111" i="1" a="1"/>
  <c r="X111" i="1"/>
  <c r="AG111" i="1"/>
  <c r="X112" i="1" a="1"/>
  <c r="X112" i="1"/>
  <c r="AG112" i="1"/>
  <c r="X113" i="1" a="1"/>
  <c r="X113" i="1"/>
  <c r="AG113" i="1"/>
  <c r="X114" i="1" a="1"/>
  <c r="X114" i="1"/>
  <c r="AG114" i="1"/>
  <c r="X115" i="1" a="1"/>
  <c r="X115" i="1"/>
  <c r="AG115" i="1"/>
  <c r="X116" i="1" a="1"/>
  <c r="X116" i="1"/>
  <c r="AG116" i="1"/>
  <c r="X117" i="1" a="1"/>
  <c r="X117" i="1"/>
  <c r="AG117" i="1"/>
  <c r="X118" i="1" a="1"/>
  <c r="X118" i="1"/>
  <c r="AG118" i="1"/>
  <c r="X119" i="1" a="1"/>
  <c r="X119" i="1"/>
  <c r="AG119" i="1"/>
  <c r="X120" i="1" a="1"/>
  <c r="X120" i="1"/>
  <c r="AG120" i="1"/>
  <c r="X121" i="1" a="1"/>
  <c r="X121" i="1"/>
  <c r="AG121" i="1"/>
  <c r="X122" i="1" a="1"/>
  <c r="X122" i="1"/>
  <c r="AG122" i="1"/>
  <c r="X123" i="1" a="1"/>
  <c r="X123" i="1"/>
  <c r="AG123" i="1"/>
  <c r="X124" i="1" a="1"/>
  <c r="X124" i="1"/>
  <c r="AG124" i="1"/>
  <c r="X125" i="1" a="1"/>
  <c r="X125" i="1"/>
  <c r="AG125" i="1"/>
  <c r="X126" i="1" a="1"/>
  <c r="X126" i="1"/>
  <c r="AG126" i="1"/>
  <c r="X127" i="1" a="1"/>
  <c r="X127" i="1"/>
  <c r="AG127" i="1"/>
  <c r="X128" i="1" a="1"/>
  <c r="X128" i="1"/>
  <c r="AG128" i="1"/>
  <c r="X129" i="1" a="1"/>
  <c r="X129" i="1"/>
  <c r="AG129" i="1"/>
  <c r="X130" i="1" a="1"/>
  <c r="X130" i="1"/>
  <c r="AG130" i="1"/>
  <c r="X131" i="1" a="1"/>
  <c r="X131" i="1"/>
  <c r="AG131" i="1"/>
  <c r="X132" i="1" a="1"/>
  <c r="X132" i="1"/>
  <c r="AG132" i="1"/>
  <c r="X133" i="1" a="1"/>
  <c r="X133" i="1"/>
  <c r="AG133" i="1"/>
  <c r="X134" i="1" a="1"/>
  <c r="X134" i="1"/>
  <c r="AG134" i="1"/>
  <c r="X135" i="1" a="1"/>
  <c r="X135" i="1"/>
  <c r="AG135" i="1"/>
  <c r="X136" i="1" a="1"/>
  <c r="X136" i="1"/>
  <c r="AG136" i="1"/>
  <c r="X137" i="1" a="1"/>
  <c r="X137" i="1"/>
  <c r="AG137" i="1"/>
  <c r="X138" i="1" a="1"/>
  <c r="X138" i="1"/>
  <c r="AG138" i="1"/>
  <c r="X139" i="1" a="1"/>
  <c r="X139" i="1"/>
  <c r="AG139" i="1"/>
  <c r="X140" i="1" a="1"/>
  <c r="X140" i="1"/>
  <c r="AG140" i="1"/>
  <c r="X141" i="1" a="1"/>
  <c r="X141" i="1"/>
  <c r="AG141" i="1"/>
  <c r="X142" i="1" a="1"/>
  <c r="X142" i="1"/>
  <c r="AG142" i="1"/>
  <c r="X143" i="1" a="1"/>
  <c r="X143" i="1"/>
  <c r="AG143" i="1"/>
  <c r="X144" i="1" a="1"/>
  <c r="X144" i="1"/>
  <c r="AG144" i="1"/>
  <c r="X145" i="1" a="1"/>
  <c r="X145" i="1"/>
  <c r="AG145" i="1"/>
  <c r="X146" i="1" a="1"/>
  <c r="X146" i="1"/>
  <c r="AG146" i="1"/>
  <c r="X147" i="1" a="1"/>
  <c r="X147" i="1"/>
  <c r="AG147" i="1"/>
  <c r="X148" i="1" a="1"/>
  <c r="X148" i="1"/>
  <c r="AG148" i="1"/>
  <c r="X149" i="1" a="1"/>
  <c r="X149" i="1"/>
  <c r="AG149" i="1"/>
  <c r="X150" i="1" a="1"/>
  <c r="X150" i="1"/>
  <c r="AG150" i="1"/>
  <c r="X151" i="1" a="1"/>
  <c r="X151" i="1"/>
  <c r="AG151" i="1"/>
  <c r="X152" i="1" a="1"/>
  <c r="X152" i="1"/>
  <c r="AG152" i="1"/>
  <c r="X153" i="1" a="1"/>
  <c r="X153" i="1"/>
  <c r="AG153" i="1"/>
  <c r="X154" i="1" a="1"/>
  <c r="X154" i="1"/>
  <c r="AG154" i="1"/>
  <c r="X155" i="1" a="1"/>
  <c r="X155" i="1"/>
  <c r="AG155" i="1"/>
  <c r="X156" i="1" a="1"/>
  <c r="X156" i="1"/>
  <c r="AG156" i="1"/>
  <c r="X157" i="1" a="1"/>
  <c r="X157" i="1"/>
  <c r="AG157" i="1"/>
  <c r="X158" i="1" a="1"/>
  <c r="X158" i="1"/>
  <c r="AG158" i="1"/>
  <c r="X159" i="1" a="1"/>
  <c r="X159" i="1"/>
  <c r="AG159" i="1"/>
  <c r="X160" i="1" a="1"/>
  <c r="X160" i="1"/>
  <c r="AG160" i="1"/>
  <c r="X161" i="1" a="1"/>
  <c r="X161" i="1"/>
  <c r="AG161" i="1"/>
  <c r="X162" i="1" a="1"/>
  <c r="X162" i="1"/>
  <c r="AG162" i="1"/>
  <c r="X163" i="1" a="1"/>
  <c r="X163" i="1"/>
  <c r="AG163" i="1"/>
  <c r="X164" i="1" a="1"/>
  <c r="X164" i="1"/>
  <c r="AG164" i="1"/>
  <c r="X165" i="1" a="1"/>
  <c r="X165" i="1"/>
  <c r="AG165" i="1"/>
  <c r="X166" i="1" a="1"/>
  <c r="X166" i="1"/>
  <c r="AG166" i="1"/>
  <c r="X167" i="1" a="1"/>
  <c r="X167" i="1"/>
  <c r="AG167" i="1"/>
  <c r="X168" i="1" a="1"/>
  <c r="X168" i="1"/>
  <c r="AG168" i="1"/>
  <c r="X169" i="1" a="1"/>
  <c r="X169" i="1"/>
  <c r="AG169" i="1"/>
  <c r="X170" i="1" a="1"/>
  <c r="X170" i="1"/>
  <c r="AG170" i="1"/>
  <c r="X171" i="1" a="1"/>
  <c r="X171" i="1"/>
  <c r="AG171" i="1"/>
  <c r="X172" i="1" a="1"/>
  <c r="X172" i="1"/>
  <c r="AG172" i="1"/>
  <c r="X173" i="1" a="1"/>
  <c r="X173" i="1"/>
  <c r="AG173" i="1"/>
  <c r="X174" i="1" a="1"/>
  <c r="X174" i="1"/>
  <c r="AG174" i="1"/>
  <c r="X175" i="1" a="1"/>
  <c r="X175" i="1"/>
  <c r="AG175" i="1"/>
  <c r="X176" i="1" a="1"/>
  <c r="X176" i="1"/>
  <c r="AG176" i="1"/>
  <c r="X177" i="1" a="1"/>
  <c r="X177" i="1"/>
  <c r="AG177" i="1"/>
  <c r="X178" i="1" a="1"/>
  <c r="X178" i="1"/>
  <c r="AG178" i="1"/>
  <c r="X179" i="1" a="1"/>
  <c r="X179" i="1"/>
  <c r="AG179" i="1"/>
  <c r="X180" i="1" a="1"/>
  <c r="X180" i="1"/>
  <c r="AG180" i="1"/>
  <c r="X181" i="1" a="1"/>
  <c r="X181" i="1"/>
  <c r="AG181" i="1"/>
  <c r="X182" i="1" a="1"/>
  <c r="X182" i="1"/>
  <c r="AG182" i="1"/>
  <c r="X183" i="1" a="1"/>
  <c r="X183" i="1"/>
  <c r="AG183" i="1"/>
  <c r="X184" i="1" a="1"/>
  <c r="X184" i="1"/>
  <c r="AG184" i="1"/>
  <c r="X185" i="1" a="1"/>
  <c r="X185" i="1"/>
  <c r="AG185" i="1"/>
  <c r="X186" i="1" a="1"/>
  <c r="X186" i="1"/>
  <c r="AG186" i="1"/>
  <c r="X187" i="1" a="1"/>
  <c r="X187" i="1"/>
  <c r="AG187" i="1"/>
  <c r="X188" i="1" a="1"/>
  <c r="X188" i="1"/>
  <c r="AG188" i="1"/>
  <c r="X189" i="1" a="1"/>
  <c r="X189" i="1"/>
  <c r="AG189" i="1"/>
  <c r="X190" i="1" a="1"/>
  <c r="X190" i="1"/>
  <c r="AG190" i="1"/>
  <c r="X191" i="1" a="1"/>
  <c r="X191" i="1"/>
  <c r="AG191" i="1"/>
  <c r="X192" i="1" a="1"/>
  <c r="X192" i="1"/>
  <c r="AG192" i="1"/>
  <c r="X193" i="1" a="1"/>
  <c r="X193" i="1"/>
  <c r="AG193" i="1"/>
  <c r="X194" i="1" a="1"/>
  <c r="X194" i="1"/>
  <c r="AG194" i="1"/>
  <c r="X195" i="1" a="1"/>
  <c r="X195" i="1"/>
  <c r="AG195" i="1"/>
  <c r="X196" i="1" a="1"/>
  <c r="X196" i="1"/>
  <c r="AG196" i="1"/>
  <c r="X197" i="1" a="1"/>
  <c r="X197" i="1"/>
  <c r="AG197" i="1"/>
  <c r="X198" i="1" a="1"/>
  <c r="X198" i="1"/>
  <c r="AG198" i="1"/>
  <c r="X199" i="1" a="1"/>
  <c r="X199" i="1"/>
  <c r="AG199" i="1"/>
  <c r="X200" i="1" a="1"/>
  <c r="X200" i="1"/>
  <c r="AG200" i="1"/>
  <c r="X201" i="1" a="1"/>
  <c r="X201" i="1"/>
  <c r="AG201" i="1"/>
  <c r="X202" i="1" a="1"/>
  <c r="X202" i="1"/>
  <c r="AG202" i="1"/>
  <c r="X203" i="1" a="1"/>
  <c r="X203" i="1"/>
  <c r="AG203" i="1"/>
  <c r="X204" i="1" a="1"/>
  <c r="X204" i="1"/>
  <c r="AG204" i="1"/>
  <c r="X205" i="1" a="1"/>
  <c r="X205" i="1"/>
  <c r="AG205" i="1"/>
  <c r="X206" i="1" a="1"/>
  <c r="X206" i="1"/>
  <c r="AG206" i="1"/>
  <c r="X207" i="1" a="1"/>
  <c r="X207" i="1"/>
  <c r="AG207" i="1"/>
  <c r="X208" i="1" a="1"/>
  <c r="X208" i="1"/>
  <c r="AG208" i="1"/>
  <c r="X209" i="1" a="1"/>
  <c r="X209" i="1"/>
  <c r="AG209" i="1"/>
  <c r="X210" i="1" a="1"/>
  <c r="X210" i="1"/>
  <c r="AG210" i="1"/>
  <c r="X211" i="1" a="1"/>
  <c r="X211" i="1"/>
  <c r="AG211" i="1"/>
  <c r="X212" i="1" a="1"/>
  <c r="X212" i="1"/>
  <c r="AG212" i="1"/>
  <c r="X213" i="1" a="1"/>
  <c r="X213" i="1"/>
  <c r="AG213" i="1"/>
  <c r="X214" i="1" a="1"/>
  <c r="X214" i="1"/>
  <c r="AG214" i="1"/>
  <c r="X215" i="1" a="1"/>
  <c r="X215" i="1"/>
  <c r="AG215" i="1"/>
  <c r="X216" i="1" a="1"/>
  <c r="X216" i="1"/>
  <c r="AG216" i="1"/>
  <c r="X217" i="1" a="1"/>
  <c r="X217" i="1"/>
  <c r="AG217" i="1"/>
  <c r="X218" i="1" a="1"/>
  <c r="X218" i="1"/>
  <c r="AG218" i="1"/>
  <c r="X219" i="1" a="1"/>
  <c r="X219" i="1"/>
  <c r="AG219" i="1"/>
  <c r="X220" i="1" a="1"/>
  <c r="X220" i="1"/>
  <c r="AG220" i="1"/>
  <c r="X221" i="1" a="1"/>
  <c r="X221" i="1"/>
  <c r="AG221" i="1"/>
  <c r="X222" i="1" a="1"/>
  <c r="X222" i="1"/>
  <c r="AG222" i="1"/>
  <c r="X223" i="1" a="1"/>
  <c r="X223" i="1"/>
  <c r="AG223" i="1"/>
  <c r="X224" i="1" a="1"/>
  <c r="X224" i="1"/>
  <c r="AG224" i="1"/>
  <c r="X225" i="1" a="1"/>
  <c r="X225" i="1"/>
  <c r="AG225" i="1"/>
  <c r="X226" i="1" a="1"/>
  <c r="X226" i="1"/>
  <c r="AG226" i="1"/>
  <c r="X227" i="1" a="1"/>
  <c r="X227" i="1"/>
  <c r="AG227" i="1"/>
  <c r="X228" i="1" a="1"/>
  <c r="X228" i="1"/>
  <c r="AG228" i="1"/>
  <c r="X229" i="1" a="1"/>
  <c r="X229" i="1"/>
  <c r="AG229" i="1"/>
  <c r="X230" i="1" a="1"/>
  <c r="X230" i="1"/>
  <c r="AG230" i="1"/>
  <c r="X231" i="1" a="1"/>
  <c r="X231" i="1"/>
  <c r="AG231" i="1"/>
  <c r="X232" i="1" a="1"/>
  <c r="X232" i="1"/>
  <c r="AG232" i="1"/>
  <c r="X233" i="1" a="1"/>
  <c r="X233" i="1"/>
  <c r="AG233" i="1"/>
  <c r="X234" i="1" a="1"/>
  <c r="X234" i="1"/>
  <c r="AG234" i="1"/>
  <c r="X235" i="1" a="1"/>
  <c r="X235" i="1"/>
  <c r="AG235" i="1"/>
  <c r="X236" i="1" a="1"/>
  <c r="X236" i="1"/>
  <c r="AG236" i="1"/>
  <c r="X237" i="1" a="1"/>
  <c r="X237" i="1"/>
  <c r="AG237" i="1"/>
  <c r="X238" i="1" a="1"/>
  <c r="X238" i="1"/>
  <c r="AG238" i="1"/>
  <c r="X239" i="1" a="1"/>
  <c r="X239" i="1"/>
  <c r="AG239" i="1"/>
  <c r="X240" i="1" a="1"/>
  <c r="X240" i="1"/>
  <c r="AG240" i="1"/>
  <c r="X241" i="1" a="1"/>
  <c r="X241" i="1"/>
  <c r="AG241" i="1"/>
  <c r="X242" i="1" a="1"/>
  <c r="X242" i="1"/>
  <c r="AG242" i="1"/>
  <c r="X243" i="1" a="1"/>
  <c r="X243" i="1"/>
  <c r="AG243" i="1"/>
  <c r="X244" i="1" a="1"/>
  <c r="X244" i="1"/>
  <c r="AG244" i="1"/>
  <c r="X245" i="1" a="1"/>
  <c r="X245" i="1"/>
  <c r="AG245" i="1"/>
  <c r="X246" i="1" a="1"/>
  <c r="X246" i="1"/>
  <c r="AG246" i="1"/>
  <c r="X247" i="1" a="1"/>
  <c r="X247" i="1"/>
  <c r="AG247" i="1"/>
  <c r="X248" i="1" a="1"/>
  <c r="X248" i="1"/>
  <c r="AG248" i="1"/>
  <c r="X249" i="1" a="1"/>
  <c r="X249" i="1"/>
  <c r="AG249" i="1"/>
  <c r="X250" i="1" a="1"/>
  <c r="X250" i="1"/>
  <c r="AG250" i="1"/>
  <c r="X251" i="1" a="1"/>
  <c r="X251" i="1"/>
  <c r="AG251" i="1"/>
  <c r="X252" i="1" a="1"/>
  <c r="X252" i="1"/>
  <c r="AG252" i="1"/>
  <c r="X253" i="1" a="1"/>
  <c r="X253" i="1"/>
  <c r="AG253" i="1"/>
  <c r="X254" i="1" a="1"/>
  <c r="X254" i="1"/>
  <c r="AG254" i="1"/>
  <c r="X255" i="1" a="1"/>
  <c r="X255" i="1"/>
  <c r="AG255" i="1"/>
  <c r="X256" i="1" a="1"/>
  <c r="X256" i="1"/>
  <c r="AG256" i="1"/>
  <c r="X257" i="1" a="1"/>
  <c r="X257" i="1"/>
  <c r="AG257" i="1"/>
  <c r="X258" i="1" a="1"/>
  <c r="X258" i="1"/>
  <c r="AG258" i="1"/>
  <c r="X259" i="1" a="1"/>
  <c r="X259" i="1"/>
  <c r="AG259" i="1"/>
  <c r="X260" i="1" a="1"/>
  <c r="X260" i="1"/>
  <c r="AG260" i="1"/>
  <c r="X261" i="1" a="1"/>
  <c r="X261" i="1"/>
  <c r="AG261" i="1"/>
  <c r="X262" i="1" a="1"/>
  <c r="X262" i="1"/>
  <c r="AG262" i="1"/>
  <c r="X263" i="1" a="1"/>
  <c r="X263" i="1"/>
  <c r="AG263" i="1"/>
  <c r="X264" i="1" a="1"/>
  <c r="X264" i="1"/>
  <c r="AG264" i="1"/>
  <c r="X265" i="1" a="1"/>
  <c r="X265" i="1"/>
  <c r="AG265" i="1"/>
  <c r="X266" i="1" a="1"/>
  <c r="X266" i="1"/>
  <c r="AG266" i="1"/>
  <c r="X267" i="1" a="1"/>
  <c r="X267" i="1"/>
  <c r="AG267" i="1"/>
  <c r="X268" i="1" a="1"/>
  <c r="X268" i="1"/>
  <c r="AG268" i="1"/>
  <c r="X269" i="1" a="1"/>
  <c r="X269" i="1"/>
  <c r="AG269" i="1"/>
  <c r="X270" i="1" a="1"/>
  <c r="X270" i="1"/>
  <c r="AG270" i="1"/>
  <c r="X271" i="1" a="1"/>
  <c r="X271" i="1"/>
  <c r="AG271" i="1"/>
  <c r="X272" i="1" a="1"/>
  <c r="X272" i="1"/>
  <c r="AG272" i="1"/>
  <c r="X273" i="1" a="1"/>
  <c r="X273" i="1"/>
  <c r="AG273" i="1"/>
  <c r="X274" i="1" a="1"/>
  <c r="X274" i="1"/>
  <c r="AG274" i="1"/>
  <c r="X275" i="1" a="1"/>
  <c r="X275" i="1"/>
  <c r="AG275" i="1"/>
  <c r="X276" i="1" a="1"/>
  <c r="X276" i="1"/>
  <c r="AG276" i="1"/>
  <c r="X277" i="1" a="1"/>
  <c r="X277" i="1"/>
  <c r="AG277" i="1"/>
  <c r="X278" i="1" a="1"/>
  <c r="X278" i="1"/>
  <c r="AG278" i="1"/>
  <c r="X279" i="1" a="1"/>
  <c r="X279" i="1"/>
  <c r="AG279" i="1"/>
  <c r="X280" i="1" a="1"/>
  <c r="X280" i="1"/>
  <c r="AG280" i="1"/>
  <c r="X281" i="1" a="1"/>
  <c r="X281" i="1"/>
  <c r="AG281" i="1"/>
  <c r="X282" i="1" a="1"/>
  <c r="X282" i="1"/>
  <c r="AG282" i="1"/>
  <c r="X283" i="1" a="1"/>
  <c r="X283" i="1"/>
  <c r="AG283" i="1"/>
  <c r="X284" i="1" a="1"/>
  <c r="X284" i="1"/>
  <c r="AG284" i="1"/>
  <c r="X285" i="1" a="1"/>
  <c r="X285" i="1"/>
  <c r="AG285" i="1"/>
  <c r="X286" i="1" a="1"/>
  <c r="X286" i="1"/>
  <c r="AG286" i="1"/>
  <c r="X287" i="1" a="1"/>
  <c r="X287" i="1"/>
  <c r="AG287" i="1"/>
  <c r="X288" i="1" a="1"/>
  <c r="X288" i="1"/>
  <c r="AG288" i="1"/>
  <c r="X289" i="1" a="1"/>
  <c r="X289" i="1"/>
  <c r="AG289" i="1"/>
  <c r="X290" i="1" a="1"/>
  <c r="X290" i="1"/>
  <c r="AG290" i="1"/>
  <c r="X291" i="1" a="1"/>
  <c r="X291" i="1"/>
  <c r="AG291" i="1"/>
  <c r="X292" i="1" a="1"/>
  <c r="X292" i="1"/>
  <c r="AG292" i="1"/>
  <c r="X293" i="1" a="1"/>
  <c r="X293" i="1"/>
  <c r="AG293" i="1"/>
  <c r="X294" i="1" a="1"/>
  <c r="X294" i="1"/>
  <c r="AG294" i="1"/>
  <c r="X295" i="1" a="1"/>
  <c r="X295" i="1"/>
  <c r="AG295" i="1"/>
  <c r="X296" i="1" a="1"/>
  <c r="X296" i="1"/>
  <c r="AG296" i="1"/>
  <c r="X297" i="1" a="1"/>
  <c r="X297" i="1"/>
  <c r="AG297" i="1"/>
  <c r="X298" i="1" a="1"/>
  <c r="X298" i="1"/>
  <c r="AG298" i="1"/>
  <c r="X299" i="1" a="1"/>
  <c r="X299" i="1"/>
  <c r="AG299" i="1"/>
  <c r="X300" i="1" a="1"/>
  <c r="X300" i="1"/>
  <c r="AG300" i="1"/>
  <c r="X301" i="1" a="1"/>
  <c r="X301" i="1"/>
  <c r="AG301" i="1"/>
  <c r="X302" i="1" a="1"/>
  <c r="X302" i="1"/>
  <c r="AG302" i="1"/>
  <c r="X303" i="1" a="1"/>
  <c r="X303" i="1"/>
  <c r="AG303" i="1"/>
  <c r="X304" i="1" a="1"/>
  <c r="X304" i="1"/>
  <c r="AG304" i="1"/>
  <c r="X305" i="1" a="1"/>
  <c r="X305" i="1"/>
  <c r="AG305" i="1"/>
  <c r="X306" i="1" a="1"/>
  <c r="X306" i="1"/>
  <c r="AG306" i="1"/>
  <c r="X307" i="1" a="1"/>
  <c r="X307" i="1"/>
  <c r="AG307" i="1"/>
  <c r="X308" i="1" a="1"/>
  <c r="X308" i="1"/>
  <c r="AG308" i="1"/>
  <c r="X309" i="1" a="1"/>
  <c r="X309" i="1"/>
  <c r="AG309" i="1"/>
  <c r="X310" i="1" a="1"/>
  <c r="X310" i="1"/>
  <c r="AG310" i="1"/>
  <c r="X311" i="1" a="1"/>
  <c r="X311" i="1"/>
  <c r="AG311" i="1"/>
  <c r="X312" i="1" a="1"/>
  <c r="X312" i="1"/>
  <c r="AG312" i="1"/>
  <c r="X313" i="1" a="1"/>
  <c r="X313" i="1"/>
  <c r="AG313" i="1"/>
  <c r="X314" i="1" a="1"/>
  <c r="X314" i="1"/>
  <c r="AG314" i="1"/>
  <c r="X315" i="1" a="1"/>
  <c r="X315" i="1"/>
  <c r="AG315" i="1"/>
  <c r="X316" i="1" a="1"/>
  <c r="X316" i="1"/>
  <c r="AG316" i="1"/>
  <c r="X317" i="1" a="1"/>
  <c r="X317" i="1"/>
  <c r="AG317" i="1"/>
  <c r="X318" i="1" a="1"/>
  <c r="X318" i="1"/>
  <c r="AG318" i="1"/>
  <c r="X319" i="1" a="1"/>
  <c r="X319" i="1"/>
  <c r="AG319" i="1"/>
  <c r="X320" i="1" a="1"/>
  <c r="X320" i="1"/>
  <c r="AG320" i="1"/>
  <c r="X321" i="1" a="1"/>
  <c r="X321" i="1"/>
  <c r="AG321" i="1"/>
  <c r="X322" i="1" a="1"/>
  <c r="X322" i="1"/>
  <c r="AG322" i="1"/>
  <c r="X323" i="1" a="1"/>
  <c r="X323" i="1"/>
  <c r="AG323" i="1"/>
  <c r="X324" i="1" a="1"/>
  <c r="X324" i="1"/>
  <c r="AG324" i="1"/>
  <c r="X325" i="1" a="1"/>
  <c r="X325" i="1"/>
  <c r="AG325" i="1"/>
  <c r="X326" i="1" a="1"/>
  <c r="X326" i="1"/>
  <c r="AG326" i="1"/>
  <c r="X327" i="1" a="1"/>
  <c r="X327" i="1"/>
  <c r="AG327" i="1"/>
  <c r="X328" i="1" a="1"/>
  <c r="X328" i="1"/>
  <c r="AG328" i="1"/>
  <c r="X329" i="1" a="1"/>
  <c r="X329" i="1"/>
  <c r="AG329" i="1"/>
  <c r="X330" i="1" a="1"/>
  <c r="X330" i="1"/>
  <c r="AG330" i="1"/>
  <c r="X331" i="1" a="1"/>
  <c r="X331" i="1"/>
  <c r="AG331" i="1"/>
  <c r="X332" i="1" a="1"/>
  <c r="X332" i="1"/>
  <c r="AG332" i="1"/>
  <c r="X333" i="1" a="1"/>
  <c r="X333" i="1"/>
  <c r="AG333" i="1"/>
  <c r="X334" i="1" a="1"/>
  <c r="X334" i="1"/>
  <c r="AG334" i="1"/>
  <c r="X335" i="1" a="1"/>
  <c r="X335" i="1"/>
  <c r="AG335" i="1"/>
  <c r="X336" i="1" a="1"/>
  <c r="X336" i="1"/>
  <c r="AG336" i="1"/>
  <c r="X337" i="1" a="1"/>
  <c r="X337" i="1"/>
  <c r="AG337" i="1"/>
  <c r="X338" i="1" a="1"/>
  <c r="X338" i="1"/>
  <c r="AG338" i="1"/>
  <c r="X339" i="1" a="1"/>
  <c r="X339" i="1"/>
  <c r="AG339" i="1"/>
  <c r="X340" i="1" a="1"/>
  <c r="X340" i="1"/>
  <c r="AG340" i="1"/>
  <c r="X341" i="1" a="1"/>
  <c r="X341" i="1"/>
  <c r="AG341" i="1"/>
  <c r="X342" i="1" a="1"/>
  <c r="X342" i="1"/>
  <c r="AG342" i="1"/>
  <c r="X343" i="1" a="1"/>
  <c r="X343" i="1"/>
  <c r="AG343" i="1"/>
  <c r="X344" i="1" a="1"/>
  <c r="X344" i="1"/>
  <c r="AG344" i="1"/>
  <c r="X345" i="1" a="1"/>
  <c r="X345" i="1"/>
  <c r="AG345" i="1"/>
  <c r="X346" i="1" a="1"/>
  <c r="X346" i="1"/>
  <c r="AG346" i="1"/>
  <c r="X347" i="1" a="1"/>
  <c r="X347" i="1"/>
  <c r="AG347" i="1"/>
  <c r="X348" i="1" a="1"/>
  <c r="X348" i="1"/>
  <c r="AG348" i="1"/>
  <c r="X349" i="1" a="1"/>
  <c r="X349" i="1"/>
  <c r="AG349" i="1"/>
  <c r="X350" i="1" a="1"/>
  <c r="X350" i="1"/>
  <c r="AG350" i="1"/>
  <c r="X351" i="1" a="1"/>
  <c r="X351" i="1"/>
  <c r="AG351" i="1"/>
  <c r="X352" i="1" a="1"/>
  <c r="X352" i="1"/>
  <c r="AG352" i="1"/>
  <c r="X353" i="1" a="1"/>
  <c r="X353" i="1"/>
  <c r="AG353" i="1"/>
  <c r="X354" i="1" a="1"/>
  <c r="X354" i="1"/>
  <c r="AG354" i="1"/>
  <c r="X355" i="1" a="1"/>
  <c r="X355" i="1"/>
  <c r="AG355" i="1"/>
  <c r="X356" i="1" a="1"/>
  <c r="X356" i="1"/>
  <c r="AG356" i="1"/>
  <c r="X357" i="1" a="1"/>
  <c r="X357" i="1"/>
  <c r="AG357" i="1"/>
  <c r="X358" i="1" a="1"/>
  <c r="X358" i="1"/>
  <c r="AG358" i="1"/>
  <c r="X359" i="1" a="1"/>
  <c r="X359" i="1"/>
  <c r="AG359" i="1"/>
  <c r="X360" i="1" a="1"/>
  <c r="X360" i="1"/>
  <c r="AG360" i="1"/>
  <c r="X361" i="1" a="1"/>
  <c r="X361" i="1"/>
  <c r="AG361" i="1"/>
  <c r="X362" i="1" a="1"/>
  <c r="X362" i="1"/>
  <c r="AG362" i="1"/>
  <c r="X363" i="1" a="1"/>
  <c r="X363" i="1"/>
  <c r="AG363" i="1"/>
  <c r="X364" i="1" a="1"/>
  <c r="X364" i="1"/>
  <c r="AG364" i="1"/>
  <c r="X365" i="1" a="1"/>
  <c r="X365" i="1"/>
  <c r="AG365" i="1"/>
  <c r="X366" i="1" a="1"/>
  <c r="X366" i="1"/>
  <c r="AG366" i="1"/>
  <c r="X367" i="1" a="1"/>
  <c r="X367" i="1"/>
  <c r="AG367" i="1"/>
  <c r="X368" i="1" a="1"/>
  <c r="X368" i="1"/>
  <c r="AG368" i="1"/>
  <c r="X369" i="1" a="1"/>
  <c r="X369" i="1"/>
  <c r="AG369" i="1"/>
  <c r="X370" i="1" a="1"/>
  <c r="X370" i="1"/>
  <c r="AG370" i="1"/>
  <c r="X371" i="1" a="1"/>
  <c r="X371" i="1"/>
  <c r="AG371" i="1"/>
  <c r="X372" i="1" a="1"/>
  <c r="X372" i="1"/>
  <c r="AG372" i="1"/>
  <c r="X373" i="1" a="1"/>
  <c r="X373" i="1"/>
  <c r="AG373" i="1"/>
  <c r="X374" i="1" a="1"/>
  <c r="X374" i="1"/>
  <c r="AG374" i="1"/>
  <c r="X375" i="1" a="1"/>
  <c r="X375" i="1"/>
  <c r="AG375" i="1"/>
  <c r="X376" i="1" a="1"/>
  <c r="X376" i="1"/>
  <c r="AG376" i="1"/>
  <c r="X377" i="1" a="1"/>
  <c r="X377" i="1"/>
  <c r="AG377" i="1"/>
  <c r="X378" i="1" a="1"/>
  <c r="X378" i="1"/>
  <c r="AG378" i="1"/>
  <c r="X379" i="1" a="1"/>
  <c r="X379" i="1"/>
  <c r="AG379" i="1"/>
  <c r="X380" i="1" a="1"/>
  <c r="X380" i="1"/>
  <c r="AG380" i="1"/>
  <c r="X381" i="1" a="1"/>
  <c r="X381" i="1"/>
  <c r="AG381" i="1"/>
  <c r="X382" i="1" a="1"/>
  <c r="X382" i="1"/>
  <c r="AG382" i="1"/>
  <c r="X383" i="1" a="1"/>
  <c r="X383" i="1"/>
  <c r="AG383" i="1"/>
  <c r="X384" i="1" a="1"/>
  <c r="X384" i="1"/>
  <c r="AG384" i="1"/>
  <c r="X385" i="1" a="1"/>
  <c r="X385" i="1"/>
  <c r="AG385" i="1"/>
  <c r="X386" i="1" a="1"/>
  <c r="X386" i="1"/>
  <c r="AG386" i="1"/>
  <c r="X387" i="1" a="1"/>
  <c r="X387" i="1"/>
  <c r="AG387" i="1"/>
  <c r="X388" i="1" a="1"/>
  <c r="X388" i="1"/>
  <c r="AG388" i="1"/>
  <c r="X389" i="1" a="1"/>
  <c r="X389" i="1"/>
  <c r="AG389" i="1"/>
  <c r="X390" i="1" a="1"/>
  <c r="X390" i="1"/>
  <c r="AG390" i="1"/>
  <c r="X391" i="1" a="1"/>
  <c r="X391" i="1"/>
  <c r="AG391" i="1"/>
  <c r="X392" i="1" a="1"/>
  <c r="X392" i="1"/>
  <c r="AG392" i="1"/>
  <c r="X393" i="1" a="1"/>
  <c r="X393" i="1"/>
  <c r="AG393" i="1"/>
  <c r="X394" i="1" a="1"/>
  <c r="X394" i="1"/>
  <c r="AG394" i="1"/>
  <c r="X395" i="1" a="1"/>
  <c r="X395" i="1"/>
  <c r="AG395" i="1"/>
  <c r="X396" i="1" a="1"/>
  <c r="X396" i="1"/>
  <c r="AG396" i="1"/>
  <c r="X397" i="1" a="1"/>
  <c r="X397" i="1"/>
  <c r="AG397" i="1"/>
  <c r="X398" i="1" a="1"/>
  <c r="X398" i="1"/>
  <c r="AG398" i="1"/>
  <c r="X399" i="1" a="1"/>
  <c r="X399" i="1"/>
  <c r="AG399" i="1"/>
  <c r="X400" i="1" a="1"/>
  <c r="X400" i="1"/>
  <c r="AG400" i="1"/>
  <c r="X401" i="1" a="1"/>
  <c r="X401" i="1"/>
  <c r="AG401" i="1"/>
  <c r="X402" i="1" a="1"/>
  <c r="X402" i="1"/>
  <c r="AG402" i="1"/>
  <c r="X403" i="1" a="1"/>
  <c r="X403" i="1"/>
  <c r="AG403" i="1"/>
  <c r="X404" i="1" a="1"/>
  <c r="X404" i="1"/>
  <c r="AG404" i="1"/>
  <c r="X405" i="1" a="1"/>
  <c r="X405" i="1"/>
  <c r="AG405" i="1"/>
  <c r="X406" i="1" a="1"/>
  <c r="X406" i="1"/>
  <c r="AG406" i="1"/>
  <c r="X407" i="1" a="1"/>
  <c r="X407" i="1"/>
  <c r="AG407" i="1"/>
  <c r="X408" i="1" a="1"/>
  <c r="X408" i="1"/>
  <c r="AG408" i="1"/>
  <c r="X409" i="1" a="1"/>
  <c r="X409" i="1"/>
  <c r="AG409" i="1"/>
  <c r="X410" i="1" a="1"/>
  <c r="X410" i="1"/>
  <c r="AG410" i="1"/>
  <c r="X411" i="1" a="1"/>
  <c r="X411" i="1"/>
  <c r="AG411" i="1"/>
  <c r="X412" i="1" a="1"/>
  <c r="X412" i="1"/>
  <c r="AG412" i="1"/>
  <c r="X413" i="1" a="1"/>
  <c r="X413" i="1"/>
  <c r="AG413" i="1"/>
  <c r="X414" i="1" a="1"/>
  <c r="X414" i="1"/>
  <c r="AG414" i="1"/>
  <c r="X415" i="1" a="1"/>
  <c r="X415" i="1"/>
  <c r="AG415" i="1"/>
  <c r="X416" i="1" a="1"/>
  <c r="X416" i="1"/>
  <c r="AG416" i="1"/>
  <c r="X417" i="1" a="1"/>
  <c r="X417" i="1"/>
  <c r="AG417" i="1"/>
  <c r="X418" i="1" a="1"/>
  <c r="X418" i="1"/>
  <c r="AG418" i="1"/>
  <c r="X419" i="1" a="1"/>
  <c r="X419" i="1"/>
  <c r="AG419" i="1"/>
  <c r="X420" i="1" a="1"/>
  <c r="X420" i="1"/>
  <c r="AG420" i="1"/>
  <c r="X421" i="1" a="1"/>
  <c r="X421" i="1"/>
  <c r="AG421" i="1"/>
  <c r="X422" i="1" a="1"/>
  <c r="X422" i="1"/>
  <c r="AG422" i="1"/>
  <c r="X423" i="1" a="1"/>
  <c r="X423" i="1"/>
  <c r="AG423" i="1"/>
  <c r="X424" i="1" a="1"/>
  <c r="X424" i="1"/>
  <c r="AG424" i="1"/>
  <c r="X425" i="1" a="1"/>
  <c r="X425" i="1"/>
  <c r="AG425" i="1"/>
  <c r="X426" i="1" a="1"/>
  <c r="X426" i="1"/>
  <c r="AG426" i="1"/>
  <c r="X427" i="1" a="1"/>
  <c r="X427" i="1"/>
  <c r="AG427" i="1"/>
  <c r="X428" i="1" a="1"/>
  <c r="X428" i="1"/>
  <c r="AG428" i="1"/>
  <c r="X429" i="1" a="1"/>
  <c r="X429" i="1"/>
  <c r="AG429" i="1"/>
  <c r="X430" i="1" a="1"/>
  <c r="X430" i="1"/>
  <c r="AG430" i="1"/>
  <c r="X431" i="1" a="1"/>
  <c r="X431" i="1"/>
  <c r="AG431" i="1"/>
  <c r="X432" i="1" a="1"/>
  <c r="X432" i="1"/>
  <c r="AG432" i="1"/>
  <c r="X433" i="1" a="1"/>
  <c r="X433" i="1"/>
  <c r="AG433" i="1"/>
  <c r="X434" i="1" a="1"/>
  <c r="X434" i="1"/>
  <c r="AG434" i="1"/>
  <c r="X435" i="1" a="1"/>
  <c r="X435" i="1"/>
  <c r="AG435" i="1"/>
  <c r="X436" i="1" a="1"/>
  <c r="X436" i="1"/>
  <c r="AG436" i="1"/>
  <c r="X437" i="1" a="1"/>
  <c r="X437" i="1"/>
  <c r="AG437" i="1"/>
  <c r="X438" i="1" a="1"/>
  <c r="X438" i="1"/>
  <c r="AG438" i="1"/>
  <c r="X439" i="1" a="1"/>
  <c r="X439" i="1"/>
  <c r="AG439" i="1"/>
  <c r="X440" i="1" a="1"/>
  <c r="X440" i="1"/>
  <c r="AG440" i="1"/>
  <c r="X441" i="1" a="1"/>
  <c r="X441" i="1"/>
  <c r="AG441" i="1"/>
  <c r="X442" i="1" a="1"/>
  <c r="X442" i="1"/>
  <c r="AG442" i="1"/>
  <c r="X443" i="1" a="1"/>
  <c r="X443" i="1"/>
  <c r="AG443" i="1"/>
  <c r="X444" i="1" a="1"/>
  <c r="X444" i="1"/>
  <c r="AG444" i="1"/>
  <c r="X445" i="1" a="1"/>
  <c r="X445" i="1"/>
  <c r="AG445" i="1"/>
  <c r="X446" i="1" a="1"/>
  <c r="X446" i="1"/>
  <c r="AG446" i="1"/>
  <c r="X447" i="1" a="1"/>
  <c r="X447" i="1"/>
  <c r="AG447" i="1"/>
  <c r="X448" i="1" a="1"/>
  <c r="X448" i="1"/>
  <c r="AG448" i="1"/>
  <c r="X449" i="1" a="1"/>
  <c r="X449" i="1"/>
  <c r="AG449" i="1"/>
  <c r="X450" i="1" a="1"/>
  <c r="X450" i="1"/>
  <c r="AG450" i="1"/>
  <c r="X451" i="1" a="1"/>
  <c r="X451" i="1"/>
  <c r="AG451" i="1"/>
  <c r="X452" i="1" a="1"/>
  <c r="X452" i="1"/>
  <c r="AG452" i="1"/>
  <c r="X453" i="1" a="1"/>
  <c r="X453" i="1"/>
  <c r="AG453" i="1"/>
  <c r="X454" i="1" a="1"/>
  <c r="X454" i="1"/>
  <c r="AG454" i="1"/>
  <c r="X455" i="1" a="1"/>
  <c r="X455" i="1"/>
  <c r="AG455" i="1"/>
  <c r="X456" i="1" a="1"/>
  <c r="X456" i="1"/>
  <c r="AG456" i="1"/>
  <c r="X457" i="1" a="1"/>
  <c r="X457" i="1"/>
  <c r="AG457" i="1"/>
  <c r="X458" i="1" a="1"/>
  <c r="X458" i="1"/>
  <c r="AG458" i="1"/>
  <c r="X459" i="1" a="1"/>
  <c r="X459" i="1"/>
  <c r="AG459" i="1"/>
  <c r="X460" i="1" a="1"/>
  <c r="X460" i="1"/>
  <c r="AG460" i="1"/>
  <c r="X461" i="1" a="1"/>
  <c r="X461" i="1"/>
  <c r="AG461" i="1"/>
  <c r="X462" i="1" a="1"/>
  <c r="X462" i="1"/>
  <c r="AG462" i="1"/>
  <c r="X463" i="1" a="1"/>
  <c r="X463" i="1"/>
  <c r="AG463" i="1"/>
  <c r="X464" i="1" a="1"/>
  <c r="X464" i="1"/>
  <c r="AG464" i="1"/>
  <c r="X465" i="1" a="1"/>
  <c r="X465" i="1"/>
  <c r="AG465" i="1"/>
  <c r="X466" i="1" a="1"/>
  <c r="X466" i="1"/>
  <c r="AG466" i="1"/>
  <c r="X467" i="1" a="1"/>
  <c r="X467" i="1"/>
  <c r="AG467" i="1"/>
  <c r="X468" i="1" a="1"/>
  <c r="X468" i="1"/>
  <c r="AG468" i="1"/>
  <c r="X469" i="1" a="1"/>
  <c r="X469" i="1"/>
  <c r="AG469" i="1"/>
  <c r="X470" i="1" a="1"/>
  <c r="X470" i="1"/>
  <c r="AG470" i="1"/>
  <c r="X471" i="1" a="1"/>
  <c r="X471" i="1"/>
  <c r="AG471" i="1"/>
  <c r="X472" i="1" a="1"/>
  <c r="X472" i="1"/>
  <c r="AG472" i="1"/>
  <c r="X473" i="1" a="1"/>
  <c r="X473" i="1"/>
  <c r="AG473" i="1"/>
  <c r="X474" i="1" a="1"/>
  <c r="X474" i="1"/>
  <c r="AG474" i="1"/>
  <c r="X475" i="1" a="1"/>
  <c r="X475" i="1"/>
  <c r="AG475" i="1"/>
  <c r="X476" i="1" a="1"/>
  <c r="X476" i="1"/>
  <c r="AG476" i="1"/>
  <c r="X477" i="1" a="1"/>
  <c r="X477" i="1"/>
  <c r="AG477" i="1"/>
  <c r="X478" i="1" a="1"/>
  <c r="X478" i="1"/>
  <c r="AG478" i="1"/>
  <c r="X479" i="1" a="1"/>
  <c r="X479" i="1"/>
  <c r="AG479" i="1"/>
  <c r="X480" i="1" a="1"/>
  <c r="X480" i="1"/>
  <c r="AG480" i="1"/>
  <c r="X481" i="1" a="1"/>
  <c r="X481" i="1"/>
  <c r="AG481" i="1"/>
  <c r="X482" i="1" a="1"/>
  <c r="X482" i="1"/>
  <c r="AG482" i="1"/>
  <c r="X483" i="1" a="1"/>
  <c r="X483" i="1"/>
  <c r="AG483" i="1"/>
  <c r="X484" i="1" a="1"/>
  <c r="X484" i="1"/>
  <c r="AG484" i="1"/>
  <c r="X485" i="1" a="1"/>
  <c r="X485" i="1"/>
  <c r="AG485" i="1"/>
  <c r="X486" i="1" a="1"/>
  <c r="X486" i="1"/>
  <c r="AG486" i="1"/>
  <c r="X487" i="1" a="1"/>
  <c r="X487" i="1"/>
  <c r="AG487" i="1"/>
  <c r="X488" i="1" a="1"/>
  <c r="X488" i="1"/>
  <c r="AG488" i="1"/>
  <c r="X489" i="1" a="1"/>
  <c r="X489" i="1"/>
  <c r="AG489" i="1"/>
  <c r="X490" i="1" a="1"/>
  <c r="X490" i="1"/>
  <c r="AG490" i="1"/>
  <c r="X491" i="1" a="1"/>
  <c r="X491" i="1"/>
  <c r="AG491" i="1"/>
  <c r="X492" i="1" a="1"/>
  <c r="X492" i="1"/>
  <c r="AG492" i="1"/>
  <c r="X493" i="1" a="1"/>
  <c r="X493" i="1"/>
  <c r="AG493" i="1"/>
  <c r="X494" i="1" a="1"/>
  <c r="X494" i="1"/>
  <c r="AG494" i="1"/>
  <c r="X495" i="1" a="1"/>
  <c r="X495" i="1"/>
  <c r="AG495" i="1"/>
  <c r="X496" i="1" a="1"/>
  <c r="X496" i="1"/>
  <c r="AG496" i="1"/>
  <c r="X497" i="1" a="1"/>
  <c r="X497" i="1"/>
  <c r="AG497" i="1"/>
  <c r="X498" i="1" a="1"/>
  <c r="X498" i="1"/>
  <c r="AG498" i="1"/>
  <c r="X499" i="1" a="1"/>
  <c r="X499" i="1"/>
  <c r="AG499" i="1"/>
  <c r="X500" i="1" a="1"/>
  <c r="X500" i="1"/>
  <c r="AG500" i="1"/>
  <c r="X501" i="1" a="1"/>
  <c r="X501" i="1"/>
  <c r="AG501" i="1"/>
  <c r="X502" i="1" a="1"/>
  <c r="X502" i="1"/>
  <c r="AG502" i="1"/>
  <c r="X503" i="1" a="1"/>
  <c r="X503" i="1"/>
  <c r="AG503" i="1"/>
  <c r="X504" i="1" a="1"/>
  <c r="X504" i="1"/>
  <c r="AG504" i="1"/>
  <c r="X505" i="1" a="1"/>
  <c r="X505" i="1"/>
  <c r="AG505" i="1"/>
  <c r="X506" i="1" a="1"/>
  <c r="X506" i="1"/>
  <c r="AG506" i="1"/>
  <c r="X507" i="1" a="1"/>
  <c r="X507" i="1"/>
  <c r="AG507" i="1"/>
  <c r="X508" i="1" a="1"/>
  <c r="X508" i="1"/>
  <c r="AG508" i="1"/>
  <c r="X509" i="1" a="1"/>
  <c r="X509" i="1"/>
  <c r="AG509" i="1"/>
  <c r="X510" i="1" a="1"/>
  <c r="X510" i="1"/>
  <c r="AG510" i="1"/>
  <c r="X511" i="1" a="1"/>
  <c r="X511" i="1"/>
  <c r="AG511" i="1"/>
  <c r="X512" i="1" a="1"/>
  <c r="X512" i="1"/>
  <c r="AG512" i="1"/>
  <c r="X513" i="1" a="1"/>
  <c r="X513" i="1"/>
  <c r="AG513" i="1"/>
  <c r="X514" i="1" a="1"/>
  <c r="X514" i="1"/>
  <c r="AG514" i="1"/>
  <c r="X515" i="1" a="1"/>
  <c r="X515" i="1"/>
  <c r="AG515" i="1"/>
  <c r="X516" i="1" a="1"/>
  <c r="X516" i="1"/>
  <c r="AG516" i="1"/>
  <c r="X517" i="1" a="1"/>
  <c r="X517" i="1"/>
  <c r="AG517" i="1"/>
  <c r="X518" i="1" a="1"/>
  <c r="X518" i="1"/>
  <c r="AG518" i="1"/>
  <c r="X519" i="1" a="1"/>
  <c r="X519" i="1"/>
  <c r="AG519" i="1"/>
  <c r="X520" i="1" a="1"/>
  <c r="X520" i="1"/>
  <c r="AG520" i="1"/>
  <c r="X521" i="1" a="1"/>
  <c r="X521" i="1"/>
  <c r="AG521" i="1"/>
  <c r="X522" i="1" a="1"/>
  <c r="X522" i="1"/>
  <c r="AG522" i="1"/>
  <c r="X523" i="1" a="1"/>
  <c r="X523" i="1"/>
  <c r="AG523" i="1"/>
  <c r="X524" i="1" a="1"/>
  <c r="X524" i="1"/>
  <c r="AG524" i="1"/>
  <c r="X525" i="1" a="1"/>
  <c r="X525" i="1"/>
  <c r="AG525" i="1"/>
  <c r="X526" i="1" a="1"/>
  <c r="X526" i="1"/>
  <c r="AG526" i="1"/>
  <c r="X527" i="1" a="1"/>
  <c r="X527" i="1"/>
  <c r="AG527" i="1"/>
  <c r="X528" i="1" a="1"/>
  <c r="X528" i="1"/>
  <c r="AG528" i="1"/>
  <c r="X529" i="1" a="1"/>
  <c r="X529" i="1"/>
  <c r="AG529" i="1"/>
  <c r="X530" i="1" a="1"/>
  <c r="X530" i="1"/>
  <c r="AG530" i="1"/>
  <c r="X80" i="1" a="1"/>
  <c r="X80" i="1"/>
  <c r="AG80" i="1"/>
  <c r="W80" i="1" a="1"/>
  <c r="W418" i="1"/>
  <c r="AF418" i="1"/>
  <c r="W343" i="1"/>
  <c r="AF343" i="1"/>
  <c r="AB540" i="1"/>
  <c r="AS532" i="1"/>
  <c r="Q530" i="1"/>
  <c r="P530" i="1"/>
  <c r="Q529" i="1"/>
  <c r="P529" i="1"/>
  <c r="Q528" i="1"/>
  <c r="P528" i="1"/>
  <c r="Q527" i="1"/>
  <c r="P527" i="1"/>
  <c r="Q526" i="1"/>
  <c r="P526" i="1"/>
  <c r="Q525" i="1"/>
  <c r="P525" i="1"/>
  <c r="Q524" i="1"/>
  <c r="P524" i="1"/>
  <c r="Q523" i="1"/>
  <c r="P523" i="1"/>
  <c r="Q522" i="1"/>
  <c r="P522" i="1"/>
  <c r="Q521" i="1"/>
  <c r="P521" i="1"/>
  <c r="Q520" i="1"/>
  <c r="P520" i="1"/>
  <c r="Q519" i="1"/>
  <c r="P519" i="1"/>
  <c r="Q518" i="1"/>
  <c r="P518" i="1"/>
  <c r="Q517" i="1"/>
  <c r="P517" i="1"/>
  <c r="Q516" i="1"/>
  <c r="P516" i="1"/>
  <c r="Q515" i="1"/>
  <c r="P515" i="1"/>
  <c r="Q514" i="1"/>
  <c r="P514" i="1"/>
  <c r="Q513" i="1"/>
  <c r="P513" i="1"/>
  <c r="Q512" i="1"/>
  <c r="P512" i="1"/>
  <c r="Q511" i="1"/>
  <c r="P511" i="1"/>
  <c r="Q510" i="1"/>
  <c r="P510" i="1"/>
  <c r="Q509" i="1"/>
  <c r="P509" i="1"/>
  <c r="Q508" i="1"/>
  <c r="P508" i="1"/>
  <c r="Q507" i="1"/>
  <c r="P507" i="1"/>
  <c r="Q506" i="1"/>
  <c r="P506" i="1"/>
  <c r="Q505" i="1"/>
  <c r="P505" i="1"/>
  <c r="Q504" i="1"/>
  <c r="P504" i="1"/>
  <c r="Q503" i="1"/>
  <c r="P503" i="1"/>
  <c r="Q502" i="1"/>
  <c r="P502" i="1"/>
  <c r="Q501" i="1"/>
  <c r="P501" i="1"/>
  <c r="Q500" i="1"/>
  <c r="P500" i="1"/>
  <c r="Q499" i="1"/>
  <c r="P499" i="1"/>
  <c r="Q498" i="1"/>
  <c r="P498" i="1"/>
  <c r="Q497" i="1"/>
  <c r="P497" i="1"/>
  <c r="Q496" i="1"/>
  <c r="P496" i="1"/>
  <c r="Q495" i="1"/>
  <c r="P495" i="1"/>
  <c r="Q494" i="1"/>
  <c r="P494" i="1"/>
  <c r="Q493" i="1"/>
  <c r="P493" i="1"/>
  <c r="Q492" i="1"/>
  <c r="P492" i="1"/>
  <c r="Q491" i="1"/>
  <c r="P491" i="1"/>
  <c r="Q490" i="1"/>
  <c r="P490" i="1"/>
  <c r="Q489" i="1"/>
  <c r="P489" i="1"/>
  <c r="Q488" i="1"/>
  <c r="P488" i="1"/>
  <c r="Q487" i="1"/>
  <c r="P487" i="1"/>
  <c r="Q486" i="1"/>
  <c r="P486" i="1"/>
  <c r="Q485" i="1"/>
  <c r="P485" i="1"/>
  <c r="Q484" i="1"/>
  <c r="P484" i="1"/>
  <c r="Q483" i="1"/>
  <c r="P483" i="1"/>
  <c r="Q482" i="1"/>
  <c r="P482" i="1"/>
  <c r="Q481" i="1"/>
  <c r="P481" i="1"/>
  <c r="Q480" i="1"/>
  <c r="P480" i="1"/>
  <c r="Q479" i="1"/>
  <c r="P479" i="1"/>
  <c r="Q478" i="1"/>
  <c r="P478" i="1"/>
  <c r="Q477" i="1"/>
  <c r="P477" i="1"/>
  <c r="Q476" i="1"/>
  <c r="P476" i="1"/>
  <c r="Q475" i="1"/>
  <c r="P475" i="1"/>
  <c r="Q474" i="1"/>
  <c r="P474" i="1"/>
  <c r="Q473" i="1"/>
  <c r="P473" i="1"/>
  <c r="Q472" i="1"/>
  <c r="P472" i="1"/>
  <c r="Q471" i="1"/>
  <c r="P471" i="1"/>
  <c r="Q470" i="1"/>
  <c r="P470" i="1"/>
  <c r="Q469" i="1"/>
  <c r="P469" i="1"/>
  <c r="Q468" i="1"/>
  <c r="P468" i="1"/>
  <c r="Q467" i="1"/>
  <c r="P467" i="1"/>
  <c r="Q466" i="1"/>
  <c r="P466" i="1"/>
  <c r="Q465" i="1"/>
  <c r="P465" i="1"/>
  <c r="Q464" i="1"/>
  <c r="P464" i="1"/>
  <c r="Q463" i="1"/>
  <c r="P463" i="1"/>
  <c r="Q462" i="1"/>
  <c r="P462" i="1"/>
  <c r="Q461" i="1"/>
  <c r="P461" i="1"/>
  <c r="Q460" i="1"/>
  <c r="P460" i="1"/>
  <c r="Q459" i="1"/>
  <c r="P459" i="1"/>
  <c r="Q458" i="1"/>
  <c r="P458" i="1"/>
  <c r="Q457" i="1"/>
  <c r="P457" i="1"/>
  <c r="Q456" i="1"/>
  <c r="P456" i="1"/>
  <c r="Q455" i="1"/>
  <c r="P455" i="1"/>
  <c r="Q454" i="1"/>
  <c r="P454" i="1"/>
  <c r="Q453" i="1"/>
  <c r="P453" i="1"/>
  <c r="Q452" i="1"/>
  <c r="P452" i="1"/>
  <c r="Q451" i="1"/>
  <c r="P451" i="1"/>
  <c r="Q450" i="1"/>
  <c r="P450" i="1"/>
  <c r="Q449" i="1"/>
  <c r="P449" i="1"/>
  <c r="Q448" i="1"/>
  <c r="P448" i="1"/>
  <c r="Q447" i="1"/>
  <c r="P447" i="1"/>
  <c r="Q446" i="1"/>
  <c r="P446" i="1"/>
  <c r="Q445" i="1"/>
  <c r="P445" i="1"/>
  <c r="Q444" i="1"/>
  <c r="P444" i="1"/>
  <c r="Q443" i="1"/>
  <c r="P443" i="1"/>
  <c r="Q442" i="1"/>
  <c r="P442" i="1"/>
  <c r="Q441" i="1"/>
  <c r="P441" i="1"/>
  <c r="Q440" i="1"/>
  <c r="P440" i="1"/>
  <c r="Q439" i="1"/>
  <c r="P439" i="1"/>
  <c r="Q438" i="1"/>
  <c r="P438" i="1"/>
  <c r="Q437" i="1"/>
  <c r="P437" i="1"/>
  <c r="Q436" i="1"/>
  <c r="P436" i="1"/>
  <c r="Q435" i="1"/>
  <c r="P435" i="1"/>
  <c r="Q434" i="1"/>
  <c r="P434" i="1"/>
  <c r="Q433" i="1"/>
  <c r="P433" i="1"/>
  <c r="Q432" i="1"/>
  <c r="P432" i="1"/>
  <c r="Q431" i="1"/>
  <c r="P431" i="1"/>
  <c r="Q430" i="1"/>
  <c r="P430" i="1"/>
  <c r="Q429" i="1"/>
  <c r="P429" i="1"/>
  <c r="Q428" i="1"/>
  <c r="P428" i="1"/>
  <c r="Q427" i="1"/>
  <c r="P427" i="1"/>
  <c r="Q426" i="1"/>
  <c r="P426" i="1"/>
  <c r="Q425" i="1"/>
  <c r="P425" i="1"/>
  <c r="Q424" i="1"/>
  <c r="P424" i="1"/>
  <c r="Q423" i="1"/>
  <c r="P423" i="1"/>
  <c r="Q422" i="1"/>
  <c r="P422" i="1"/>
  <c r="Q421" i="1"/>
  <c r="P421" i="1"/>
  <c r="Q420" i="1"/>
  <c r="P420" i="1"/>
  <c r="Q419" i="1"/>
  <c r="P419" i="1"/>
  <c r="Q418" i="1"/>
  <c r="P418" i="1"/>
  <c r="Q417" i="1"/>
  <c r="P417" i="1"/>
  <c r="Q416" i="1"/>
  <c r="P416" i="1"/>
  <c r="Q415" i="1"/>
  <c r="P415" i="1"/>
  <c r="Q414" i="1"/>
  <c r="P414" i="1"/>
  <c r="Q413" i="1"/>
  <c r="P413" i="1"/>
  <c r="Q412" i="1"/>
  <c r="P412" i="1"/>
  <c r="Q411" i="1"/>
  <c r="P411" i="1"/>
  <c r="Q410" i="1"/>
  <c r="P410" i="1"/>
  <c r="Q409" i="1"/>
  <c r="P409" i="1"/>
  <c r="Q408" i="1"/>
  <c r="P408" i="1"/>
  <c r="Q407" i="1"/>
  <c r="P407" i="1"/>
  <c r="Q406" i="1"/>
  <c r="P406" i="1"/>
  <c r="Q405" i="1"/>
  <c r="P405" i="1"/>
  <c r="Q404" i="1"/>
  <c r="P404" i="1"/>
  <c r="Q403" i="1"/>
  <c r="P403" i="1"/>
  <c r="Q402" i="1"/>
  <c r="P402" i="1"/>
  <c r="Q401" i="1"/>
  <c r="P401" i="1"/>
  <c r="Q400" i="1"/>
  <c r="P400" i="1"/>
  <c r="Q399" i="1"/>
  <c r="P399" i="1"/>
  <c r="Q398" i="1"/>
  <c r="P398" i="1"/>
  <c r="Q397" i="1"/>
  <c r="P397" i="1"/>
  <c r="Q396" i="1"/>
  <c r="P396" i="1"/>
  <c r="Q395" i="1"/>
  <c r="P395" i="1"/>
  <c r="Q394" i="1"/>
  <c r="P394" i="1"/>
  <c r="Q393" i="1"/>
  <c r="P393" i="1"/>
  <c r="Q392" i="1"/>
  <c r="P392" i="1"/>
  <c r="Q391" i="1"/>
  <c r="P391" i="1"/>
  <c r="Q390" i="1"/>
  <c r="P390" i="1"/>
  <c r="Q389" i="1"/>
  <c r="P389" i="1"/>
  <c r="Q388" i="1"/>
  <c r="P388" i="1"/>
  <c r="Q387" i="1"/>
  <c r="P387" i="1"/>
  <c r="Q386" i="1"/>
  <c r="P386" i="1"/>
  <c r="Q385" i="1"/>
  <c r="P385" i="1"/>
  <c r="Q384" i="1"/>
  <c r="P384" i="1"/>
  <c r="Q383" i="1"/>
  <c r="P383" i="1"/>
  <c r="Q382" i="1"/>
  <c r="P382" i="1"/>
  <c r="Q381" i="1"/>
  <c r="P381" i="1"/>
  <c r="Q380" i="1"/>
  <c r="P380" i="1"/>
  <c r="Q379" i="1"/>
  <c r="P379" i="1"/>
  <c r="Q378" i="1"/>
  <c r="P378" i="1"/>
  <c r="Q377" i="1"/>
  <c r="P377" i="1"/>
  <c r="Q376" i="1"/>
  <c r="P376" i="1"/>
  <c r="Q375" i="1"/>
  <c r="P375" i="1"/>
  <c r="Q374" i="1"/>
  <c r="P374" i="1"/>
  <c r="Q373" i="1"/>
  <c r="P373" i="1"/>
  <c r="Q372" i="1"/>
  <c r="P372" i="1"/>
  <c r="Q371" i="1"/>
  <c r="P371" i="1"/>
  <c r="Q370" i="1"/>
  <c r="P370" i="1"/>
  <c r="Q369" i="1"/>
  <c r="P369" i="1"/>
  <c r="Q368" i="1"/>
  <c r="P368" i="1"/>
  <c r="Q367" i="1"/>
  <c r="P367" i="1"/>
  <c r="Q366" i="1"/>
  <c r="P366" i="1"/>
  <c r="Q365" i="1"/>
  <c r="P365" i="1"/>
  <c r="Q364" i="1"/>
  <c r="P364" i="1"/>
  <c r="Q363" i="1"/>
  <c r="P363" i="1"/>
  <c r="Q362" i="1"/>
  <c r="P362" i="1"/>
  <c r="Q361" i="1"/>
  <c r="P361" i="1"/>
  <c r="Q360" i="1"/>
  <c r="P360" i="1"/>
  <c r="Q359" i="1"/>
  <c r="P359" i="1"/>
  <c r="Q358" i="1"/>
  <c r="P358" i="1"/>
  <c r="Q357" i="1"/>
  <c r="P357" i="1"/>
  <c r="Q356" i="1"/>
  <c r="P356" i="1"/>
  <c r="Q355" i="1"/>
  <c r="P355" i="1"/>
  <c r="Q354" i="1"/>
  <c r="P354" i="1"/>
  <c r="Q353" i="1"/>
  <c r="P353" i="1"/>
  <c r="Q352" i="1"/>
  <c r="P352" i="1"/>
  <c r="Q351" i="1"/>
  <c r="P351" i="1"/>
  <c r="Q350" i="1"/>
  <c r="P350" i="1"/>
  <c r="Q349" i="1"/>
  <c r="P349" i="1"/>
  <c r="Q348" i="1"/>
  <c r="P348" i="1"/>
  <c r="Q347" i="1"/>
  <c r="P347" i="1"/>
  <c r="Q346" i="1"/>
  <c r="P346" i="1"/>
  <c r="Q345" i="1"/>
  <c r="P345" i="1"/>
  <c r="Q344" i="1"/>
  <c r="P344" i="1"/>
  <c r="Q343" i="1"/>
  <c r="P343" i="1"/>
  <c r="Q342" i="1"/>
  <c r="P342" i="1"/>
  <c r="Q341" i="1"/>
  <c r="P341" i="1"/>
  <c r="Q340" i="1"/>
  <c r="P340" i="1"/>
  <c r="Q339" i="1"/>
  <c r="P339" i="1"/>
  <c r="Q338" i="1"/>
  <c r="P338" i="1"/>
  <c r="Q337" i="1"/>
  <c r="P337" i="1"/>
  <c r="Q336" i="1"/>
  <c r="P336" i="1"/>
  <c r="Q335" i="1"/>
  <c r="P335" i="1"/>
  <c r="Q334" i="1"/>
  <c r="P334" i="1"/>
  <c r="Q333" i="1"/>
  <c r="P333" i="1"/>
  <c r="Q332" i="1"/>
  <c r="P332" i="1"/>
  <c r="Q331" i="1"/>
  <c r="P331" i="1"/>
  <c r="Q330" i="1"/>
  <c r="P330" i="1"/>
  <c r="Q329" i="1"/>
  <c r="P329" i="1"/>
  <c r="Q328" i="1"/>
  <c r="P328" i="1"/>
  <c r="Q327" i="1"/>
  <c r="P327" i="1"/>
  <c r="Q326" i="1"/>
  <c r="P326" i="1"/>
  <c r="Q325" i="1"/>
  <c r="P325" i="1"/>
  <c r="Q324" i="1"/>
  <c r="P324" i="1"/>
  <c r="Q323" i="1"/>
  <c r="P323" i="1"/>
  <c r="Q322" i="1"/>
  <c r="P322" i="1"/>
  <c r="Q321" i="1"/>
  <c r="P321" i="1"/>
  <c r="Q320" i="1"/>
  <c r="P320" i="1"/>
  <c r="Q319" i="1"/>
  <c r="P319" i="1"/>
  <c r="Q318" i="1"/>
  <c r="P318" i="1"/>
  <c r="Q317" i="1"/>
  <c r="P317" i="1"/>
  <c r="Q316" i="1"/>
  <c r="D57" i="1"/>
  <c r="P316" i="1"/>
  <c r="D56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Q309" i="1"/>
  <c r="P309" i="1"/>
  <c r="Q308" i="1"/>
  <c r="P308" i="1"/>
  <c r="Q307" i="1"/>
  <c r="P307" i="1"/>
  <c r="Q306" i="1"/>
  <c r="P306" i="1"/>
  <c r="Q305" i="1"/>
  <c r="P305" i="1"/>
  <c r="Q304" i="1"/>
  <c r="P304" i="1"/>
  <c r="Q303" i="1"/>
  <c r="P303" i="1"/>
  <c r="Q302" i="1"/>
  <c r="P302" i="1"/>
  <c r="Q301" i="1"/>
  <c r="P301" i="1"/>
  <c r="Q300" i="1"/>
  <c r="P300" i="1"/>
  <c r="Q299" i="1"/>
  <c r="P299" i="1"/>
  <c r="Q298" i="1"/>
  <c r="P298" i="1"/>
  <c r="Q297" i="1"/>
  <c r="P297" i="1"/>
  <c r="Q296" i="1"/>
  <c r="P296" i="1"/>
  <c r="Q295" i="1"/>
  <c r="P295" i="1"/>
  <c r="Q294" i="1"/>
  <c r="P294" i="1"/>
  <c r="Q293" i="1"/>
  <c r="P293" i="1"/>
  <c r="Q292" i="1"/>
  <c r="P292" i="1"/>
  <c r="Q291" i="1"/>
  <c r="P291" i="1"/>
  <c r="Q290" i="1"/>
  <c r="P290" i="1"/>
  <c r="Q289" i="1"/>
  <c r="P289" i="1"/>
  <c r="Q288" i="1"/>
  <c r="P288" i="1"/>
  <c r="Q287" i="1"/>
  <c r="P287" i="1"/>
  <c r="Q286" i="1"/>
  <c r="P286" i="1"/>
  <c r="Q285" i="1"/>
  <c r="P285" i="1"/>
  <c r="Q284" i="1"/>
  <c r="P284" i="1"/>
  <c r="Q283" i="1"/>
  <c r="P283" i="1"/>
  <c r="Q282" i="1"/>
  <c r="P282" i="1"/>
  <c r="Q281" i="1"/>
  <c r="P281" i="1"/>
  <c r="Q280" i="1"/>
  <c r="P280" i="1"/>
  <c r="Q279" i="1"/>
  <c r="P279" i="1"/>
  <c r="Q278" i="1"/>
  <c r="P278" i="1"/>
  <c r="Q277" i="1"/>
  <c r="P277" i="1"/>
  <c r="Q276" i="1"/>
  <c r="P276" i="1"/>
  <c r="Q275" i="1"/>
  <c r="P275" i="1"/>
  <c r="Q274" i="1"/>
  <c r="P274" i="1"/>
  <c r="Q273" i="1"/>
  <c r="P273" i="1"/>
  <c r="Q272" i="1"/>
  <c r="P272" i="1"/>
  <c r="Q271" i="1"/>
  <c r="P271" i="1"/>
  <c r="Q270" i="1"/>
  <c r="P270" i="1"/>
  <c r="Q269" i="1"/>
  <c r="P269" i="1"/>
  <c r="Q268" i="1"/>
  <c r="P268" i="1"/>
  <c r="Q267" i="1"/>
  <c r="P267" i="1"/>
  <c r="Q266" i="1"/>
  <c r="P266" i="1"/>
  <c r="Q265" i="1"/>
  <c r="P265" i="1"/>
  <c r="Q264" i="1"/>
  <c r="P264" i="1"/>
  <c r="Q263" i="1"/>
  <c r="P263" i="1"/>
  <c r="Q262" i="1"/>
  <c r="P262" i="1"/>
  <c r="Q261" i="1"/>
  <c r="P261" i="1"/>
  <c r="Q260" i="1"/>
  <c r="P260" i="1"/>
  <c r="Q259" i="1"/>
  <c r="P259" i="1"/>
  <c r="Q258" i="1"/>
  <c r="P258" i="1"/>
  <c r="Q257" i="1"/>
  <c r="P257" i="1"/>
  <c r="Q256" i="1"/>
  <c r="P256" i="1"/>
  <c r="Q255" i="1"/>
  <c r="P255" i="1"/>
  <c r="Q254" i="1"/>
  <c r="P254" i="1"/>
  <c r="Q253" i="1"/>
  <c r="P253" i="1"/>
  <c r="Q252" i="1"/>
  <c r="P252" i="1"/>
  <c r="Q251" i="1"/>
  <c r="P251" i="1"/>
  <c r="Q250" i="1"/>
  <c r="P250" i="1"/>
  <c r="Q249" i="1"/>
  <c r="P249" i="1"/>
  <c r="Q248" i="1"/>
  <c r="P248" i="1"/>
  <c r="Q247" i="1"/>
  <c r="P247" i="1"/>
  <c r="Q246" i="1"/>
  <c r="P246" i="1"/>
  <c r="Q245" i="1"/>
  <c r="P245" i="1"/>
  <c r="Q244" i="1"/>
  <c r="P244" i="1"/>
  <c r="Q243" i="1"/>
  <c r="P243" i="1"/>
  <c r="Q242" i="1"/>
  <c r="P242" i="1"/>
  <c r="Q241" i="1"/>
  <c r="P241" i="1"/>
  <c r="Q240" i="1"/>
  <c r="P240" i="1"/>
  <c r="Q239" i="1"/>
  <c r="P239" i="1"/>
  <c r="Q238" i="1"/>
  <c r="P238" i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Q228" i="1"/>
  <c r="P228" i="1"/>
  <c r="Q227" i="1"/>
  <c r="P227" i="1"/>
  <c r="Q226" i="1"/>
  <c r="P226" i="1"/>
  <c r="Q225" i="1"/>
  <c r="P225" i="1"/>
  <c r="Q224" i="1"/>
  <c r="P224" i="1"/>
  <c r="Q223" i="1"/>
  <c r="P223" i="1"/>
  <c r="Q222" i="1"/>
  <c r="P222" i="1"/>
  <c r="Q221" i="1"/>
  <c r="P221" i="1"/>
  <c r="Q220" i="1"/>
  <c r="P220" i="1"/>
  <c r="Q219" i="1"/>
  <c r="P219" i="1"/>
  <c r="Q218" i="1"/>
  <c r="P218" i="1"/>
  <c r="Q217" i="1"/>
  <c r="P217" i="1"/>
  <c r="Q216" i="1"/>
  <c r="P216" i="1"/>
  <c r="Q215" i="1"/>
  <c r="P215" i="1"/>
  <c r="Q214" i="1"/>
  <c r="P214" i="1"/>
  <c r="Q213" i="1"/>
  <c r="P213" i="1"/>
  <c r="Q212" i="1"/>
  <c r="P212" i="1"/>
  <c r="Q211" i="1"/>
  <c r="P211" i="1"/>
  <c r="Q210" i="1"/>
  <c r="P210" i="1"/>
  <c r="Q209" i="1"/>
  <c r="P209" i="1"/>
  <c r="Q208" i="1"/>
  <c r="P208" i="1"/>
  <c r="Q207" i="1"/>
  <c r="P207" i="1"/>
  <c r="Q206" i="1"/>
  <c r="P206" i="1"/>
  <c r="Q205" i="1"/>
  <c r="P205" i="1"/>
  <c r="Q204" i="1"/>
  <c r="P204" i="1"/>
  <c r="Q203" i="1"/>
  <c r="P203" i="1"/>
  <c r="Q202" i="1"/>
  <c r="P202" i="1"/>
  <c r="Q201" i="1"/>
  <c r="P201" i="1"/>
  <c r="Q200" i="1"/>
  <c r="P200" i="1"/>
  <c r="Q199" i="1"/>
  <c r="P199" i="1"/>
  <c r="Q198" i="1"/>
  <c r="P198" i="1"/>
  <c r="Q197" i="1"/>
  <c r="P197" i="1"/>
  <c r="Q196" i="1"/>
  <c r="P196" i="1"/>
  <c r="Q195" i="1"/>
  <c r="P195" i="1"/>
  <c r="Q194" i="1"/>
  <c r="P194" i="1"/>
  <c r="Q193" i="1"/>
  <c r="P193" i="1"/>
  <c r="Q192" i="1"/>
  <c r="P192" i="1"/>
  <c r="Q191" i="1"/>
  <c r="P191" i="1"/>
  <c r="Q190" i="1"/>
  <c r="P190" i="1"/>
  <c r="Q189" i="1"/>
  <c r="P189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8" i="1"/>
  <c r="P178" i="1"/>
  <c r="Q177" i="1"/>
  <c r="P177" i="1"/>
  <c r="Q176" i="1"/>
  <c r="P176" i="1"/>
  <c r="Q175" i="1"/>
  <c r="P175" i="1"/>
  <c r="Q174" i="1"/>
  <c r="P174" i="1"/>
  <c r="Q173" i="1"/>
  <c r="P173" i="1"/>
  <c r="Q172" i="1"/>
  <c r="P172" i="1"/>
  <c r="Q171" i="1"/>
  <c r="P171" i="1"/>
  <c r="Q170" i="1"/>
  <c r="P170" i="1"/>
  <c r="Q169" i="1"/>
  <c r="P169" i="1"/>
  <c r="Q168" i="1"/>
  <c r="P168" i="1"/>
  <c r="Q167" i="1"/>
  <c r="P167" i="1"/>
  <c r="Q166" i="1"/>
  <c r="P166" i="1"/>
  <c r="Q165" i="1"/>
  <c r="P165" i="1"/>
  <c r="Q164" i="1"/>
  <c r="P164" i="1"/>
  <c r="Q163" i="1"/>
  <c r="P163" i="1"/>
  <c r="Q162" i="1"/>
  <c r="P162" i="1"/>
  <c r="Q161" i="1"/>
  <c r="P161" i="1"/>
  <c r="Q160" i="1"/>
  <c r="P160" i="1"/>
  <c r="Q159" i="1"/>
  <c r="P159" i="1"/>
  <c r="Q158" i="1"/>
  <c r="P158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8" i="1"/>
  <c r="P148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3" i="1"/>
  <c r="P83" i="1"/>
  <c r="Q82" i="1"/>
  <c r="P82" i="1"/>
  <c r="Q81" i="1"/>
  <c r="P81" i="1"/>
  <c r="G81" i="1"/>
  <c r="F81" i="1"/>
  <c r="E81" i="1"/>
  <c r="V80" i="1" a="1"/>
  <c r="Q80" i="1"/>
  <c r="P80" i="1"/>
  <c r="G80" i="1"/>
  <c r="F80" i="1"/>
  <c r="E80" i="1"/>
  <c r="AM79" i="1"/>
  <c r="AL79" i="1"/>
  <c r="G79" i="1"/>
  <c r="F79" i="1"/>
  <c r="E79" i="1"/>
  <c r="AF62" i="1"/>
  <c r="AE62" i="1"/>
  <c r="AD62" i="1"/>
  <c r="AC62" i="1"/>
  <c r="AB80" i="1" a="1"/>
  <c r="AB152" i="1"/>
  <c r="AK152" i="1"/>
  <c r="U80" i="1" a="1"/>
  <c r="U476" i="1"/>
  <c r="AD476" i="1"/>
  <c r="U527" i="1"/>
  <c r="AD527" i="1"/>
  <c r="T306" i="1" a="1"/>
  <c r="T359" i="1"/>
  <c r="AC359" i="1"/>
  <c r="G78" i="1"/>
  <c r="F78" i="1"/>
  <c r="E78" i="1"/>
  <c r="G77" i="1"/>
  <c r="F77" i="1"/>
  <c r="E77" i="1"/>
  <c r="AL62" i="1"/>
  <c r="C52" i="1"/>
  <c r="H41" i="1"/>
  <c r="G41" i="1"/>
  <c r="F41" i="1"/>
  <c r="E41" i="1"/>
  <c r="H40" i="1"/>
  <c r="G40" i="1"/>
  <c r="F40" i="1"/>
  <c r="E40" i="1"/>
  <c r="C40" i="1"/>
  <c r="H39" i="1"/>
  <c r="G39" i="1"/>
  <c r="F39" i="1"/>
  <c r="E39" i="1"/>
  <c r="I36" i="1"/>
  <c r="H36" i="1"/>
  <c r="G36" i="1"/>
  <c r="F36" i="1"/>
  <c r="E36" i="1"/>
  <c r="M35" i="1"/>
  <c r="I35" i="1"/>
  <c r="H35" i="1"/>
  <c r="G35" i="1"/>
  <c r="F35" i="1"/>
  <c r="D35" i="1"/>
  <c r="E35" i="1"/>
  <c r="I34" i="1"/>
  <c r="H34" i="1"/>
  <c r="G34" i="1"/>
  <c r="F34" i="1"/>
  <c r="E34" i="1"/>
  <c r="I27" i="1"/>
  <c r="H27" i="1"/>
  <c r="G27" i="1"/>
  <c r="F27" i="1"/>
  <c r="E27" i="1"/>
  <c r="AR10" i="1"/>
  <c r="AO10" i="1"/>
  <c r="AR9" i="1"/>
  <c r="AO9" i="1"/>
  <c r="AO8" i="1"/>
  <c r="AR7" i="1"/>
  <c r="AO7" i="1"/>
  <c r="C3" i="1"/>
  <c r="T485" i="1"/>
  <c r="AC485" i="1"/>
  <c r="AB382" i="1"/>
  <c r="AK382" i="1"/>
  <c r="AB347" i="1"/>
  <c r="AK347" i="1"/>
  <c r="AB424" i="1"/>
  <c r="AK424" i="1"/>
  <c r="U399" i="1"/>
  <c r="AD399" i="1"/>
  <c r="T505" i="1"/>
  <c r="AC505" i="1"/>
  <c r="T472" i="1"/>
  <c r="AC472" i="1"/>
  <c r="T320" i="1"/>
  <c r="AC320" i="1"/>
  <c r="V190" i="1"/>
  <c r="AE190" i="1"/>
  <c r="V519" i="1"/>
  <c r="AE519" i="1"/>
  <c r="V518" i="1"/>
  <c r="AE518" i="1"/>
  <c r="T511" i="1"/>
  <c r="AC511" i="1"/>
  <c r="T369" i="1"/>
  <c r="AC369" i="1"/>
  <c r="T435" i="1"/>
  <c r="AC435" i="1"/>
  <c r="V150" i="1"/>
  <c r="AE150" i="1"/>
  <c r="V345" i="1"/>
  <c r="AE345" i="1"/>
  <c r="U107" i="1"/>
  <c r="AD107" i="1"/>
  <c r="U252" i="1"/>
  <c r="AD252" i="1"/>
  <c r="U447" i="1"/>
  <c r="AD447" i="1"/>
  <c r="U424" i="1"/>
  <c r="AD424" i="1"/>
  <c r="T469" i="1"/>
  <c r="AC469" i="1"/>
  <c r="T390" i="1"/>
  <c r="AC390" i="1"/>
  <c r="AB193" i="1"/>
  <c r="AK193" i="1"/>
  <c r="AB451" i="1"/>
  <c r="AK451" i="1"/>
  <c r="W140" i="1"/>
  <c r="AF140" i="1"/>
  <c r="W107" i="1"/>
  <c r="AF107" i="1"/>
  <c r="W100" i="1"/>
  <c r="AF100" i="1"/>
  <c r="W85" i="1"/>
  <c r="AF85" i="1"/>
  <c r="AB210" i="1"/>
  <c r="AK210" i="1"/>
  <c r="AB104" i="1"/>
  <c r="AK104" i="1"/>
  <c r="W400" i="1"/>
  <c r="AF400" i="1"/>
  <c r="W293" i="1"/>
  <c r="AF293" i="1"/>
  <c r="W249" i="1"/>
  <c r="AF249" i="1"/>
  <c r="W98" i="1"/>
  <c r="AF98" i="1"/>
  <c r="W527" i="1"/>
  <c r="AF527" i="1"/>
  <c r="W121" i="1"/>
  <c r="AF121" i="1"/>
  <c r="W463" i="1"/>
  <c r="AF463" i="1"/>
  <c r="W122" i="1"/>
  <c r="AF122" i="1"/>
  <c r="W442" i="1"/>
  <c r="AF442" i="1"/>
  <c r="W283" i="1"/>
  <c r="AF283" i="1"/>
  <c r="W97" i="1"/>
  <c r="AF97" i="1"/>
  <c r="W192" i="1"/>
  <c r="AF192" i="1"/>
  <c r="W391" i="1"/>
  <c r="AF391" i="1"/>
  <c r="W153" i="1"/>
  <c r="AF153" i="1"/>
  <c r="W447" i="1"/>
  <c r="AF447" i="1"/>
  <c r="W223" i="1"/>
  <c r="AF223" i="1"/>
  <c r="W313" i="1"/>
  <c r="AF313" i="1"/>
  <c r="W241" i="1"/>
  <c r="AF241" i="1"/>
  <c r="W434" i="1"/>
  <c r="AF434" i="1"/>
  <c r="W256" i="1"/>
  <c r="AF256" i="1"/>
  <c r="W84" i="1"/>
  <c r="AF84" i="1"/>
  <c r="W361" i="1"/>
  <c r="AF361" i="1"/>
  <c r="W503" i="1"/>
  <c r="AF503" i="1"/>
  <c r="W375" i="1"/>
  <c r="AF375" i="1"/>
  <c r="W514" i="1"/>
  <c r="AF514" i="1"/>
  <c r="W174" i="1"/>
  <c r="AF174" i="1"/>
  <c r="W170" i="1"/>
  <c r="AF170" i="1"/>
  <c r="W204" i="1"/>
  <c r="AF204" i="1"/>
  <c r="W529" i="1"/>
  <c r="AF529" i="1"/>
  <c r="W237" i="1"/>
  <c r="AF237" i="1"/>
  <c r="W341" i="1"/>
  <c r="AF341" i="1"/>
  <c r="W432" i="1"/>
  <c r="AF432" i="1"/>
  <c r="W245" i="1"/>
  <c r="AF245" i="1"/>
  <c r="W469" i="1"/>
  <c r="AF469" i="1"/>
  <c r="W276" i="1"/>
  <c r="AF276" i="1"/>
  <c r="W193" i="1"/>
  <c r="AF193" i="1"/>
  <c r="W384" i="1"/>
  <c r="AF384" i="1"/>
  <c r="W344" i="1"/>
  <c r="AF344" i="1"/>
  <c r="W287" i="1"/>
  <c r="AF287" i="1"/>
  <c r="W207" i="1"/>
  <c r="AF207" i="1"/>
  <c r="W203" i="1"/>
  <c r="AF203" i="1"/>
  <c r="W402" i="1"/>
  <c r="AF402" i="1"/>
  <c r="W316" i="1"/>
  <c r="D62" i="1"/>
  <c r="W416" i="1"/>
  <c r="AF416" i="1"/>
  <c r="W202" i="1"/>
  <c r="AF202" i="1"/>
  <c r="W433" i="1"/>
  <c r="AF433" i="1"/>
  <c r="W445" i="1"/>
  <c r="AF445" i="1"/>
  <c r="W435" i="1"/>
  <c r="AF435" i="1"/>
  <c r="W261" i="1"/>
  <c r="AF261" i="1"/>
  <c r="W345" i="1"/>
  <c r="AF345" i="1"/>
  <c r="W201" i="1"/>
  <c r="AF201" i="1"/>
  <c r="W347" i="1"/>
  <c r="AF347" i="1"/>
  <c r="W296" i="1"/>
  <c r="AF296" i="1"/>
  <c r="W214" i="1"/>
  <c r="AF214" i="1"/>
  <c r="W372" i="1"/>
  <c r="AF372" i="1"/>
  <c r="W224" i="1"/>
  <c r="AF224" i="1"/>
  <c r="W346" i="1"/>
  <c r="AF346" i="1"/>
  <c r="W524" i="1"/>
  <c r="AF524" i="1"/>
  <c r="W212" i="1"/>
  <c r="AF212" i="1"/>
  <c r="W390" i="1"/>
  <c r="AF390" i="1"/>
  <c r="W147" i="1"/>
  <c r="AF147" i="1"/>
  <c r="W465" i="1"/>
  <c r="AF465" i="1"/>
  <c r="W280" i="1"/>
  <c r="AF280" i="1"/>
  <c r="W175" i="1"/>
  <c r="AF175" i="1"/>
  <c r="W250" i="1"/>
  <c r="AF250" i="1"/>
  <c r="W243" i="1"/>
  <c r="AF243" i="1"/>
  <c r="AB341" i="1"/>
  <c r="AK341" i="1"/>
  <c r="AB285" i="1"/>
  <c r="AK285" i="1"/>
  <c r="AB199" i="1"/>
  <c r="AK199" i="1"/>
  <c r="AB118" i="1"/>
  <c r="AK118" i="1"/>
  <c r="AB321" i="1"/>
  <c r="AK321" i="1"/>
  <c r="AB460" i="1"/>
  <c r="AK460" i="1"/>
  <c r="AB352" i="1"/>
  <c r="AK352" i="1"/>
  <c r="AB426" i="1"/>
  <c r="AK426" i="1"/>
  <c r="AB202" i="1"/>
  <c r="AK202" i="1"/>
  <c r="W498" i="1"/>
  <c r="AF498" i="1"/>
  <c r="W428" i="1"/>
  <c r="AF428" i="1"/>
  <c r="W126" i="1"/>
  <c r="AF126" i="1"/>
  <c r="W167" i="1"/>
  <c r="AF167" i="1"/>
  <c r="W259" i="1"/>
  <c r="AF259" i="1"/>
  <c r="W312" i="1"/>
  <c r="AF312" i="1"/>
  <c r="W357" i="1"/>
  <c r="AF357" i="1"/>
  <c r="W299" i="1"/>
  <c r="AF299" i="1"/>
  <c r="W108" i="1"/>
  <c r="AF108" i="1"/>
  <c r="W505" i="1"/>
  <c r="AF505" i="1"/>
  <c r="W183" i="1"/>
  <c r="AF183" i="1"/>
  <c r="W257" i="1"/>
  <c r="AF257" i="1"/>
  <c r="W176" i="1"/>
  <c r="AF176" i="1"/>
  <c r="W479" i="1"/>
  <c r="AF479" i="1"/>
  <c r="W470" i="1"/>
  <c r="AF470" i="1"/>
  <c r="W393" i="1"/>
  <c r="AF393" i="1"/>
  <c r="W138" i="1"/>
  <c r="AF138" i="1"/>
  <c r="W335" i="1"/>
  <c r="AF335" i="1"/>
  <c r="W351" i="1"/>
  <c r="AF351" i="1"/>
  <c r="W157" i="1"/>
  <c r="AF157" i="1"/>
  <c r="W297" i="1"/>
  <c r="AF297" i="1"/>
  <c r="W397" i="1"/>
  <c r="AF397" i="1"/>
  <c r="W468" i="1"/>
  <c r="AF468" i="1"/>
  <c r="W381" i="1"/>
  <c r="AF381" i="1"/>
  <c r="W233" i="1"/>
  <c r="AF233" i="1"/>
  <c r="W517" i="1"/>
  <c r="AF517" i="1"/>
  <c r="W415" i="1"/>
  <c r="AF415" i="1"/>
  <c r="W321" i="1"/>
  <c r="AF321" i="1"/>
  <c r="W314" i="1"/>
  <c r="AF314" i="1"/>
  <c r="W131" i="1"/>
  <c r="AF131" i="1"/>
  <c r="W222" i="1"/>
  <c r="AF222" i="1"/>
  <c r="W117" i="1"/>
  <c r="AF117" i="1"/>
  <c r="W160" i="1"/>
  <c r="AF160" i="1"/>
  <c r="W103" i="1"/>
  <c r="AF103" i="1"/>
  <c r="W521" i="1"/>
  <c r="AF521" i="1"/>
  <c r="W420" i="1"/>
  <c r="AF420" i="1"/>
  <c r="W236" i="1"/>
  <c r="AF236" i="1"/>
  <c r="W213" i="1"/>
  <c r="AF213" i="1"/>
  <c r="W180" i="1"/>
  <c r="AF180" i="1"/>
  <c r="W96" i="1"/>
  <c r="AF96" i="1"/>
  <c r="W379" i="1"/>
  <c r="AF379" i="1"/>
  <c r="W277" i="1"/>
  <c r="AF277" i="1"/>
  <c r="W263" i="1"/>
  <c r="AF263" i="1"/>
  <c r="W518" i="1"/>
  <c r="AF518" i="1"/>
  <c r="W270" i="1"/>
  <c r="AF270" i="1"/>
  <c r="W530" i="1"/>
  <c r="AF530" i="1"/>
  <c r="W278" i="1"/>
  <c r="AF278" i="1"/>
  <c r="W482" i="1"/>
  <c r="AF482" i="1"/>
  <c r="AB192" i="1"/>
  <c r="AK192" i="1"/>
  <c r="V238" i="1"/>
  <c r="AE238" i="1"/>
  <c r="V434" i="1"/>
  <c r="AE434" i="1"/>
  <c r="V286" i="1"/>
  <c r="AE286" i="1"/>
  <c r="V361" i="1"/>
  <c r="AE361" i="1"/>
  <c r="V420" i="1"/>
  <c r="AE420" i="1"/>
  <c r="V240" i="1"/>
  <c r="AE240" i="1"/>
  <c r="V417" i="1"/>
  <c r="AE417" i="1"/>
  <c r="V344" i="1"/>
  <c r="AE344" i="1"/>
  <c r="V278" i="1"/>
  <c r="AE278" i="1"/>
  <c r="V366" i="1"/>
  <c r="AE366" i="1"/>
  <c r="V222" i="1"/>
  <c r="AE222" i="1"/>
  <c r="V444" i="1"/>
  <c r="AE444" i="1"/>
  <c r="V141" i="1"/>
  <c r="AE141" i="1"/>
  <c r="V391" i="1"/>
  <c r="AE391" i="1"/>
  <c r="V480" i="1"/>
  <c r="AE480" i="1"/>
  <c r="W367" i="1"/>
  <c r="AF367" i="1"/>
  <c r="W336" i="1"/>
  <c r="AF336" i="1"/>
  <c r="W209" i="1"/>
  <c r="AF209" i="1"/>
  <c r="W502" i="1"/>
  <c r="AF502" i="1"/>
  <c r="W137" i="1"/>
  <c r="AF137" i="1"/>
  <c r="W516" i="1"/>
  <c r="AF516" i="1"/>
  <c r="W161" i="1"/>
  <c r="AF161" i="1"/>
  <c r="W478" i="1"/>
  <c r="AF478" i="1"/>
  <c r="AB182" i="1"/>
  <c r="AK182" i="1"/>
  <c r="AB328" i="1"/>
  <c r="AK328" i="1"/>
  <c r="AB128" i="1"/>
  <c r="AK128" i="1"/>
  <c r="AB301" i="1"/>
  <c r="AK301" i="1"/>
  <c r="AB114" i="1"/>
  <c r="AK114" i="1"/>
  <c r="AB204" i="1"/>
  <c r="AK204" i="1"/>
  <c r="W189" i="1"/>
  <c r="AF189" i="1"/>
  <c r="W370" i="1"/>
  <c r="AF370" i="1"/>
  <c r="W477" i="1"/>
  <c r="AF477" i="1"/>
  <c r="W332" i="1"/>
  <c r="AF332" i="1"/>
  <c r="W438" i="1"/>
  <c r="AF438" i="1"/>
  <c r="W394" i="1"/>
  <c r="AF394" i="1"/>
  <c r="W205" i="1"/>
  <c r="AF205" i="1"/>
  <c r="AB349" i="1"/>
  <c r="AK349" i="1"/>
  <c r="AB497" i="1"/>
  <c r="AK497" i="1"/>
  <c r="V359" i="1"/>
  <c r="AE359" i="1"/>
  <c r="V501" i="1"/>
  <c r="AE501" i="1"/>
  <c r="W380" i="1"/>
  <c r="AF380" i="1"/>
  <c r="W523" i="1"/>
  <c r="AF523" i="1"/>
  <c r="T325" i="1"/>
  <c r="AC325" i="1"/>
  <c r="T491" i="1"/>
  <c r="AC491" i="1"/>
  <c r="T376" i="1"/>
  <c r="AC376" i="1"/>
  <c r="T477" i="1"/>
  <c r="AC477" i="1"/>
  <c r="T80" i="1" a="1"/>
  <c r="T90" i="1"/>
  <c r="AC90" i="1"/>
  <c r="U381" i="1"/>
  <c r="AD381" i="1"/>
  <c r="U472" i="1"/>
  <c r="AD472" i="1"/>
  <c r="U437" i="1"/>
  <c r="AD437" i="1"/>
  <c r="U468" i="1"/>
  <c r="AD468" i="1"/>
  <c r="U240" i="1"/>
  <c r="AD240" i="1"/>
  <c r="U453" i="1"/>
  <c r="AD453" i="1"/>
  <c r="U297" i="1"/>
  <c r="AD297" i="1"/>
  <c r="U113" i="1"/>
  <c r="AD113" i="1"/>
  <c r="U281" i="1"/>
  <c r="AD281" i="1"/>
  <c r="U416" i="1"/>
  <c r="AD416" i="1"/>
  <c r="U276" i="1"/>
  <c r="AD276" i="1"/>
  <c r="U124" i="1"/>
  <c r="AD124" i="1"/>
  <c r="U143" i="1"/>
  <c r="AD143" i="1"/>
  <c r="U229" i="1"/>
  <c r="AD229" i="1"/>
  <c r="U486" i="1"/>
  <c r="AD486" i="1"/>
  <c r="U517" i="1"/>
  <c r="AD517" i="1"/>
  <c r="U116" i="1"/>
  <c r="AD116" i="1"/>
  <c r="U503" i="1"/>
  <c r="AD503" i="1"/>
  <c r="U347" i="1"/>
  <c r="AD347" i="1"/>
  <c r="U433" i="1"/>
  <c r="AD433" i="1"/>
  <c r="U184" i="1"/>
  <c r="AD184" i="1"/>
  <c r="U382" i="1"/>
  <c r="AD382" i="1"/>
  <c r="U365" i="1"/>
  <c r="AD365" i="1"/>
  <c r="U355" i="1"/>
  <c r="AD355" i="1"/>
  <c r="U467" i="1"/>
  <c r="AD467" i="1"/>
  <c r="U378" i="1"/>
  <c r="AD378" i="1"/>
  <c r="U462" i="1"/>
  <c r="AD462" i="1"/>
  <c r="U457" i="1"/>
  <c r="AD457" i="1"/>
  <c r="U354" i="1"/>
  <c r="AD354" i="1"/>
  <c r="U253" i="1"/>
  <c r="AD253" i="1"/>
  <c r="U344" i="1"/>
  <c r="AD344" i="1"/>
  <c r="U334" i="1"/>
  <c r="AD334" i="1"/>
  <c r="U316" i="1"/>
  <c r="D60" i="1"/>
  <c r="U274" i="1"/>
  <c r="AD274" i="1"/>
  <c r="U470" i="1"/>
  <c r="AD470" i="1"/>
  <c r="U338" i="1"/>
  <c r="AD338" i="1"/>
  <c r="U100" i="1"/>
  <c r="AD100" i="1"/>
  <c r="U492" i="1"/>
  <c r="AD492" i="1"/>
  <c r="U174" i="1"/>
  <c r="AD174" i="1"/>
  <c r="U414" i="1"/>
  <c r="AD414" i="1"/>
  <c r="U287" i="1"/>
  <c r="AD287" i="1"/>
  <c r="U283" i="1"/>
  <c r="AD283" i="1"/>
  <c r="U192" i="1"/>
  <c r="AD192" i="1"/>
  <c r="U454" i="1"/>
  <c r="AD454" i="1"/>
  <c r="U436" i="1"/>
  <c r="AD436" i="1"/>
  <c r="U488" i="1"/>
  <c r="AD488" i="1"/>
  <c r="U400" i="1"/>
  <c r="AD400" i="1"/>
  <c r="U189" i="1"/>
  <c r="AD189" i="1"/>
  <c r="U83" i="1"/>
  <c r="AD83" i="1"/>
  <c r="U429" i="1"/>
  <c r="AD429" i="1"/>
  <c r="U275" i="1"/>
  <c r="AD275" i="1"/>
  <c r="U242" i="1"/>
  <c r="AD242" i="1"/>
  <c r="U236" i="1"/>
  <c r="AD236" i="1"/>
  <c r="U326" i="1"/>
  <c r="AD326" i="1"/>
  <c r="U94" i="1"/>
  <c r="AD94" i="1"/>
  <c r="U384" i="1"/>
  <c r="AD384" i="1"/>
  <c r="U526" i="1"/>
  <c r="AD526" i="1"/>
  <c r="U266" i="1"/>
  <c r="AD266" i="1"/>
  <c r="U370" i="1"/>
  <c r="AD370" i="1"/>
  <c r="U173" i="1"/>
  <c r="AD173" i="1"/>
  <c r="U190" i="1"/>
  <c r="AD190" i="1"/>
  <c r="U193" i="1"/>
  <c r="AD193" i="1"/>
  <c r="U245" i="1"/>
  <c r="AD245" i="1"/>
  <c r="U293" i="1"/>
  <c r="AD293" i="1"/>
  <c r="U529" i="1"/>
  <c r="AD529" i="1"/>
  <c r="U121" i="1"/>
  <c r="AD121" i="1"/>
  <c r="U438" i="1"/>
  <c r="AD438" i="1"/>
  <c r="U376" i="1"/>
  <c r="AD376" i="1"/>
  <c r="U430" i="1"/>
  <c r="AD430" i="1"/>
  <c r="U443" i="1"/>
  <c r="AD443" i="1"/>
  <c r="U175" i="1"/>
  <c r="AD175" i="1"/>
  <c r="U285" i="1"/>
  <c r="AD285" i="1"/>
  <c r="U264" i="1"/>
  <c r="AD264" i="1"/>
  <c r="U180" i="1"/>
  <c r="AD180" i="1"/>
  <c r="U178" i="1"/>
  <c r="AD178" i="1"/>
  <c r="U386" i="1"/>
  <c r="AD386" i="1"/>
  <c r="U156" i="1"/>
  <c r="AD156" i="1"/>
  <c r="U296" i="1"/>
  <c r="AD296" i="1"/>
  <c r="U129" i="1"/>
  <c r="AD129" i="1"/>
  <c r="U265" i="1"/>
  <c r="AD265" i="1"/>
  <c r="U415" i="1"/>
  <c r="AD415" i="1"/>
  <c r="U142" i="1"/>
  <c r="AD142" i="1"/>
  <c r="U188" i="1"/>
  <c r="AD188" i="1"/>
  <c r="U125" i="1"/>
  <c r="AD125" i="1"/>
  <c r="U314" i="1"/>
  <c r="AD314" i="1"/>
  <c r="V108" i="1"/>
  <c r="AE108" i="1"/>
  <c r="V513" i="1"/>
  <c r="AE513" i="1"/>
  <c r="V471" i="1"/>
  <c r="AE471" i="1"/>
  <c r="V439" i="1"/>
  <c r="AE439" i="1"/>
  <c r="V408" i="1"/>
  <c r="AE408" i="1"/>
  <c r="V257" i="1"/>
  <c r="AE257" i="1"/>
  <c r="V374" i="1"/>
  <c r="AE374" i="1"/>
  <c r="V334" i="1"/>
  <c r="AE334" i="1"/>
  <c r="V151" i="1"/>
  <c r="AE151" i="1"/>
  <c r="V302" i="1"/>
  <c r="AE302" i="1"/>
  <c r="V472" i="1"/>
  <c r="AE472" i="1"/>
  <c r="V218" i="1"/>
  <c r="AE218" i="1"/>
  <c r="V87" i="1"/>
  <c r="AE87" i="1"/>
  <c r="V477" i="1"/>
  <c r="AE477" i="1"/>
  <c r="V526" i="1"/>
  <c r="AE526" i="1"/>
  <c r="V167" i="1"/>
  <c r="AE167" i="1"/>
  <c r="V275" i="1"/>
  <c r="AE275" i="1"/>
  <c r="V214" i="1"/>
  <c r="AE214" i="1"/>
  <c r="V310" i="1"/>
  <c r="AE310" i="1"/>
  <c r="V457" i="1"/>
  <c r="AE457" i="1"/>
  <c r="V152" i="1"/>
  <c r="AE152" i="1"/>
  <c r="V285" i="1"/>
  <c r="AE285" i="1"/>
  <c r="V215" i="1"/>
  <c r="AE215" i="1"/>
  <c r="V376" i="1"/>
  <c r="AE376" i="1"/>
  <c r="V216" i="1"/>
  <c r="AE216" i="1"/>
  <c r="V217" i="1"/>
  <c r="AE217" i="1"/>
  <c r="V84" i="1"/>
  <c r="AE84" i="1"/>
  <c r="V157" i="1"/>
  <c r="AE157" i="1"/>
  <c r="V159" i="1"/>
  <c r="AE159" i="1"/>
  <c r="V482" i="1"/>
  <c r="AE482" i="1"/>
  <c r="V111" i="1"/>
  <c r="AE111" i="1"/>
  <c r="V224" i="1"/>
  <c r="AE224" i="1"/>
  <c r="V131" i="1"/>
  <c r="AE131" i="1"/>
  <c r="V230" i="1"/>
  <c r="AE230" i="1"/>
  <c r="V208" i="1"/>
  <c r="AE208" i="1"/>
  <c r="V82" i="1"/>
  <c r="AE82" i="1"/>
  <c r="V425" i="1"/>
  <c r="AE425" i="1"/>
  <c r="V422" i="1"/>
  <c r="AE422" i="1"/>
  <c r="T341" i="1"/>
  <c r="AC341" i="1"/>
  <c r="T495" i="1"/>
  <c r="AC495" i="1"/>
  <c r="T466" i="1"/>
  <c r="AC466" i="1"/>
  <c r="T455" i="1"/>
  <c r="AC455" i="1"/>
  <c r="W168" i="1"/>
  <c r="AF168" i="1"/>
  <c r="W266" i="1"/>
  <c r="AF266" i="1"/>
  <c r="W387" i="1"/>
  <c r="AF387" i="1"/>
  <c r="W342" i="1"/>
  <c r="AF342" i="1"/>
  <c r="W319" i="1"/>
  <c r="AF319" i="1"/>
  <c r="W294" i="1"/>
  <c r="AF294" i="1"/>
  <c r="W247" i="1"/>
  <c r="AF247" i="1"/>
  <c r="W171" i="1"/>
  <c r="AF171" i="1"/>
  <c r="W146" i="1"/>
  <c r="AF146" i="1"/>
  <c r="W274" i="1"/>
  <c r="AF274" i="1"/>
  <c r="W252" i="1"/>
  <c r="AF252" i="1"/>
  <c r="W227" i="1"/>
  <c r="AF227" i="1"/>
  <c r="W172" i="1"/>
  <c r="AF172" i="1"/>
  <c r="W143" i="1"/>
  <c r="AF143" i="1"/>
  <c r="W123" i="1"/>
  <c r="AF123" i="1"/>
  <c r="W95" i="1"/>
  <c r="AF95" i="1"/>
  <c r="W199" i="1"/>
  <c r="AF199" i="1"/>
  <c r="W169" i="1"/>
  <c r="AF169" i="1"/>
  <c r="W507" i="1"/>
  <c r="AF507" i="1"/>
  <c r="W481" i="1"/>
  <c r="AF481" i="1"/>
  <c r="W455" i="1"/>
  <c r="AF455" i="1"/>
  <c r="W424" i="1"/>
  <c r="AF424" i="1"/>
  <c r="W371" i="1"/>
  <c r="AF371" i="1"/>
  <c r="W93" i="1"/>
  <c r="AF93" i="1"/>
  <c r="W486" i="1"/>
  <c r="AF486" i="1"/>
  <c r="W454" i="1"/>
  <c r="AF454" i="1"/>
  <c r="W356" i="1"/>
  <c r="AF356" i="1"/>
  <c r="W306" i="1"/>
  <c r="AF306" i="1"/>
  <c r="W217" i="1"/>
  <c r="AF217" i="1"/>
  <c r="W515" i="1"/>
  <c r="AF515" i="1"/>
  <c r="W216" i="1"/>
  <c r="AF216" i="1"/>
  <c r="W186" i="1"/>
  <c r="AF186" i="1"/>
  <c r="W159" i="1"/>
  <c r="AF159" i="1"/>
  <c r="W128" i="1"/>
  <c r="AF128" i="1"/>
  <c r="W449" i="1"/>
  <c r="AF449" i="1"/>
  <c r="W355" i="1"/>
  <c r="AF355" i="1"/>
  <c r="W301" i="1"/>
  <c r="AF301" i="1"/>
  <c r="W423" i="1"/>
  <c r="AF423" i="1"/>
  <c r="W385" i="1"/>
  <c r="AF385" i="1"/>
  <c r="W352" i="1"/>
  <c r="AF352" i="1"/>
  <c r="W255" i="1"/>
  <c r="AF255" i="1"/>
  <c r="W220" i="1"/>
  <c r="AF220" i="1"/>
  <c r="W191" i="1"/>
  <c r="AF191" i="1"/>
  <c r="W111" i="1"/>
  <c r="AF111" i="1"/>
  <c r="W110" i="1"/>
  <c r="AF110" i="1"/>
  <c r="W466" i="1"/>
  <c r="AF466" i="1"/>
  <c r="W221" i="1"/>
  <c r="AF221" i="1"/>
  <c r="W302" i="1"/>
  <c r="AF302" i="1"/>
  <c r="W509" i="1"/>
  <c r="AF509" i="1"/>
  <c r="W496" i="1"/>
  <c r="AF496" i="1"/>
  <c r="W422" i="1"/>
  <c r="AF422" i="1"/>
  <c r="W182" i="1"/>
  <c r="AF182" i="1"/>
  <c r="W141" i="1"/>
  <c r="AF141" i="1"/>
  <c r="W109" i="1"/>
  <c r="AF109" i="1"/>
  <c r="W448" i="1"/>
  <c r="AF448" i="1"/>
  <c r="W366" i="1"/>
  <c r="AF366" i="1"/>
  <c r="W326" i="1"/>
  <c r="AF326" i="1"/>
  <c r="W292" i="1"/>
  <c r="AF292" i="1"/>
  <c r="W311" i="1"/>
  <c r="AF311" i="1"/>
  <c r="W501" i="1"/>
  <c r="AF501" i="1"/>
  <c r="W254" i="1"/>
  <c r="AF254" i="1"/>
  <c r="W419" i="1"/>
  <c r="AF419" i="1"/>
  <c r="W130" i="1"/>
  <c r="AF130" i="1"/>
  <c r="W284" i="1"/>
  <c r="AF284" i="1"/>
  <c r="W439" i="1"/>
  <c r="AF439" i="1"/>
  <c r="W395" i="1"/>
  <c r="AF395" i="1"/>
  <c r="W317" i="1"/>
  <c r="AF317" i="1"/>
  <c r="W275" i="1"/>
  <c r="AF275" i="1"/>
  <c r="W234" i="1"/>
  <c r="AF234" i="1"/>
  <c r="W158" i="1"/>
  <c r="AF158" i="1"/>
  <c r="W494" i="1"/>
  <c r="AF494" i="1"/>
  <c r="W353" i="1"/>
  <c r="AF353" i="1"/>
  <c r="W412" i="1"/>
  <c r="AF412" i="1"/>
  <c r="W510" i="1"/>
  <c r="AF510" i="1"/>
  <c r="W208" i="1"/>
  <c r="AF208" i="1"/>
  <c r="W113" i="1"/>
  <c r="AF113" i="1"/>
  <c r="W491" i="1"/>
  <c r="AF491" i="1"/>
  <c r="W525" i="1"/>
  <c r="AF525" i="1"/>
  <c r="W354" i="1"/>
  <c r="AF354" i="1"/>
  <c r="W134" i="1"/>
  <c r="AF134" i="1"/>
  <c r="W177" i="1"/>
  <c r="AF177" i="1"/>
  <c r="W228" i="1"/>
  <c r="AF228" i="1"/>
  <c r="W358" i="1"/>
  <c r="AF358" i="1"/>
  <c r="W403" i="1"/>
  <c r="AF403" i="1"/>
  <c r="W246" i="1"/>
  <c r="AF246" i="1"/>
  <c r="W187" i="1"/>
  <c r="AF187" i="1"/>
  <c r="AB467" i="1"/>
  <c r="AK467" i="1"/>
  <c r="AB457" i="1"/>
  <c r="AK457" i="1"/>
  <c r="W181" i="1"/>
  <c r="AF181" i="1"/>
  <c r="W268" i="1"/>
  <c r="AF268" i="1"/>
  <c r="W404" i="1"/>
  <c r="AF404" i="1"/>
  <c r="W460" i="1"/>
  <c r="AF460" i="1"/>
  <c r="W500" i="1"/>
  <c r="AF500" i="1"/>
  <c r="W453" i="1"/>
  <c r="AF453" i="1"/>
  <c r="W474" i="1"/>
  <c r="AF474" i="1"/>
  <c r="W339" i="1"/>
  <c r="AF339" i="1"/>
  <c r="W206" i="1"/>
  <c r="AF206" i="1"/>
  <c r="W476" i="1"/>
  <c r="AF476" i="1"/>
  <c r="W104" i="1"/>
  <c r="AF104" i="1"/>
  <c r="W331" i="1"/>
  <c r="AF331" i="1"/>
  <c r="AB93" i="1"/>
  <c r="AK93" i="1"/>
  <c r="AB345" i="1"/>
  <c r="AK345" i="1"/>
  <c r="AB432" i="1"/>
  <c r="AK432" i="1"/>
  <c r="AB332" i="1"/>
  <c r="AK332" i="1"/>
  <c r="AB377" i="1"/>
  <c r="AK377" i="1"/>
  <c r="AB522" i="1"/>
  <c r="AK522" i="1"/>
  <c r="AB167" i="1"/>
  <c r="AK167" i="1"/>
  <c r="AB230" i="1"/>
  <c r="AK230" i="1"/>
  <c r="AB249" i="1"/>
  <c r="AK249" i="1"/>
  <c r="W87" i="1"/>
  <c r="AF87" i="1"/>
  <c r="T175" i="1"/>
  <c r="AC175" i="1"/>
  <c r="T233" i="1"/>
  <c r="AC233" i="1"/>
  <c r="T206" i="1"/>
  <c r="AC206" i="1"/>
  <c r="T102" i="1"/>
  <c r="AC102" i="1"/>
  <c r="T198" i="1"/>
  <c r="AC198" i="1"/>
  <c r="AB496" i="1"/>
  <c r="AK496" i="1"/>
  <c r="AB396" i="1"/>
  <c r="AK396" i="1"/>
  <c r="AB378" i="1"/>
  <c r="AK378" i="1"/>
  <c r="AB223" i="1"/>
  <c r="AK223" i="1"/>
  <c r="C36" i="1"/>
  <c r="D36" i="1"/>
  <c r="T86" i="1"/>
  <c r="AC86" i="1"/>
  <c r="AB275" i="1"/>
  <c r="AK275" i="1"/>
  <c r="AB510" i="1"/>
  <c r="AK510" i="1"/>
  <c r="T150" i="1"/>
  <c r="AC150" i="1"/>
  <c r="T136" i="1"/>
  <c r="AC136" i="1"/>
  <c r="T91" i="1"/>
  <c r="AC91" i="1"/>
  <c r="T238" i="1"/>
  <c r="AC238" i="1"/>
  <c r="T170" i="1"/>
  <c r="AC170" i="1"/>
  <c r="T165" i="1"/>
  <c r="AC165" i="1"/>
  <c r="T255" i="1"/>
  <c r="AC255" i="1"/>
  <c r="T259" i="1"/>
  <c r="AC259" i="1"/>
  <c r="T160" i="1"/>
  <c r="AC160" i="1"/>
  <c r="T239" i="1"/>
  <c r="AC239" i="1"/>
  <c r="T281" i="1"/>
  <c r="AC281" i="1"/>
  <c r="T107" i="1"/>
  <c r="AC107" i="1"/>
  <c r="T227" i="1"/>
  <c r="AC227" i="1"/>
  <c r="T110" i="1"/>
  <c r="AC110" i="1"/>
  <c r="T305" i="1"/>
  <c r="AC305" i="1"/>
  <c r="T143" i="1"/>
  <c r="AC143" i="1"/>
  <c r="T253" i="1"/>
  <c r="AC253" i="1"/>
  <c r="T182" i="1"/>
  <c r="AC182" i="1"/>
  <c r="T220" i="1"/>
  <c r="AC220" i="1"/>
  <c r="T280" i="1"/>
  <c r="AC280" i="1"/>
  <c r="T129" i="1"/>
  <c r="AC129" i="1"/>
  <c r="T277" i="1"/>
  <c r="AC277" i="1"/>
  <c r="T178" i="1"/>
  <c r="AC178" i="1"/>
  <c r="T184" i="1"/>
  <c r="AC184" i="1"/>
  <c r="T213" i="1"/>
  <c r="AC213" i="1"/>
  <c r="T285" i="1"/>
  <c r="AC285" i="1"/>
  <c r="T242" i="1"/>
  <c r="AC242" i="1"/>
  <c r="AB492" i="1"/>
  <c r="AK492" i="1"/>
  <c r="AB87" i="1"/>
  <c r="AK87" i="1"/>
  <c r="AB525" i="1"/>
  <c r="AK525" i="1"/>
  <c r="AB177" i="1"/>
  <c r="AK177" i="1"/>
  <c r="AB187" i="1"/>
  <c r="AK187" i="1"/>
  <c r="AB338" i="1"/>
  <c r="AK338" i="1"/>
  <c r="AB288" i="1"/>
  <c r="AK288" i="1"/>
  <c r="AB139" i="1"/>
  <c r="AK139" i="1"/>
  <c r="AB174" i="1"/>
  <c r="AK174" i="1"/>
  <c r="AB138" i="1"/>
  <c r="AK138" i="1"/>
  <c r="AB130" i="1"/>
  <c r="AK130" i="1"/>
  <c r="AB296" i="1"/>
  <c r="AK296" i="1"/>
  <c r="AB343" i="1"/>
  <c r="AK343" i="1"/>
  <c r="AB100" i="1"/>
  <c r="AK100" i="1"/>
  <c r="AB433" i="1"/>
  <c r="AK433" i="1"/>
  <c r="AB438" i="1"/>
  <c r="AK438" i="1"/>
  <c r="AB516" i="1"/>
  <c r="AK516" i="1"/>
  <c r="AB315" i="1"/>
  <c r="AK315" i="1"/>
  <c r="AB201" i="1"/>
  <c r="AK201" i="1"/>
  <c r="AB373" i="1"/>
  <c r="AK373" i="1"/>
  <c r="AB494" i="1"/>
  <c r="AK494" i="1"/>
  <c r="AB445" i="1"/>
  <c r="AK445" i="1"/>
  <c r="AB312" i="1"/>
  <c r="AK312" i="1"/>
  <c r="AB472" i="1"/>
  <c r="AK472" i="1"/>
  <c r="AB400" i="1"/>
  <c r="AK400" i="1"/>
  <c r="AB216" i="1"/>
  <c r="AK216" i="1"/>
  <c r="AB410" i="1"/>
  <c r="AK410" i="1"/>
  <c r="AB519" i="1"/>
  <c r="AK519" i="1"/>
  <c r="AB394" i="1"/>
  <c r="AK394" i="1"/>
  <c r="AB380" i="1"/>
  <c r="AK380" i="1"/>
  <c r="AB485" i="1"/>
  <c r="AK485" i="1"/>
  <c r="AB178" i="1"/>
  <c r="AK178" i="1"/>
  <c r="AB266" i="1"/>
  <c r="AK266" i="1"/>
  <c r="AB482" i="1"/>
  <c r="AK482" i="1"/>
  <c r="AB335" i="1"/>
  <c r="AK335" i="1"/>
  <c r="AB325" i="1"/>
  <c r="AK325" i="1"/>
  <c r="AB526" i="1"/>
  <c r="AK526" i="1"/>
  <c r="AB307" i="1"/>
  <c r="AK307" i="1"/>
  <c r="AB84" i="1"/>
  <c r="AK84" i="1"/>
  <c r="AB391" i="1"/>
  <c r="AK391" i="1"/>
  <c r="AB235" i="1"/>
  <c r="AK235" i="1"/>
  <c r="AB498" i="1"/>
  <c r="AK498" i="1"/>
  <c r="AB304" i="1"/>
  <c r="AK304" i="1"/>
  <c r="AB518" i="1"/>
  <c r="AK518" i="1"/>
  <c r="AB280" i="1"/>
  <c r="AK280" i="1"/>
  <c r="AB435" i="1"/>
  <c r="AK435" i="1"/>
  <c r="AB107" i="1"/>
  <c r="AK107" i="1"/>
  <c r="AB237" i="1"/>
  <c r="AK237" i="1"/>
  <c r="AB470" i="1"/>
  <c r="AK470" i="1"/>
  <c r="AB236" i="1"/>
  <c r="AK236" i="1"/>
  <c r="AB351" i="1"/>
  <c r="AK351" i="1"/>
  <c r="AB173" i="1"/>
  <c r="AK173" i="1"/>
  <c r="AB203" i="1"/>
  <c r="AK203" i="1"/>
  <c r="AB94" i="1"/>
  <c r="AK94" i="1"/>
  <c r="AB262" i="1"/>
  <c r="AK262" i="1"/>
  <c r="AB211" i="1"/>
  <c r="AK211" i="1"/>
  <c r="AB501" i="1"/>
  <c r="AK501" i="1"/>
  <c r="AB355" i="1"/>
  <c r="AK355" i="1"/>
  <c r="AB127" i="1"/>
  <c r="AK127" i="1"/>
  <c r="AB459" i="1"/>
  <c r="AK459" i="1"/>
  <c r="AB207" i="1"/>
  <c r="AK207" i="1"/>
  <c r="AB242" i="1"/>
  <c r="AK242" i="1"/>
  <c r="AB408" i="1"/>
  <c r="AK408" i="1"/>
  <c r="AB164" i="1"/>
  <c r="AK164" i="1"/>
  <c r="AB117" i="1"/>
  <c r="AK117" i="1"/>
  <c r="AB528" i="1"/>
  <c r="AK528" i="1"/>
  <c r="AB239" i="1"/>
  <c r="AK239" i="1"/>
  <c r="AB486" i="1"/>
  <c r="AK486" i="1"/>
  <c r="AB479" i="1"/>
  <c r="AK479" i="1"/>
  <c r="AB399" i="1"/>
  <c r="AK399" i="1"/>
  <c r="AB416" i="1"/>
  <c r="AK416" i="1"/>
  <c r="AB453" i="1"/>
  <c r="AK453" i="1"/>
  <c r="AB90" i="1"/>
  <c r="AK90" i="1"/>
  <c r="AB362" i="1"/>
  <c r="AK362" i="1"/>
  <c r="AB273" i="1"/>
  <c r="AK273" i="1"/>
  <c r="AB255" i="1"/>
  <c r="AK255" i="1"/>
  <c r="AB488" i="1"/>
  <c r="AK488" i="1"/>
  <c r="AB257" i="1"/>
  <c r="AK257" i="1"/>
  <c r="AB226" i="1"/>
  <c r="AK226" i="1"/>
  <c r="AB289" i="1"/>
  <c r="AK289" i="1"/>
  <c r="AB448" i="1"/>
  <c r="AK448" i="1"/>
  <c r="AB395" i="1"/>
  <c r="AK395" i="1"/>
  <c r="AB145" i="1"/>
  <c r="AK145" i="1"/>
  <c r="AB337" i="1"/>
  <c r="AK337" i="1"/>
  <c r="AB462" i="1"/>
  <c r="AK462" i="1"/>
  <c r="AB428" i="1"/>
  <c r="AK428" i="1"/>
  <c r="AB163" i="1"/>
  <c r="AK163" i="1"/>
  <c r="AB474" i="1"/>
  <c r="AK474" i="1"/>
  <c r="AB314" i="1"/>
  <c r="AK314" i="1"/>
  <c r="AB137" i="1"/>
  <c r="AK137" i="1"/>
  <c r="AB388" i="1"/>
  <c r="AK388" i="1"/>
  <c r="AB154" i="1"/>
  <c r="AK154" i="1"/>
  <c r="AB450" i="1"/>
  <c r="AK450" i="1"/>
  <c r="AB414" i="1"/>
  <c r="AK414" i="1"/>
  <c r="AB267" i="1"/>
  <c r="AK267" i="1"/>
  <c r="AB440" i="1"/>
  <c r="AK440" i="1"/>
  <c r="AB213" i="1"/>
  <c r="AK213" i="1"/>
  <c r="AB468" i="1"/>
  <c r="AK468" i="1"/>
  <c r="AB353" i="1"/>
  <c r="AK353" i="1"/>
  <c r="AB259" i="1"/>
  <c r="AK259" i="1"/>
  <c r="AB222" i="1"/>
  <c r="AK222" i="1"/>
  <c r="AB185" i="1"/>
  <c r="AK185" i="1"/>
  <c r="AB194" i="1"/>
  <c r="AK194" i="1"/>
  <c r="AB521" i="1"/>
  <c r="AK521" i="1"/>
  <c r="AB159" i="1"/>
  <c r="AK159" i="1"/>
  <c r="AB446" i="1"/>
  <c r="AK446" i="1"/>
  <c r="AB278" i="1"/>
  <c r="AK278" i="1"/>
  <c r="AB198" i="1"/>
  <c r="AK198" i="1"/>
  <c r="AB225" i="1"/>
  <c r="AK225" i="1"/>
  <c r="AB131" i="1"/>
  <c r="AK131" i="1"/>
  <c r="AB253" i="1"/>
  <c r="AK253" i="1"/>
  <c r="AB375" i="1"/>
  <c r="AK375" i="1"/>
  <c r="AB169" i="1"/>
  <c r="AK169" i="1"/>
  <c r="AB471" i="1"/>
  <c r="AK471" i="1"/>
  <c r="T298" i="1"/>
  <c r="AC298" i="1"/>
  <c r="T205" i="1"/>
  <c r="AC205" i="1"/>
  <c r="T208" i="1"/>
  <c r="AC208" i="1"/>
  <c r="T283" i="1"/>
  <c r="AC283" i="1"/>
  <c r="T111" i="1"/>
  <c r="AC111" i="1"/>
  <c r="AB317" i="1"/>
  <c r="AK317" i="1"/>
  <c r="AB217" i="1"/>
  <c r="AK217" i="1"/>
  <c r="AB140" i="1"/>
  <c r="AK140" i="1"/>
  <c r="AB156" i="1"/>
  <c r="AK156" i="1"/>
  <c r="AB393" i="1"/>
  <c r="AK393" i="1"/>
  <c r="AB197" i="1"/>
  <c r="AK197" i="1"/>
  <c r="AB271" i="1"/>
  <c r="AK271" i="1"/>
  <c r="AB483" i="1"/>
  <c r="AK483" i="1"/>
  <c r="AB407" i="1"/>
  <c r="AK407" i="1"/>
  <c r="T116" i="1"/>
  <c r="AC116" i="1"/>
  <c r="T101" i="1"/>
  <c r="AC101" i="1"/>
  <c r="T287" i="1"/>
  <c r="AC287" i="1"/>
  <c r="T303" i="1"/>
  <c r="AC303" i="1"/>
  <c r="AB374" i="1"/>
  <c r="AK374" i="1"/>
  <c r="AB524" i="1"/>
  <c r="AK524" i="1"/>
  <c r="AB179" i="1"/>
  <c r="AK179" i="1"/>
  <c r="AB507" i="1"/>
  <c r="AK507" i="1"/>
  <c r="AB442" i="1"/>
  <c r="AK442" i="1"/>
  <c r="AB143" i="1"/>
  <c r="AK143" i="1"/>
  <c r="AB310" i="1"/>
  <c r="AK310" i="1"/>
  <c r="AB119" i="1"/>
  <c r="AK119" i="1"/>
  <c r="AB153" i="1"/>
  <c r="AK153" i="1"/>
  <c r="AB123" i="1"/>
  <c r="AK123" i="1"/>
  <c r="AB439" i="1"/>
  <c r="AK439" i="1"/>
  <c r="AB386" i="1"/>
  <c r="AK386" i="1"/>
  <c r="AB269" i="1"/>
  <c r="AK269" i="1"/>
  <c r="AB418" i="1"/>
  <c r="AK418" i="1"/>
  <c r="AB455" i="1"/>
  <c r="AK455" i="1"/>
  <c r="AB346" i="1"/>
  <c r="AK346" i="1"/>
  <c r="AB344" i="1"/>
  <c r="AK344" i="1"/>
  <c r="AB327" i="1"/>
  <c r="AK327" i="1"/>
  <c r="T114" i="1"/>
  <c r="AC114" i="1"/>
  <c r="T268" i="1"/>
  <c r="AC268" i="1"/>
  <c r="T292" i="1"/>
  <c r="AC292" i="1"/>
  <c r="T284" i="1"/>
  <c r="AC284" i="1"/>
  <c r="T149" i="1"/>
  <c r="AC149" i="1"/>
  <c r="T146" i="1"/>
  <c r="AC146" i="1"/>
  <c r="AB500" i="1"/>
  <c r="AK500" i="1"/>
  <c r="AB227" i="1"/>
  <c r="AK227" i="1"/>
  <c r="AB316" i="1"/>
  <c r="D66" i="1"/>
  <c r="AB513" i="1"/>
  <c r="AK513" i="1"/>
  <c r="AB116" i="1"/>
  <c r="AK116" i="1"/>
  <c r="AB238" i="1"/>
  <c r="AK238" i="1"/>
  <c r="AB113" i="1"/>
  <c r="AK113" i="1"/>
  <c r="AB389" i="1"/>
  <c r="AK389" i="1"/>
  <c r="D34" i="1"/>
  <c r="C34" i="1"/>
  <c r="T231" i="1"/>
  <c r="AC231" i="1"/>
  <c r="T235" i="1"/>
  <c r="AC235" i="1"/>
  <c r="AB476" i="1"/>
  <c r="AK476" i="1"/>
  <c r="AB506" i="1"/>
  <c r="AK506" i="1"/>
  <c r="AB397" i="1"/>
  <c r="AK397" i="1"/>
  <c r="AB252" i="1"/>
  <c r="AK252" i="1"/>
  <c r="AB171" i="1"/>
  <c r="AK171" i="1"/>
  <c r="AB372" i="1"/>
  <c r="AK372" i="1"/>
  <c r="T200" i="1"/>
  <c r="AC200" i="1"/>
  <c r="T155" i="1"/>
  <c r="AC155" i="1"/>
  <c r="AB368" i="1"/>
  <c r="AK368" i="1"/>
  <c r="AB336" i="1"/>
  <c r="AK336" i="1"/>
  <c r="AB481" i="1"/>
  <c r="AK481" i="1"/>
  <c r="AB108" i="1"/>
  <c r="AK108" i="1"/>
  <c r="AB184" i="1"/>
  <c r="AK184" i="1"/>
  <c r="AB272" i="1"/>
  <c r="AK272" i="1"/>
  <c r="AB383" i="1"/>
  <c r="AK383" i="1"/>
  <c r="AB480" i="1"/>
  <c r="AK480" i="1"/>
  <c r="AB409" i="1"/>
  <c r="AK409" i="1"/>
  <c r="AB441" i="1"/>
  <c r="AK441" i="1"/>
  <c r="T211" i="1"/>
  <c r="AC211" i="1"/>
  <c r="T94" i="1"/>
  <c r="AC94" i="1"/>
  <c r="T260" i="1"/>
  <c r="AC260" i="1"/>
  <c r="T222" i="1"/>
  <c r="AC222" i="1"/>
  <c r="AB390" i="1"/>
  <c r="AK390" i="1"/>
  <c r="AB85" i="1"/>
  <c r="AK85" i="1"/>
  <c r="AB499" i="1"/>
  <c r="AK499" i="1"/>
  <c r="AB101" i="1"/>
  <c r="AK101" i="1"/>
  <c r="AB122" i="1"/>
  <c r="AK122" i="1"/>
  <c r="AB371" i="1"/>
  <c r="AK371" i="1"/>
  <c r="AB502" i="1"/>
  <c r="AK502" i="1"/>
  <c r="AB527" i="1"/>
  <c r="AK527" i="1"/>
  <c r="AB302" i="1"/>
  <c r="AK302" i="1"/>
  <c r="T162" i="1"/>
  <c r="AC162" i="1"/>
  <c r="T98" i="1"/>
  <c r="AC98" i="1"/>
  <c r="T83" i="1"/>
  <c r="AC83" i="1"/>
  <c r="T289" i="1"/>
  <c r="AC289" i="1"/>
  <c r="T174" i="1"/>
  <c r="AC174" i="1"/>
  <c r="AB111" i="1"/>
  <c r="AK111" i="1"/>
  <c r="AB419" i="1"/>
  <c r="AK419" i="1"/>
  <c r="AB330" i="1"/>
  <c r="AK330" i="1"/>
  <c r="AB489" i="1"/>
  <c r="AK489" i="1"/>
  <c r="AB295" i="1"/>
  <c r="AK295" i="1"/>
  <c r="AB364" i="1"/>
  <c r="AK364" i="1"/>
  <c r="AB191" i="1"/>
  <c r="AK191" i="1"/>
  <c r="AB530" i="1"/>
  <c r="AK530" i="1"/>
  <c r="AB279" i="1"/>
  <c r="AK279" i="1"/>
  <c r="T120" i="1"/>
  <c r="AC120" i="1"/>
  <c r="T250" i="1"/>
  <c r="AC250" i="1"/>
  <c r="T132" i="1"/>
  <c r="AC132" i="1"/>
  <c r="T156" i="1"/>
  <c r="AC156" i="1"/>
  <c r="T265" i="1"/>
  <c r="AC265" i="1"/>
  <c r="T106" i="1"/>
  <c r="AC106" i="1"/>
  <c r="AB264" i="1"/>
  <c r="AK264" i="1"/>
  <c r="AB515" i="1"/>
  <c r="AK515" i="1"/>
  <c r="AB263" i="1"/>
  <c r="AK263" i="1"/>
  <c r="AB404" i="1"/>
  <c r="AK404" i="1"/>
  <c r="AB261" i="1"/>
  <c r="AK261" i="1"/>
  <c r="AB155" i="1"/>
  <c r="AK155" i="1"/>
  <c r="AB246" i="1"/>
  <c r="AK246" i="1"/>
  <c r="AB333" i="1"/>
  <c r="AK333" i="1"/>
  <c r="AB354" i="1"/>
  <c r="AK354" i="1"/>
  <c r="AB361" i="1"/>
  <c r="AK361" i="1"/>
  <c r="T185" i="1"/>
  <c r="AC185" i="1"/>
  <c r="T183" i="1"/>
  <c r="AC183" i="1"/>
  <c r="T261" i="1"/>
  <c r="AC261" i="1"/>
  <c r="T196" i="1"/>
  <c r="AC196" i="1"/>
  <c r="AB517" i="1"/>
  <c r="AK517" i="1"/>
  <c r="AB276" i="1"/>
  <c r="AK276" i="1"/>
  <c r="AB339" i="1"/>
  <c r="AK339" i="1"/>
  <c r="AB200" i="1"/>
  <c r="AK200" i="1"/>
  <c r="AB491" i="1"/>
  <c r="AK491" i="1"/>
  <c r="AB190" i="1"/>
  <c r="AK190" i="1"/>
  <c r="AB146" i="1"/>
  <c r="AK146" i="1"/>
  <c r="AB92" i="1"/>
  <c r="AK92" i="1"/>
  <c r="AB251" i="1"/>
  <c r="AK251" i="1"/>
  <c r="T236" i="1"/>
  <c r="AC236" i="1"/>
  <c r="T123" i="1"/>
  <c r="AC123" i="1"/>
  <c r="T158" i="1"/>
  <c r="AC158" i="1"/>
  <c r="T226" i="1"/>
  <c r="AC226" i="1"/>
  <c r="AB331" i="1"/>
  <c r="AK331" i="1"/>
  <c r="AB81" i="1"/>
  <c r="AK81" i="1"/>
  <c r="AB124" i="1"/>
  <c r="AK124" i="1"/>
  <c r="AB504" i="1"/>
  <c r="AK504" i="1"/>
  <c r="AB298" i="1"/>
  <c r="AK298" i="1"/>
  <c r="AB168" i="1"/>
  <c r="AK168" i="1"/>
  <c r="AB392" i="1"/>
  <c r="AK392" i="1"/>
  <c r="AB99" i="1"/>
  <c r="AK99" i="1"/>
  <c r="AB508" i="1"/>
  <c r="AK508" i="1"/>
  <c r="AR8" i="1"/>
  <c r="R75" i="1"/>
  <c r="R76" i="1" a="1"/>
  <c r="R511" i="1" s="1"/>
  <c r="T112" i="1"/>
  <c r="AC112" i="1"/>
  <c r="T194" i="1"/>
  <c r="AC194" i="1"/>
  <c r="T164" i="1"/>
  <c r="AC164" i="1"/>
  <c r="AB109" i="1"/>
  <c r="AK109" i="1"/>
  <c r="AB148" i="1"/>
  <c r="AK148" i="1"/>
  <c r="AB322" i="1"/>
  <c r="AK322" i="1"/>
  <c r="AB490" i="1"/>
  <c r="AK490" i="1"/>
  <c r="AB356" i="1"/>
  <c r="AK356" i="1"/>
  <c r="AB221" i="1"/>
  <c r="AK221" i="1"/>
  <c r="AB286" i="1"/>
  <c r="AK286" i="1"/>
  <c r="AB323" i="1"/>
  <c r="AK323" i="1"/>
  <c r="T113" i="1"/>
  <c r="AC113" i="1"/>
  <c r="T201" i="1"/>
  <c r="AC201" i="1"/>
  <c r="AB260" i="1"/>
  <c r="AK260" i="1"/>
  <c r="AB369" i="1"/>
  <c r="AK369" i="1"/>
  <c r="AB188" i="1"/>
  <c r="AK188" i="1"/>
  <c r="AB493" i="1"/>
  <c r="AK493" i="1"/>
  <c r="AB309" i="1"/>
  <c r="AK309" i="1"/>
  <c r="AB268" i="1"/>
  <c r="AK268" i="1"/>
  <c r="AB463" i="1"/>
  <c r="AK463" i="1"/>
  <c r="AB464" i="1"/>
  <c r="AK464" i="1"/>
  <c r="AB218" i="1"/>
  <c r="AK218" i="1"/>
  <c r="AB250" i="1"/>
  <c r="AK250" i="1"/>
  <c r="T133" i="1"/>
  <c r="AC133" i="1"/>
  <c r="T302" i="1"/>
  <c r="AC302" i="1"/>
  <c r="T89" i="1"/>
  <c r="AC89" i="1"/>
  <c r="T167" i="1"/>
  <c r="AC167" i="1"/>
  <c r="T95" i="1"/>
  <c r="AC95" i="1"/>
  <c r="AB484" i="1"/>
  <c r="AK484" i="1"/>
  <c r="AB473" i="1"/>
  <c r="AK473" i="1"/>
  <c r="AB411" i="1"/>
  <c r="AK411" i="1"/>
  <c r="AB308" i="1"/>
  <c r="AK308" i="1"/>
  <c r="AB412" i="1"/>
  <c r="AK412" i="1"/>
  <c r="AB306" i="1"/>
  <c r="AK306" i="1"/>
  <c r="AB186" i="1"/>
  <c r="AK186" i="1"/>
  <c r="AB134" i="1"/>
  <c r="AK134" i="1"/>
  <c r="AB509" i="1"/>
  <c r="AK509" i="1"/>
  <c r="T100" i="1"/>
  <c r="AC100" i="1"/>
  <c r="T126" i="1"/>
  <c r="AC126" i="1"/>
  <c r="T254" i="1"/>
  <c r="AC254" i="1"/>
  <c r="T199" i="1"/>
  <c r="AC199" i="1"/>
  <c r="T192" i="1"/>
  <c r="AC192" i="1"/>
  <c r="AB233" i="1"/>
  <c r="AK233" i="1"/>
  <c r="AB175" i="1"/>
  <c r="AK175" i="1"/>
  <c r="AB449" i="1"/>
  <c r="AK449" i="1"/>
  <c r="AB125" i="1"/>
  <c r="AK125" i="1"/>
  <c r="T179" i="1"/>
  <c r="AC179" i="1"/>
  <c r="T119" i="1"/>
  <c r="AC119" i="1"/>
  <c r="T193" i="1"/>
  <c r="AC193" i="1"/>
  <c r="T92" i="1"/>
  <c r="AC92" i="1"/>
  <c r="T232" i="1"/>
  <c r="AC232" i="1"/>
  <c r="T301" i="1"/>
  <c r="AC301" i="1"/>
  <c r="AB195" i="1"/>
  <c r="AK195" i="1"/>
  <c r="AB281" i="1"/>
  <c r="AK281" i="1"/>
  <c r="AB529" i="1"/>
  <c r="AK529" i="1"/>
  <c r="AB365" i="1"/>
  <c r="AK365" i="1"/>
  <c r="AB415" i="1"/>
  <c r="AK415" i="1"/>
  <c r="AB358" i="1"/>
  <c r="AK358" i="1"/>
  <c r="AB434" i="1"/>
  <c r="AK434" i="1"/>
  <c r="AB402" i="1"/>
  <c r="AK402" i="1"/>
  <c r="AB144" i="1"/>
  <c r="AK144" i="1"/>
  <c r="AB318" i="1"/>
  <c r="AK318" i="1"/>
  <c r="AB425" i="1"/>
  <c r="AK425" i="1"/>
  <c r="V172" i="1"/>
  <c r="AE172" i="1"/>
  <c r="V520" i="1"/>
  <c r="AE520" i="1"/>
  <c r="V92" i="1"/>
  <c r="AE92" i="1"/>
  <c r="V429" i="1"/>
  <c r="AE429" i="1"/>
  <c r="V484" i="1"/>
  <c r="AE484" i="1"/>
  <c r="V369" i="1"/>
  <c r="AE369" i="1"/>
  <c r="V419" i="1"/>
  <c r="AE419" i="1"/>
  <c r="V283" i="1"/>
  <c r="AE283" i="1"/>
  <c r="V335" i="1"/>
  <c r="AE335" i="1"/>
  <c r="V336" i="1"/>
  <c r="AE336" i="1"/>
  <c r="V492" i="1"/>
  <c r="AE492" i="1"/>
  <c r="V201" i="1"/>
  <c r="AE201" i="1"/>
  <c r="V384" i="1"/>
  <c r="AE384" i="1"/>
  <c r="V236" i="1"/>
  <c r="AE236" i="1"/>
  <c r="V447" i="1"/>
  <c r="AE447" i="1"/>
  <c r="V139" i="1"/>
  <c r="AE139" i="1"/>
  <c r="V223" i="1"/>
  <c r="AE223" i="1"/>
  <c r="V196" i="1"/>
  <c r="AE196" i="1"/>
  <c r="V246" i="1"/>
  <c r="AE246" i="1"/>
  <c r="V455" i="1"/>
  <c r="AE455" i="1"/>
  <c r="V279" i="1"/>
  <c r="AE279" i="1"/>
  <c r="V328" i="1"/>
  <c r="AE328" i="1"/>
  <c r="V522" i="1"/>
  <c r="AE522" i="1"/>
  <c r="V452" i="1"/>
  <c r="AE452" i="1"/>
  <c r="V269" i="1"/>
  <c r="AE269" i="1"/>
  <c r="V368" i="1"/>
  <c r="AE368" i="1"/>
  <c r="V498" i="1"/>
  <c r="AE498" i="1"/>
  <c r="V191" i="1"/>
  <c r="AE191" i="1"/>
  <c r="V357" i="1"/>
  <c r="AE357" i="1"/>
  <c r="T459" i="1"/>
  <c r="AC459" i="1"/>
  <c r="V467" i="1"/>
  <c r="AE467" i="1"/>
  <c r="V298" i="1"/>
  <c r="AE298" i="1"/>
  <c r="V103" i="1"/>
  <c r="AE103" i="1"/>
  <c r="V389" i="1"/>
  <c r="AE389" i="1"/>
  <c r="U345" i="1"/>
  <c r="AD345" i="1"/>
  <c r="V478" i="1"/>
  <c r="AE478" i="1"/>
  <c r="V271" i="1"/>
  <c r="AE271" i="1"/>
  <c r="V266" i="1"/>
  <c r="AE266" i="1"/>
  <c r="V211" i="1"/>
  <c r="AE211" i="1"/>
  <c r="V397" i="1"/>
  <c r="AE397" i="1"/>
  <c r="V370" i="1"/>
  <c r="AE370" i="1"/>
  <c r="V99" i="1"/>
  <c r="AE99" i="1"/>
  <c r="V204" i="1"/>
  <c r="AE204" i="1"/>
  <c r="V192" i="1"/>
  <c r="AE192" i="1"/>
  <c r="V98" i="1"/>
  <c r="AE98" i="1"/>
  <c r="V183" i="1"/>
  <c r="AE183" i="1"/>
  <c r="V122" i="1"/>
  <c r="AE122" i="1"/>
  <c r="V113" i="1"/>
  <c r="AE113" i="1"/>
  <c r="V340" i="1"/>
  <c r="AE340" i="1"/>
  <c r="T476" i="1"/>
  <c r="AC476" i="1"/>
  <c r="T396" i="1"/>
  <c r="AC396" i="1"/>
  <c r="T386" i="1"/>
  <c r="AC386" i="1"/>
  <c r="T306" i="1"/>
  <c r="AC306" i="1"/>
  <c r="T310" i="1"/>
  <c r="AC310" i="1"/>
  <c r="V525" i="1"/>
  <c r="AE525" i="1"/>
  <c r="V343" i="1"/>
  <c r="AE343" i="1"/>
  <c r="V465" i="1"/>
  <c r="AE465" i="1"/>
  <c r="V115" i="1"/>
  <c r="AE115" i="1"/>
  <c r="V378" i="1"/>
  <c r="AE378" i="1"/>
  <c r="V199" i="1"/>
  <c r="AE199" i="1"/>
  <c r="V296" i="1"/>
  <c r="AE296" i="1"/>
  <c r="T368" i="1"/>
  <c r="AC368" i="1"/>
  <c r="T352" i="1"/>
  <c r="AC352" i="1"/>
  <c r="V427" i="1"/>
  <c r="AE427" i="1"/>
  <c r="V144" i="1"/>
  <c r="AE144" i="1"/>
  <c r="V293" i="1"/>
  <c r="AE293" i="1"/>
  <c r="V332" i="1"/>
  <c r="AE332" i="1"/>
  <c r="V347" i="1"/>
  <c r="AE347" i="1"/>
  <c r="V155" i="1"/>
  <c r="AE155" i="1"/>
  <c r="V430" i="1"/>
  <c r="AE430" i="1"/>
  <c r="V349" i="1"/>
  <c r="AE349" i="1"/>
  <c r="V493" i="1"/>
  <c r="AE493" i="1"/>
  <c r="U165" i="1"/>
  <c r="AD165" i="1"/>
  <c r="U408" i="1"/>
  <c r="AD408" i="1"/>
  <c r="U93" i="1"/>
  <c r="AD93" i="1"/>
  <c r="U187" i="1"/>
  <c r="AD187" i="1"/>
  <c r="U304" i="1"/>
  <c r="AD304" i="1"/>
  <c r="U102" i="1"/>
  <c r="AD102" i="1"/>
  <c r="U81" i="1"/>
  <c r="AD81" i="1"/>
  <c r="U323" i="1"/>
  <c r="AD323" i="1"/>
  <c r="U509" i="1"/>
  <c r="AD509" i="1"/>
  <c r="U227" i="1"/>
  <c r="AD227" i="1"/>
  <c r="U505" i="1"/>
  <c r="AD505" i="1"/>
  <c r="U439" i="1"/>
  <c r="AD439" i="1"/>
  <c r="U451" i="1"/>
  <c r="AD451" i="1"/>
  <c r="U346" i="1"/>
  <c r="AD346" i="1"/>
  <c r="U195" i="1"/>
  <c r="AD195" i="1"/>
  <c r="U475" i="1"/>
  <c r="AD475" i="1"/>
  <c r="U197" i="1"/>
  <c r="AD197" i="1"/>
  <c r="U146" i="1"/>
  <c r="AD146" i="1"/>
  <c r="U367" i="1"/>
  <c r="AD367" i="1"/>
  <c r="U379" i="1"/>
  <c r="AD379" i="1"/>
  <c r="U372" i="1"/>
  <c r="AD372" i="1"/>
  <c r="U390" i="1"/>
  <c r="AD390" i="1"/>
  <c r="U204" i="1"/>
  <c r="AD204" i="1"/>
  <c r="U278" i="1"/>
  <c r="AD278" i="1"/>
  <c r="U337" i="1"/>
  <c r="AD337" i="1"/>
  <c r="U169" i="1"/>
  <c r="AD169" i="1"/>
  <c r="U82" i="1"/>
  <c r="AD82" i="1"/>
  <c r="W218" i="1"/>
  <c r="AF218" i="1"/>
  <c r="W81" i="1"/>
  <c r="AF81" i="1"/>
  <c r="W431" i="1"/>
  <c r="AF431" i="1"/>
  <c r="W450" i="1"/>
  <c r="AF450" i="1"/>
  <c r="W504" i="1"/>
  <c r="AF504" i="1"/>
  <c r="W89" i="1"/>
  <c r="AF89" i="1"/>
  <c r="W495" i="1"/>
  <c r="AF495" i="1"/>
  <c r="AB224" i="1"/>
  <c r="AK224" i="1"/>
  <c r="AB86" i="1"/>
  <c r="AK86" i="1"/>
  <c r="AB205" i="1"/>
  <c r="AK205" i="1"/>
  <c r="AB320" i="1"/>
  <c r="AK320" i="1"/>
  <c r="AB142" i="1"/>
  <c r="AK142" i="1"/>
  <c r="AB110" i="1"/>
  <c r="AK110" i="1"/>
  <c r="AB454" i="1"/>
  <c r="AK454" i="1"/>
  <c r="AB97" i="1"/>
  <c r="AK97" i="1"/>
  <c r="AB231" i="1"/>
  <c r="AK231" i="1"/>
  <c r="AB141" i="1"/>
  <c r="AK141" i="1"/>
  <c r="AB136" i="1"/>
  <c r="AK136" i="1"/>
  <c r="AB319" i="1"/>
  <c r="AK319" i="1"/>
  <c r="AB421" i="1"/>
  <c r="AK421" i="1"/>
  <c r="AB88" i="1"/>
  <c r="AK88" i="1"/>
  <c r="AB147" i="1"/>
  <c r="AK147" i="1"/>
  <c r="AB157" i="1"/>
  <c r="AK157" i="1"/>
  <c r="AL157" i="1"/>
  <c r="AM157" i="1"/>
  <c r="AB248" i="1"/>
  <c r="AK248" i="1"/>
  <c r="AB196" i="1"/>
  <c r="AK196" i="1"/>
  <c r="AB83" i="1"/>
  <c r="AK83" i="1"/>
  <c r="AB98" i="1"/>
  <c r="AK98" i="1"/>
  <c r="AB456" i="1"/>
  <c r="AK456" i="1"/>
  <c r="AB206" i="1"/>
  <c r="AK206" i="1"/>
  <c r="AB241" i="1"/>
  <c r="AK241" i="1"/>
  <c r="AB162" i="1"/>
  <c r="AK162" i="1"/>
  <c r="AB212" i="1"/>
  <c r="AK212" i="1"/>
  <c r="AB340" i="1"/>
  <c r="AK340" i="1"/>
  <c r="AB367" i="1"/>
  <c r="AK367" i="1"/>
  <c r="AB465" i="1"/>
  <c r="AK465" i="1"/>
  <c r="AB520" i="1"/>
  <c r="AK520" i="1"/>
  <c r="AB234" i="1"/>
  <c r="AK234" i="1"/>
  <c r="AB89" i="1"/>
  <c r="AK89" i="1"/>
  <c r="AB166" i="1"/>
  <c r="AK166" i="1"/>
  <c r="AB160" i="1"/>
  <c r="AK160" i="1"/>
  <c r="AB429" i="1"/>
  <c r="AK429" i="1"/>
  <c r="AB126" i="1"/>
  <c r="AK126" i="1"/>
  <c r="AB447" i="1"/>
  <c r="AK447" i="1"/>
  <c r="AB305" i="1"/>
  <c r="AK305" i="1"/>
  <c r="AB300" i="1"/>
  <c r="AK300" i="1"/>
  <c r="AB247" i="1"/>
  <c r="AK247" i="1"/>
  <c r="AB348" i="1"/>
  <c r="AK348" i="1"/>
  <c r="AB423" i="1"/>
  <c r="AK423" i="1"/>
  <c r="AB150" i="1"/>
  <c r="AK150" i="1"/>
  <c r="AB240" i="1"/>
  <c r="AK240" i="1"/>
  <c r="AB398" i="1"/>
  <c r="AK398" i="1"/>
  <c r="AB284" i="1"/>
  <c r="AK284" i="1"/>
  <c r="AB183" i="1"/>
  <c r="AK183" i="1"/>
  <c r="AB112" i="1"/>
  <c r="AK112" i="1"/>
  <c r="AB342" i="1"/>
  <c r="AK342" i="1"/>
  <c r="AB209" i="1"/>
  <c r="AK209" i="1"/>
  <c r="AB282" i="1"/>
  <c r="AK282" i="1"/>
  <c r="AB96" i="1"/>
  <c r="AK96" i="1"/>
  <c r="AB443" i="1"/>
  <c r="AK443" i="1"/>
  <c r="AB334" i="1"/>
  <c r="AK334" i="1"/>
  <c r="AB422" i="1"/>
  <c r="AK422" i="1"/>
  <c r="AB405" i="1"/>
  <c r="AK405" i="1"/>
  <c r="AB311" i="1"/>
  <c r="AK311" i="1"/>
  <c r="AB294" i="1"/>
  <c r="AK294" i="1"/>
  <c r="AB170" i="1"/>
  <c r="AK170" i="1"/>
  <c r="AB103" i="1"/>
  <c r="AK103" i="1"/>
  <c r="AB120" i="1"/>
  <c r="AK120" i="1"/>
  <c r="AF316" i="1"/>
  <c r="H59" i="1"/>
  <c r="W337" i="1"/>
  <c r="AF337" i="1"/>
  <c r="W154" i="1"/>
  <c r="AF154" i="1"/>
  <c r="W173" i="1"/>
  <c r="AF173" i="1"/>
  <c r="W324" i="1"/>
  <c r="AF324" i="1"/>
  <c r="W219" i="1"/>
  <c r="AF219" i="1"/>
  <c r="W149" i="1"/>
  <c r="AF149" i="1"/>
  <c r="W497" i="1"/>
  <c r="AF497" i="1"/>
  <c r="W118" i="1"/>
  <c r="AF118" i="1"/>
  <c r="W300" i="1"/>
  <c r="AF300" i="1"/>
  <c r="W377" i="1"/>
  <c r="AF377" i="1"/>
  <c r="W440" i="1"/>
  <c r="AF440" i="1"/>
  <c r="W210" i="1"/>
  <c r="AF210" i="1"/>
  <c r="W125" i="1"/>
  <c r="AF125" i="1"/>
  <c r="W235" i="1"/>
  <c r="AF235" i="1"/>
  <c r="W112" i="1"/>
  <c r="AF112" i="1"/>
  <c r="W329" i="1"/>
  <c r="AF329" i="1"/>
  <c r="W410" i="1"/>
  <c r="AF410" i="1"/>
  <c r="W411" i="1"/>
  <c r="AF411" i="1"/>
  <c r="W417" i="1"/>
  <c r="AF417" i="1"/>
  <c r="W484" i="1"/>
  <c r="AF484" i="1"/>
  <c r="W242" i="1"/>
  <c r="AF242" i="1"/>
  <c r="W457" i="1"/>
  <c r="AF457" i="1"/>
  <c r="W272" i="1"/>
  <c r="AF272" i="1"/>
  <c r="W506" i="1"/>
  <c r="AF506" i="1"/>
  <c r="W330" i="1"/>
  <c r="AF330" i="1"/>
  <c r="W86" i="1"/>
  <c r="AF86" i="1"/>
  <c r="W437" i="1"/>
  <c r="AF437" i="1"/>
  <c r="W244" i="1"/>
  <c r="AF244" i="1"/>
  <c r="W142" i="1"/>
  <c r="AF142" i="1"/>
  <c r="W322" i="1"/>
  <c r="AF322" i="1"/>
  <c r="W398" i="1"/>
  <c r="AF398" i="1"/>
  <c r="W162" i="1"/>
  <c r="AF162" i="1"/>
  <c r="W260" i="1"/>
  <c r="AF260" i="1"/>
  <c r="W492" i="1"/>
  <c r="AF492" i="1"/>
  <c r="W409" i="1"/>
  <c r="AF409" i="1"/>
  <c r="W196" i="1"/>
  <c r="AF196" i="1"/>
  <c r="W116" i="1"/>
  <c r="AF116" i="1"/>
  <c r="AL116" i="1"/>
  <c r="AM116" i="1"/>
  <c r="W295" i="1"/>
  <c r="AF295" i="1"/>
  <c r="W430" i="1"/>
  <c r="AF430" i="1"/>
  <c r="W414" i="1"/>
  <c r="AF414" i="1"/>
  <c r="W90" i="1"/>
  <c r="AF90" i="1"/>
  <c r="AL90" i="1"/>
  <c r="AM90" i="1"/>
  <c r="W232" i="1"/>
  <c r="AF232" i="1"/>
  <c r="W490" i="1"/>
  <c r="AF490" i="1"/>
  <c r="W106" i="1"/>
  <c r="AF106" i="1"/>
  <c r="W155" i="1"/>
  <c r="AF155" i="1"/>
  <c r="W512" i="1"/>
  <c r="AF512" i="1"/>
  <c r="W253" i="1"/>
  <c r="AF253" i="1"/>
  <c r="W289" i="1"/>
  <c r="AF289" i="1"/>
  <c r="W92" i="1"/>
  <c r="AF92" i="1"/>
  <c r="W464" i="1"/>
  <c r="AF464" i="1"/>
  <c r="W459" i="1"/>
  <c r="AF459" i="1"/>
  <c r="W298" i="1"/>
  <c r="AF298" i="1"/>
  <c r="W240" i="1"/>
  <c r="AF240" i="1"/>
  <c r="W307" i="1"/>
  <c r="AF307" i="1"/>
  <c r="W401" i="1"/>
  <c r="AF401" i="1"/>
  <c r="W200" i="1"/>
  <c r="AF200" i="1"/>
  <c r="W94" i="1"/>
  <c r="AF94" i="1"/>
  <c r="AL94" i="1"/>
  <c r="AM94" i="1"/>
  <c r="W392" i="1"/>
  <c r="AF392" i="1"/>
  <c r="W188" i="1"/>
  <c r="AF188" i="1"/>
  <c r="W265" i="1"/>
  <c r="AF265" i="1"/>
  <c r="W406" i="1"/>
  <c r="AF406" i="1"/>
  <c r="W526" i="1"/>
  <c r="AF526" i="1"/>
  <c r="W446" i="1"/>
  <c r="AF446" i="1"/>
  <c r="W262" i="1"/>
  <c r="AF262" i="1"/>
  <c r="W462" i="1"/>
  <c r="AF462" i="1"/>
  <c r="W303" i="1"/>
  <c r="AF303" i="1"/>
  <c r="W487" i="1"/>
  <c r="AF487" i="1"/>
  <c r="W271" i="1"/>
  <c r="AF271" i="1"/>
  <c r="W197" i="1"/>
  <c r="AF197" i="1"/>
  <c r="W349" i="1"/>
  <c r="AF349" i="1"/>
  <c r="W427" i="1"/>
  <c r="AF427" i="1"/>
  <c r="W493" i="1"/>
  <c r="AF493" i="1"/>
  <c r="W139" i="1"/>
  <c r="AF139" i="1"/>
  <c r="W369" i="1"/>
  <c r="AF369" i="1"/>
  <c r="W513" i="1"/>
  <c r="AF513" i="1"/>
  <c r="W388" i="1"/>
  <c r="AF388" i="1"/>
  <c r="W425" i="1"/>
  <c r="AF425" i="1"/>
  <c r="W334" i="1"/>
  <c r="AF334" i="1"/>
  <c r="W178" i="1"/>
  <c r="AF178" i="1"/>
  <c r="AL178" i="1"/>
  <c r="AM178" i="1"/>
  <c r="W373" i="1"/>
  <c r="AF373" i="1"/>
  <c r="W239" i="1"/>
  <c r="AF239" i="1"/>
  <c r="W325" i="1"/>
  <c r="AF325" i="1"/>
  <c r="W360" i="1"/>
  <c r="AF360" i="1"/>
  <c r="W119" i="1"/>
  <c r="AF119" i="1"/>
  <c r="AL119" i="1"/>
  <c r="AM119" i="1"/>
  <c r="W156" i="1"/>
  <c r="AF156" i="1"/>
  <c r="W88" i="1"/>
  <c r="AF88" i="1"/>
  <c r="W288" i="1"/>
  <c r="AF288" i="1"/>
  <c r="W382" i="1"/>
  <c r="AF382" i="1"/>
  <c r="W127" i="1"/>
  <c r="AF127" i="1"/>
  <c r="W519" i="1"/>
  <c r="AF519" i="1"/>
  <c r="W359" i="1"/>
  <c r="AF359" i="1"/>
  <c r="W105" i="1"/>
  <c r="AF105" i="1"/>
  <c r="W389" i="1"/>
  <c r="AF389" i="1"/>
  <c r="W129" i="1"/>
  <c r="AF129" i="1"/>
  <c r="W304" i="1"/>
  <c r="AF304" i="1"/>
  <c r="W102" i="1"/>
  <c r="AF102" i="1"/>
  <c r="W471" i="1"/>
  <c r="AF471" i="1"/>
  <c r="W267" i="1"/>
  <c r="AF267" i="1"/>
  <c r="W407" i="1"/>
  <c r="AF407" i="1"/>
  <c r="W190" i="1"/>
  <c r="AF190" i="1"/>
  <c r="W179" i="1"/>
  <c r="AF179" i="1"/>
  <c r="W152" i="1"/>
  <c r="AF152" i="1"/>
  <c r="W290" i="1"/>
  <c r="AF290" i="1"/>
  <c r="W91" i="1"/>
  <c r="AF91" i="1"/>
  <c r="W136" i="1"/>
  <c r="AF136" i="1"/>
  <c r="W408" i="1"/>
  <c r="AF408" i="1"/>
  <c r="W383" i="1"/>
  <c r="AF383" i="1"/>
  <c r="W480" i="1"/>
  <c r="AF480" i="1"/>
  <c r="W328" i="1"/>
  <c r="AF328" i="1"/>
  <c r="W226" i="1"/>
  <c r="AF226" i="1"/>
  <c r="W396" i="1"/>
  <c r="AF396" i="1"/>
  <c r="W456" i="1"/>
  <c r="AF456" i="1"/>
  <c r="W444" i="1"/>
  <c r="AF444" i="1"/>
  <c r="W378" i="1"/>
  <c r="AF378" i="1"/>
  <c r="W520" i="1"/>
  <c r="AF520" i="1"/>
  <c r="W499" i="1"/>
  <c r="AF499" i="1"/>
  <c r="W194" i="1"/>
  <c r="AF194" i="1"/>
  <c r="W452" i="1"/>
  <c r="AF452" i="1"/>
  <c r="W340" i="1"/>
  <c r="AF340" i="1"/>
  <c r="W165" i="1"/>
  <c r="AF165" i="1"/>
  <c r="W309" i="1"/>
  <c r="AF309" i="1"/>
  <c r="W429" i="1"/>
  <c r="AF429" i="1"/>
  <c r="W310" i="1"/>
  <c r="AF310" i="1"/>
  <c r="AL310" i="1"/>
  <c r="AM310" i="1"/>
  <c r="W451" i="1"/>
  <c r="AF451" i="1"/>
  <c r="W443" i="1"/>
  <c r="AF443" i="1"/>
  <c r="W320" i="1"/>
  <c r="AF320" i="1"/>
  <c r="AL320" i="1"/>
  <c r="AM320" i="1"/>
  <c r="W305" i="1"/>
  <c r="AF305" i="1"/>
  <c r="W472" i="1"/>
  <c r="AF472" i="1"/>
  <c r="W195" i="1"/>
  <c r="AF195" i="1"/>
  <c r="W133" i="1"/>
  <c r="AF133" i="1"/>
  <c r="W318" i="1"/>
  <c r="AF318" i="1"/>
  <c r="W461" i="1"/>
  <c r="AF461" i="1"/>
  <c r="W185" i="1"/>
  <c r="AF185" i="1"/>
  <c r="W386" i="1"/>
  <c r="AF386" i="1"/>
  <c r="W248" i="1"/>
  <c r="AF248" i="1"/>
  <c r="W279" i="1"/>
  <c r="AF279" i="1"/>
  <c r="W467" i="1"/>
  <c r="AF467" i="1"/>
  <c r="W281" i="1"/>
  <c r="AF281" i="1"/>
  <c r="AL281" i="1"/>
  <c r="AM281" i="1"/>
  <c r="W225" i="1"/>
  <c r="AF225" i="1"/>
  <c r="W230" i="1"/>
  <c r="AF230" i="1"/>
  <c r="W338" i="1"/>
  <c r="AF338" i="1"/>
  <c r="W264" i="1"/>
  <c r="AF264" i="1"/>
  <c r="W291" i="1"/>
  <c r="AF291" i="1"/>
  <c r="W365" i="1"/>
  <c r="AF365" i="1"/>
  <c r="W475" i="1"/>
  <c r="AF475" i="1"/>
  <c r="W150" i="1"/>
  <c r="AF150" i="1"/>
  <c r="W364" i="1"/>
  <c r="AF364" i="1"/>
  <c r="W323" i="1"/>
  <c r="AF323" i="1"/>
  <c r="W101" i="1"/>
  <c r="AF101" i="1"/>
  <c r="W229" i="1"/>
  <c r="AF229" i="1"/>
  <c r="W148" i="1"/>
  <c r="AF148" i="1"/>
  <c r="W362" i="1"/>
  <c r="AF362" i="1"/>
  <c r="W421" i="1"/>
  <c r="AF421" i="1"/>
  <c r="W483" i="1"/>
  <c r="AF483" i="1"/>
  <c r="W511" i="1"/>
  <c r="AF511" i="1"/>
  <c r="W348" i="1"/>
  <c r="AF348" i="1"/>
  <c r="W80" i="1"/>
  <c r="AF80" i="1"/>
  <c r="W151" i="1"/>
  <c r="AF151" i="1"/>
  <c r="W286" i="1"/>
  <c r="AF286" i="1"/>
  <c r="W215" i="1"/>
  <c r="AF215" i="1"/>
  <c r="W405" i="1"/>
  <c r="AF405" i="1"/>
  <c r="W363" i="1"/>
  <c r="AF363" i="1"/>
  <c r="W489" i="1"/>
  <c r="AF489" i="1"/>
  <c r="W426" i="1"/>
  <c r="AF426" i="1"/>
  <c r="W374" i="1"/>
  <c r="AF374" i="1"/>
  <c r="W399" i="1"/>
  <c r="AF399" i="1"/>
  <c r="W251" i="1"/>
  <c r="AF251" i="1"/>
  <c r="W368" i="1"/>
  <c r="AF368" i="1"/>
  <c r="AL368" i="1"/>
  <c r="AM368" i="1"/>
  <c r="W315" i="1"/>
  <c r="AF315" i="1"/>
  <c r="W166" i="1"/>
  <c r="AF166" i="1"/>
  <c r="W350" i="1"/>
  <c r="AF350" i="1"/>
  <c r="W83" i="1"/>
  <c r="AF83" i="1"/>
  <c r="W211" i="1"/>
  <c r="AF211" i="1"/>
  <c r="W273" i="1"/>
  <c r="AF273" i="1"/>
  <c r="W124" i="1"/>
  <c r="AF124" i="1"/>
  <c r="W308" i="1"/>
  <c r="AF308" i="1"/>
  <c r="W528" i="1"/>
  <c r="AF528" i="1"/>
  <c r="W441" i="1"/>
  <c r="AF441" i="1"/>
  <c r="W436" i="1"/>
  <c r="AF436" i="1"/>
  <c r="W163" i="1"/>
  <c r="AF163" i="1"/>
  <c r="W238" i="1"/>
  <c r="AF238" i="1"/>
  <c r="AL238" i="1"/>
  <c r="AM238" i="1"/>
  <c r="W333" i="1"/>
  <c r="AF333" i="1"/>
  <c r="W285" i="1"/>
  <c r="AF285" i="1"/>
  <c r="AL285" i="1"/>
  <c r="AM285" i="1"/>
  <c r="W144" i="1"/>
  <c r="AF144" i="1"/>
  <c r="W458" i="1"/>
  <c r="AF458" i="1"/>
  <c r="W82" i="1"/>
  <c r="AF82" i="1"/>
  <c r="W114" i="1"/>
  <c r="AF114" i="1"/>
  <c r="W120" i="1"/>
  <c r="AF120" i="1"/>
  <c r="W135" i="1"/>
  <c r="AF135" i="1"/>
  <c r="W488" i="1"/>
  <c r="AF488" i="1"/>
  <c r="W413" i="1"/>
  <c r="AF413" i="1"/>
  <c r="W198" i="1"/>
  <c r="AF198" i="1"/>
  <c r="W269" i="1"/>
  <c r="AF269" i="1"/>
  <c r="W485" i="1"/>
  <c r="AF485" i="1"/>
  <c r="W508" i="1"/>
  <c r="AF508" i="1"/>
  <c r="W327" i="1"/>
  <c r="AF327" i="1"/>
  <c r="W115" i="1"/>
  <c r="AF115" i="1"/>
  <c r="W184" i="1"/>
  <c r="AF184" i="1"/>
  <c r="W132" i="1"/>
  <c r="AF132" i="1"/>
  <c r="W258" i="1"/>
  <c r="AF258" i="1"/>
  <c r="W282" i="1"/>
  <c r="AF282" i="1"/>
  <c r="W473" i="1"/>
  <c r="AF473" i="1"/>
  <c r="W99" i="1"/>
  <c r="AF99" i="1"/>
  <c r="W164" i="1"/>
  <c r="AF164" i="1"/>
  <c r="W522" i="1"/>
  <c r="AF522" i="1"/>
  <c r="W231" i="1"/>
  <c r="AF231" i="1"/>
  <c r="W376" i="1"/>
  <c r="AF376" i="1"/>
  <c r="W145" i="1"/>
  <c r="AF145" i="1"/>
  <c r="E82" i="1"/>
  <c r="V351" i="1"/>
  <c r="AE351" i="1"/>
  <c r="V497" i="1"/>
  <c r="AE497" i="1"/>
  <c r="V106" i="1"/>
  <c r="AE106" i="1"/>
  <c r="V458" i="1"/>
  <c r="AE458" i="1"/>
  <c r="V284" i="1"/>
  <c r="AE284" i="1"/>
  <c r="V186" i="1"/>
  <c r="AE186" i="1"/>
  <c r="V136" i="1"/>
  <c r="AE136" i="1"/>
  <c r="V367" i="1"/>
  <c r="AE367" i="1"/>
  <c r="V153" i="1"/>
  <c r="AE153" i="1"/>
  <c r="V494" i="1"/>
  <c r="AE494" i="1"/>
  <c r="V426" i="1"/>
  <c r="AE426" i="1"/>
  <c r="V402" i="1"/>
  <c r="AE402" i="1"/>
  <c r="V239" i="1"/>
  <c r="AE239" i="1"/>
  <c r="V350" i="1"/>
  <c r="AE350" i="1"/>
  <c r="V324" i="1"/>
  <c r="AE324" i="1"/>
  <c r="V80" i="1"/>
  <c r="AE80" i="1"/>
  <c r="V156" i="1"/>
  <c r="AE156" i="1"/>
  <c r="AL156" i="1"/>
  <c r="AM156" i="1"/>
  <c r="V290" i="1"/>
  <c r="AE290" i="1"/>
  <c r="V270" i="1"/>
  <c r="AE270" i="1"/>
  <c r="V282" i="1"/>
  <c r="AE282" i="1"/>
  <c r="V89" i="1"/>
  <c r="AE89" i="1"/>
  <c r="V399" i="1"/>
  <c r="AE399" i="1"/>
  <c r="V355" i="1"/>
  <c r="AE355" i="1"/>
  <c r="V258" i="1"/>
  <c r="AE258" i="1"/>
  <c r="V485" i="1"/>
  <c r="AE485" i="1"/>
  <c r="V292" i="1"/>
  <c r="AE292" i="1"/>
  <c r="V288" i="1"/>
  <c r="AE288" i="1"/>
  <c r="V130" i="1"/>
  <c r="AE130" i="1"/>
  <c r="V265" i="1"/>
  <c r="AE265" i="1"/>
  <c r="V326" i="1"/>
  <c r="AE326" i="1"/>
  <c r="V235" i="1"/>
  <c r="AE235" i="1"/>
  <c r="V101" i="1"/>
  <c r="AE101" i="1"/>
  <c r="V486" i="1"/>
  <c r="AE486" i="1"/>
  <c r="V263" i="1"/>
  <c r="AE263" i="1"/>
  <c r="V91" i="1"/>
  <c r="AE91" i="1"/>
  <c r="V125" i="1"/>
  <c r="AE125" i="1"/>
  <c r="V469" i="1"/>
  <c r="AE469" i="1"/>
  <c r="V320" i="1"/>
  <c r="AE320" i="1"/>
  <c r="V461" i="1"/>
  <c r="AE461" i="1"/>
  <c r="V161" i="1"/>
  <c r="AE161" i="1"/>
  <c r="V393" i="1"/>
  <c r="AE393" i="1"/>
  <c r="AL393" i="1"/>
  <c r="AM393" i="1"/>
  <c r="V304" i="1"/>
  <c r="AE304" i="1"/>
  <c r="V132" i="1"/>
  <c r="AE132" i="1"/>
  <c r="V245" i="1"/>
  <c r="AE245" i="1"/>
  <c r="V226" i="1"/>
  <c r="AE226" i="1"/>
  <c r="V195" i="1"/>
  <c r="AE195" i="1"/>
  <c r="V104" i="1"/>
  <c r="AE104" i="1"/>
  <c r="V383" i="1"/>
  <c r="AE383" i="1"/>
  <c r="V81" i="1"/>
  <c r="AE81" i="1"/>
  <c r="V313" i="1"/>
  <c r="AE313" i="1"/>
  <c r="V205" i="1"/>
  <c r="AE205" i="1"/>
  <c r="V437" i="1"/>
  <c r="AE437" i="1"/>
  <c r="V102" i="1"/>
  <c r="AE102" i="1"/>
  <c r="V243" i="1"/>
  <c r="AE243" i="1"/>
  <c r="V295" i="1"/>
  <c r="AE295" i="1"/>
  <c r="V88" i="1"/>
  <c r="AE88" i="1"/>
  <c r="V107" i="1"/>
  <c r="AE107" i="1"/>
  <c r="AL107" i="1"/>
  <c r="AM107" i="1"/>
  <c r="V410" i="1"/>
  <c r="AE410" i="1"/>
  <c r="V276" i="1"/>
  <c r="AE276" i="1"/>
  <c r="V169" i="1"/>
  <c r="AE169" i="1"/>
  <c r="V413" i="1"/>
  <c r="AE413" i="1"/>
  <c r="V140" i="1"/>
  <c r="AE140" i="1"/>
  <c r="V83" i="1"/>
  <c r="AE83" i="1"/>
  <c r="AL83" i="1"/>
  <c r="AM83" i="1"/>
  <c r="V163" i="1"/>
  <c r="AE163" i="1"/>
  <c r="V105" i="1"/>
  <c r="AE105" i="1"/>
  <c r="V143" i="1"/>
  <c r="AE143" i="1"/>
  <c r="V474" i="1"/>
  <c r="AE474" i="1"/>
  <c r="V165" i="1"/>
  <c r="AE165" i="1"/>
  <c r="V530" i="1"/>
  <c r="AE530" i="1"/>
  <c r="V400" i="1"/>
  <c r="AE400" i="1"/>
  <c r="V438" i="1"/>
  <c r="AE438" i="1"/>
  <c r="V176" i="1"/>
  <c r="AE176" i="1"/>
  <c r="V333" i="1"/>
  <c r="AE333" i="1"/>
  <c r="V307" i="1"/>
  <c r="AE307" i="1"/>
  <c r="V121" i="1"/>
  <c r="AE121" i="1"/>
  <c r="V529" i="1"/>
  <c r="AE529" i="1"/>
  <c r="V527" i="1"/>
  <c r="AE527" i="1"/>
  <c r="V459" i="1"/>
  <c r="AE459" i="1"/>
  <c r="V509" i="1"/>
  <c r="AE509" i="1"/>
  <c r="V358" i="1"/>
  <c r="AE358" i="1"/>
  <c r="V445" i="1"/>
  <c r="AE445" i="1"/>
  <c r="V145" i="1"/>
  <c r="AE145" i="1"/>
  <c r="V451" i="1"/>
  <c r="AE451" i="1"/>
  <c r="V261" i="1"/>
  <c r="AE261" i="1"/>
  <c r="V330" i="1"/>
  <c r="AE330" i="1"/>
  <c r="V381" i="1"/>
  <c r="AE381" i="1"/>
  <c r="V110" i="1"/>
  <c r="AE110" i="1"/>
  <c r="V448" i="1"/>
  <c r="AE448" i="1"/>
  <c r="V221" i="1"/>
  <c r="AE221" i="1"/>
  <c r="V96" i="1"/>
  <c r="AE96" i="1"/>
  <c r="V233" i="1"/>
  <c r="AE233" i="1"/>
  <c r="V316" i="1"/>
  <c r="V109" i="1"/>
  <c r="AE109" i="1"/>
  <c r="V232" i="1"/>
  <c r="AE232" i="1"/>
  <c r="V112" i="1"/>
  <c r="AE112" i="1"/>
  <c r="V160" i="1"/>
  <c r="AE160" i="1"/>
  <c r="V114" i="1"/>
  <c r="AE114" i="1"/>
  <c r="V490" i="1"/>
  <c r="AE490" i="1"/>
  <c r="V503" i="1"/>
  <c r="AE503" i="1"/>
  <c r="V164" i="1"/>
  <c r="AE164" i="1"/>
  <c r="V338" i="1"/>
  <c r="AE338" i="1"/>
  <c r="V303" i="1"/>
  <c r="AE303" i="1"/>
  <c r="V184" i="1"/>
  <c r="AE184" i="1"/>
  <c r="AL184" i="1"/>
  <c r="AM184" i="1"/>
  <c r="V476" i="1"/>
  <c r="AE476" i="1"/>
  <c r="V387" i="1"/>
  <c r="AE387" i="1"/>
  <c r="V248" i="1"/>
  <c r="AE248" i="1"/>
  <c r="V175" i="1"/>
  <c r="AE175" i="1"/>
  <c r="AL175" i="1"/>
  <c r="AM175" i="1"/>
  <c r="V500" i="1"/>
  <c r="AE500" i="1"/>
  <c r="V193" i="1"/>
  <c r="AE193" i="1"/>
  <c r="AL193" i="1"/>
  <c r="AM193" i="1"/>
  <c r="V228" i="1"/>
  <c r="AE228" i="1"/>
  <c r="V460" i="1"/>
  <c r="AE460" i="1"/>
  <c r="V323" i="1"/>
  <c r="AE323" i="1"/>
  <c r="V147" i="1"/>
  <c r="AE147" i="1"/>
  <c r="V142" i="1"/>
  <c r="AE142" i="1"/>
  <c r="V414" i="1"/>
  <c r="AE414" i="1"/>
  <c r="V435" i="1"/>
  <c r="AE435" i="1"/>
  <c r="V95" i="1"/>
  <c r="AE95" i="1"/>
  <c r="V515" i="1"/>
  <c r="AE515" i="1"/>
  <c r="V154" i="1"/>
  <c r="AE154" i="1"/>
  <c r="V137" i="1"/>
  <c r="AE137" i="1"/>
  <c r="V117" i="1"/>
  <c r="AE117" i="1"/>
  <c r="V198" i="1"/>
  <c r="AE198" i="1"/>
  <c r="V312" i="1"/>
  <c r="AE312" i="1"/>
  <c r="V231" i="1"/>
  <c r="AE231" i="1"/>
  <c r="V416" i="1"/>
  <c r="AE416" i="1"/>
  <c r="V337" i="1"/>
  <c r="AE337" i="1"/>
  <c r="V94" i="1"/>
  <c r="AE94" i="1"/>
  <c r="V406" i="1"/>
  <c r="AE406" i="1"/>
  <c r="V297" i="1"/>
  <c r="AE297" i="1"/>
  <c r="V227" i="1"/>
  <c r="AE227" i="1"/>
  <c r="AL227" i="1"/>
  <c r="AM227" i="1"/>
  <c r="V182" i="1"/>
  <c r="AE182" i="1"/>
  <c r="AL182" i="1"/>
  <c r="AM182" i="1"/>
  <c r="V353" i="1"/>
  <c r="AE353" i="1"/>
  <c r="V491" i="1"/>
  <c r="AE491" i="1"/>
  <c r="V272" i="1"/>
  <c r="AE272" i="1"/>
  <c r="V277" i="1"/>
  <c r="AE277" i="1"/>
  <c r="V311" i="1"/>
  <c r="AE311" i="1"/>
  <c r="V319" i="1"/>
  <c r="AE319" i="1"/>
  <c r="V241" i="1"/>
  <c r="AE241" i="1"/>
  <c r="V446" i="1"/>
  <c r="AE446" i="1"/>
  <c r="V294" i="1"/>
  <c r="AE294" i="1"/>
  <c r="V373" i="1"/>
  <c r="AE373" i="1"/>
  <c r="V489" i="1"/>
  <c r="AE489" i="1"/>
  <c r="V256" i="1"/>
  <c r="AE256" i="1"/>
  <c r="V267" i="1"/>
  <c r="AE267" i="1"/>
  <c r="V521" i="1"/>
  <c r="AE521" i="1"/>
  <c r="V363" i="1"/>
  <c r="AE363" i="1"/>
  <c r="V170" i="1"/>
  <c r="AE170" i="1"/>
  <c r="V119" i="1"/>
  <c r="AE119" i="1"/>
  <c r="V268" i="1"/>
  <c r="AE268" i="1"/>
  <c r="V432" i="1"/>
  <c r="AE432" i="1"/>
  <c r="V524" i="1"/>
  <c r="AE524" i="1"/>
  <c r="V252" i="1"/>
  <c r="AE252" i="1"/>
  <c r="V352" i="1"/>
  <c r="AE352" i="1"/>
  <c r="V385" i="1"/>
  <c r="AE385" i="1"/>
  <c r="V327" i="1"/>
  <c r="AE327" i="1"/>
  <c r="V158" i="1"/>
  <c r="AE158" i="1"/>
  <c r="V209" i="1"/>
  <c r="AE209" i="1"/>
  <c r="V179" i="1"/>
  <c r="AE179" i="1"/>
  <c r="V507" i="1"/>
  <c r="AE507" i="1"/>
  <c r="V456" i="1"/>
  <c r="AE456" i="1"/>
  <c r="V502" i="1"/>
  <c r="AE502" i="1"/>
  <c r="V442" i="1"/>
  <c r="AE442" i="1"/>
  <c r="V162" i="1"/>
  <c r="AE162" i="1"/>
  <c r="V174" i="1"/>
  <c r="AE174" i="1"/>
  <c r="AL174" i="1"/>
  <c r="AM174" i="1"/>
  <c r="V188" i="1"/>
  <c r="AE188" i="1"/>
  <c r="V146" i="1"/>
  <c r="AE146" i="1"/>
  <c r="AL146" i="1"/>
  <c r="AM146" i="1"/>
  <c r="V177" i="1"/>
  <c r="AE177" i="1"/>
  <c r="V168" i="1"/>
  <c r="AE168" i="1"/>
  <c r="V274" i="1"/>
  <c r="AE274" i="1"/>
  <c r="V523" i="1"/>
  <c r="AE523" i="1"/>
  <c r="V365" i="1"/>
  <c r="AE365" i="1"/>
  <c r="V180" i="1"/>
  <c r="AE180" i="1"/>
  <c r="V517" i="1"/>
  <c r="AE517" i="1"/>
  <c r="V440" i="1"/>
  <c r="AE440" i="1"/>
  <c r="V403" i="1"/>
  <c r="AE403" i="1"/>
  <c r="V401" i="1"/>
  <c r="AE401" i="1"/>
  <c r="V375" i="1"/>
  <c r="AE375" i="1"/>
  <c r="V250" i="1"/>
  <c r="AE250" i="1"/>
  <c r="V134" i="1"/>
  <c r="AE134" i="1"/>
  <c r="V225" i="1"/>
  <c r="AE225" i="1"/>
  <c r="V506" i="1"/>
  <c r="AE506" i="1"/>
  <c r="V371" i="1"/>
  <c r="AE371" i="1"/>
  <c r="V428" i="1"/>
  <c r="AE428" i="1"/>
  <c r="V356" i="1"/>
  <c r="AE356" i="1"/>
  <c r="V213" i="1"/>
  <c r="AE213" i="1"/>
  <c r="AL213" i="1"/>
  <c r="AM213" i="1"/>
  <c r="V273" i="1"/>
  <c r="AE273" i="1"/>
  <c r="V514" i="1"/>
  <c r="AE514" i="1"/>
  <c r="V86" i="1"/>
  <c r="AE86" i="1"/>
  <c r="V382" i="1"/>
  <c r="AE382" i="1"/>
  <c r="V409" i="1"/>
  <c r="AE409" i="1"/>
  <c r="V468" i="1"/>
  <c r="AE468" i="1"/>
  <c r="V516" i="1"/>
  <c r="AE516" i="1"/>
  <c r="V262" i="1"/>
  <c r="AE262" i="1"/>
  <c r="V264" i="1"/>
  <c r="AE264" i="1"/>
  <c r="V220" i="1"/>
  <c r="AE220" i="1"/>
  <c r="V210" i="1"/>
  <c r="AE210" i="1"/>
  <c r="V473" i="1"/>
  <c r="AE473" i="1"/>
  <c r="V396" i="1"/>
  <c r="AE396" i="1"/>
  <c r="V346" i="1"/>
  <c r="AE346" i="1"/>
  <c r="V315" i="1"/>
  <c r="AE315" i="1"/>
  <c r="V321" i="1"/>
  <c r="AE321" i="1"/>
  <c r="V244" i="1"/>
  <c r="AE244" i="1"/>
  <c r="V171" i="1"/>
  <c r="AE171" i="1"/>
  <c r="V247" i="1"/>
  <c r="AE247" i="1"/>
  <c r="V178" i="1"/>
  <c r="AE178" i="1"/>
  <c r="V508" i="1"/>
  <c r="AE508" i="1"/>
  <c r="AL508" i="1"/>
  <c r="AM508" i="1"/>
  <c r="V118" i="1"/>
  <c r="AE118" i="1"/>
  <c r="V505" i="1"/>
  <c r="AE505" i="1"/>
  <c r="V488" i="1"/>
  <c r="AE488" i="1"/>
  <c r="V166" i="1"/>
  <c r="AE166" i="1"/>
  <c r="AL166" i="1"/>
  <c r="AM166" i="1"/>
  <c r="V289" i="1"/>
  <c r="AE289" i="1"/>
  <c r="V453" i="1"/>
  <c r="AE453" i="1"/>
  <c r="V173" i="1"/>
  <c r="AE173" i="1"/>
  <c r="V407" i="1"/>
  <c r="AE407" i="1"/>
  <c r="V116" i="1"/>
  <c r="AE116" i="1"/>
  <c r="V187" i="1"/>
  <c r="AE187" i="1"/>
  <c r="V126" i="1"/>
  <c r="AE126" i="1"/>
  <c r="V318" i="1"/>
  <c r="AE318" i="1"/>
  <c r="V436" i="1"/>
  <c r="AE436" i="1"/>
  <c r="V305" i="1"/>
  <c r="AE305" i="1"/>
  <c r="V255" i="1"/>
  <c r="AE255" i="1"/>
  <c r="V309" i="1"/>
  <c r="AE309" i="1"/>
  <c r="V291" i="1"/>
  <c r="AE291" i="1"/>
  <c r="V342" i="1"/>
  <c r="AE342" i="1"/>
  <c r="V418" i="1"/>
  <c r="AE418" i="1"/>
  <c r="V405" i="1"/>
  <c r="AE405" i="1"/>
  <c r="V308" i="1"/>
  <c r="AE308" i="1"/>
  <c r="V189" i="1"/>
  <c r="AE189" i="1"/>
  <c r="AL472" i="1"/>
  <c r="AM472" i="1"/>
  <c r="V229" i="1"/>
  <c r="AE229" i="1"/>
  <c r="V377" i="1"/>
  <c r="AE377" i="1"/>
  <c r="V212" i="1"/>
  <c r="AE212" i="1"/>
  <c r="V450" i="1"/>
  <c r="AE450" i="1"/>
  <c r="V85" i="1"/>
  <c r="AE85" i="1"/>
  <c r="V301" i="1"/>
  <c r="AE301" i="1"/>
  <c r="V423" i="1"/>
  <c r="AE423" i="1"/>
  <c r="V379" i="1"/>
  <c r="AE379" i="1"/>
  <c r="V300" i="1"/>
  <c r="AE300" i="1"/>
  <c r="V181" i="1"/>
  <c r="AE181" i="1"/>
  <c r="V360" i="1"/>
  <c r="AE360" i="1"/>
  <c r="V123" i="1"/>
  <c r="AE123" i="1"/>
  <c r="AL123" i="1"/>
  <c r="AM123" i="1"/>
  <c r="V127" i="1"/>
  <c r="AE127" i="1"/>
  <c r="V433" i="1"/>
  <c r="AE433" i="1"/>
  <c r="V306" i="1"/>
  <c r="AE306" i="1"/>
  <c r="V411" i="1"/>
  <c r="AE411" i="1"/>
  <c r="V483" i="1"/>
  <c r="AE483" i="1"/>
  <c r="V260" i="1"/>
  <c r="AE260" i="1"/>
  <c r="V464" i="1"/>
  <c r="AE464" i="1"/>
  <c r="V185" i="1"/>
  <c r="AE185" i="1"/>
  <c r="V412" i="1"/>
  <c r="AE412" i="1"/>
  <c r="V390" i="1"/>
  <c r="AE390" i="1"/>
  <c r="AL390" i="1"/>
  <c r="AM390" i="1"/>
  <c r="V317" i="1"/>
  <c r="AE317" i="1"/>
  <c r="V219" i="1"/>
  <c r="AE219" i="1"/>
  <c r="V207" i="1"/>
  <c r="AE207" i="1"/>
  <c r="V149" i="1"/>
  <c r="AE149" i="1"/>
  <c r="V322" i="1"/>
  <c r="AE322" i="1"/>
  <c r="V100" i="1"/>
  <c r="AE100" i="1"/>
  <c r="AL100" i="1"/>
  <c r="AM100" i="1"/>
  <c r="V133" i="1"/>
  <c r="AE133" i="1"/>
  <c r="V449" i="1"/>
  <c r="AE449" i="1"/>
  <c r="V528" i="1"/>
  <c r="AE528" i="1"/>
  <c r="V398" i="1"/>
  <c r="AE398" i="1"/>
  <c r="V431" i="1"/>
  <c r="AE431" i="1"/>
  <c r="V206" i="1"/>
  <c r="AE206" i="1"/>
  <c r="V341" i="1"/>
  <c r="AE341" i="1"/>
  <c r="V364" i="1"/>
  <c r="AE364" i="1"/>
  <c r="V475" i="1"/>
  <c r="AE475" i="1"/>
  <c r="V404" i="1"/>
  <c r="AE404" i="1"/>
  <c r="V203" i="1"/>
  <c r="AE203" i="1"/>
  <c r="V138" i="1"/>
  <c r="AE138" i="1"/>
  <c r="V120" i="1"/>
  <c r="AE120" i="1"/>
  <c r="V129" i="1"/>
  <c r="AE129" i="1"/>
  <c r="V487" i="1"/>
  <c r="AE487" i="1"/>
  <c r="V280" i="1"/>
  <c r="AE280" i="1"/>
  <c r="V510" i="1"/>
  <c r="AE510" i="1"/>
  <c r="V466" i="1"/>
  <c r="AE466" i="1"/>
  <c r="V348" i="1"/>
  <c r="AE348" i="1"/>
  <c r="V249" i="1"/>
  <c r="AE249" i="1"/>
  <c r="V395" i="1"/>
  <c r="AE395" i="1"/>
  <c r="V392" i="1"/>
  <c r="AE392" i="1"/>
  <c r="V148" i="1"/>
  <c r="AE148" i="1"/>
  <c r="V253" i="1"/>
  <c r="AE253" i="1"/>
  <c r="AL253" i="1"/>
  <c r="AM253" i="1"/>
  <c r="V504" i="1"/>
  <c r="AE504" i="1"/>
  <c r="V443" i="1"/>
  <c r="AE443" i="1"/>
  <c r="V512" i="1"/>
  <c r="AE512" i="1"/>
  <c r="V462" i="1"/>
  <c r="AE462" i="1"/>
  <c r="V254" i="1"/>
  <c r="AE254" i="1"/>
  <c r="V194" i="1"/>
  <c r="AE194" i="1"/>
  <c r="V242" i="1"/>
  <c r="AE242" i="1"/>
  <c r="AL242" i="1"/>
  <c r="AM242" i="1"/>
  <c r="V200" i="1"/>
  <c r="AE200" i="1"/>
  <c r="V339" i="1"/>
  <c r="AE339" i="1"/>
  <c r="V251" i="1"/>
  <c r="AE251" i="1"/>
  <c r="V237" i="1"/>
  <c r="AE237" i="1"/>
  <c r="V331" i="1"/>
  <c r="AE331" i="1"/>
  <c r="V202" i="1"/>
  <c r="AE202" i="1"/>
  <c r="V470" i="1"/>
  <c r="AE470" i="1"/>
  <c r="V481" i="1"/>
  <c r="AE481" i="1"/>
  <c r="V424" i="1"/>
  <c r="AE424" i="1"/>
  <c r="V499" i="1"/>
  <c r="AE499" i="1"/>
  <c r="V287" i="1"/>
  <c r="AE287" i="1"/>
  <c r="V511" i="1"/>
  <c r="AE511" i="1"/>
  <c r="V128" i="1"/>
  <c r="AE128" i="1"/>
  <c r="V380" i="1"/>
  <c r="AE380" i="1"/>
  <c r="V197" i="1"/>
  <c r="AE197" i="1"/>
  <c r="V354" i="1"/>
  <c r="AE354" i="1"/>
  <c r="V463" i="1"/>
  <c r="AE463" i="1"/>
  <c r="V496" i="1"/>
  <c r="AE496" i="1"/>
  <c r="V372" i="1"/>
  <c r="AE372" i="1"/>
  <c r="V325" i="1"/>
  <c r="AE325" i="1"/>
  <c r="AL113" i="1"/>
  <c r="AM113" i="1"/>
  <c r="AD316" i="1"/>
  <c r="F59" i="1"/>
  <c r="U519" i="1"/>
  <c r="AD519" i="1"/>
  <c r="U211" i="1"/>
  <c r="AD211" i="1"/>
  <c r="U389" i="1"/>
  <c r="AD389" i="1"/>
  <c r="U460" i="1"/>
  <c r="AD460" i="1"/>
  <c r="U516" i="1"/>
  <c r="AD516" i="1"/>
  <c r="U248" i="1"/>
  <c r="AD248" i="1"/>
  <c r="U235" i="1"/>
  <c r="AD235" i="1"/>
  <c r="U118" i="1"/>
  <c r="AD118" i="1"/>
  <c r="U215" i="1"/>
  <c r="AD215" i="1"/>
  <c r="U217" i="1"/>
  <c r="AD217" i="1"/>
  <c r="U280" i="1"/>
  <c r="AD280" i="1"/>
  <c r="U259" i="1"/>
  <c r="AD259" i="1"/>
  <c r="U162" i="1"/>
  <c r="AD162" i="1"/>
  <c r="U290" i="1"/>
  <c r="AD290" i="1"/>
  <c r="U244" i="1"/>
  <c r="AD244" i="1"/>
  <c r="U123" i="1"/>
  <c r="AD123" i="1"/>
  <c r="U310" i="1"/>
  <c r="AD310" i="1"/>
  <c r="U497" i="1"/>
  <c r="AD497" i="1"/>
  <c r="U477" i="1"/>
  <c r="AD477" i="1"/>
  <c r="U320" i="1"/>
  <c r="AD320" i="1"/>
  <c r="U214" i="1"/>
  <c r="AD214" i="1"/>
  <c r="U409" i="1"/>
  <c r="AD409" i="1"/>
  <c r="U306" i="1"/>
  <c r="AD306" i="1"/>
  <c r="U307" i="1"/>
  <c r="AD307" i="1"/>
  <c r="U279" i="1"/>
  <c r="AD279" i="1"/>
  <c r="U201" i="1"/>
  <c r="AD201" i="1"/>
  <c r="U374" i="1"/>
  <c r="AD374" i="1"/>
  <c r="U92" i="1"/>
  <c r="AD92" i="1"/>
  <c r="U155" i="1"/>
  <c r="AD155" i="1"/>
  <c r="AL155" i="1"/>
  <c r="AM155" i="1"/>
  <c r="U511" i="1"/>
  <c r="AD511" i="1"/>
  <c r="U450" i="1"/>
  <c r="AD450" i="1"/>
  <c r="U528" i="1"/>
  <c r="AD528" i="1"/>
  <c r="U325" i="1"/>
  <c r="AD325" i="1"/>
  <c r="U251" i="1"/>
  <c r="AD251" i="1"/>
  <c r="U145" i="1"/>
  <c r="AD145" i="1"/>
  <c r="U420" i="1"/>
  <c r="AD420" i="1"/>
  <c r="U431" i="1"/>
  <c r="AD431" i="1"/>
  <c r="U119" i="1"/>
  <c r="AD119" i="1"/>
  <c r="U179" i="1"/>
  <c r="AD179" i="1"/>
  <c r="U445" i="1"/>
  <c r="AD445" i="1"/>
  <c r="U363" i="1"/>
  <c r="AD363" i="1"/>
  <c r="U112" i="1"/>
  <c r="AD112" i="1"/>
  <c r="U426" i="1"/>
  <c r="AD426" i="1"/>
  <c r="U202" i="1"/>
  <c r="AD202" i="1"/>
  <c r="U463" i="1"/>
  <c r="AD463" i="1"/>
  <c r="U138" i="1"/>
  <c r="AD138" i="1"/>
  <c r="U446" i="1"/>
  <c r="AD446" i="1"/>
  <c r="U151" i="1"/>
  <c r="AD151" i="1"/>
  <c r="U132" i="1"/>
  <c r="AD132" i="1"/>
  <c r="U356" i="1"/>
  <c r="AD356" i="1"/>
  <c r="U428" i="1"/>
  <c r="AD428" i="1"/>
  <c r="U177" i="1"/>
  <c r="AD177" i="1"/>
  <c r="U109" i="1"/>
  <c r="AD109" i="1"/>
  <c r="U434" i="1"/>
  <c r="AD434" i="1"/>
  <c r="U277" i="1"/>
  <c r="AD277" i="1"/>
  <c r="U91" i="1"/>
  <c r="AD91" i="1"/>
  <c r="U137" i="1"/>
  <c r="AD137" i="1"/>
  <c r="U254" i="1"/>
  <c r="AD254" i="1"/>
  <c r="U221" i="1"/>
  <c r="AD221" i="1"/>
  <c r="U441" i="1"/>
  <c r="AD441" i="1"/>
  <c r="U327" i="1"/>
  <c r="AD327" i="1"/>
  <c r="U148" i="1"/>
  <c r="AD148" i="1"/>
  <c r="U473" i="1"/>
  <c r="AD473" i="1"/>
  <c r="U329" i="1"/>
  <c r="AD329" i="1"/>
  <c r="U522" i="1"/>
  <c r="AD522" i="1"/>
  <c r="U131" i="1"/>
  <c r="AD131" i="1"/>
  <c r="U239" i="1"/>
  <c r="AD239" i="1"/>
  <c r="U222" i="1"/>
  <c r="AD222" i="1"/>
  <c r="AL222" i="1"/>
  <c r="AM222" i="1"/>
  <c r="U97" i="1"/>
  <c r="AD97" i="1"/>
  <c r="U111" i="1"/>
  <c r="AD111" i="1"/>
  <c r="U238" i="1"/>
  <c r="AD238" i="1"/>
  <c r="U530" i="1"/>
  <c r="AD530" i="1"/>
  <c r="U166" i="1"/>
  <c r="AD166" i="1"/>
  <c r="U182" i="1"/>
  <c r="AD182" i="1"/>
  <c r="U407" i="1"/>
  <c r="AD407" i="1"/>
  <c r="U440" i="1"/>
  <c r="AD440" i="1"/>
  <c r="U481" i="1"/>
  <c r="AD481" i="1"/>
  <c r="U90" i="1"/>
  <c r="AD90" i="1"/>
  <c r="AL112" i="1"/>
  <c r="AM112" i="1"/>
  <c r="U499" i="1"/>
  <c r="AD499" i="1"/>
  <c r="U269" i="1"/>
  <c r="AD269" i="1"/>
  <c r="U291" i="1"/>
  <c r="AD291" i="1"/>
  <c r="U163" i="1"/>
  <c r="AD163" i="1"/>
  <c r="U330" i="1"/>
  <c r="AD330" i="1"/>
  <c r="U489" i="1"/>
  <c r="AD489" i="1"/>
  <c r="U504" i="1"/>
  <c r="AD504" i="1"/>
  <c r="U185" i="1"/>
  <c r="AD185" i="1"/>
  <c r="AL185" i="1"/>
  <c r="AM185" i="1"/>
  <c r="U312" i="1"/>
  <c r="AD312" i="1"/>
  <c r="U402" i="1"/>
  <c r="AD402" i="1"/>
  <c r="U122" i="1"/>
  <c r="AD122" i="1"/>
  <c r="U417" i="1"/>
  <c r="AD417" i="1"/>
  <c r="U95" i="1"/>
  <c r="AD95" i="1"/>
  <c r="U494" i="1"/>
  <c r="AD494" i="1"/>
  <c r="U331" i="1"/>
  <c r="AD331" i="1"/>
  <c r="U263" i="1"/>
  <c r="AD263" i="1"/>
  <c r="U133" i="1"/>
  <c r="AD133" i="1"/>
  <c r="U168" i="1"/>
  <c r="AD168" i="1"/>
  <c r="U230" i="1"/>
  <c r="AD230" i="1"/>
  <c r="U144" i="1"/>
  <c r="AD144" i="1"/>
  <c r="U268" i="1"/>
  <c r="AD268" i="1"/>
  <c r="U373" i="1"/>
  <c r="AD373" i="1"/>
  <c r="U385" i="1"/>
  <c r="AD385" i="1"/>
  <c r="U114" i="1"/>
  <c r="AD114" i="1"/>
  <c r="U198" i="1"/>
  <c r="AD198" i="1"/>
  <c r="U120" i="1"/>
  <c r="AD120" i="1"/>
  <c r="U387" i="1"/>
  <c r="AD387" i="1"/>
  <c r="U360" i="1"/>
  <c r="AD360" i="1"/>
  <c r="U336" i="1"/>
  <c r="AD336" i="1"/>
  <c r="U404" i="1"/>
  <c r="AD404" i="1"/>
  <c r="AL111" i="1"/>
  <c r="AM111" i="1"/>
  <c r="U232" i="1"/>
  <c r="AD232" i="1"/>
  <c r="U308" i="1"/>
  <c r="AD308" i="1"/>
  <c r="U469" i="1"/>
  <c r="AD469" i="1"/>
  <c r="U295" i="1"/>
  <c r="AD295" i="1"/>
  <c r="U507" i="1"/>
  <c r="AD507" i="1"/>
  <c r="U200" i="1"/>
  <c r="AD200" i="1"/>
  <c r="AL200" i="1"/>
  <c r="AM200" i="1"/>
  <c r="U377" i="1"/>
  <c r="AD377" i="1"/>
  <c r="U302" i="1"/>
  <c r="AD302" i="1"/>
  <c r="AL302" i="1"/>
  <c r="AM302" i="1"/>
  <c r="U257" i="1"/>
  <c r="AD257" i="1"/>
  <c r="T166" i="1"/>
  <c r="AC166" i="1"/>
  <c r="T296" i="1"/>
  <c r="AC296" i="1"/>
  <c r="AL296" i="1"/>
  <c r="AM296" i="1"/>
  <c r="T115" i="1"/>
  <c r="AC115" i="1"/>
  <c r="T108" i="1"/>
  <c r="AC108" i="1"/>
  <c r="T173" i="1"/>
  <c r="AC173" i="1"/>
  <c r="T314" i="1"/>
  <c r="AC314" i="1"/>
  <c r="AL143" i="1"/>
  <c r="AM143" i="1"/>
  <c r="T508" i="1"/>
  <c r="AC508" i="1"/>
  <c r="T441" i="1"/>
  <c r="AC441" i="1"/>
  <c r="T434" i="1"/>
  <c r="AC434" i="1"/>
  <c r="AL434" i="1"/>
  <c r="AM434" i="1"/>
  <c r="T486" i="1"/>
  <c r="AC486" i="1"/>
  <c r="T445" i="1"/>
  <c r="AC445" i="1"/>
  <c r="T524" i="1"/>
  <c r="AC524" i="1"/>
  <c r="T229" i="1"/>
  <c r="AC229" i="1"/>
  <c r="T240" i="1"/>
  <c r="AC240" i="1"/>
  <c r="T273" i="1"/>
  <c r="AC273" i="1"/>
  <c r="T293" i="1"/>
  <c r="AC293" i="1"/>
  <c r="T526" i="1"/>
  <c r="AC526" i="1"/>
  <c r="T506" i="1"/>
  <c r="AC506" i="1"/>
  <c r="T318" i="1"/>
  <c r="AC318" i="1"/>
  <c r="AL192" i="1"/>
  <c r="AM192" i="1"/>
  <c r="T176" i="1"/>
  <c r="AC176" i="1"/>
  <c r="T80" i="1"/>
  <c r="AC80" i="1"/>
  <c r="T332" i="1"/>
  <c r="AC332" i="1"/>
  <c r="T109" i="1"/>
  <c r="AC109" i="1"/>
  <c r="T512" i="1"/>
  <c r="AC512" i="1"/>
  <c r="T394" i="1"/>
  <c r="AC394" i="1"/>
  <c r="T217" i="1"/>
  <c r="AC217" i="1"/>
  <c r="AL217" i="1"/>
  <c r="AM217" i="1"/>
  <c r="T127" i="1"/>
  <c r="AC127" i="1"/>
  <c r="T279" i="1"/>
  <c r="AC279" i="1"/>
  <c r="T463" i="1"/>
  <c r="AC463" i="1"/>
  <c r="T343" i="1"/>
  <c r="AC343" i="1"/>
  <c r="T180" i="1"/>
  <c r="AC180" i="1"/>
  <c r="T138" i="1"/>
  <c r="AC138" i="1"/>
  <c r="T507" i="1"/>
  <c r="AC507" i="1"/>
  <c r="T443" i="1"/>
  <c r="AC443" i="1"/>
  <c r="AL201" i="1"/>
  <c r="AM201" i="1"/>
  <c r="T252" i="1"/>
  <c r="AC252" i="1"/>
  <c r="T224" i="1"/>
  <c r="AC224" i="1"/>
  <c r="T105" i="1"/>
  <c r="AC105" i="1"/>
  <c r="T228" i="1"/>
  <c r="AC228" i="1"/>
  <c r="T502" i="1"/>
  <c r="AC502" i="1"/>
  <c r="T515" i="1"/>
  <c r="AC515" i="1"/>
  <c r="T218" i="1"/>
  <c r="AC218" i="1"/>
  <c r="T134" i="1"/>
  <c r="AC134" i="1"/>
  <c r="T125" i="1"/>
  <c r="AC125" i="1"/>
  <c r="T527" i="1"/>
  <c r="AC527" i="1"/>
  <c r="AL306" i="1"/>
  <c r="AM306" i="1"/>
  <c r="T492" i="1"/>
  <c r="AC492" i="1"/>
  <c r="AL492" i="1"/>
  <c r="AM492" i="1"/>
  <c r="T393" i="1"/>
  <c r="AC393" i="1"/>
  <c r="T421" i="1"/>
  <c r="AC421" i="1"/>
  <c r="T509" i="1"/>
  <c r="AC509" i="1"/>
  <c r="T398" i="1"/>
  <c r="AC398" i="1"/>
  <c r="T353" i="1"/>
  <c r="AC353" i="1"/>
  <c r="T513" i="1"/>
  <c r="AC513" i="1"/>
  <c r="T373" i="1"/>
  <c r="AC373" i="1"/>
  <c r="T525" i="1"/>
  <c r="AC525" i="1"/>
  <c r="T157" i="1"/>
  <c r="AC157" i="1"/>
  <c r="T130" i="1"/>
  <c r="AC130" i="1"/>
  <c r="G82" i="1"/>
  <c r="C35" i="1"/>
  <c r="AH63" i="1"/>
  <c r="AG65" i="1"/>
  <c r="I30" i="1"/>
  <c r="AI63" i="1"/>
  <c r="K28" i="1"/>
  <c r="AI64" i="1"/>
  <c r="AI65" i="1"/>
  <c r="K30" i="1"/>
  <c r="AJ63" i="1"/>
  <c r="L28" i="1"/>
  <c r="AL396" i="1"/>
  <c r="AM396" i="1"/>
  <c r="AG63" i="1"/>
  <c r="AL506" i="1"/>
  <c r="AM506" i="1"/>
  <c r="AL477" i="1"/>
  <c r="AM477" i="1"/>
  <c r="F82" i="1"/>
  <c r="AL183" i="1"/>
  <c r="AM183" i="1"/>
  <c r="AJ65" i="1"/>
  <c r="L30" i="1"/>
  <c r="T397" i="1"/>
  <c r="AC397" i="1"/>
  <c r="T521" i="1"/>
  <c r="AC521" i="1"/>
  <c r="T374" i="1"/>
  <c r="AC374" i="1"/>
  <c r="T379" i="1"/>
  <c r="AC379" i="1"/>
  <c r="T334" i="1"/>
  <c r="AC334" i="1"/>
  <c r="T442" i="1"/>
  <c r="AC442" i="1"/>
  <c r="T324" i="1"/>
  <c r="AC324" i="1"/>
  <c r="T405" i="1"/>
  <c r="AC405" i="1"/>
  <c r="T480" i="1"/>
  <c r="AC480" i="1"/>
  <c r="T490" i="1"/>
  <c r="AC490" i="1"/>
  <c r="T474" i="1"/>
  <c r="AC474" i="1"/>
  <c r="T315" i="1"/>
  <c r="AC315" i="1"/>
  <c r="AL315" i="1"/>
  <c r="AM315" i="1"/>
  <c r="T370" i="1"/>
  <c r="AC370" i="1"/>
  <c r="T426" i="1"/>
  <c r="AC426" i="1"/>
  <c r="AL426" i="1"/>
  <c r="AM426" i="1"/>
  <c r="T428" i="1"/>
  <c r="AC428" i="1"/>
  <c r="T501" i="1"/>
  <c r="AC501" i="1"/>
  <c r="AL501" i="1"/>
  <c r="AM501" i="1"/>
  <c r="T313" i="1"/>
  <c r="AC313" i="1"/>
  <c r="T319" i="1"/>
  <c r="AC319" i="1"/>
  <c r="T475" i="1"/>
  <c r="AC475" i="1"/>
  <c r="T375" i="1"/>
  <c r="AC375" i="1"/>
  <c r="T487" i="1"/>
  <c r="AC487" i="1"/>
  <c r="T452" i="1"/>
  <c r="AC452" i="1"/>
  <c r="T411" i="1"/>
  <c r="AC411" i="1"/>
  <c r="T360" i="1"/>
  <c r="AC360" i="1"/>
  <c r="T409" i="1"/>
  <c r="AC409" i="1"/>
  <c r="T473" i="1"/>
  <c r="AC473" i="1"/>
  <c r="T523" i="1"/>
  <c r="AC523" i="1"/>
  <c r="T354" i="1"/>
  <c r="AC354" i="1"/>
  <c r="T330" i="1"/>
  <c r="AC330" i="1"/>
  <c r="T489" i="1"/>
  <c r="AC489" i="1"/>
  <c r="T449" i="1"/>
  <c r="AC449" i="1"/>
  <c r="T371" i="1"/>
  <c r="AC371" i="1"/>
  <c r="T470" i="1"/>
  <c r="AC470" i="1"/>
  <c r="T431" i="1"/>
  <c r="AC431" i="1"/>
  <c r="T399" i="1"/>
  <c r="AC399" i="1"/>
  <c r="T385" i="1"/>
  <c r="AC385" i="1"/>
  <c r="T349" i="1"/>
  <c r="AC349" i="1"/>
  <c r="AL349" i="1"/>
  <c r="AM349" i="1"/>
  <c r="T457" i="1"/>
  <c r="AC457" i="1"/>
  <c r="AL457" i="1"/>
  <c r="AM457" i="1"/>
  <c r="T483" i="1"/>
  <c r="AC483" i="1"/>
  <c r="T372" i="1"/>
  <c r="AC372" i="1"/>
  <c r="AL372" i="1"/>
  <c r="AM372" i="1"/>
  <c r="T342" i="1"/>
  <c r="AC342" i="1"/>
  <c r="T317" i="1"/>
  <c r="AC317" i="1"/>
  <c r="T465" i="1"/>
  <c r="AC465" i="1"/>
  <c r="T453" i="1"/>
  <c r="AC453" i="1"/>
  <c r="T504" i="1"/>
  <c r="AC504" i="1"/>
  <c r="T413" i="1"/>
  <c r="AC413" i="1"/>
  <c r="T391" i="1"/>
  <c r="AC391" i="1"/>
  <c r="T335" i="1"/>
  <c r="AC335" i="1"/>
  <c r="T350" i="1"/>
  <c r="AC350" i="1"/>
  <c r="T528" i="1"/>
  <c r="AC528" i="1"/>
  <c r="T381" i="1"/>
  <c r="AC381" i="1"/>
  <c r="T433" i="1"/>
  <c r="AC433" i="1"/>
  <c r="AL433" i="1"/>
  <c r="AM433" i="1"/>
  <c r="T415" i="1"/>
  <c r="AC415" i="1"/>
  <c r="AL415" i="1"/>
  <c r="AM415" i="1"/>
  <c r="T522" i="1"/>
  <c r="AC522" i="1"/>
  <c r="T520" i="1"/>
  <c r="AC520" i="1"/>
  <c r="T468" i="1"/>
  <c r="AC468" i="1"/>
  <c r="T338" i="1"/>
  <c r="AC338" i="1"/>
  <c r="T339" i="1"/>
  <c r="AC339" i="1"/>
  <c r="T348" i="1"/>
  <c r="AC348" i="1"/>
  <c r="T407" i="1"/>
  <c r="AC407" i="1"/>
  <c r="AL407" i="1"/>
  <c r="AM407" i="1"/>
  <c r="T429" i="1"/>
  <c r="AC429" i="1"/>
  <c r="AL429" i="1"/>
  <c r="AM429" i="1"/>
  <c r="T345" i="1"/>
  <c r="AC345" i="1"/>
  <c r="AL345" i="1"/>
  <c r="AM345" i="1"/>
  <c r="T488" i="1"/>
  <c r="AC488" i="1"/>
  <c r="T478" i="1"/>
  <c r="AC478" i="1"/>
  <c r="T321" i="1"/>
  <c r="AC321" i="1"/>
  <c r="T518" i="1"/>
  <c r="AC518" i="1"/>
  <c r="AL518" i="1"/>
  <c r="AM518" i="1"/>
  <c r="T462" i="1"/>
  <c r="AC462" i="1"/>
  <c r="T308" i="1"/>
  <c r="AC308" i="1"/>
  <c r="T401" i="1"/>
  <c r="AC401" i="1"/>
  <c r="T436" i="1"/>
  <c r="AC436" i="1"/>
  <c r="T309" i="1"/>
  <c r="AC309" i="1"/>
  <c r="T446" i="1"/>
  <c r="AC446" i="1"/>
  <c r="T400" i="1"/>
  <c r="AC400" i="1"/>
  <c r="AL400" i="1"/>
  <c r="AM400" i="1"/>
  <c r="T380" i="1"/>
  <c r="AC380" i="1"/>
  <c r="T454" i="1"/>
  <c r="AC454" i="1"/>
  <c r="AL454" i="1"/>
  <c r="AM454" i="1"/>
  <c r="T340" i="1"/>
  <c r="AC340" i="1"/>
  <c r="AL340" i="1"/>
  <c r="AM340" i="1"/>
  <c r="T440" i="1"/>
  <c r="AC440" i="1"/>
  <c r="T378" i="1"/>
  <c r="AC378" i="1"/>
  <c r="AL378" i="1"/>
  <c r="AM378" i="1"/>
  <c r="T392" i="1"/>
  <c r="AC392" i="1"/>
  <c r="T482" i="1"/>
  <c r="AC482" i="1"/>
  <c r="T422" i="1"/>
  <c r="AC422" i="1"/>
  <c r="T412" i="1"/>
  <c r="AC412" i="1"/>
  <c r="AL412" i="1"/>
  <c r="AM412" i="1"/>
  <c r="T497" i="1"/>
  <c r="AC497" i="1"/>
  <c r="T346" i="1"/>
  <c r="AC346" i="1"/>
  <c r="AL346" i="1"/>
  <c r="AM346" i="1"/>
  <c r="T408" i="1"/>
  <c r="AC408" i="1"/>
  <c r="AL408" i="1"/>
  <c r="AM408" i="1"/>
  <c r="T382" i="1"/>
  <c r="AC382" i="1"/>
  <c r="T357" i="1"/>
  <c r="AC357" i="1"/>
  <c r="T517" i="1"/>
  <c r="AC517" i="1"/>
  <c r="T471" i="1"/>
  <c r="AC471" i="1"/>
  <c r="T438" i="1"/>
  <c r="AC438" i="1"/>
  <c r="AL438" i="1"/>
  <c r="AM438" i="1"/>
  <c r="T311" i="1"/>
  <c r="AC311" i="1"/>
  <c r="T499" i="1"/>
  <c r="AC499" i="1"/>
  <c r="T367" i="1"/>
  <c r="AC367" i="1"/>
  <c r="AL367" i="1"/>
  <c r="AM367" i="1"/>
  <c r="T355" i="1"/>
  <c r="AC355" i="1"/>
  <c r="AL355" i="1"/>
  <c r="AM355" i="1"/>
  <c r="T458" i="1"/>
  <c r="AC458" i="1"/>
  <c r="T383" i="1"/>
  <c r="AC383" i="1"/>
  <c r="AL383" i="1"/>
  <c r="AM383" i="1"/>
  <c r="T432" i="1"/>
  <c r="AC432" i="1"/>
  <c r="T510" i="1"/>
  <c r="AC510" i="1"/>
  <c r="T439" i="1"/>
  <c r="AC439" i="1"/>
  <c r="AL439" i="1"/>
  <c r="AM439" i="1"/>
  <c r="T414" i="1"/>
  <c r="AC414" i="1"/>
  <c r="T450" i="1"/>
  <c r="AC450" i="1"/>
  <c r="T326" i="1"/>
  <c r="AC326" i="1"/>
  <c r="AL326" i="1"/>
  <c r="AM326" i="1"/>
  <c r="T424" i="1"/>
  <c r="AC424" i="1"/>
  <c r="AL424" i="1"/>
  <c r="AM424" i="1"/>
  <c r="T395" i="1"/>
  <c r="AC395" i="1"/>
  <c r="T519" i="1"/>
  <c r="AC519" i="1"/>
  <c r="AL519" i="1"/>
  <c r="AM519" i="1"/>
  <c r="T514" i="1"/>
  <c r="AC514" i="1"/>
  <c r="T494" i="1"/>
  <c r="AC494" i="1"/>
  <c r="T336" i="1"/>
  <c r="AC336" i="1"/>
  <c r="AL336" i="1"/>
  <c r="AM336" i="1"/>
  <c r="T437" i="1"/>
  <c r="AC437" i="1"/>
  <c r="T484" i="1"/>
  <c r="AC484" i="1"/>
  <c r="T451" i="1"/>
  <c r="AC451" i="1"/>
  <c r="T479" i="1"/>
  <c r="AC479" i="1"/>
  <c r="T322" i="1"/>
  <c r="AC322" i="1"/>
  <c r="I59" i="1"/>
  <c r="T530" i="1"/>
  <c r="AC530" i="1"/>
  <c r="AL127" i="1"/>
  <c r="AM127" i="1"/>
  <c r="AL138" i="1"/>
  <c r="AM138" i="1"/>
  <c r="T496" i="1"/>
  <c r="AC496" i="1"/>
  <c r="T364" i="1"/>
  <c r="AC364" i="1"/>
  <c r="T331" i="1"/>
  <c r="AC331" i="1"/>
  <c r="AL331" i="1"/>
  <c r="AM331" i="1"/>
  <c r="T529" i="1"/>
  <c r="AC529" i="1"/>
  <c r="T351" i="1"/>
  <c r="AC351" i="1"/>
  <c r="T420" i="1"/>
  <c r="AC420" i="1"/>
  <c r="T388" i="1"/>
  <c r="AC388" i="1"/>
  <c r="T464" i="1"/>
  <c r="AC464" i="1"/>
  <c r="D64" i="1"/>
  <c r="T423" i="1"/>
  <c r="AC423" i="1"/>
  <c r="T358" i="1"/>
  <c r="AC358" i="1"/>
  <c r="T493" i="1"/>
  <c r="AC493" i="1"/>
  <c r="T444" i="1"/>
  <c r="AC444" i="1"/>
  <c r="AL236" i="1"/>
  <c r="AM236" i="1"/>
  <c r="T500" i="1"/>
  <c r="AC500" i="1"/>
  <c r="T456" i="1"/>
  <c r="AC456" i="1"/>
  <c r="T327" i="1"/>
  <c r="AC327" i="1"/>
  <c r="T344" i="1"/>
  <c r="AC344" i="1"/>
  <c r="AL344" i="1"/>
  <c r="AM344" i="1"/>
  <c r="T387" i="1"/>
  <c r="AC387" i="1"/>
  <c r="AL211" i="1"/>
  <c r="AM211" i="1"/>
  <c r="T416" i="1"/>
  <c r="AC416" i="1"/>
  <c r="T384" i="1"/>
  <c r="AC384" i="1"/>
  <c r="AK316" i="1"/>
  <c r="T316" i="1"/>
  <c r="T425" i="1"/>
  <c r="AC425" i="1"/>
  <c r="T337" i="1"/>
  <c r="AC337" i="1"/>
  <c r="AL337" i="1"/>
  <c r="AM337" i="1"/>
  <c r="T333" i="1"/>
  <c r="AC333" i="1"/>
  <c r="T419" i="1"/>
  <c r="AC419" i="1"/>
  <c r="AL419" i="1"/>
  <c r="AM419" i="1"/>
  <c r="T402" i="1"/>
  <c r="AC402" i="1"/>
  <c r="T362" i="1"/>
  <c r="AC362" i="1"/>
  <c r="T406" i="1"/>
  <c r="AC406" i="1"/>
  <c r="AH65" i="1"/>
  <c r="J30" i="1"/>
  <c r="T347" i="1"/>
  <c r="AC347" i="1"/>
  <c r="AL347" i="1"/>
  <c r="AM347" i="1"/>
  <c r="T418" i="1"/>
  <c r="AC418" i="1"/>
  <c r="T404" i="1"/>
  <c r="AC404" i="1"/>
  <c r="AL404" i="1"/>
  <c r="AM404" i="1"/>
  <c r="T460" i="1"/>
  <c r="AC460" i="1"/>
  <c r="AL460" i="1"/>
  <c r="AM460" i="1"/>
  <c r="T329" i="1"/>
  <c r="AC329" i="1"/>
  <c r="AH64" i="1"/>
  <c r="I29" i="1"/>
  <c r="T244" i="1"/>
  <c r="AC244" i="1"/>
  <c r="T168" i="1"/>
  <c r="AC168" i="1"/>
  <c r="T186" i="1"/>
  <c r="AC186" i="1"/>
  <c r="AL186" i="1"/>
  <c r="AM186" i="1"/>
  <c r="T187" i="1"/>
  <c r="AC187" i="1"/>
  <c r="T147" i="1"/>
  <c r="AC147" i="1"/>
  <c r="T121" i="1"/>
  <c r="AC121" i="1"/>
  <c r="T154" i="1"/>
  <c r="AC154" i="1"/>
  <c r="T256" i="1"/>
  <c r="AC256" i="1"/>
  <c r="T241" i="1"/>
  <c r="AC241" i="1"/>
  <c r="T304" i="1"/>
  <c r="AC304" i="1"/>
  <c r="AL304" i="1"/>
  <c r="AM304" i="1"/>
  <c r="T172" i="1"/>
  <c r="AC172" i="1"/>
  <c r="T124" i="1"/>
  <c r="AC124" i="1"/>
  <c r="T152" i="1"/>
  <c r="AC152" i="1"/>
  <c r="T278" i="1"/>
  <c r="AC278" i="1"/>
  <c r="AL278" i="1"/>
  <c r="AM278" i="1"/>
  <c r="T181" i="1"/>
  <c r="AC181" i="1"/>
  <c r="T243" i="1"/>
  <c r="AC243" i="1"/>
  <c r="T197" i="1"/>
  <c r="AC197" i="1"/>
  <c r="T214" i="1"/>
  <c r="AC214" i="1"/>
  <c r="T230" i="1"/>
  <c r="AC230" i="1"/>
  <c r="AL230" i="1"/>
  <c r="AM230" i="1"/>
  <c r="T215" i="1"/>
  <c r="AC215" i="1"/>
  <c r="T82" i="1"/>
  <c r="AC82" i="1"/>
  <c r="T225" i="1"/>
  <c r="AC225" i="1"/>
  <c r="T295" i="1"/>
  <c r="AC295" i="1"/>
  <c r="T270" i="1"/>
  <c r="AC270" i="1"/>
  <c r="T195" i="1"/>
  <c r="AC195" i="1"/>
  <c r="AL195" i="1"/>
  <c r="AM195" i="1"/>
  <c r="T87" i="1"/>
  <c r="AC87" i="1"/>
  <c r="T237" i="1"/>
  <c r="AC237" i="1"/>
  <c r="T117" i="1"/>
  <c r="AC117" i="1"/>
  <c r="T135" i="1"/>
  <c r="AC135" i="1"/>
  <c r="T169" i="1"/>
  <c r="AC169" i="1"/>
  <c r="AL169" i="1"/>
  <c r="AM169" i="1"/>
  <c r="T264" i="1"/>
  <c r="AC264" i="1"/>
  <c r="T274" i="1"/>
  <c r="AC274" i="1"/>
  <c r="T207" i="1"/>
  <c r="AC207" i="1"/>
  <c r="T271" i="1"/>
  <c r="AC271" i="1"/>
  <c r="T118" i="1"/>
  <c r="AC118" i="1"/>
  <c r="AL118" i="1"/>
  <c r="AM118" i="1"/>
  <c r="T223" i="1"/>
  <c r="AC223" i="1"/>
  <c r="AL223" i="1"/>
  <c r="AM223" i="1"/>
  <c r="T122" i="1"/>
  <c r="AC122" i="1"/>
  <c r="AL122" i="1"/>
  <c r="AM122" i="1"/>
  <c r="T140" i="1"/>
  <c r="AC140" i="1"/>
  <c r="T148" i="1"/>
  <c r="AC148" i="1"/>
  <c r="T248" i="1"/>
  <c r="AC248" i="1"/>
  <c r="T219" i="1"/>
  <c r="AC219" i="1"/>
  <c r="T190" i="1"/>
  <c r="AC190" i="1"/>
  <c r="T251" i="1"/>
  <c r="AC251" i="1"/>
  <c r="T258" i="1"/>
  <c r="AC258" i="1"/>
  <c r="T97" i="1"/>
  <c r="AC97" i="1"/>
  <c r="T131" i="1"/>
  <c r="AC131" i="1"/>
  <c r="T288" i="1"/>
  <c r="AC288" i="1"/>
  <c r="T210" i="1"/>
  <c r="AC210" i="1"/>
  <c r="T99" i="1"/>
  <c r="AC99" i="1"/>
  <c r="T262" i="1"/>
  <c r="AC262" i="1"/>
  <c r="AL262" i="1"/>
  <c r="AM262" i="1"/>
  <c r="T171" i="1"/>
  <c r="AC171" i="1"/>
  <c r="AL171" i="1"/>
  <c r="AM171" i="1"/>
  <c r="T145" i="1"/>
  <c r="AC145" i="1"/>
  <c r="T153" i="1"/>
  <c r="AC153" i="1"/>
  <c r="T290" i="1"/>
  <c r="AC290" i="1"/>
  <c r="T245" i="1"/>
  <c r="AC245" i="1"/>
  <c r="T294" i="1"/>
  <c r="AC294" i="1"/>
  <c r="T203" i="1"/>
  <c r="AC203" i="1"/>
  <c r="T93" i="1"/>
  <c r="AC93" i="1"/>
  <c r="T159" i="1"/>
  <c r="AC159" i="1"/>
  <c r="T142" i="1"/>
  <c r="AC142" i="1"/>
  <c r="AL142" i="1"/>
  <c r="AM142" i="1"/>
  <c r="T84" i="1"/>
  <c r="AC84" i="1"/>
  <c r="AL84" i="1"/>
  <c r="AM84" i="1"/>
  <c r="T141" i="1"/>
  <c r="AC141" i="1"/>
  <c r="T221" i="1"/>
  <c r="AC221" i="1"/>
  <c r="AL221" i="1"/>
  <c r="AM221" i="1"/>
  <c r="T139" i="1"/>
  <c r="AC139" i="1"/>
  <c r="T188" i="1"/>
  <c r="AC188" i="1"/>
  <c r="T257" i="1"/>
  <c r="AC257" i="1"/>
  <c r="T263" i="1"/>
  <c r="AC263" i="1"/>
  <c r="T299" i="1"/>
  <c r="AC299" i="1"/>
  <c r="T291" i="1"/>
  <c r="AC291" i="1"/>
  <c r="T161" i="1"/>
  <c r="AC161" i="1"/>
  <c r="T269" i="1"/>
  <c r="AC269" i="1"/>
  <c r="T88" i="1"/>
  <c r="AC88" i="1"/>
  <c r="T216" i="1"/>
  <c r="AC216" i="1"/>
  <c r="T151" i="1"/>
  <c r="AC151" i="1"/>
  <c r="T276" i="1"/>
  <c r="AC276" i="1"/>
  <c r="T267" i="1"/>
  <c r="AC267" i="1"/>
  <c r="T191" i="1"/>
  <c r="AC191" i="1"/>
  <c r="T202" i="1"/>
  <c r="AC202" i="1"/>
  <c r="AL202" i="1"/>
  <c r="AM202" i="1"/>
  <c r="T275" i="1"/>
  <c r="AC275" i="1"/>
  <c r="AL275" i="1"/>
  <c r="AM275" i="1"/>
  <c r="T234" i="1"/>
  <c r="AC234" i="1"/>
  <c r="T128" i="1"/>
  <c r="AC128" i="1"/>
  <c r="T204" i="1"/>
  <c r="AC204" i="1"/>
  <c r="AL204" i="1"/>
  <c r="AM204" i="1"/>
  <c r="T212" i="1"/>
  <c r="AC212" i="1"/>
  <c r="T297" i="1"/>
  <c r="AC297" i="1"/>
  <c r="T144" i="1"/>
  <c r="AC144" i="1"/>
  <c r="AL144" i="1"/>
  <c r="AM144" i="1"/>
  <c r="T209" i="1"/>
  <c r="AC209" i="1"/>
  <c r="AL209" i="1"/>
  <c r="AM209" i="1"/>
  <c r="T104" i="1"/>
  <c r="AC104" i="1"/>
  <c r="T300" i="1"/>
  <c r="AC300" i="1"/>
  <c r="T85" i="1"/>
  <c r="AC85" i="1"/>
  <c r="T246" i="1"/>
  <c r="AC246" i="1"/>
  <c r="T286" i="1"/>
  <c r="AC286" i="1"/>
  <c r="T249" i="1"/>
  <c r="AC249" i="1"/>
  <c r="T189" i="1"/>
  <c r="AC189" i="1"/>
  <c r="T282" i="1"/>
  <c r="AC282" i="1"/>
  <c r="T96" i="1"/>
  <c r="AC96" i="1"/>
  <c r="T266" i="1"/>
  <c r="AC266" i="1"/>
  <c r="AL266" i="1"/>
  <c r="AM266" i="1"/>
  <c r="T177" i="1"/>
  <c r="AC177" i="1"/>
  <c r="T137" i="1"/>
  <c r="AC137" i="1"/>
  <c r="AL137" i="1"/>
  <c r="AM137" i="1"/>
  <c r="T247" i="1"/>
  <c r="AC247" i="1"/>
  <c r="T163" i="1"/>
  <c r="AC163" i="1"/>
  <c r="T103" i="1"/>
  <c r="AC103" i="1"/>
  <c r="T81" i="1"/>
  <c r="AC81" i="1"/>
  <c r="AL81" i="1"/>
  <c r="AM81" i="1"/>
  <c r="T272" i="1"/>
  <c r="AC272" i="1"/>
  <c r="AL272" i="1"/>
  <c r="AM272" i="1"/>
  <c r="T481" i="1"/>
  <c r="AC481" i="1"/>
  <c r="AL481" i="1"/>
  <c r="AM481" i="1"/>
  <c r="T363" i="1"/>
  <c r="AC363" i="1"/>
  <c r="AL476" i="1"/>
  <c r="AM476" i="1"/>
  <c r="AL205" i="1"/>
  <c r="AM205" i="1"/>
  <c r="AG64" i="1"/>
  <c r="D63" i="1"/>
  <c r="T448" i="1"/>
  <c r="AC448" i="1"/>
  <c r="T430" i="1"/>
  <c r="AC430" i="1"/>
  <c r="AJ64" i="1"/>
  <c r="D65" i="1"/>
  <c r="T503" i="1"/>
  <c r="AC503" i="1"/>
  <c r="T312" i="1"/>
  <c r="AC312" i="1"/>
  <c r="AL312" i="1"/>
  <c r="AM312" i="1"/>
  <c r="T366" i="1"/>
  <c r="AC366" i="1"/>
  <c r="T447" i="1"/>
  <c r="AC447" i="1"/>
  <c r="T461" i="1"/>
  <c r="AC461" i="1"/>
  <c r="D67" i="1"/>
  <c r="T307" i="1"/>
  <c r="AC307" i="1"/>
  <c r="AL268" i="1"/>
  <c r="AM268" i="1"/>
  <c r="T403" i="1"/>
  <c r="AC403" i="1"/>
  <c r="T427" i="1"/>
  <c r="AC427" i="1"/>
  <c r="T328" i="1"/>
  <c r="AC328" i="1"/>
  <c r="T361" i="1"/>
  <c r="AC361" i="1"/>
  <c r="AL361" i="1"/>
  <c r="AM361" i="1"/>
  <c r="T365" i="1"/>
  <c r="AC365" i="1"/>
  <c r="T323" i="1"/>
  <c r="AC323" i="1"/>
  <c r="T498" i="1"/>
  <c r="AC498" i="1"/>
  <c r="AL498" i="1"/>
  <c r="AM498" i="1"/>
  <c r="T377" i="1"/>
  <c r="AC377" i="1"/>
  <c r="T516" i="1"/>
  <c r="AC516" i="1"/>
  <c r="T356" i="1"/>
  <c r="AC356" i="1"/>
  <c r="T417" i="1"/>
  <c r="AC417" i="1"/>
  <c r="T410" i="1"/>
  <c r="AC410" i="1"/>
  <c r="T389" i="1"/>
  <c r="AC389" i="1"/>
  <c r="AL389" i="1"/>
  <c r="AM389" i="1"/>
  <c r="T467" i="1"/>
  <c r="AC467" i="1"/>
  <c r="AL467" i="1"/>
  <c r="AM467" i="1"/>
  <c r="C41" i="1"/>
  <c r="U398" i="1"/>
  <c r="AD398" i="1"/>
  <c r="U219" i="1"/>
  <c r="AD219" i="1"/>
  <c r="U502" i="1"/>
  <c r="AD502" i="1"/>
  <c r="AL502" i="1"/>
  <c r="AM502" i="1"/>
  <c r="U194" i="1"/>
  <c r="AD194" i="1"/>
  <c r="AL194" i="1"/>
  <c r="AM194" i="1"/>
  <c r="U171" i="1"/>
  <c r="AD171" i="1"/>
  <c r="U243" i="1"/>
  <c r="AD243" i="1"/>
  <c r="U391" i="1"/>
  <c r="AD391" i="1"/>
  <c r="U496" i="1"/>
  <c r="AD496" i="1"/>
  <c r="U388" i="1"/>
  <c r="AD388" i="1"/>
  <c r="U341" i="1"/>
  <c r="AD341" i="1"/>
  <c r="AL341" i="1"/>
  <c r="AM341" i="1"/>
  <c r="U351" i="1"/>
  <c r="AD351" i="1"/>
  <c r="U237" i="1"/>
  <c r="AD237" i="1"/>
  <c r="U444" i="1"/>
  <c r="AD444" i="1"/>
  <c r="U392" i="1"/>
  <c r="AD392" i="1"/>
  <c r="U442" i="1"/>
  <c r="AD442" i="1"/>
  <c r="U322" i="1"/>
  <c r="AD322" i="1"/>
  <c r="U471" i="1"/>
  <c r="AD471" i="1"/>
  <c r="U318" i="1"/>
  <c r="AD318" i="1"/>
  <c r="AL318" i="1"/>
  <c r="AM318" i="1"/>
  <c r="U286" i="1"/>
  <c r="AD286" i="1"/>
  <c r="U482" i="1"/>
  <c r="AD482" i="1"/>
  <c r="U88" i="1"/>
  <c r="AD88" i="1"/>
  <c r="U249" i="1"/>
  <c r="AD249" i="1"/>
  <c r="U369" i="1"/>
  <c r="AD369" i="1"/>
  <c r="AL369" i="1"/>
  <c r="AM369" i="1"/>
  <c r="U396" i="1"/>
  <c r="AD396" i="1"/>
  <c r="U272" i="1"/>
  <c r="AD272" i="1"/>
  <c r="U84" i="1"/>
  <c r="AD84" i="1"/>
  <c r="U518" i="1"/>
  <c r="AD518" i="1"/>
  <c r="U152" i="1"/>
  <c r="AD152" i="1"/>
  <c r="U371" i="1"/>
  <c r="AD371" i="1"/>
  <c r="U423" i="1"/>
  <c r="AD423" i="1"/>
  <c r="U487" i="1"/>
  <c r="AD487" i="1"/>
  <c r="U158" i="1"/>
  <c r="AD158" i="1"/>
  <c r="U216" i="1"/>
  <c r="AD216" i="1"/>
  <c r="U474" i="1"/>
  <c r="AD474" i="1"/>
  <c r="U261" i="1"/>
  <c r="AD261" i="1"/>
  <c r="U335" i="1"/>
  <c r="AD335" i="1"/>
  <c r="U117" i="1"/>
  <c r="AD117" i="1"/>
  <c r="U140" i="1"/>
  <c r="AD140" i="1"/>
  <c r="U479" i="1"/>
  <c r="AD479" i="1"/>
  <c r="U260" i="1"/>
  <c r="AD260" i="1"/>
  <c r="U126" i="1"/>
  <c r="AD126" i="1"/>
  <c r="U99" i="1"/>
  <c r="AD99" i="1"/>
  <c r="U490" i="1"/>
  <c r="AD490" i="1"/>
  <c r="U241" i="1"/>
  <c r="AD241" i="1"/>
  <c r="U176" i="1"/>
  <c r="AD176" i="1"/>
  <c r="U313" i="1"/>
  <c r="AD313" i="1"/>
  <c r="U196" i="1"/>
  <c r="AD196" i="1"/>
  <c r="U213" i="1"/>
  <c r="AD213" i="1"/>
  <c r="U149" i="1"/>
  <c r="AD149" i="1"/>
  <c r="U203" i="1"/>
  <c r="AD203" i="1"/>
  <c r="U411" i="1"/>
  <c r="AD411" i="1"/>
  <c r="U332" i="1"/>
  <c r="AD332" i="1"/>
  <c r="U89" i="1"/>
  <c r="AD89" i="1"/>
  <c r="U288" i="1"/>
  <c r="AD288" i="1"/>
  <c r="U452" i="1"/>
  <c r="AD452" i="1"/>
  <c r="U271" i="1"/>
  <c r="AD271" i="1"/>
  <c r="U456" i="1"/>
  <c r="AD456" i="1"/>
  <c r="U321" i="1"/>
  <c r="AD321" i="1"/>
  <c r="U154" i="1"/>
  <c r="AD154" i="1"/>
  <c r="U348" i="1"/>
  <c r="AD348" i="1"/>
  <c r="U147" i="1"/>
  <c r="AD147" i="1"/>
  <c r="U284" i="1"/>
  <c r="AD284" i="1"/>
  <c r="AL284" i="1"/>
  <c r="AM284" i="1"/>
  <c r="U480" i="1"/>
  <c r="AD480" i="1"/>
  <c r="U425" i="1"/>
  <c r="AD425" i="1"/>
  <c r="U270" i="1"/>
  <c r="AD270" i="1"/>
  <c r="U206" i="1"/>
  <c r="AD206" i="1"/>
  <c r="U359" i="1"/>
  <c r="AD359" i="1"/>
  <c r="U181" i="1"/>
  <c r="AD181" i="1"/>
  <c r="U413" i="1"/>
  <c r="AD413" i="1"/>
  <c r="U483" i="1"/>
  <c r="AD483" i="1"/>
  <c r="U324" i="1"/>
  <c r="AD324" i="1"/>
  <c r="U362" i="1"/>
  <c r="AD362" i="1"/>
  <c r="U393" i="1"/>
  <c r="AD393" i="1"/>
  <c r="U448" i="1"/>
  <c r="AD448" i="1"/>
  <c r="U352" i="1"/>
  <c r="AD352" i="1"/>
  <c r="U258" i="1"/>
  <c r="AD258" i="1"/>
  <c r="U208" i="1"/>
  <c r="AD208" i="1"/>
  <c r="AL208" i="1"/>
  <c r="AM208" i="1"/>
  <c r="U183" i="1"/>
  <c r="AD183" i="1"/>
  <c r="U294" i="1"/>
  <c r="AD294" i="1"/>
  <c r="U353" i="1"/>
  <c r="AD353" i="1"/>
  <c r="AL353" i="1"/>
  <c r="AM353" i="1"/>
  <c r="U228" i="1"/>
  <c r="AD228" i="1"/>
  <c r="AL228" i="1"/>
  <c r="AM228" i="1"/>
  <c r="U301" i="1"/>
  <c r="AD301" i="1"/>
  <c r="U521" i="1"/>
  <c r="AD521" i="1"/>
  <c r="U317" i="1"/>
  <c r="AD317" i="1"/>
  <c r="U395" i="1"/>
  <c r="AD395" i="1"/>
  <c r="U167" i="1"/>
  <c r="AD167" i="1"/>
  <c r="AL167" i="1"/>
  <c r="AM167" i="1"/>
  <c r="U380" i="1"/>
  <c r="AD380" i="1"/>
  <c r="U135" i="1"/>
  <c r="AD135" i="1"/>
  <c r="U153" i="1"/>
  <c r="AD153" i="1"/>
  <c r="U205" i="1"/>
  <c r="AD205" i="1"/>
  <c r="U340" i="1"/>
  <c r="AD340" i="1"/>
  <c r="U262" i="1"/>
  <c r="AD262" i="1"/>
  <c r="U250" i="1"/>
  <c r="AD250" i="1"/>
  <c r="U309" i="1"/>
  <c r="AD309" i="1"/>
  <c r="U134" i="1"/>
  <c r="AD134" i="1"/>
  <c r="U220" i="1"/>
  <c r="AD220" i="1"/>
  <c r="U397" i="1"/>
  <c r="AD397" i="1"/>
  <c r="U421" i="1"/>
  <c r="AD421" i="1"/>
  <c r="U364" i="1"/>
  <c r="AD364" i="1"/>
  <c r="U349" i="1"/>
  <c r="AD349" i="1"/>
  <c r="U87" i="1"/>
  <c r="AD87" i="1"/>
  <c r="U311" i="1"/>
  <c r="AD311" i="1"/>
  <c r="U103" i="1"/>
  <c r="AD103" i="1"/>
  <c r="U449" i="1"/>
  <c r="AD449" i="1"/>
  <c r="U512" i="1"/>
  <c r="AD512" i="1"/>
  <c r="U333" i="1"/>
  <c r="AD333" i="1"/>
  <c r="U104" i="1"/>
  <c r="AD104" i="1"/>
  <c r="U491" i="1"/>
  <c r="AD491" i="1"/>
  <c r="AL491" i="1"/>
  <c r="AM491" i="1"/>
  <c r="U459" i="1"/>
  <c r="AD459" i="1"/>
  <c r="U523" i="1"/>
  <c r="AD523" i="1"/>
  <c r="U455" i="1"/>
  <c r="AD455" i="1"/>
  <c r="AL455" i="1"/>
  <c r="AM455" i="1"/>
  <c r="U80" i="1"/>
  <c r="AD80" i="1"/>
  <c r="U368" i="1"/>
  <c r="AD368" i="1"/>
  <c r="U186" i="1"/>
  <c r="AD186" i="1"/>
  <c r="U506" i="1"/>
  <c r="AD506" i="1"/>
  <c r="U98" i="1"/>
  <c r="AD98" i="1"/>
  <c r="U432" i="1"/>
  <c r="AD432" i="1"/>
  <c r="U234" i="1"/>
  <c r="AD234" i="1"/>
  <c r="U485" i="1"/>
  <c r="AD485" i="1"/>
  <c r="AL485" i="1"/>
  <c r="AM485" i="1"/>
  <c r="U212" i="1"/>
  <c r="AD212" i="1"/>
  <c r="U159" i="1"/>
  <c r="AD159" i="1"/>
  <c r="U403" i="1"/>
  <c r="AD403" i="1"/>
  <c r="U478" i="1"/>
  <c r="AD478" i="1"/>
  <c r="D33" i="1"/>
  <c r="U150" i="1"/>
  <c r="AD150" i="1"/>
  <c r="U199" i="1"/>
  <c r="AD199" i="1"/>
  <c r="AL199" i="1"/>
  <c r="AM199" i="1"/>
  <c r="U524" i="1"/>
  <c r="AD524" i="1"/>
  <c r="AL524" i="1"/>
  <c r="AM524" i="1"/>
  <c r="U500" i="1"/>
  <c r="AD500" i="1"/>
  <c r="U96" i="1"/>
  <c r="AD96" i="1"/>
  <c r="U210" i="1"/>
  <c r="AD210" i="1"/>
  <c r="U339" i="1"/>
  <c r="AD339" i="1"/>
  <c r="U520" i="1"/>
  <c r="AD520" i="1"/>
  <c r="U328" i="1"/>
  <c r="AD328" i="1"/>
  <c r="U375" i="1"/>
  <c r="AD375" i="1"/>
  <c r="U525" i="1"/>
  <c r="AD525" i="1"/>
  <c r="AL525" i="1"/>
  <c r="AM525" i="1"/>
  <c r="U209" i="1"/>
  <c r="AD209" i="1"/>
  <c r="U458" i="1"/>
  <c r="AD458" i="1"/>
  <c r="AB384" i="1"/>
  <c r="AK384" i="1"/>
  <c r="AB357" i="1"/>
  <c r="AK357" i="1"/>
  <c r="AB359" i="1"/>
  <c r="AK359" i="1"/>
  <c r="AB437" i="1"/>
  <c r="AK437" i="1"/>
  <c r="AB360" i="1"/>
  <c r="AK360" i="1"/>
  <c r="AB478" i="1"/>
  <c r="AK478" i="1"/>
  <c r="AB495" i="1"/>
  <c r="AK495" i="1"/>
  <c r="AB232" i="1"/>
  <c r="AK232" i="1"/>
  <c r="AB431" i="1"/>
  <c r="AK431" i="1"/>
  <c r="AB326" i="1"/>
  <c r="AK326" i="1"/>
  <c r="AB503" i="1"/>
  <c r="AK503" i="1"/>
  <c r="AB387" i="1"/>
  <c r="AK387" i="1"/>
  <c r="AB133" i="1"/>
  <c r="AK133" i="1"/>
  <c r="AL133" i="1"/>
  <c r="AM133" i="1"/>
  <c r="AB151" i="1"/>
  <c r="AK151" i="1"/>
  <c r="AB458" i="1"/>
  <c r="AK458" i="1"/>
  <c r="AB189" i="1"/>
  <c r="AK189" i="1"/>
  <c r="AB82" i="1"/>
  <c r="AK82" i="1"/>
  <c r="AB370" i="1"/>
  <c r="AK370" i="1"/>
  <c r="AB270" i="1"/>
  <c r="AK270" i="1"/>
  <c r="AB444" i="1"/>
  <c r="AK444" i="1"/>
  <c r="AB244" i="1"/>
  <c r="AK244" i="1"/>
  <c r="AB228" i="1"/>
  <c r="AK228" i="1"/>
  <c r="AB452" i="1"/>
  <c r="AK452" i="1"/>
  <c r="AB219" i="1"/>
  <c r="AK219" i="1"/>
  <c r="AB180" i="1"/>
  <c r="AK180" i="1"/>
  <c r="AB363" i="1"/>
  <c r="AK363" i="1"/>
  <c r="AB95" i="1"/>
  <c r="AK95" i="1"/>
  <c r="AL95" i="1"/>
  <c r="AM95" i="1"/>
  <c r="AB132" i="1"/>
  <c r="AK132" i="1"/>
  <c r="AB149" i="1"/>
  <c r="AK149" i="1"/>
  <c r="AB303" i="1"/>
  <c r="AK303" i="1"/>
  <c r="AB181" i="1"/>
  <c r="AK181" i="1"/>
  <c r="AB401" i="1"/>
  <c r="AK401" i="1"/>
  <c r="AB106" i="1"/>
  <c r="AK106" i="1"/>
  <c r="AB420" i="1"/>
  <c r="AK420" i="1"/>
  <c r="AB366" i="1"/>
  <c r="AK366" i="1"/>
  <c r="AB258" i="1"/>
  <c r="AK258" i="1"/>
  <c r="AB403" i="1"/>
  <c r="AK403" i="1"/>
  <c r="AB243" i="1"/>
  <c r="AK243" i="1"/>
  <c r="AB215" i="1"/>
  <c r="AK215" i="1"/>
  <c r="AB254" i="1"/>
  <c r="AK254" i="1"/>
  <c r="AL254" i="1"/>
  <c r="AM254" i="1"/>
  <c r="AB461" i="1"/>
  <c r="AK461" i="1"/>
  <c r="AB514" i="1"/>
  <c r="AK514" i="1"/>
  <c r="AB115" i="1"/>
  <c r="AK115" i="1"/>
  <c r="AB475" i="1"/>
  <c r="AK475" i="1"/>
  <c r="AB287" i="1"/>
  <c r="AK287" i="1"/>
  <c r="AB523" i="1"/>
  <c r="AK523" i="1"/>
  <c r="AB291" i="1"/>
  <c r="AK291" i="1"/>
  <c r="AB256" i="1"/>
  <c r="AK256" i="1"/>
  <c r="AB413" i="1"/>
  <c r="AK413" i="1"/>
  <c r="AB430" i="1"/>
  <c r="AK430" i="1"/>
  <c r="AB512" i="1"/>
  <c r="AK512" i="1"/>
  <c r="AB290" i="1"/>
  <c r="AK290" i="1"/>
  <c r="AB80" i="1"/>
  <c r="AK80" i="1"/>
  <c r="AB329" i="1"/>
  <c r="AK329" i="1"/>
  <c r="AB165" i="1"/>
  <c r="AK165" i="1"/>
  <c r="AB505" i="1"/>
  <c r="AK505" i="1"/>
  <c r="AL505" i="1"/>
  <c r="AM505" i="1"/>
  <c r="AB427" i="1"/>
  <c r="AK427" i="1"/>
  <c r="AB324" i="1"/>
  <c r="AK324" i="1"/>
  <c r="AB265" i="1"/>
  <c r="AK265" i="1"/>
  <c r="AB511" i="1"/>
  <c r="AK511" i="1"/>
  <c r="AB385" i="1"/>
  <c r="AK385" i="1"/>
  <c r="AB277" i="1"/>
  <c r="AK277" i="1"/>
  <c r="AL277" i="1"/>
  <c r="AM277" i="1"/>
  <c r="AB121" i="1"/>
  <c r="AK121" i="1"/>
  <c r="U461" i="1"/>
  <c r="AD461" i="1"/>
  <c r="U207" i="1"/>
  <c r="AD207" i="1"/>
  <c r="U127" i="1"/>
  <c r="AD127" i="1"/>
  <c r="U513" i="1"/>
  <c r="AD513" i="1"/>
  <c r="AL513" i="1"/>
  <c r="AM513" i="1"/>
  <c r="AB379" i="1"/>
  <c r="AK379" i="1"/>
  <c r="AB350" i="1"/>
  <c r="AK350" i="1"/>
  <c r="AB466" i="1"/>
  <c r="AK466" i="1"/>
  <c r="AB229" i="1"/>
  <c r="AK229" i="1"/>
  <c r="AB245" i="1"/>
  <c r="AK245" i="1"/>
  <c r="AB283" i="1"/>
  <c r="AK283" i="1"/>
  <c r="AL283" i="1"/>
  <c r="AM283" i="1"/>
  <c r="AB436" i="1"/>
  <c r="AK436" i="1"/>
  <c r="AB477" i="1"/>
  <c r="AK477" i="1"/>
  <c r="AB417" i="1"/>
  <c r="AK417" i="1"/>
  <c r="AB105" i="1"/>
  <c r="AK105" i="1"/>
  <c r="AB293" i="1"/>
  <c r="AK293" i="1"/>
  <c r="AL293" i="1"/>
  <c r="AM293" i="1"/>
  <c r="AB313" i="1"/>
  <c r="AK313" i="1"/>
  <c r="AB376" i="1"/>
  <c r="AK376" i="1"/>
  <c r="AB406" i="1"/>
  <c r="AK406" i="1"/>
  <c r="AB220" i="1"/>
  <c r="AK220" i="1"/>
  <c r="AB381" i="1"/>
  <c r="AK381" i="1"/>
  <c r="U357" i="1"/>
  <c r="AD357" i="1"/>
  <c r="U223" i="1"/>
  <c r="AD223" i="1"/>
  <c r="U289" i="1"/>
  <c r="AD289" i="1"/>
  <c r="AL289" i="1"/>
  <c r="AM289" i="1"/>
  <c r="U394" i="1"/>
  <c r="AD394" i="1"/>
  <c r="U110" i="1"/>
  <c r="AD110" i="1"/>
  <c r="U315" i="1"/>
  <c r="AD315" i="1"/>
  <c r="U299" i="1"/>
  <c r="AD299" i="1"/>
  <c r="U495" i="1"/>
  <c r="AD495" i="1"/>
  <c r="U498" i="1"/>
  <c r="AD498" i="1"/>
  <c r="U130" i="1"/>
  <c r="AD130" i="1"/>
  <c r="U106" i="1"/>
  <c r="AD106" i="1"/>
  <c r="U350" i="1"/>
  <c r="AD350" i="1"/>
  <c r="U342" i="1"/>
  <c r="AD342" i="1"/>
  <c r="U510" i="1"/>
  <c r="AD510" i="1"/>
  <c r="U256" i="1"/>
  <c r="AD256" i="1"/>
  <c r="U515" i="1"/>
  <c r="AD515" i="1"/>
  <c r="AL515" i="1"/>
  <c r="AM515" i="1"/>
  <c r="AB214" i="1"/>
  <c r="AK214" i="1"/>
  <c r="U300" i="1"/>
  <c r="AD300" i="1"/>
  <c r="U435" i="1"/>
  <c r="AD435" i="1"/>
  <c r="AL435" i="1"/>
  <c r="AM435" i="1"/>
  <c r="U427" i="1"/>
  <c r="AD427" i="1"/>
  <c r="U136" i="1"/>
  <c r="AD136" i="1"/>
  <c r="U225" i="1"/>
  <c r="AD225" i="1"/>
  <c r="U160" i="1"/>
  <c r="AD160" i="1"/>
  <c r="U419" i="1"/>
  <c r="AD419" i="1"/>
  <c r="U319" i="1"/>
  <c r="AD319" i="1"/>
  <c r="U465" i="1"/>
  <c r="AD465" i="1"/>
  <c r="U303" i="1"/>
  <c r="AD303" i="1"/>
  <c r="U383" i="1"/>
  <c r="AD383" i="1"/>
  <c r="U267" i="1"/>
  <c r="AD267" i="1"/>
  <c r="U157" i="1"/>
  <c r="AD157" i="1"/>
  <c r="U412" i="1"/>
  <c r="AD412" i="1"/>
  <c r="U418" i="1"/>
  <c r="AD418" i="1"/>
  <c r="U85" i="1"/>
  <c r="AD85" i="1"/>
  <c r="U464" i="1"/>
  <c r="AD464" i="1"/>
  <c r="U514" i="1"/>
  <c r="AD514" i="1"/>
  <c r="U161" i="1"/>
  <c r="AD161" i="1"/>
  <c r="U101" i="1"/>
  <c r="AD101" i="1"/>
  <c r="AL101" i="1"/>
  <c r="AM101" i="1"/>
  <c r="U422" i="1"/>
  <c r="AD422" i="1"/>
  <c r="U139" i="1"/>
  <c r="AD139" i="1"/>
  <c r="U358" i="1"/>
  <c r="AD358" i="1"/>
  <c r="U298" i="1"/>
  <c r="AD298" i="1"/>
  <c r="U164" i="1"/>
  <c r="AD164" i="1"/>
  <c r="U410" i="1"/>
  <c r="AD410" i="1"/>
  <c r="U224" i="1"/>
  <c r="AD224" i="1"/>
  <c r="AL224" i="1"/>
  <c r="AM224" i="1"/>
  <c r="U231" i="1"/>
  <c r="AD231" i="1"/>
  <c r="U508" i="1"/>
  <c r="AD508" i="1"/>
  <c r="U305" i="1"/>
  <c r="AD305" i="1"/>
  <c r="U108" i="1"/>
  <c r="AD108" i="1"/>
  <c r="AL108" i="1"/>
  <c r="AM108" i="1"/>
  <c r="U405" i="1"/>
  <c r="AD405" i="1"/>
  <c r="U282" i="1"/>
  <c r="AD282" i="1"/>
  <c r="U226" i="1"/>
  <c r="AD226" i="1"/>
  <c r="AL226" i="1"/>
  <c r="AM226" i="1"/>
  <c r="U493" i="1"/>
  <c r="AD493" i="1"/>
  <c r="U105" i="1"/>
  <c r="AD105" i="1"/>
  <c r="U247" i="1"/>
  <c r="AD247" i="1"/>
  <c r="U141" i="1"/>
  <c r="AD141" i="1"/>
  <c r="U191" i="1"/>
  <c r="AD191" i="1"/>
  <c r="U361" i="1"/>
  <c r="AD361" i="1"/>
  <c r="U86" i="1"/>
  <c r="AD86" i="1"/>
  <c r="U218" i="1"/>
  <c r="AD218" i="1"/>
  <c r="AL218" i="1"/>
  <c r="AM218" i="1"/>
  <c r="U406" i="1"/>
  <c r="AD406" i="1"/>
  <c r="U273" i="1"/>
  <c r="AD273" i="1"/>
  <c r="AL273" i="1"/>
  <c r="AM273" i="1"/>
  <c r="U484" i="1"/>
  <c r="AD484" i="1"/>
  <c r="AB158" i="1"/>
  <c r="AK158" i="1"/>
  <c r="AB299" i="1"/>
  <c r="AK299" i="1"/>
  <c r="AB469" i="1"/>
  <c r="AK469" i="1"/>
  <c r="AB129" i="1"/>
  <c r="AK129" i="1"/>
  <c r="AL129" i="1"/>
  <c r="AM129" i="1"/>
  <c r="AB274" i="1"/>
  <c r="AK274" i="1"/>
  <c r="AB102" i="1"/>
  <c r="AK102" i="1"/>
  <c r="AL102" i="1"/>
  <c r="AM102" i="1"/>
  <c r="AB292" i="1"/>
  <c r="AK292" i="1"/>
  <c r="AB208" i="1"/>
  <c r="AK208" i="1"/>
  <c r="AB172" i="1"/>
  <c r="AK172" i="1"/>
  <c r="AB161" i="1"/>
  <c r="AK161" i="1"/>
  <c r="AB135" i="1"/>
  <c r="AK135" i="1"/>
  <c r="AB297" i="1"/>
  <c r="AK297" i="1"/>
  <c r="AB176" i="1"/>
  <c r="AK176" i="1"/>
  <c r="AB487" i="1"/>
  <c r="AK487" i="1"/>
  <c r="AB91" i="1"/>
  <c r="AK91" i="1"/>
  <c r="U170" i="1"/>
  <c r="AD170" i="1"/>
  <c r="U466" i="1"/>
  <c r="AD466" i="1"/>
  <c r="U128" i="1"/>
  <c r="AD128" i="1"/>
  <c r="U343" i="1"/>
  <c r="AD343" i="1"/>
  <c r="AL343" i="1"/>
  <c r="AM343" i="1"/>
  <c r="U501" i="1"/>
  <c r="AD501" i="1"/>
  <c r="U292" i="1"/>
  <c r="AD292" i="1"/>
  <c r="AL292" i="1"/>
  <c r="AM292" i="1"/>
  <c r="U233" i="1"/>
  <c r="AD233" i="1"/>
  <c r="AL233" i="1"/>
  <c r="AM233" i="1"/>
  <c r="U246" i="1"/>
  <c r="AD246" i="1"/>
  <c r="U401" i="1"/>
  <c r="AD401" i="1"/>
  <c r="U255" i="1"/>
  <c r="AD255" i="1"/>
  <c r="AL255" i="1"/>
  <c r="AM255" i="1"/>
  <c r="U366" i="1"/>
  <c r="AD366" i="1"/>
  <c r="U172" i="1"/>
  <c r="AD172" i="1"/>
  <c r="U115" i="1"/>
  <c r="AD115" i="1"/>
  <c r="V415" i="1"/>
  <c r="AE415" i="1"/>
  <c r="V479" i="1"/>
  <c r="AE479" i="1"/>
  <c r="V329" i="1"/>
  <c r="AE329" i="1"/>
  <c r="V90" i="1"/>
  <c r="AE90" i="1"/>
  <c r="V281" i="1"/>
  <c r="AE281" i="1"/>
  <c r="V394" i="1"/>
  <c r="AE394" i="1"/>
  <c r="AL394" i="1"/>
  <c r="AM394" i="1"/>
  <c r="V314" i="1"/>
  <c r="AE314" i="1"/>
  <c r="V124" i="1"/>
  <c r="AE124" i="1"/>
  <c r="V362" i="1"/>
  <c r="AE362" i="1"/>
  <c r="C39" i="1"/>
  <c r="V386" i="1"/>
  <c r="AE386" i="1"/>
  <c r="V259" i="1"/>
  <c r="AE259" i="1"/>
  <c r="V299" i="1"/>
  <c r="AE299" i="1"/>
  <c r="V93" i="1"/>
  <c r="AE93" i="1"/>
  <c r="V495" i="1"/>
  <c r="AE495" i="1"/>
  <c r="V388" i="1"/>
  <c r="AE388" i="1"/>
  <c r="V234" i="1"/>
  <c r="AE234" i="1"/>
  <c r="V97" i="1"/>
  <c r="AE97" i="1"/>
  <c r="V421" i="1"/>
  <c r="AE421" i="1"/>
  <c r="V441" i="1"/>
  <c r="AE441" i="1"/>
  <c r="V135" i="1"/>
  <c r="AE135" i="1"/>
  <c r="V454" i="1"/>
  <c r="AE454" i="1"/>
  <c r="AL160" i="1"/>
  <c r="AM160" i="1"/>
  <c r="AL359" i="1"/>
  <c r="AM359" i="1"/>
  <c r="AL447" i="1"/>
  <c r="AM447" i="1"/>
  <c r="AL196" i="1"/>
  <c r="AM196" i="1"/>
  <c r="AL121" i="1"/>
  <c r="AM121" i="1"/>
  <c r="AL379" i="1"/>
  <c r="AM379" i="1"/>
  <c r="AL430" i="1"/>
  <c r="AM430" i="1"/>
  <c r="AL98" i="1"/>
  <c r="AM98" i="1"/>
  <c r="AL305" i="1"/>
  <c r="AM305" i="1"/>
  <c r="AL126" i="1"/>
  <c r="AM126" i="1"/>
  <c r="AL298" i="1"/>
  <c r="AM298" i="1"/>
  <c r="AL376" i="1"/>
  <c r="AM376" i="1"/>
  <c r="AF65" i="1"/>
  <c r="H30" i="1"/>
  <c r="AL92" i="1"/>
  <c r="AM92" i="1"/>
  <c r="AL386" i="1"/>
  <c r="AM386" i="1"/>
  <c r="AL114" i="1"/>
  <c r="AM114" i="1"/>
  <c r="AF63" i="1"/>
  <c r="H28" i="1"/>
  <c r="AL414" i="1"/>
  <c r="AM414" i="1"/>
  <c r="AL443" i="1"/>
  <c r="AM443" i="1"/>
  <c r="AL365" i="1"/>
  <c r="AM365" i="1"/>
  <c r="AL264" i="1"/>
  <c r="AM264" i="1"/>
  <c r="AL405" i="1"/>
  <c r="AM405" i="1"/>
  <c r="AL164" i="1"/>
  <c r="AM164" i="1"/>
  <c r="AL265" i="1"/>
  <c r="AM265" i="1"/>
  <c r="AL145" i="1"/>
  <c r="AM145" i="1"/>
  <c r="AL417" i="1"/>
  <c r="AM417" i="1"/>
  <c r="AL334" i="1"/>
  <c r="AM334" i="1"/>
  <c r="AL526" i="1"/>
  <c r="AM526" i="1"/>
  <c r="AL162" i="1"/>
  <c r="AM162" i="1"/>
  <c r="AL165" i="1"/>
  <c r="AM165" i="1"/>
  <c r="AL307" i="1"/>
  <c r="AM307" i="1"/>
  <c r="AL120" i="1"/>
  <c r="AM120" i="1"/>
  <c r="AL150" i="1"/>
  <c r="AM150" i="1"/>
  <c r="AL235" i="1"/>
  <c r="AM235" i="1"/>
  <c r="AL232" i="1"/>
  <c r="AM232" i="1"/>
  <c r="AL251" i="1"/>
  <c r="AM251" i="1"/>
  <c r="AL240" i="1"/>
  <c r="AM240" i="1"/>
  <c r="AF64" i="1"/>
  <c r="H29" i="1"/>
  <c r="AL399" i="1"/>
  <c r="AM399" i="1"/>
  <c r="AL136" i="1"/>
  <c r="AM136" i="1"/>
  <c r="AL260" i="1"/>
  <c r="AM260" i="1"/>
  <c r="AL325" i="1"/>
  <c r="AM325" i="1"/>
  <c r="AL190" i="1"/>
  <c r="AM190" i="1"/>
  <c r="AL475" i="1"/>
  <c r="AM475" i="1"/>
  <c r="AL229" i="1"/>
  <c r="AM229" i="1"/>
  <c r="AL373" i="1"/>
  <c r="AM373" i="1"/>
  <c r="AL279" i="1"/>
  <c r="AM279" i="1"/>
  <c r="AL179" i="1"/>
  <c r="AM179" i="1"/>
  <c r="AL402" i="1"/>
  <c r="AM402" i="1"/>
  <c r="AL231" i="1"/>
  <c r="AM231" i="1"/>
  <c r="AL398" i="1"/>
  <c r="AM398" i="1"/>
  <c r="AL338" i="1"/>
  <c r="AM338" i="1"/>
  <c r="AL206" i="1"/>
  <c r="AM206" i="1"/>
  <c r="AL468" i="1"/>
  <c r="AM468" i="1"/>
  <c r="AL431" i="1"/>
  <c r="AM431" i="1"/>
  <c r="AL239" i="1"/>
  <c r="AM239" i="1"/>
  <c r="AL469" i="1"/>
  <c r="AM469" i="1"/>
  <c r="AL511" i="1"/>
  <c r="AM511" i="1"/>
  <c r="AL459" i="1"/>
  <c r="AM459" i="1"/>
  <c r="AL470" i="1"/>
  <c r="AM470" i="1"/>
  <c r="AL198" i="1"/>
  <c r="AM198" i="1"/>
  <c r="AL280" i="1"/>
  <c r="AM280" i="1"/>
  <c r="AL509" i="1"/>
  <c r="AM509" i="1"/>
  <c r="AL463" i="1"/>
  <c r="AM463" i="1"/>
  <c r="AL86" i="1"/>
  <c r="AM86" i="1"/>
  <c r="AL187" i="1"/>
  <c r="AM187" i="1"/>
  <c r="AL261" i="1"/>
  <c r="AM261" i="1"/>
  <c r="AL170" i="1"/>
  <c r="AM170" i="1"/>
  <c r="AL149" i="1"/>
  <c r="AM149" i="1"/>
  <c r="AL323" i="1"/>
  <c r="AM323" i="1"/>
  <c r="AL106" i="1"/>
  <c r="AM106" i="1"/>
  <c r="AL529" i="1"/>
  <c r="AM529" i="1"/>
  <c r="AL451" i="1"/>
  <c r="AM451" i="1"/>
  <c r="AL462" i="1"/>
  <c r="AM462" i="1"/>
  <c r="AL486" i="1"/>
  <c r="AM486" i="1"/>
  <c r="AL466" i="1"/>
  <c r="AM466" i="1"/>
  <c r="AL303" i="1"/>
  <c r="AM303" i="1"/>
  <c r="AL517" i="1"/>
  <c r="AM517" i="1"/>
  <c r="AL453" i="1"/>
  <c r="AM453" i="1"/>
  <c r="D61" i="1"/>
  <c r="AE316" i="1"/>
  <c r="AE63" i="1"/>
  <c r="G28" i="1"/>
  <c r="G59" i="1"/>
  <c r="AE65" i="1"/>
  <c r="G30" i="1"/>
  <c r="AL314" i="1"/>
  <c r="AM314" i="1"/>
  <c r="AL276" i="1"/>
  <c r="AM276" i="1"/>
  <c r="AE64" i="1"/>
  <c r="G29" i="1"/>
  <c r="AL301" i="1"/>
  <c r="AM301" i="1"/>
  <c r="AL282" i="1"/>
  <c r="AM282" i="1"/>
  <c r="AL354" i="1"/>
  <c r="AM354" i="1"/>
  <c r="AL252" i="1"/>
  <c r="AM252" i="1"/>
  <c r="AL352" i="1"/>
  <c r="AM352" i="1"/>
  <c r="AL89" i="1"/>
  <c r="AM89" i="1"/>
  <c r="AL188" i="1"/>
  <c r="AM188" i="1"/>
  <c r="AL495" i="1"/>
  <c r="AM495" i="1"/>
  <c r="AL220" i="1"/>
  <c r="AM220" i="1"/>
  <c r="AL382" i="1"/>
  <c r="AM382" i="1"/>
  <c r="AL91" i="1"/>
  <c r="AM91" i="1"/>
  <c r="AL363" i="1"/>
  <c r="AM363" i="1"/>
  <c r="AL219" i="1"/>
  <c r="AM219" i="1"/>
  <c r="AL494" i="1"/>
  <c r="AM494" i="1"/>
  <c r="AL488" i="1"/>
  <c r="AM488" i="1"/>
  <c r="AL527" i="1"/>
  <c r="AM527" i="1"/>
  <c r="AL287" i="1"/>
  <c r="AM287" i="1"/>
  <c r="AL297" i="1"/>
  <c r="AM297" i="1"/>
  <c r="AL248" i="1"/>
  <c r="AM248" i="1"/>
  <c r="AL416" i="1"/>
  <c r="AM416" i="1"/>
  <c r="AL125" i="1"/>
  <c r="AM125" i="1"/>
  <c r="AL180" i="1"/>
  <c r="AM180" i="1"/>
  <c r="AL110" i="1"/>
  <c r="AM110" i="1"/>
  <c r="AL250" i="1"/>
  <c r="AM250" i="1"/>
  <c r="AL148" i="1"/>
  <c r="AM148" i="1"/>
  <c r="AL197" i="1"/>
  <c r="AM197" i="1"/>
  <c r="AL530" i="1"/>
  <c r="AM530" i="1"/>
  <c r="AL497" i="1"/>
  <c r="AM497" i="1"/>
  <c r="AL173" i="1"/>
  <c r="AM173" i="1"/>
  <c r="AL177" i="1"/>
  <c r="AM177" i="1"/>
  <c r="AL241" i="1"/>
  <c r="AM241" i="1"/>
  <c r="AL440" i="1"/>
  <c r="AM440" i="1"/>
  <c r="AL474" i="1"/>
  <c r="AM474" i="1"/>
  <c r="AL132" i="1"/>
  <c r="AM132" i="1"/>
  <c r="AL151" i="1"/>
  <c r="AM151" i="1"/>
  <c r="AL256" i="1"/>
  <c r="AM256" i="1"/>
  <c r="AL510" i="1"/>
  <c r="AM510" i="1"/>
  <c r="AL522" i="1"/>
  <c r="AM522" i="1"/>
  <c r="AL371" i="1"/>
  <c r="AM371" i="1"/>
  <c r="AL512" i="1"/>
  <c r="AM512" i="1"/>
  <c r="AL445" i="1"/>
  <c r="AM445" i="1"/>
  <c r="AL96" i="1"/>
  <c r="AM96" i="1"/>
  <c r="AL216" i="1"/>
  <c r="AM216" i="1"/>
  <c r="AL154" i="1"/>
  <c r="AM154" i="1"/>
  <c r="AL432" i="1"/>
  <c r="AM432" i="1"/>
  <c r="AL109" i="1"/>
  <c r="AM109" i="1"/>
  <c r="AL117" i="1"/>
  <c r="AM117" i="1"/>
  <c r="AL418" i="1"/>
  <c r="AM418" i="1"/>
  <c r="AL489" i="1"/>
  <c r="AM489" i="1"/>
  <c r="AL332" i="1"/>
  <c r="AM332" i="1"/>
  <c r="AL291" i="1"/>
  <c r="AM291" i="1"/>
  <c r="AL395" i="1"/>
  <c r="AM395" i="1"/>
  <c r="AL422" i="1"/>
  <c r="AM422" i="1"/>
  <c r="AL348" i="1"/>
  <c r="AM348" i="1"/>
  <c r="AL428" i="1"/>
  <c r="AM428" i="1"/>
  <c r="AL163" i="1"/>
  <c r="AM163" i="1"/>
  <c r="AL482" i="1"/>
  <c r="AM482" i="1"/>
  <c r="AL259" i="1"/>
  <c r="AM259" i="1"/>
  <c r="AL333" i="1"/>
  <c r="AM333" i="1"/>
  <c r="AL450" i="1"/>
  <c r="AM450" i="1"/>
  <c r="AL392" i="1"/>
  <c r="AM392" i="1"/>
  <c r="AL269" i="1"/>
  <c r="AM269" i="1"/>
  <c r="AL237" i="1"/>
  <c r="AM237" i="1"/>
  <c r="AL147" i="1"/>
  <c r="AM147" i="1"/>
  <c r="AL330" i="1"/>
  <c r="AM330" i="1"/>
  <c r="AL161" i="1"/>
  <c r="AM161" i="1"/>
  <c r="AL87" i="1"/>
  <c r="AM87" i="1"/>
  <c r="AL446" i="1"/>
  <c r="AM446" i="1"/>
  <c r="AL528" i="1"/>
  <c r="AM528" i="1"/>
  <c r="AL507" i="1"/>
  <c r="AM507" i="1"/>
  <c r="AL288" i="1"/>
  <c r="AM288" i="1"/>
  <c r="AL309" i="1"/>
  <c r="AM309" i="1"/>
  <c r="AL356" i="1"/>
  <c r="AM356" i="1"/>
  <c r="AL131" i="1"/>
  <c r="AM131" i="1"/>
  <c r="AL168" i="1"/>
  <c r="AM168" i="1"/>
  <c r="AL327" i="1"/>
  <c r="AM327" i="1"/>
  <c r="AL499" i="1"/>
  <c r="AM499" i="1"/>
  <c r="AL473" i="1"/>
  <c r="AM473" i="1"/>
  <c r="AL115" i="1"/>
  <c r="AM115" i="1"/>
  <c r="AL516" i="1"/>
  <c r="AM516" i="1"/>
  <c r="AL85" i="1"/>
  <c r="AM85" i="1"/>
  <c r="AL263" i="1"/>
  <c r="AM263" i="1"/>
  <c r="AL295" i="1"/>
  <c r="AM295" i="1"/>
  <c r="AL244" i="1"/>
  <c r="AM244" i="1"/>
  <c r="AL391" i="1"/>
  <c r="AM391" i="1"/>
  <c r="AL409" i="1"/>
  <c r="AM409" i="1"/>
  <c r="AL374" i="1"/>
  <c r="AM374" i="1"/>
  <c r="AL257" i="1"/>
  <c r="AM257" i="1"/>
  <c r="AL308" i="1"/>
  <c r="AM308" i="1"/>
  <c r="AL377" i="1"/>
  <c r="AM377" i="1"/>
  <c r="AL461" i="1"/>
  <c r="AM461" i="1"/>
  <c r="AL504" i="1"/>
  <c r="AM504" i="1"/>
  <c r="AL411" i="1"/>
  <c r="AM411" i="1"/>
  <c r="AL176" i="1"/>
  <c r="AM176" i="1"/>
  <c r="AL441" i="1"/>
  <c r="AM441" i="1"/>
  <c r="AL134" i="1"/>
  <c r="AM134" i="1"/>
  <c r="AL130" i="1"/>
  <c r="AM130" i="1"/>
  <c r="AL448" i="1"/>
  <c r="AM448" i="1"/>
  <c r="E31" i="1"/>
  <c r="AL385" i="1"/>
  <c r="AM385" i="1"/>
  <c r="AL370" i="1"/>
  <c r="AM370" i="1"/>
  <c r="AL366" i="1"/>
  <c r="AM366" i="1"/>
  <c r="AL210" i="1"/>
  <c r="AM210" i="1"/>
  <c r="AC316" i="1"/>
  <c r="AL316" i="1"/>
  <c r="AM316" i="1"/>
  <c r="E59" i="1"/>
  <c r="D59" i="1"/>
  <c r="AL520" i="1"/>
  <c r="AM520" i="1"/>
  <c r="AL286" i="1"/>
  <c r="AM286" i="1"/>
  <c r="AL427" i="1"/>
  <c r="AM427" i="1"/>
  <c r="AL503" i="1"/>
  <c r="AM503" i="1"/>
  <c r="AL97" i="1"/>
  <c r="AM97" i="1"/>
  <c r="AK65" i="1"/>
  <c r="M30" i="1"/>
  <c r="AK63" i="1"/>
  <c r="M28" i="1"/>
  <c r="AK64" i="1"/>
  <c r="AL403" i="1"/>
  <c r="AM403" i="1"/>
  <c r="AL300" i="1"/>
  <c r="AM300" i="1"/>
  <c r="AL258" i="1"/>
  <c r="AM258" i="1"/>
  <c r="AL225" i="1"/>
  <c r="AM225" i="1"/>
  <c r="AL458" i="1"/>
  <c r="AM458" i="1"/>
  <c r="AL104" i="1"/>
  <c r="AM104" i="1"/>
  <c r="AL82" i="1"/>
  <c r="AM82" i="1"/>
  <c r="AL421" i="1"/>
  <c r="AM421" i="1"/>
  <c r="AL158" i="1"/>
  <c r="AM158" i="1"/>
  <c r="AL212" i="1"/>
  <c r="AM212" i="1"/>
  <c r="AL500" i="1"/>
  <c r="AM500" i="1"/>
  <c r="AL351" i="1"/>
  <c r="AM351" i="1"/>
  <c r="AL479" i="1"/>
  <c r="AM479" i="1"/>
  <c r="AL413" i="1"/>
  <c r="AM413" i="1"/>
  <c r="AL360" i="1"/>
  <c r="AM360" i="1"/>
  <c r="AL521" i="1"/>
  <c r="AM521" i="1"/>
  <c r="AL140" i="1"/>
  <c r="AM140" i="1"/>
  <c r="AL243" i="1"/>
  <c r="AM243" i="1"/>
  <c r="AL471" i="1"/>
  <c r="AM471" i="1"/>
  <c r="AL397" i="1"/>
  <c r="AM397" i="1"/>
  <c r="AL128" i="1"/>
  <c r="AM128" i="1"/>
  <c r="AL159" i="1"/>
  <c r="AM159" i="1"/>
  <c r="AL181" i="1"/>
  <c r="AM181" i="1"/>
  <c r="AL484" i="1"/>
  <c r="AM484" i="1"/>
  <c r="AL234" i="1"/>
  <c r="AM234" i="1"/>
  <c r="AL93" i="1"/>
  <c r="AM93" i="1"/>
  <c r="AL384" i="1"/>
  <c r="AM384" i="1"/>
  <c r="AL444" i="1"/>
  <c r="AM444" i="1"/>
  <c r="AL364" i="1"/>
  <c r="AM364" i="1"/>
  <c r="AL437" i="1"/>
  <c r="AM437" i="1"/>
  <c r="AL357" i="1"/>
  <c r="AM357" i="1"/>
  <c r="AL321" i="1"/>
  <c r="AM321" i="1"/>
  <c r="AL465" i="1"/>
  <c r="AM465" i="1"/>
  <c r="AL487" i="1"/>
  <c r="AM487" i="1"/>
  <c r="AL103" i="1"/>
  <c r="AM103" i="1"/>
  <c r="AL203" i="1"/>
  <c r="AM203" i="1"/>
  <c r="AL152" i="1"/>
  <c r="AM152" i="1"/>
  <c r="AL493" i="1"/>
  <c r="AM493" i="1"/>
  <c r="AL496" i="1"/>
  <c r="AM496" i="1"/>
  <c r="AL478" i="1"/>
  <c r="AM478" i="1"/>
  <c r="AL317" i="1"/>
  <c r="AM317" i="1"/>
  <c r="AL375" i="1"/>
  <c r="AM375" i="1"/>
  <c r="AL153" i="1"/>
  <c r="AM153" i="1"/>
  <c r="AL135" i="1"/>
  <c r="AM135" i="1"/>
  <c r="AL339" i="1"/>
  <c r="AM339" i="1"/>
  <c r="AL88" i="1"/>
  <c r="AM88" i="1"/>
  <c r="AL410" i="1"/>
  <c r="AM410" i="1"/>
  <c r="AL189" i="1"/>
  <c r="AM189" i="1"/>
  <c r="AL99" i="1"/>
  <c r="AM99" i="1"/>
  <c r="AL425" i="1"/>
  <c r="AM425" i="1"/>
  <c r="AL249" i="1"/>
  <c r="AM249" i="1"/>
  <c r="AL490" i="1"/>
  <c r="AM490" i="1"/>
  <c r="AL328" i="1"/>
  <c r="AM328" i="1"/>
  <c r="AL246" i="1"/>
  <c r="AM246" i="1"/>
  <c r="AL299" i="1"/>
  <c r="AM299" i="1"/>
  <c r="AL270" i="1"/>
  <c r="AM270" i="1"/>
  <c r="AL449" i="1"/>
  <c r="AM449" i="1"/>
  <c r="AL480" i="1"/>
  <c r="AM480" i="1"/>
  <c r="AL380" i="1"/>
  <c r="AM380" i="1"/>
  <c r="AC64" i="1"/>
  <c r="E29" i="1"/>
  <c r="AL381" i="1"/>
  <c r="AM381" i="1"/>
  <c r="AL324" i="1"/>
  <c r="AM324" i="1"/>
  <c r="AL442" i="1"/>
  <c r="AM442" i="1"/>
  <c r="AL139" i="1"/>
  <c r="AM139" i="1"/>
  <c r="AL215" i="1"/>
  <c r="AM215" i="1"/>
  <c r="AL464" i="1"/>
  <c r="AM464" i="1"/>
  <c r="AL350" i="1"/>
  <c r="AM350" i="1"/>
  <c r="AL523" i="1"/>
  <c r="AM523" i="1"/>
  <c r="AL329" i="1"/>
  <c r="AM329" i="1"/>
  <c r="AL388" i="1"/>
  <c r="AM388" i="1"/>
  <c r="AL436" i="1"/>
  <c r="AM436" i="1"/>
  <c r="AL335" i="1"/>
  <c r="AM335" i="1"/>
  <c r="AL80" i="1"/>
  <c r="AL141" i="1"/>
  <c r="AM141" i="1"/>
  <c r="AL214" i="1"/>
  <c r="AM214" i="1"/>
  <c r="AL456" i="1"/>
  <c r="AM456" i="1"/>
  <c r="AL420" i="1"/>
  <c r="AM420" i="1"/>
  <c r="AL322" i="1"/>
  <c r="AM322" i="1"/>
  <c r="AL311" i="1"/>
  <c r="AM311" i="1"/>
  <c r="AL401" i="1"/>
  <c r="AM401" i="1"/>
  <c r="J28" i="1"/>
  <c r="I28" i="1"/>
  <c r="AL105" i="1"/>
  <c r="AM105" i="1"/>
  <c r="AL452" i="1"/>
  <c r="AM452" i="1"/>
  <c r="AL294" i="1"/>
  <c r="AM294" i="1"/>
  <c r="AL271" i="1"/>
  <c r="AM271" i="1"/>
  <c r="AL124" i="1"/>
  <c r="AM124" i="1"/>
  <c r="AL406" i="1"/>
  <c r="AM406" i="1"/>
  <c r="AL358" i="1"/>
  <c r="AM358" i="1"/>
  <c r="AL342" i="1"/>
  <c r="AM342" i="1"/>
  <c r="AL247" i="1"/>
  <c r="AM247" i="1"/>
  <c r="AL191" i="1"/>
  <c r="AM191" i="1"/>
  <c r="AL245" i="1"/>
  <c r="AM245" i="1"/>
  <c r="AL207" i="1"/>
  <c r="AM207" i="1"/>
  <c r="AL172" i="1"/>
  <c r="AM172" i="1"/>
  <c r="AL362" i="1"/>
  <c r="AM362" i="1"/>
  <c r="AL423" i="1"/>
  <c r="AM423" i="1"/>
  <c r="AL514" i="1"/>
  <c r="AM514" i="1"/>
  <c r="AL319" i="1"/>
  <c r="AM319" i="1"/>
  <c r="AD64" i="1"/>
  <c r="F29" i="1"/>
  <c r="AD63" i="1"/>
  <c r="F28" i="1"/>
  <c r="AD65" i="1"/>
  <c r="F30" i="1"/>
  <c r="AL267" i="1"/>
  <c r="AM267" i="1"/>
  <c r="AL290" i="1"/>
  <c r="AM290" i="1"/>
  <c r="AL274" i="1"/>
  <c r="AM274" i="1"/>
  <c r="AL387" i="1"/>
  <c r="AM387" i="1"/>
  <c r="AL483" i="1"/>
  <c r="AM483" i="1"/>
  <c r="AL313" i="1"/>
  <c r="AM313" i="1"/>
  <c r="AN207" i="1"/>
  <c r="AN208" i="1"/>
  <c r="D29" i="1"/>
  <c r="AM80" i="1"/>
  <c r="AL67" i="1"/>
  <c r="D31" i="1"/>
  <c r="C31" i="1"/>
  <c r="AL64" i="1"/>
  <c r="C29" i="1"/>
  <c r="AL63" i="1"/>
  <c r="C28" i="1"/>
  <c r="AL65" i="1"/>
  <c r="C30" i="1"/>
  <c r="AC65" i="1"/>
  <c r="E30" i="1"/>
  <c r="D30" i="1"/>
  <c r="AC63" i="1"/>
  <c r="E28" i="1"/>
  <c r="D28" i="1"/>
  <c r="D27" i="1"/>
  <c r="G86" i="1"/>
  <c r="G91" i="1"/>
  <c r="G96" i="1"/>
  <c r="G92" i="1"/>
  <c r="G94" i="1"/>
  <c r="G93" i="1"/>
  <c r="AO15" i="1"/>
  <c r="G84" i="1"/>
  <c r="G95" i="1"/>
  <c r="G87" i="1"/>
  <c r="G85" i="1"/>
  <c r="G89" i="1"/>
  <c r="G88" i="1"/>
  <c r="E87" i="1"/>
  <c r="E91" i="1"/>
  <c r="E96" i="1"/>
  <c r="E86" i="1"/>
  <c r="E94" i="1"/>
  <c r="E93" i="1"/>
  <c r="E85" i="1"/>
  <c r="E88" i="1"/>
  <c r="E89" i="1"/>
  <c r="E92" i="1"/>
  <c r="E95" i="1"/>
  <c r="E84" i="1"/>
  <c r="E90" i="1"/>
  <c r="C44" i="1"/>
  <c r="C32" i="1"/>
  <c r="AP15" i="1"/>
  <c r="C47" i="1"/>
  <c r="AR15" i="1"/>
  <c r="F87" i="1"/>
  <c r="F89" i="1"/>
  <c r="F85" i="1"/>
  <c r="F95" i="1"/>
  <c r="F88" i="1"/>
  <c r="F92" i="1"/>
  <c r="F93" i="1"/>
  <c r="F84" i="1"/>
  <c r="F90" i="1"/>
  <c r="C45" i="1"/>
  <c r="F86" i="1"/>
  <c r="F94" i="1"/>
  <c r="F91" i="1"/>
  <c r="F96" i="1"/>
  <c r="AQ15" i="1"/>
  <c r="C37" i="1"/>
  <c r="E46" i="1"/>
  <c r="G90" i="1"/>
  <c r="C46" i="1"/>
  <c r="R388" i="1"/>
  <c r="R215" i="1"/>
  <c r="R164" i="1"/>
  <c r="R274" i="1"/>
  <c r="R458" i="1"/>
  <c r="R517" i="1"/>
  <c r="R132" i="1"/>
  <c r="R194" i="1"/>
  <c r="R327" i="1"/>
  <c r="R159" i="1"/>
  <c r="R409" i="1"/>
  <c r="R200" i="1"/>
  <c r="R87" i="1"/>
  <c r="R174" i="1"/>
  <c r="R344" i="1"/>
  <c r="R240" i="1"/>
  <c r="R311" i="1"/>
  <c r="R335" i="1"/>
  <c r="R245" i="1"/>
  <c r="R206" i="1"/>
  <c r="R189" i="1"/>
  <c r="R137" i="1"/>
  <c r="R514" i="1"/>
  <c r="R146" i="1"/>
  <c r="R211" i="1"/>
  <c r="R481" i="1"/>
  <c r="R85" i="1"/>
  <c r="R221" i="1"/>
  <c r="R292" i="1"/>
  <c r="R418" i="1"/>
  <c r="R193" i="1"/>
  <c r="R401" i="1"/>
  <c r="R495" i="1"/>
  <c r="R426" i="1"/>
  <c r="R376" i="1"/>
  <c r="R135" i="1"/>
  <c r="R359" i="1"/>
  <c r="R82" i="1"/>
  <c r="R101" i="1"/>
  <c r="R255" i="1"/>
  <c r="R439" i="1"/>
  <c r="R343" i="1"/>
  <c r="R410" i="1"/>
  <c r="R96" i="1"/>
  <c r="R425" i="1"/>
  <c r="R230" i="1"/>
  <c r="R171" i="1"/>
  <c r="R141" i="1"/>
  <c r="R470" i="1"/>
  <c r="R217" i="1"/>
  <c r="R435" i="1"/>
  <c r="R398" i="1"/>
  <c r="R114" i="1"/>
  <c r="R89" i="1"/>
  <c r="R254" i="1"/>
  <c r="R243" i="1"/>
  <c r="R175" i="1"/>
  <c r="R228" i="1"/>
  <c r="R304" i="1"/>
  <c r="R456" i="1"/>
  <c r="R482" i="1"/>
  <c r="R450" i="1"/>
  <c r="R455" i="1"/>
  <c r="R348" i="1"/>
  <c r="R236" i="1"/>
  <c r="R258" i="1"/>
  <c r="R262" i="1"/>
  <c r="R325" i="1"/>
  <c r="R465" i="1"/>
  <c r="R244" i="1"/>
  <c r="R110" i="1"/>
  <c r="R340" i="1"/>
  <c r="R319" i="1"/>
  <c r="R218" i="1"/>
  <c r="R523" i="1"/>
  <c r="R216" i="1"/>
  <c r="R226" i="1"/>
  <c r="R445" i="1"/>
  <c r="R266" i="1"/>
  <c r="R486" i="1"/>
  <c r="R460" i="1"/>
  <c r="R419" i="1"/>
  <c r="R349" i="1"/>
  <c r="R408" i="1"/>
  <c r="R263" i="1"/>
  <c r="R316" i="1"/>
  <c r="R331" i="1"/>
  <c r="R443" i="1"/>
  <c r="R185" i="1"/>
  <c r="R428" i="1"/>
  <c r="R469" i="1"/>
  <c r="R356" i="1"/>
  <c r="R394" i="1"/>
  <c r="R528" i="1"/>
  <c r="R232" i="1"/>
  <c r="R505" i="1"/>
  <c r="R454" i="1"/>
  <c r="R157" i="1"/>
  <c r="R351" i="1"/>
  <c r="R131" i="1"/>
  <c r="R277" i="1"/>
  <c r="R239" i="1"/>
  <c r="R364" i="1"/>
  <c r="R363" i="1"/>
  <c r="R138" i="1"/>
  <c r="R134" i="1"/>
  <c r="R234" i="1"/>
  <c r="R264" i="1"/>
  <c r="R125" i="1" l="1"/>
  <c r="R79" i="1"/>
  <c r="R367" i="1"/>
  <c r="R124" i="1"/>
  <c r="R374" i="1"/>
  <c r="R209" i="1"/>
  <c r="R329" i="1"/>
  <c r="R381" i="1"/>
  <c r="R247" i="1"/>
  <c r="R208" i="1"/>
  <c r="R162" i="1"/>
  <c r="R115" i="1"/>
  <c r="R417" i="1"/>
  <c r="R383" i="1"/>
  <c r="R475" i="1"/>
  <c r="R273" i="1"/>
  <c r="R95" i="1"/>
  <c r="R366" i="1"/>
  <c r="R298" i="1"/>
  <c r="R375" i="1"/>
  <c r="R86" i="1"/>
  <c r="R207" i="1"/>
  <c r="R155" i="1"/>
  <c r="R212" i="1"/>
  <c r="R357" i="1"/>
  <c r="R269" i="1"/>
  <c r="R424" i="1"/>
  <c r="R179" i="1"/>
  <c r="R499" i="1"/>
  <c r="R312" i="1"/>
  <c r="R437" i="1"/>
  <c r="R387" i="1"/>
  <c r="R395" i="1"/>
  <c r="R210" i="1"/>
  <c r="R407" i="1"/>
  <c r="R275" i="1"/>
  <c r="R502" i="1"/>
  <c r="R222" i="1"/>
  <c r="R199" i="1"/>
  <c r="R362" i="1"/>
  <c r="R299" i="1"/>
  <c r="R231" i="1"/>
  <c r="R414" i="1"/>
  <c r="R309" i="1"/>
  <c r="R149" i="1"/>
  <c r="R94" i="1"/>
  <c r="R411" i="1"/>
  <c r="R158" i="1"/>
  <c r="R220" i="1"/>
  <c r="R291" i="1"/>
  <c r="R123" i="1"/>
  <c r="R118" i="1"/>
  <c r="R326" i="1"/>
  <c r="R130" i="1"/>
  <c r="R476" i="1"/>
  <c r="R339" i="1"/>
  <c r="R107" i="1"/>
  <c r="R143" i="1"/>
  <c r="R472" i="1"/>
  <c r="R497" i="1"/>
  <c r="R223" i="1"/>
  <c r="R440" i="1"/>
  <c r="R519" i="1"/>
  <c r="R259" i="1"/>
  <c r="R178" i="1"/>
  <c r="R503" i="1"/>
  <c r="R112" i="1"/>
  <c r="R474" i="1"/>
  <c r="R393" i="1"/>
  <c r="R496" i="1"/>
  <c r="R322" i="1"/>
  <c r="R423" i="1"/>
  <c r="R358" i="1"/>
  <c r="R288" i="1"/>
  <c r="R360" i="1"/>
  <c r="R83" i="1"/>
  <c r="R464" i="1"/>
  <c r="R295" i="1"/>
  <c r="R355" i="1"/>
  <c r="R441" i="1"/>
  <c r="R190" i="1"/>
  <c r="R427" i="1"/>
  <c r="R78" i="1"/>
  <c r="R529" i="1"/>
  <c r="R305" i="1"/>
  <c r="R377" i="1"/>
  <c r="R379" i="1"/>
  <c r="R290" i="1"/>
  <c r="R246" i="1"/>
  <c r="R354" i="1"/>
  <c r="R328" i="1"/>
  <c r="R378" i="1"/>
  <c r="R281" i="1"/>
  <c r="R347" i="1"/>
  <c r="R76" i="1"/>
  <c r="D52" i="1" s="1"/>
  <c r="R252" i="1"/>
  <c r="R213" i="1"/>
  <c r="R238" i="1"/>
  <c r="R308" i="1"/>
  <c r="R296" i="1"/>
  <c r="R399" i="1"/>
  <c r="R483" i="1"/>
  <c r="R108" i="1"/>
  <c r="R126" i="1"/>
  <c r="R373" i="1"/>
  <c r="R510" i="1"/>
  <c r="R504" i="1"/>
  <c r="R422" i="1"/>
  <c r="R493" i="1"/>
  <c r="R429" i="1"/>
  <c r="R368" i="1"/>
  <c r="R301" i="1"/>
  <c r="R479" i="1"/>
  <c r="R88" i="1"/>
  <c r="R111" i="1"/>
  <c r="R342" i="1"/>
  <c r="R156" i="1"/>
  <c r="R522" i="1"/>
  <c r="R487" i="1"/>
  <c r="R103" i="1"/>
  <c r="R492" i="1"/>
  <c r="R345" i="1"/>
  <c r="R270" i="1"/>
  <c r="R90" i="1"/>
  <c r="R251" i="1"/>
  <c r="R382" i="1"/>
  <c r="R457" i="1"/>
  <c r="R198" i="1"/>
  <c r="R346" i="1"/>
  <c r="R527" i="1"/>
  <c r="R105" i="1"/>
  <c r="R187" i="1"/>
  <c r="R406" i="1"/>
  <c r="R446" i="1"/>
  <c r="R93" i="1"/>
  <c r="R471" i="1"/>
  <c r="R405" i="1"/>
  <c r="R459" i="1"/>
  <c r="R181" i="1"/>
  <c r="R307" i="1"/>
  <c r="R490" i="1"/>
  <c r="R300" i="1"/>
  <c r="R404" i="1"/>
  <c r="R144" i="1"/>
  <c r="R473" i="1"/>
  <c r="R390" i="1"/>
  <c r="R370" i="1"/>
  <c r="R289" i="1"/>
  <c r="R140" i="1"/>
  <c r="R84" i="1"/>
  <c r="R453" i="1"/>
  <c r="R176" i="1"/>
  <c r="R369" i="1"/>
  <c r="R384" i="1"/>
  <c r="R250" i="1"/>
  <c r="R330" i="1"/>
  <c r="R403" i="1"/>
  <c r="R121" i="1"/>
  <c r="R145" i="1"/>
  <c r="R197" i="1"/>
  <c r="R315" i="1"/>
  <c r="R444" i="1"/>
  <c r="R412" i="1"/>
  <c r="R268" i="1"/>
  <c r="R506" i="1"/>
  <c r="R313" i="1"/>
  <c r="R306" i="1"/>
  <c r="R284" i="1"/>
  <c r="R106" i="1"/>
  <c r="R203" i="1"/>
  <c r="R449" i="1"/>
  <c r="R167" i="1"/>
  <c r="R488" i="1"/>
  <c r="R372" i="1"/>
  <c r="R500" i="1"/>
  <c r="R109" i="1"/>
  <c r="R224" i="1"/>
  <c r="R169" i="1"/>
  <c r="R336" i="1"/>
  <c r="R396" i="1"/>
  <c r="R173" i="1"/>
  <c r="R461" i="1"/>
  <c r="R314" i="1"/>
  <c r="R242" i="1"/>
  <c r="R365" i="1"/>
  <c r="R261" i="1"/>
  <c r="R513" i="1"/>
  <c r="R180" i="1"/>
  <c r="R282" i="1"/>
  <c r="R271" i="1"/>
  <c r="R297" i="1"/>
  <c r="R484" i="1"/>
  <c r="R293" i="1"/>
  <c r="R477" i="1"/>
  <c r="R432" i="1"/>
  <c r="R402" i="1"/>
  <c r="R117" i="1"/>
  <c r="R524" i="1"/>
  <c r="R170" i="1"/>
  <c r="R413" i="1"/>
  <c r="R321" i="1"/>
  <c r="R177" i="1"/>
  <c r="R518" i="1"/>
  <c r="R287" i="1"/>
  <c r="R97" i="1"/>
  <c r="R241" i="1"/>
  <c r="R77" i="1"/>
  <c r="R430" i="1"/>
  <c r="R160" i="1"/>
  <c r="R191" i="1"/>
  <c r="R227" i="1"/>
  <c r="R256" i="1"/>
  <c r="R516" i="1"/>
  <c r="R303" i="1"/>
  <c r="R391" i="1"/>
  <c r="R91" i="1"/>
  <c r="R139" i="1"/>
  <c r="R509" i="1"/>
  <c r="R188" i="1"/>
  <c r="R341" i="1"/>
  <c r="R438" i="1"/>
  <c r="R202" i="1"/>
  <c r="R431" i="1"/>
  <c r="R285" i="1"/>
  <c r="R249" i="1"/>
  <c r="R415" i="1"/>
  <c r="R182" i="1"/>
  <c r="R452" i="1"/>
  <c r="R397" i="1"/>
  <c r="R494" i="1"/>
  <c r="R416" i="1"/>
  <c r="R400" i="1"/>
  <c r="R152" i="1"/>
  <c r="R294" i="1"/>
  <c r="R272" i="1"/>
  <c r="R225" i="1"/>
  <c r="R119" i="1"/>
  <c r="R195" i="1"/>
  <c r="R120" i="1"/>
  <c r="R205" i="1"/>
  <c r="R260" i="1"/>
  <c r="R433" i="1"/>
  <c r="R525" i="1"/>
  <c r="R184" i="1"/>
  <c r="R507" i="1"/>
  <c r="R334" i="1"/>
  <c r="R166" i="1"/>
  <c r="R280" i="1"/>
  <c r="R320" i="1"/>
  <c r="R248" i="1"/>
  <c r="R332" i="1"/>
  <c r="R442" i="1"/>
  <c r="R530" i="1"/>
  <c r="R448" i="1"/>
  <c r="R323" i="1"/>
  <c r="R478" i="1"/>
  <c r="R80" i="1"/>
  <c r="R286" i="1"/>
  <c r="R462" i="1"/>
  <c r="R463" i="1"/>
  <c r="R257" i="1"/>
  <c r="R447" i="1"/>
  <c r="R480" i="1"/>
  <c r="R147" i="1"/>
  <c r="R521" i="1"/>
  <c r="R265" i="1"/>
  <c r="R129" i="1"/>
  <c r="R466" i="1"/>
  <c r="R436" i="1"/>
  <c r="R136" i="1"/>
  <c r="R350" i="1"/>
  <c r="R153" i="1"/>
  <c r="R318" i="1"/>
  <c r="R317" i="1"/>
  <c r="R324" i="1"/>
  <c r="R165" i="1"/>
  <c r="R154" i="1"/>
  <c r="R278" i="1"/>
  <c r="R172" i="1"/>
  <c r="R183" i="1"/>
  <c r="R237" i="1"/>
  <c r="R333" i="1"/>
  <c r="R219" i="1"/>
  <c r="R168" i="1"/>
  <c r="R337" i="1"/>
  <c r="R434" i="1"/>
  <c r="R201" i="1"/>
  <c r="R127" i="1"/>
  <c r="R380" i="1"/>
  <c r="R267" i="1"/>
  <c r="R467" i="1"/>
  <c r="R361" i="1"/>
  <c r="R371" i="1"/>
  <c r="R196" i="1"/>
  <c r="R128" i="1"/>
  <c r="R229" i="1"/>
  <c r="R283" i="1"/>
  <c r="R192" i="1"/>
  <c r="R338" i="1"/>
  <c r="R392" i="1"/>
  <c r="R150" i="1"/>
  <c r="R235" i="1"/>
  <c r="R186" i="1"/>
  <c r="R512" i="1"/>
  <c r="R489" i="1"/>
  <c r="R353" i="1"/>
  <c r="R501" i="1"/>
  <c r="R526" i="1"/>
  <c r="R310" i="1"/>
  <c r="R352" i="1"/>
  <c r="R421" i="1"/>
  <c r="R99" i="1"/>
  <c r="R163" i="1"/>
  <c r="R142" i="1"/>
  <c r="R385" i="1"/>
  <c r="R302" i="1"/>
  <c r="R515" i="1"/>
  <c r="R122" i="1"/>
  <c r="R276" i="1"/>
  <c r="R468" i="1"/>
  <c r="R92" i="1"/>
  <c r="R133" i="1"/>
  <c r="R204" i="1"/>
  <c r="R98" i="1"/>
  <c r="R148" i="1"/>
  <c r="R100" i="1"/>
  <c r="R520" i="1"/>
  <c r="R81" i="1"/>
  <c r="R451" i="1"/>
  <c r="R116" i="1"/>
  <c r="R151" i="1"/>
  <c r="R253" i="1"/>
  <c r="R491" i="1"/>
  <c r="R498" i="1"/>
  <c r="R233" i="1"/>
  <c r="R420" i="1"/>
  <c r="R104" i="1"/>
  <c r="R389" i="1"/>
  <c r="R508" i="1"/>
  <c r="R161" i="1"/>
  <c r="R279" i="1"/>
  <c r="R386" i="1"/>
  <c r="R113" i="1"/>
  <c r="R214" i="1"/>
  <c r="R102" i="1"/>
  <c r="R4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E. Lüpfert</author>
  </authors>
  <commentList>
    <comment ref="C52" authorId="0" shapeId="0" xr:uid="{E7131ED0-86D9-40FA-A528-388905A20247}">
      <text>
        <r>
          <rPr>
            <b/>
            <sz val="8"/>
            <color indexed="81"/>
            <rFont val="Tahoma"/>
            <family val="2"/>
          </rPr>
          <t>Choose correct reference spectrum</t>
        </r>
      </text>
    </comment>
  </commentList>
</comments>
</file>

<file path=xl/sharedStrings.xml><?xml version="1.0" encoding="utf-8"?>
<sst xmlns="http://schemas.openxmlformats.org/spreadsheetml/2006/main" count="504" uniqueCount="188">
  <si>
    <t>Transmittance of transparent materials</t>
  </si>
  <si>
    <t>report print area "Form1"</t>
  </si>
  <si>
    <t xml:space="preserve"> </t>
  </si>
  <si>
    <t>reference-spectra and solarspectra included</t>
  </si>
  <si>
    <t>Report:</t>
  </si>
  <si>
    <t>Sample</t>
  </si>
  <si>
    <t>intern comments</t>
  </si>
  <si>
    <t>overview</t>
  </si>
  <si>
    <t>Name Sample (Kd)</t>
  </si>
  <si>
    <t>Measurement information</t>
  </si>
  <si>
    <t>Name Sample (intern)</t>
  </si>
  <si>
    <t>Origin/Manufacturer</t>
  </si>
  <si>
    <t>Sample ID</t>
  </si>
  <si>
    <t>Meas date</t>
  </si>
  <si>
    <t>OPAC Code</t>
  </si>
  <si>
    <t>Sample name</t>
  </si>
  <si>
    <t>Reference</t>
  </si>
  <si>
    <t>Material Code</t>
  </si>
  <si>
    <t>Sample type</t>
  </si>
  <si>
    <t>Comment</t>
  </si>
  <si>
    <t>Project</t>
  </si>
  <si>
    <t>Manufacturer</t>
  </si>
  <si>
    <t>Operator</t>
  </si>
  <si>
    <t>Date of measurement</t>
  </si>
  <si>
    <t>ID measurement</t>
  </si>
  <si>
    <t>Results</t>
  </si>
  <si>
    <t>Check</t>
  </si>
  <si>
    <t>Solar norm</t>
  </si>
  <si>
    <r>
      <t>τ</t>
    </r>
    <r>
      <rPr>
        <b/>
        <vertAlign val="subscript"/>
        <sz val="10"/>
        <rFont val="Arial"/>
        <family val="2"/>
      </rPr>
      <t>h</t>
    </r>
    <r>
      <rPr>
        <sz val="10"/>
        <rFont val="Arial"/>
        <family val="2"/>
      </rPr>
      <t>(SW,8°,h)</t>
    </r>
  </si>
  <si>
    <t>Stdv</t>
  </si>
  <si>
    <r>
      <t>τ</t>
    </r>
    <r>
      <rPr>
        <b/>
        <vertAlign val="subscript"/>
        <sz val="10"/>
        <rFont val="Arial"/>
        <family val="2"/>
      </rPr>
      <t>h</t>
    </r>
    <r>
      <rPr>
        <sz val="10"/>
        <rFont val="Arial"/>
        <family val="2"/>
      </rPr>
      <t>(280-2500nm,8°,h)</t>
    </r>
  </si>
  <si>
    <t>Test/Site</t>
  </si>
  <si>
    <t>ASTM G173-03</t>
  </si>
  <si>
    <t>Position/Observations</t>
  </si>
  <si>
    <t>Thickness (mm)</t>
  </si>
  <si>
    <t>Size (cm x cm)</t>
  </si>
  <si>
    <t>Date exposed</t>
  </si>
  <si>
    <t>Date collected</t>
  </si>
  <si>
    <t>Duration (months)</t>
  </si>
  <si>
    <t>Comments</t>
  </si>
  <si>
    <t>Reference-mirror</t>
  </si>
  <si>
    <t>Solar weighted transmittance τ(SW,8º)</t>
  </si>
  <si>
    <r>
      <t>τ(SW,8º)</t>
    </r>
    <r>
      <rPr>
        <sz val="10"/>
        <rFont val="Arial"/>
        <family val="2"/>
      </rPr>
      <t xml:space="preserve">  ISO9050</t>
    </r>
  </si>
  <si>
    <r>
      <t>ρ</t>
    </r>
    <r>
      <rPr>
        <vertAlign val="subscript"/>
        <sz val="10"/>
        <color indexed="23"/>
        <rFont val="Arial"/>
        <family val="2"/>
      </rPr>
      <t>SWH</t>
    </r>
    <r>
      <rPr>
        <sz val="10"/>
        <color indexed="23"/>
        <rFont val="Arial"/>
        <family val="2"/>
      </rPr>
      <t xml:space="preserve">  ASTM E891</t>
    </r>
  </si>
  <si>
    <r>
      <t xml:space="preserve">τ(SW,8º) </t>
    </r>
    <r>
      <rPr>
        <b/>
        <sz val="10"/>
        <rFont val="Arial"/>
        <family val="2"/>
      </rPr>
      <t xml:space="preserve">  ASTM G173-03</t>
    </r>
  </si>
  <si>
    <t xml:space="preserve">τ(280-2500nm,8º) </t>
  </si>
  <si>
    <t>StDv</t>
  </si>
  <si>
    <t>Direct reflectivity (at 660nm, not weighted)</t>
  </si>
  <si>
    <r>
      <t>ρ</t>
    </r>
    <r>
      <rPr>
        <vertAlign val="subscript"/>
        <sz val="10"/>
        <color indexed="9"/>
        <rFont val="Arial"/>
        <family val="2"/>
      </rPr>
      <t>s</t>
    </r>
    <r>
      <rPr>
        <sz val="10"/>
        <color indexed="9"/>
        <rFont val="Arial"/>
        <family val="2"/>
      </rPr>
      <t>(660nm,15°,7.5mrad)</t>
    </r>
  </si>
  <si>
    <r>
      <t>ρ</t>
    </r>
    <r>
      <rPr>
        <vertAlign val="subscript"/>
        <sz val="10"/>
        <color indexed="9"/>
        <rFont val="Arial"/>
        <family val="2"/>
      </rPr>
      <t>s</t>
    </r>
    <r>
      <rPr>
        <sz val="10"/>
        <color indexed="9"/>
        <rFont val="Arial"/>
        <family val="2"/>
      </rPr>
      <t>(660nm,15°,12.5mrad)</t>
    </r>
  </si>
  <si>
    <r>
      <t>ρ</t>
    </r>
    <r>
      <rPr>
        <vertAlign val="subscript"/>
        <sz val="10"/>
        <color indexed="9"/>
        <rFont val="Arial"/>
        <family val="2"/>
      </rPr>
      <t>s</t>
    </r>
    <r>
      <rPr>
        <sz val="10"/>
        <color indexed="9"/>
        <rFont val="Arial"/>
        <family val="2"/>
      </rPr>
      <t>(660nm,15°,23mrad)</t>
    </r>
  </si>
  <si>
    <t>Gloss (spec660 / hem660)</t>
  </si>
  <si>
    <t>Averaged beamdiversion α in mrad (halfwidthangle)</t>
  </si>
  <si>
    <t>α circular</t>
  </si>
  <si>
    <t>α horizontal</t>
  </si>
  <si>
    <t>α vertical:</t>
  </si>
  <si>
    <r>
      <t xml:space="preserve">Solar weighted direct reflectance </t>
    </r>
    <r>
      <rPr>
        <sz val="11"/>
        <color indexed="9"/>
        <rFont val="Arial"/>
        <family val="2"/>
      </rPr>
      <t>ρ</t>
    </r>
    <r>
      <rPr>
        <vertAlign val="subscript"/>
        <sz val="10"/>
        <color indexed="9"/>
        <rFont val="Arial"/>
        <family val="2"/>
      </rPr>
      <t>SWD</t>
    </r>
    <r>
      <rPr>
        <sz val="10"/>
        <color indexed="9"/>
        <rFont val="Arial"/>
        <family val="2"/>
      </rPr>
      <t xml:space="preserve"> (25mrad acceptanceangle)</t>
    </r>
  </si>
  <si>
    <r>
      <t>ρ</t>
    </r>
    <r>
      <rPr>
        <vertAlign val="subscript"/>
        <sz val="11"/>
        <color indexed="9"/>
        <rFont val="Arial"/>
        <family val="2"/>
      </rPr>
      <t>s</t>
    </r>
    <r>
      <rPr>
        <sz val="11"/>
        <color indexed="9"/>
        <rFont val="Arial"/>
        <family val="2"/>
      </rPr>
      <t>(SW,15°,12.5mrad)</t>
    </r>
    <r>
      <rPr>
        <sz val="10"/>
        <color indexed="9"/>
        <rFont val="Arial"/>
        <family val="2"/>
      </rPr>
      <t xml:space="preserve"> ISO9050:</t>
    </r>
  </si>
  <si>
    <t>Aperture 25 mrad</t>
  </si>
  <si>
    <r>
      <t>ρ</t>
    </r>
    <r>
      <rPr>
        <vertAlign val="subscript"/>
        <sz val="10"/>
        <color indexed="9"/>
        <rFont val="Arial"/>
        <family val="2"/>
      </rPr>
      <t>SWD25</t>
    </r>
    <r>
      <rPr>
        <sz val="10"/>
        <color indexed="9"/>
        <rFont val="Arial"/>
        <family val="2"/>
      </rPr>
      <t xml:space="preserve">  ASTM E891:</t>
    </r>
  </si>
  <si>
    <r>
      <t>ρ</t>
    </r>
    <r>
      <rPr>
        <b/>
        <vertAlign val="subscript"/>
        <sz val="11"/>
        <color indexed="9"/>
        <rFont val="Arial"/>
        <family val="2"/>
      </rPr>
      <t>s</t>
    </r>
    <r>
      <rPr>
        <b/>
        <sz val="11"/>
        <color indexed="9"/>
        <rFont val="Arial"/>
        <family val="2"/>
      </rPr>
      <t>(SW,15°,12.5mrad)</t>
    </r>
    <r>
      <rPr>
        <b/>
        <vertAlign val="subscript"/>
        <sz val="10"/>
        <color indexed="9"/>
        <rFont val="Arial"/>
        <family val="2"/>
      </rPr>
      <t xml:space="preserve"> </t>
    </r>
    <r>
      <rPr>
        <b/>
        <sz val="10"/>
        <color indexed="9"/>
        <rFont val="Arial"/>
        <family val="2"/>
      </rPr>
      <t xml:space="preserve"> ASTM G173-03:</t>
    </r>
  </si>
  <si>
    <t xml:space="preserve">   Values for reports</t>
  </si>
  <si>
    <t>usa tablas en AC5</t>
  </si>
  <si>
    <t>Intern comments about measurements</t>
  </si>
  <si>
    <t>Instrument</t>
  </si>
  <si>
    <t>Perkin Elmer Lambda1050 Spectrophotometer</t>
  </si>
  <si>
    <t>Used referencestandard:</t>
  </si>
  <si>
    <t>G-95004</t>
  </si>
  <si>
    <t>Used method:</t>
  </si>
  <si>
    <t>Spiegel5 2500-250 Zeiten</t>
  </si>
  <si>
    <t>G-95008</t>
  </si>
  <si>
    <t xml:space="preserve">Used sample holder: </t>
  </si>
  <si>
    <t>Standard</t>
  </si>
  <si>
    <t>G-03006</t>
  </si>
  <si>
    <t>Used light trap:</t>
  </si>
  <si>
    <t>G-03007</t>
  </si>
  <si>
    <t>Quality Baseline 100%:</t>
  </si>
  <si>
    <t>ok</t>
  </si>
  <si>
    <t>PS-D-2</t>
  </si>
  <si>
    <t>Quality Zeroline 0%:</t>
  </si>
  <si>
    <t>PAV-D-2</t>
  </si>
  <si>
    <t>Sequence</t>
  </si>
  <si>
    <t>average solar weighted</t>
  </si>
  <si>
    <t>ISO 9050</t>
  </si>
  <si>
    <t>Intervall</t>
  </si>
  <si>
    <t>5 nm</t>
  </si>
  <si>
    <t>ASTM E891</t>
  </si>
  <si>
    <t>Sample treating</t>
  </si>
  <si>
    <t>Sample was turned 45° per measurement</t>
  </si>
  <si>
    <t>ASTM 173 direct</t>
  </si>
  <si>
    <t>Sample cleaning</t>
  </si>
  <si>
    <t>Other comments</t>
  </si>
  <si>
    <r>
      <t>average R</t>
    </r>
    <r>
      <rPr>
        <vertAlign val="subscript"/>
        <sz val="10"/>
        <rFont val="Arial"/>
        <family val="2"/>
      </rPr>
      <t>hem</t>
    </r>
  </si>
  <si>
    <t>Spectrum PE-100123 is only calibrated from 250-2200nm</t>
  </si>
  <si>
    <t>Weighting factor neu ermittelt Steffi 201101</t>
  </si>
  <si>
    <t>MASTER 0,95mm</t>
  </si>
  <si>
    <t>MASTER 1,6 mm</t>
  </si>
  <si>
    <t>MASTER 3mm</t>
  </si>
  <si>
    <t>MASTER 4mm</t>
  </si>
  <si>
    <t>Devices&amp;Services Reflektometer</t>
  </si>
  <si>
    <t>R15, SNr., Referenz 97.9</t>
  </si>
  <si>
    <t>ISO9050</t>
  </si>
  <si>
    <t>Referenz-Spektren</t>
  </si>
  <si>
    <t>Messdaten hemisphärisch</t>
  </si>
  <si>
    <t>Auswertung Reflexionsgrad hemisphärisch</t>
  </si>
  <si>
    <t>Solar Spectra</t>
  </si>
  <si>
    <t>Reference Spectra</t>
  </si>
  <si>
    <t>Aperture 46 mrad (or 7 mrad)</t>
  </si>
  <si>
    <t>Sun</t>
  </si>
  <si>
    <t>1. Messung</t>
  </si>
  <si>
    <t>E891</t>
  </si>
  <si>
    <t>ASTM 173 global tilt (Smarts2)</t>
  </si>
  <si>
    <t>ASTM 173 direct (Smarts2)</t>
  </si>
  <si>
    <t>2. Messung</t>
  </si>
  <si>
    <t>λ [nm]</t>
  </si>
  <si>
    <t>Zeroline</t>
  </si>
  <si>
    <t>Baseline</t>
  </si>
  <si>
    <t>ρ gemittelt</t>
  </si>
  <si>
    <t>interpolation</t>
  </si>
  <si>
    <t>3. Messung</t>
  </si>
  <si>
    <t>4. Messung</t>
  </si>
  <si>
    <t>5. Messung</t>
  </si>
  <si>
    <t>Mean</t>
  </si>
  <si>
    <t>6. Messung</t>
  </si>
  <si>
    <t>Aperture 15 mrad</t>
  </si>
  <si>
    <t>CHARM</t>
  </si>
  <si>
    <t>α Effektiver Strahldurchmesser [mrad]</t>
  </si>
  <si>
    <t>α Streuung waagerecht [mrad]</t>
  </si>
  <si>
    <t>α Streuung senkrecht [mrad]</t>
  </si>
  <si>
    <t>Einstellungen:</t>
  </si>
  <si>
    <t>Belichtungszeit [ms]</t>
  </si>
  <si>
    <t>Gain</t>
  </si>
  <si>
    <t>Schwellwert Dunkelbild</t>
  </si>
  <si>
    <t>Schwellwert Strahldurchmesser</t>
  </si>
  <si>
    <t>Dateiname Bild</t>
  </si>
  <si>
    <t>Messungen</t>
  </si>
  <si>
    <t>D:\Eigene Dateien\Quarz\Spiegel\Originaldaten\081002_Labsphere\Zeroline.asc</t>
  </si>
  <si>
    <t>D:\Eigene Dateien\Quarz\Spiegel\Originaldaten\081002_Labsphere\Baseline.asc</t>
  </si>
  <si>
    <t>D:\Eigene Dateien\Quarz\Spiegel\Originaldaten\081002_Labsphere\Miro2-5162 front.asc</t>
  </si>
  <si>
    <t>D:\Eigene Dateien\Quarz\Spiegel\Originaldaten\081002_Labsphere\Miro2-5163.asc</t>
  </si>
  <si>
    <t xml:space="preserve">PE UV       SUBTECH     SPECTRUM    ASCII       PEDS        4.00        </t>
  </si>
  <si>
    <t>Zeroline.asc</t>
  </si>
  <si>
    <t>Baseline.asc</t>
  </si>
  <si>
    <t>Miro2-5162 front.asc</t>
  </si>
  <si>
    <t>Miro2-5163.asc</t>
  </si>
  <si>
    <t>11:19:18.00</t>
  </si>
  <si>
    <t>11:15:28.00</t>
  </si>
  <si>
    <t>11:28:38.00</t>
  </si>
  <si>
    <t>11:44:29.00</t>
  </si>
  <si>
    <t>Analyst</t>
  </si>
  <si>
    <t>Lambda 950</t>
  </si>
  <si>
    <t>950N6110204</t>
  </si>
  <si>
    <t>PerkinElmer UV WinLab 5.2.0.0646 / 1.61.00 Lambda 900</t>
  </si>
  <si>
    <t>3350/servo 860,8/2</t>
  </si>
  <si>
    <t>UV/VIS</t>
  </si>
  <si>
    <t>CommonBeamDepol,RBeamAtt,SBeamAtt,150mm sphere / downward view</t>
  </si>
  <si>
    <t>Program</t>
  </si>
  <si>
    <t>3350/0,2 860,8/0,2</t>
  </si>
  <si>
    <t>Front</t>
  </si>
  <si>
    <t>on</t>
  </si>
  <si>
    <t>S:0 R:100</t>
  </si>
  <si>
    <t>S:100 R:100</t>
  </si>
  <si>
    <t>#HDR</t>
  </si>
  <si>
    <t>#GR</t>
  </si>
  <si>
    <t>nm</t>
  </si>
  <si>
    <t>%T</t>
  </si>
  <si>
    <t>1.0</t>
  </si>
  <si>
    <t>0.0</t>
  </si>
  <si>
    <t>#DATA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</si>
  <si>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</si>
  <si>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</si>
  <si>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</si>
  <si>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</si>
  <si>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</si>
  <si>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</si>
  <si>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</si>
  <si>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</si>
  <si>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</si>
  <si>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Sample Code</t>
  </si>
  <si>
    <t>Site/Test</t>
  </si>
  <si>
    <t>Position/Observation</t>
  </si>
  <si>
    <t>Thickness</t>
  </si>
  <si>
    <t>Size</t>
  </si>
  <si>
    <t>Measurement Date</t>
  </si>
  <si>
    <t>Expsosure Duration</t>
  </si>
  <si>
    <t>solar-weighted transmittance</t>
  </si>
  <si>
    <t>hemispherical reflectance spectrum</t>
  </si>
  <si>
    <t>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</si>
</sst>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dd/mm/yy;@"/>
  </numFmts>
  <fonts count="35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vertAlign val="subscript"/>
      <sz val="10"/>
      <name val="Arial"/>
      <family val="2"/>
    </font>
    <font>
      <sz val="11"/>
      <name val="Arial"/>
      <family val="2"/>
    </font>
    <font>
      <sz val="10"/>
      <color indexed="10"/>
      <name val="Arial"/>
      <family val="2"/>
    </font>
    <font>
      <sz val="11"/>
      <color indexed="23"/>
      <name val="Arial"/>
      <family val="2"/>
    </font>
    <font>
      <vertAlign val="subscript"/>
      <sz val="10"/>
      <color indexed="23"/>
      <name val="Arial"/>
      <family val="2"/>
    </font>
    <font>
      <sz val="10"/>
      <color indexed="23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vertAlign val="subscript"/>
      <sz val="10"/>
      <color indexed="9"/>
      <name val="Arial"/>
      <family val="2"/>
    </font>
    <font>
      <sz val="11"/>
      <color indexed="9"/>
      <name val="Arial"/>
      <family val="2"/>
    </font>
    <font>
      <vertAlign val="subscript"/>
      <sz val="11"/>
      <color indexed="9"/>
      <name val="Arial"/>
      <family val="2"/>
    </font>
    <font>
      <b/>
      <sz val="11"/>
      <color indexed="9"/>
      <name val="Arial"/>
      <family val="2"/>
    </font>
    <font>
      <b/>
      <vertAlign val="subscript"/>
      <sz val="11"/>
      <color indexed="9"/>
      <name val="Arial"/>
      <family val="2"/>
    </font>
    <font>
      <b/>
      <vertAlign val="subscript"/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sz val="11"/>
      <name val="Symbol"/>
      <family val="1"/>
      <charset val="2"/>
    </font>
    <font>
      <b/>
      <i/>
      <sz val="10"/>
      <color indexed="10"/>
      <name val="Arial"/>
      <family val="2"/>
    </font>
    <font>
      <sz val="8"/>
      <name val="Arial"/>
      <family val="2"/>
    </font>
    <font>
      <sz val="6"/>
      <name val="Arial"/>
      <family val="2"/>
    </font>
    <font>
      <vertAlign val="subscript"/>
      <sz val="10"/>
      <name val="Arial"/>
      <family val="2"/>
    </font>
    <font>
      <sz val="10"/>
      <color indexed="22"/>
      <name val="Arial"/>
      <family val="2"/>
    </font>
    <font>
      <b/>
      <sz val="10"/>
      <color indexed="23"/>
      <name val="Arial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color theme="0" tint="-0.34998626667073579"/>
      <name val="Arial"/>
      <family val="2"/>
    </font>
    <font>
      <b/>
      <sz val="10"/>
      <color theme="0" tint="-0.3499862666707357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8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3" fillId="0" borderId="1" xfId="0" applyFont="1" applyBorder="1"/>
    <xf numFmtId="0" fontId="4" fillId="2" borderId="0" xfId="0" applyFont="1" applyFill="1"/>
    <xf numFmtId="0" fontId="0" fillId="2" borderId="0" xfId="0" applyFill="1"/>
    <xf numFmtId="0" fontId="0" fillId="0" borderId="0" xfId="0" applyFill="1" applyBorder="1"/>
    <xf numFmtId="0" fontId="5" fillId="0" borderId="0" xfId="0" applyFont="1" applyFill="1"/>
    <xf numFmtId="0" fontId="6" fillId="0" borderId="0" xfId="0" applyFont="1"/>
    <xf numFmtId="0" fontId="0" fillId="0" borderId="0" xfId="0" applyFill="1"/>
    <xf numFmtId="0" fontId="6" fillId="0" borderId="0" xfId="0" applyFont="1" applyFill="1"/>
    <xf numFmtId="0" fontId="6" fillId="0" borderId="3" xfId="0" applyFont="1" applyBorder="1"/>
    <xf numFmtId="0" fontId="6" fillId="0" borderId="3" xfId="0" applyFont="1" applyBorder="1" applyAlignment="1">
      <alignment horizontal="left"/>
    </xf>
    <xf numFmtId="0" fontId="4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6" fillId="0" borderId="7" xfId="0" applyFont="1" applyBorder="1"/>
    <xf numFmtId="49" fontId="6" fillId="0" borderId="7" xfId="0" applyNumberFormat="1" applyFont="1" applyBorder="1" applyAlignment="1">
      <alignment horizontal="left"/>
    </xf>
    <xf numFmtId="0" fontId="4" fillId="0" borderId="2" xfId="0" applyFont="1" applyBorder="1"/>
    <xf numFmtId="0" fontId="0" fillId="0" borderId="0" xfId="0" applyBorder="1" applyAlignment="1">
      <alignment horizontal="left"/>
    </xf>
    <xf numFmtId="0" fontId="4" fillId="0" borderId="0" xfId="0" applyFont="1" applyBorder="1"/>
    <xf numFmtId="14" fontId="0" fillId="0" borderId="1" xfId="0" applyNumberFormat="1" applyBorder="1" applyAlignment="1">
      <alignment horizontal="left"/>
    </xf>
    <xf numFmtId="49" fontId="0" fillId="0" borderId="0" xfId="0" applyNumberFormat="1" applyBorder="1"/>
    <xf numFmtId="14" fontId="6" fillId="0" borderId="7" xfId="0" applyNumberFormat="1" applyFont="1" applyBorder="1" applyAlignment="1">
      <alignment horizontal="left"/>
    </xf>
    <xf numFmtId="0" fontId="4" fillId="0" borderId="2" xfId="0" applyFont="1" applyFill="1" applyBorder="1"/>
    <xf numFmtId="49" fontId="0" fillId="0" borderId="1" xfId="0" applyNumberFormat="1" applyBorder="1"/>
    <xf numFmtId="49" fontId="6" fillId="0" borderId="8" xfId="0" applyNumberFormat="1" applyFont="1" applyBorder="1" applyAlignment="1">
      <alignment horizontal="left"/>
    </xf>
    <xf numFmtId="0" fontId="4" fillId="0" borderId="0" xfId="0" applyFont="1" applyFill="1" applyBorder="1"/>
    <xf numFmtId="0" fontId="6" fillId="0" borderId="9" xfId="0" applyFont="1" applyBorder="1"/>
    <xf numFmtId="14" fontId="6" fillId="0" borderId="9" xfId="0" applyNumberFormat="1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7" xfId="0" applyNumberFormat="1" applyFont="1" applyBorder="1" applyAlignment="1">
      <alignment horizontal="left"/>
    </xf>
    <xf numFmtId="0" fontId="6" fillId="0" borderId="8" xfId="0" applyFont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6" fillId="0" borderId="9" xfId="0" applyNumberFormat="1" applyFont="1" applyBorder="1" applyAlignment="1">
      <alignment horizontal="left" wrapText="1"/>
    </xf>
    <xf numFmtId="164" fontId="6" fillId="0" borderId="0" xfId="0" applyNumberFormat="1" applyFont="1" applyFill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0" xfId="0" applyNumberFormat="1" applyFont="1" applyFill="1" applyBorder="1" applyAlignment="1"/>
    <xf numFmtId="164" fontId="0" fillId="0" borderId="0" xfId="0" applyNumberFormat="1" applyFill="1" applyBorder="1" applyAlignment="1"/>
    <xf numFmtId="49" fontId="6" fillId="0" borderId="7" xfId="0" applyNumberFormat="1" applyFont="1" applyBorder="1" applyAlignment="1">
      <alignment horizontal="left" wrapText="1"/>
    </xf>
    <xf numFmtId="0" fontId="4" fillId="0" borderId="10" xfId="0" applyFont="1" applyBorder="1"/>
    <xf numFmtId="164" fontId="6" fillId="0" borderId="11" xfId="0" applyNumberFormat="1" applyFont="1" applyFill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0" fontId="8" fillId="0" borderId="0" xfId="0" applyFont="1" applyFill="1" applyBorder="1"/>
    <xf numFmtId="0" fontId="6" fillId="0" borderId="0" xfId="0" applyFont="1" applyAlignment="1">
      <alignment horizontal="center"/>
    </xf>
    <xf numFmtId="0" fontId="6" fillId="0" borderId="13" xfId="0" applyFont="1" applyBorder="1"/>
    <xf numFmtId="49" fontId="6" fillId="0" borderId="13" xfId="0" applyNumberFormat="1" applyFont="1" applyBorder="1" applyAlignment="1">
      <alignment horizontal="left" wrapText="1"/>
    </xf>
    <xf numFmtId="0" fontId="6" fillId="0" borderId="0" xfId="0" applyFont="1" applyBorder="1"/>
    <xf numFmtId="0" fontId="6" fillId="0" borderId="0" xfId="0" applyFont="1" applyBorder="1" applyAlignment="1">
      <alignment wrapText="1"/>
    </xf>
    <xf numFmtId="0" fontId="6" fillId="0" borderId="11" xfId="0" applyFont="1" applyFill="1" applyBorder="1"/>
    <xf numFmtId="0" fontId="9" fillId="0" borderId="1" xfId="0" applyFont="1" applyBorder="1"/>
    <xf numFmtId="0" fontId="8" fillId="0" borderId="7" xfId="0" applyFont="1" applyBorder="1"/>
    <xf numFmtId="164" fontId="6" fillId="0" borderId="6" xfId="2" applyNumberFormat="1" applyFont="1" applyBorder="1" applyAlignment="1">
      <alignment horizontal="center"/>
    </xf>
    <xf numFmtId="164" fontId="1" fillId="0" borderId="1" xfId="2" applyNumberFormat="1" applyBorder="1"/>
    <xf numFmtId="2" fontId="0" fillId="0" borderId="2" xfId="0" applyNumberFormat="1" applyBorder="1"/>
    <xf numFmtId="2" fontId="0" fillId="0" borderId="0" xfId="0" applyNumberFormat="1" applyBorder="1"/>
    <xf numFmtId="0" fontId="10" fillId="0" borderId="7" xfId="0" applyFont="1" applyBorder="1"/>
    <xf numFmtId="164" fontId="12" fillId="0" borderId="1" xfId="2" applyNumberFormat="1" applyFont="1" applyBorder="1" applyAlignment="1">
      <alignment horizontal="center"/>
    </xf>
    <xf numFmtId="0" fontId="13" fillId="0" borderId="13" xfId="0" applyFont="1" applyBorder="1"/>
    <xf numFmtId="164" fontId="4" fillId="0" borderId="12" xfId="2" applyNumberFormat="1" applyFont="1" applyBorder="1" applyAlignment="1">
      <alignment horizontal="center"/>
    </xf>
    <xf numFmtId="0" fontId="6" fillId="0" borderId="14" xfId="0" applyFont="1" applyFill="1" applyBorder="1"/>
    <xf numFmtId="164" fontId="6" fillId="0" borderId="15" xfId="0" applyNumberFormat="1" applyFont="1" applyBorder="1" applyAlignment="1">
      <alignment horizontal="center"/>
    </xf>
    <xf numFmtId="165" fontId="14" fillId="0" borderId="15" xfId="0" applyNumberFormat="1" applyFont="1" applyBorder="1" applyAlignment="1">
      <alignment horizontal="center"/>
    </xf>
    <xf numFmtId="164" fontId="0" fillId="0" borderId="2" xfId="0" applyNumberFormat="1" applyBorder="1"/>
    <xf numFmtId="0" fontId="6" fillId="0" borderId="15" xfId="0" applyFont="1" applyFill="1" applyBorder="1"/>
    <xf numFmtId="164" fontId="6" fillId="0" borderId="15" xfId="0" applyNumberFormat="1" applyFont="1" applyBorder="1"/>
    <xf numFmtId="0" fontId="14" fillId="0" borderId="0" xfId="0" applyFont="1" applyFill="1"/>
    <xf numFmtId="164" fontId="14" fillId="0" borderId="0" xfId="0" applyNumberFormat="1" applyFont="1" applyFill="1"/>
    <xf numFmtId="0" fontId="14" fillId="0" borderId="14" xfId="0" applyFont="1" applyFill="1" applyBorder="1"/>
    <xf numFmtId="164" fontId="14" fillId="0" borderId="6" xfId="2" applyNumberFormat="1" applyFont="1" applyFill="1" applyBorder="1" applyAlignment="1">
      <alignment horizontal="center"/>
    </xf>
    <xf numFmtId="164" fontId="14" fillId="0" borderId="1" xfId="2" applyNumberFormat="1" applyFont="1" applyBorder="1"/>
    <xf numFmtId="164" fontId="14" fillId="0" borderId="1" xfId="2" applyNumberFormat="1" applyFont="1" applyBorder="1" applyAlignment="1">
      <alignment horizontal="center"/>
    </xf>
    <xf numFmtId="164" fontId="14" fillId="0" borderId="12" xfId="2" applyNumberFormat="1" applyFont="1" applyBorder="1" applyAlignment="1">
      <alignment horizontal="center"/>
    </xf>
    <xf numFmtId="0" fontId="14" fillId="0" borderId="15" xfId="0" applyFont="1" applyFill="1" applyBorder="1"/>
    <xf numFmtId="164" fontId="14" fillId="0" borderId="15" xfId="0" applyNumberFormat="1" applyFont="1" applyBorder="1"/>
    <xf numFmtId="0" fontId="14" fillId="0" borderId="1" xfId="0" applyFont="1" applyBorder="1"/>
    <xf numFmtId="164" fontId="6" fillId="0" borderId="0" xfId="0" applyNumberFormat="1" applyFont="1" applyFill="1"/>
    <xf numFmtId="164" fontId="6" fillId="0" borderId="6" xfId="2" applyNumberFormat="1" applyFont="1" applyFill="1" applyBorder="1" applyAlignment="1">
      <alignment horizontal="center"/>
    </xf>
    <xf numFmtId="164" fontId="6" fillId="0" borderId="1" xfId="2" applyNumberFormat="1" applyFont="1" applyBorder="1" applyAlignment="1">
      <alignment horizontal="center"/>
    </xf>
    <xf numFmtId="164" fontId="6" fillId="0" borderId="12" xfId="2" applyNumberFormat="1" applyFont="1" applyBorder="1" applyAlignment="1">
      <alignment horizontal="center"/>
    </xf>
    <xf numFmtId="164" fontId="6" fillId="0" borderId="0" xfId="0" applyNumberFormat="1" applyFont="1"/>
    <xf numFmtId="0" fontId="16" fillId="0" borderId="3" xfId="0" applyFont="1" applyBorder="1"/>
    <xf numFmtId="0" fontId="16" fillId="0" borderId="7" xfId="0" applyFont="1" applyBorder="1"/>
    <xf numFmtId="0" fontId="18" fillId="0" borderId="13" xfId="0" applyFont="1" applyBorder="1"/>
    <xf numFmtId="164" fontId="21" fillId="0" borderId="12" xfId="2" applyNumberFormat="1" applyFont="1" applyBorder="1" applyAlignment="1">
      <alignment horizontal="center"/>
    </xf>
    <xf numFmtId="0" fontId="14" fillId="0" borderId="15" xfId="0" applyFont="1" applyBorder="1"/>
    <xf numFmtId="0" fontId="4" fillId="3" borderId="10" xfId="0" applyFont="1" applyFill="1" applyBorder="1"/>
    <xf numFmtId="0" fontId="4" fillId="3" borderId="11" xfId="0" applyFont="1" applyFill="1" applyBorder="1"/>
    <xf numFmtId="0" fontId="4" fillId="3" borderId="0" xfId="0" applyFont="1" applyFill="1" applyBorder="1"/>
    <xf numFmtId="0" fontId="0" fillId="3" borderId="0" xfId="0" applyFill="1" applyBorder="1"/>
    <xf numFmtId="0" fontId="22" fillId="4" borderId="0" xfId="0" applyFont="1" applyFill="1"/>
    <xf numFmtId="0" fontId="0" fillId="4" borderId="0" xfId="0" applyFill="1"/>
    <xf numFmtId="164" fontId="23" fillId="0" borderId="0" xfId="0" applyNumberFormat="1" applyFont="1" applyFill="1" applyAlignment="1">
      <alignment horizontal="center" vertical="center"/>
    </xf>
    <xf numFmtId="164" fontId="24" fillId="0" borderId="0" xfId="0" applyNumberFormat="1" applyFont="1" applyFill="1" applyAlignment="1">
      <alignment horizontal="center" vertical="center"/>
    </xf>
    <xf numFmtId="164" fontId="23" fillId="0" borderId="0" xfId="0" applyNumberFormat="1" applyFont="1" applyFill="1" applyAlignment="1">
      <alignment horizontal="center" vertical="center" wrapText="1"/>
    </xf>
    <xf numFmtId="164" fontId="25" fillId="0" borderId="0" xfId="0" applyNumberFormat="1" applyFont="1" applyFill="1" applyAlignment="1">
      <alignment horizontal="center" vertical="center" wrapText="1"/>
    </xf>
    <xf numFmtId="164" fontId="0" fillId="0" borderId="2" xfId="0" applyNumberFormat="1" applyFill="1" applyBorder="1"/>
    <xf numFmtId="164" fontId="0" fillId="0" borderId="0" xfId="0" applyNumberFormat="1" applyFill="1" applyBorder="1"/>
    <xf numFmtId="164" fontId="0" fillId="0" borderId="0" xfId="0" applyNumberFormat="1" applyFill="1"/>
    <xf numFmtId="0" fontId="4" fillId="0" borderId="0" xfId="0" applyFont="1" applyFill="1"/>
    <xf numFmtId="0" fontId="0" fillId="0" borderId="3" xfId="0" applyBorder="1"/>
    <xf numFmtId="0" fontId="9" fillId="0" borderId="6" xfId="0" applyFont="1" applyBorder="1"/>
    <xf numFmtId="0" fontId="0" fillId="0" borderId="15" xfId="0" applyBorder="1"/>
    <xf numFmtId="0" fontId="0" fillId="0" borderId="7" xfId="0" applyBorder="1"/>
    <xf numFmtId="1" fontId="0" fillId="0" borderId="15" xfId="0" applyNumberFormat="1" applyBorder="1"/>
    <xf numFmtId="0" fontId="0" fillId="0" borderId="15" xfId="0" applyFill="1" applyBorder="1"/>
    <xf numFmtId="0" fontId="0" fillId="0" borderId="1" xfId="0" applyBorder="1" applyAlignment="1">
      <alignment horizontal="right"/>
    </xf>
    <xf numFmtId="0" fontId="6" fillId="0" borderId="2" xfId="0" applyFont="1" applyFill="1" applyBorder="1"/>
    <xf numFmtId="0" fontId="0" fillId="0" borderId="13" xfId="0" applyBorder="1"/>
    <xf numFmtId="0" fontId="6" fillId="0" borderId="10" xfId="0" applyFont="1" applyFill="1" applyBorder="1"/>
    <xf numFmtId="0" fontId="0" fillId="0" borderId="6" xfId="0" applyBorder="1"/>
    <xf numFmtId="0" fontId="26" fillId="0" borderId="1" xfId="0" applyFont="1" applyBorder="1" applyAlignment="1">
      <alignment horizontal="right"/>
    </xf>
    <xf numFmtId="0" fontId="27" fillId="0" borderId="2" xfId="0" applyFont="1" applyBorder="1" applyAlignment="1">
      <alignment horizontal="right"/>
    </xf>
    <xf numFmtId="0" fontId="27" fillId="0" borderId="0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4" fillId="0" borderId="1" xfId="0" applyFont="1" applyFill="1" applyBorder="1" applyAlignment="1">
      <alignment horizontal="right"/>
    </xf>
    <xf numFmtId="166" fontId="4" fillId="0" borderId="0" xfId="0" applyNumberFormat="1" applyFont="1" applyFill="1" applyAlignment="1">
      <alignment horizontal="center"/>
    </xf>
    <xf numFmtId="166" fontId="4" fillId="0" borderId="0" xfId="0" applyNumberFormat="1" applyFont="1" applyFill="1" applyBorder="1" applyAlignment="1">
      <alignment horizontal="center"/>
    </xf>
    <xf numFmtId="0" fontId="0" fillId="0" borderId="14" xfId="0" applyBorder="1"/>
    <xf numFmtId="2" fontId="0" fillId="0" borderId="16" xfId="0" applyNumberFormat="1" applyBorder="1"/>
    <xf numFmtId="2" fontId="0" fillId="0" borderId="0" xfId="0" applyNumberFormat="1" applyFill="1" applyBorder="1"/>
    <xf numFmtId="0" fontId="14" fillId="5" borderId="0" xfId="0" applyFont="1" applyFill="1"/>
    <xf numFmtId="0" fontId="21" fillId="5" borderId="0" xfId="0" applyFont="1" applyFill="1"/>
    <xf numFmtId="10" fontId="6" fillId="0" borderId="2" xfId="2" applyNumberFormat="1" applyFont="1" applyBorder="1" applyAlignment="1">
      <alignment horizontal="right"/>
    </xf>
    <xf numFmtId="10" fontId="6" fillId="0" borderId="0" xfId="2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4" fillId="6" borderId="17" xfId="0" applyFont="1" applyFill="1" applyBorder="1"/>
    <xf numFmtId="0" fontId="4" fillId="6" borderId="0" xfId="0" applyFont="1" applyFill="1" applyBorder="1"/>
    <xf numFmtId="0" fontId="4" fillId="6" borderId="18" xfId="0" applyFont="1" applyFill="1" applyBorder="1"/>
    <xf numFmtId="0" fontId="0" fillId="7" borderId="19" xfId="0" applyFill="1" applyBorder="1"/>
    <xf numFmtId="0" fontId="4" fillId="7" borderId="20" xfId="0" applyFont="1" applyFill="1" applyBorder="1"/>
    <xf numFmtId="0" fontId="0" fillId="7" borderId="20" xfId="0" applyFill="1" applyBorder="1"/>
    <xf numFmtId="0" fontId="0" fillId="7" borderId="21" xfId="0" applyFill="1" applyBorder="1"/>
    <xf numFmtId="0" fontId="4" fillId="7" borderId="19" xfId="0" applyFont="1" applyFill="1" applyBorder="1"/>
    <xf numFmtId="0" fontId="4" fillId="7" borderId="21" xfId="0" applyFont="1" applyFill="1" applyBorder="1"/>
    <xf numFmtId="0" fontId="0" fillId="0" borderId="17" xfId="0" applyFill="1" applyBorder="1"/>
    <xf numFmtId="0" fontId="6" fillId="8" borderId="19" xfId="0" applyFont="1" applyFill="1" applyBorder="1"/>
    <xf numFmtId="0" fontId="4" fillId="8" borderId="20" xfId="0" applyFont="1" applyFill="1" applyBorder="1"/>
    <xf numFmtId="0" fontId="6" fillId="8" borderId="20" xfId="0" applyFont="1" applyFill="1" applyBorder="1"/>
    <xf numFmtId="0" fontId="6" fillId="8" borderId="21" xfId="0" applyFont="1" applyFill="1" applyBorder="1"/>
    <xf numFmtId="0" fontId="21" fillId="5" borderId="19" xfId="0" applyFont="1" applyFill="1" applyBorder="1"/>
    <xf numFmtId="0" fontId="14" fillId="5" borderId="20" xfId="0" applyFont="1" applyFill="1" applyBorder="1"/>
    <xf numFmtId="0" fontId="14" fillId="5" borderId="21" xfId="0" applyFont="1" applyFill="1" applyBorder="1"/>
    <xf numFmtId="0" fontId="4" fillId="6" borderId="22" xfId="0" applyFont="1" applyFill="1" applyBorder="1"/>
    <xf numFmtId="0" fontId="4" fillId="6" borderId="23" xfId="0" applyFont="1" applyFill="1" applyBorder="1"/>
    <xf numFmtId="0" fontId="4" fillId="6" borderId="18" xfId="0" applyFont="1" applyFill="1" applyBorder="1" applyAlignment="1">
      <alignment horizontal="right"/>
    </xf>
    <xf numFmtId="0" fontId="6" fillId="6" borderId="24" xfId="0" applyFont="1" applyFill="1" applyBorder="1" applyAlignment="1">
      <alignment horizontal="right"/>
    </xf>
    <xf numFmtId="0" fontId="33" fillId="6" borderId="18" xfId="0" applyFont="1" applyFill="1" applyBorder="1" applyAlignment="1">
      <alignment horizontal="right"/>
    </xf>
    <xf numFmtId="2" fontId="33" fillId="6" borderId="18" xfId="0" applyNumberFormat="1" applyFont="1" applyFill="1" applyBorder="1" applyAlignment="1">
      <alignment horizontal="right"/>
    </xf>
    <xf numFmtId="2" fontId="34" fillId="6" borderId="18" xfId="0" applyNumberFormat="1" applyFont="1" applyFill="1" applyBorder="1" applyAlignment="1">
      <alignment horizontal="right"/>
    </xf>
    <xf numFmtId="2" fontId="33" fillId="6" borderId="24" xfId="0" applyNumberFormat="1" applyFont="1" applyFill="1" applyBorder="1" applyAlignment="1">
      <alignment horizontal="right"/>
    </xf>
    <xf numFmtId="0" fontId="0" fillId="7" borderId="23" xfId="0" applyFill="1" applyBorder="1"/>
    <xf numFmtId="0" fontId="0" fillId="7" borderId="0" xfId="0" applyFill="1" applyBorder="1"/>
    <xf numFmtId="0" fontId="0" fillId="7" borderId="18" xfId="0" applyFill="1" applyBorder="1"/>
    <xf numFmtId="0" fontId="4" fillId="7" borderId="23" xfId="0" applyFont="1" applyFill="1" applyBorder="1"/>
    <xf numFmtId="0" fontId="4" fillId="7" borderId="0" xfId="0" applyFont="1" applyFill="1" applyBorder="1"/>
    <xf numFmtId="0" fontId="4" fillId="7" borderId="18" xfId="0" applyFont="1" applyFill="1" applyBorder="1"/>
    <xf numFmtId="0" fontId="0" fillId="0" borderId="22" xfId="0" applyFill="1" applyBorder="1"/>
    <xf numFmtId="0" fontId="6" fillId="8" borderId="23" xfId="0" applyFont="1" applyFill="1" applyBorder="1"/>
    <xf numFmtId="0" fontId="6" fillId="8" borderId="0" xfId="0" applyFont="1" applyFill="1" applyBorder="1" applyAlignment="1">
      <alignment horizontal="center"/>
    </xf>
    <xf numFmtId="0" fontId="6" fillId="8" borderId="0" xfId="0" applyFont="1" applyFill="1" applyBorder="1"/>
    <xf numFmtId="0" fontId="6" fillId="8" borderId="18" xfId="0" applyFont="1" applyFill="1" applyBorder="1"/>
    <xf numFmtId="0" fontId="21" fillId="5" borderId="23" xfId="0" applyFont="1" applyFill="1" applyBorder="1" applyAlignment="1"/>
    <xf numFmtId="0" fontId="21" fillId="5" borderId="0" xfId="0" applyFont="1" applyFill="1" applyBorder="1" applyAlignment="1"/>
    <xf numFmtId="0" fontId="21" fillId="5" borderId="18" xfId="0" applyFont="1" applyFill="1" applyBorder="1" applyAlignment="1"/>
    <xf numFmtId="0" fontId="0" fillId="0" borderId="7" xfId="0" applyFill="1" applyBorder="1"/>
    <xf numFmtId="0" fontId="0" fillId="0" borderId="1" xfId="0" applyFill="1" applyBorder="1" applyAlignment="1">
      <alignment horizontal="center"/>
    </xf>
    <xf numFmtId="10" fontId="29" fillId="0" borderId="2" xfId="0" applyNumberFormat="1" applyFont="1" applyBorder="1"/>
    <xf numFmtId="10" fontId="29" fillId="0" borderId="0" xfId="0" applyNumberFormat="1" applyFont="1" applyBorder="1"/>
    <xf numFmtId="0" fontId="30" fillId="8" borderId="0" xfId="0" applyFont="1" applyFill="1" applyBorder="1" applyAlignment="1">
      <alignment horizontal="left"/>
    </xf>
    <xf numFmtId="0" fontId="4" fillId="8" borderId="18" xfId="0" applyFont="1" applyFill="1" applyBorder="1" applyAlignment="1">
      <alignment horizontal="left"/>
    </xf>
    <xf numFmtId="0" fontId="14" fillId="5" borderId="23" xfId="0" applyFont="1" applyFill="1" applyBorder="1" applyAlignment="1"/>
    <xf numFmtId="0" fontId="14" fillId="5" borderId="0" xfId="0" applyFont="1" applyFill="1" applyBorder="1" applyAlignment="1"/>
    <xf numFmtId="0" fontId="14" fillId="5" borderId="18" xfId="0" applyFont="1" applyFill="1" applyBorder="1" applyAlignment="1"/>
    <xf numFmtId="0" fontId="6" fillId="0" borderId="0" xfId="0" applyFont="1" applyFill="1" applyBorder="1"/>
    <xf numFmtId="0" fontId="4" fillId="6" borderId="25" xfId="0" applyFont="1" applyFill="1" applyBorder="1"/>
    <xf numFmtId="0" fontId="4" fillId="6" borderId="26" xfId="0" applyFont="1" applyFill="1" applyBorder="1"/>
    <xf numFmtId="0" fontId="4" fillId="6" borderId="27" xfId="0" applyFont="1" applyFill="1" applyBorder="1"/>
    <xf numFmtId="0" fontId="4" fillId="7" borderId="26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0" borderId="25" xfId="0" applyFont="1" applyFill="1" applyBorder="1" applyAlignment="1">
      <alignment horizontal="center"/>
    </xf>
    <xf numFmtId="0" fontId="12" fillId="8" borderId="0" xfId="0" applyFont="1" applyFill="1" applyBorder="1"/>
    <xf numFmtId="0" fontId="3" fillId="8" borderId="18" xfId="0" applyFont="1" applyFill="1" applyBorder="1"/>
    <xf numFmtId="0" fontId="14" fillId="5" borderId="23" xfId="0" applyFont="1" applyFill="1" applyBorder="1"/>
    <xf numFmtId="0" fontId="14" fillId="5" borderId="0" xfId="0" applyFont="1" applyFill="1" applyBorder="1"/>
    <xf numFmtId="0" fontId="14" fillId="5" borderId="18" xfId="0" applyFont="1" applyFill="1" applyBorder="1"/>
    <xf numFmtId="0" fontId="0" fillId="6" borderId="22" xfId="0" applyFill="1" applyBorder="1"/>
    <xf numFmtId="0" fontId="33" fillId="6" borderId="23" xfId="0" applyFont="1" applyFill="1" applyBorder="1"/>
    <xf numFmtId="0" fontId="33" fillId="6" borderId="0" xfId="0" applyFont="1" applyFill="1" applyBorder="1"/>
    <xf numFmtId="0" fontId="4" fillId="0" borderId="17" xfId="0" applyFont="1" applyFill="1" applyBorder="1"/>
    <xf numFmtId="0" fontId="30" fillId="8" borderId="0" xfId="0" applyFont="1" applyFill="1" applyBorder="1" applyAlignment="1"/>
    <xf numFmtId="0" fontId="4" fillId="8" borderId="18" xfId="0" applyFont="1" applyFill="1" applyBorder="1" applyAlignment="1"/>
    <xf numFmtId="0" fontId="0" fillId="0" borderId="1" xfId="0" applyBorder="1" applyAlignment="1">
      <alignment horizontal="center"/>
    </xf>
    <xf numFmtId="2" fontId="33" fillId="6" borderId="23" xfId="0" applyNumberFormat="1" applyFont="1" applyFill="1" applyBorder="1"/>
    <xf numFmtId="2" fontId="33" fillId="6" borderId="0" xfId="0" applyNumberFormat="1" applyFont="1" applyFill="1" applyBorder="1"/>
    <xf numFmtId="2" fontId="0" fillId="7" borderId="23" xfId="0" applyNumberFormat="1" applyFill="1" applyBorder="1"/>
    <xf numFmtId="2" fontId="6" fillId="7" borderId="23" xfId="0" applyNumberFormat="1" applyFont="1" applyFill="1" applyBorder="1"/>
    <xf numFmtId="2" fontId="0" fillId="7" borderId="0" xfId="0" applyNumberFormat="1" applyFill="1" applyBorder="1"/>
    <xf numFmtId="2" fontId="6" fillId="7" borderId="0" xfId="0" applyNumberFormat="1" applyFont="1" applyFill="1" applyBorder="1"/>
    <xf numFmtId="2" fontId="4" fillId="7" borderId="0" xfId="0" applyNumberFormat="1" applyFont="1" applyFill="1" applyBorder="1"/>
    <xf numFmtId="2" fontId="0" fillId="7" borderId="27" xfId="0" applyNumberFormat="1" applyFill="1" applyBorder="1"/>
    <xf numFmtId="2" fontId="0" fillId="7" borderId="18" xfId="0" applyNumberFormat="1" applyFill="1" applyBorder="1"/>
    <xf numFmtId="2" fontId="6" fillId="7" borderId="18" xfId="0" applyNumberFormat="1" applyFont="1" applyFill="1" applyBorder="1"/>
    <xf numFmtId="2" fontId="4" fillId="7" borderId="18" xfId="0" applyNumberFormat="1" applyFont="1" applyFill="1" applyBorder="1"/>
    <xf numFmtId="2" fontId="0" fillId="7" borderId="24" xfId="0" applyNumberFormat="1" applyFill="1" applyBorder="1"/>
    <xf numFmtId="2" fontId="0" fillId="0" borderId="22" xfId="0" applyNumberFormat="1" applyFill="1" applyBorder="1"/>
    <xf numFmtId="0" fontId="12" fillId="8" borderId="0" xfId="0" applyFont="1" applyFill="1" applyBorder="1" applyAlignment="1">
      <alignment horizontal="center"/>
    </xf>
    <xf numFmtId="2" fontId="14" fillId="5" borderId="23" xfId="0" applyNumberFormat="1" applyFont="1" applyFill="1" applyBorder="1"/>
    <xf numFmtId="2" fontId="14" fillId="5" borderId="0" xfId="0" applyNumberFormat="1" applyFont="1" applyFill="1" applyBorder="1"/>
    <xf numFmtId="2" fontId="14" fillId="5" borderId="18" xfId="0" applyNumberFormat="1" applyFont="1" applyFill="1" applyBorder="1"/>
    <xf numFmtId="0" fontId="1" fillId="0" borderId="0" xfId="0" applyFont="1" applyFill="1" applyBorder="1"/>
    <xf numFmtId="165" fontId="0" fillId="0" borderId="0" xfId="0" applyNumberFormat="1" applyAlignment="1">
      <alignment horizontal="left"/>
    </xf>
    <xf numFmtId="0" fontId="0" fillId="0" borderId="13" xfId="0" applyFill="1" applyBorder="1"/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2" xfId="0" applyNumberFormat="1" applyBorder="1"/>
    <xf numFmtId="10" fontId="0" fillId="0" borderId="0" xfId="0" applyNumberFormat="1" applyBorder="1"/>
    <xf numFmtId="0" fontId="0" fillId="0" borderId="6" xfId="0" applyBorder="1" applyAlignment="1">
      <alignment horizontal="center"/>
    </xf>
    <xf numFmtId="0" fontId="31" fillId="0" borderId="0" xfId="1" applyAlignment="1" applyProtection="1"/>
    <xf numFmtId="0" fontId="4" fillId="4" borderId="0" xfId="0" applyFont="1" applyFill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left"/>
    </xf>
    <xf numFmtId="0" fontId="6" fillId="6" borderId="22" xfId="0" applyFont="1" applyFill="1" applyBorder="1"/>
    <xf numFmtId="2" fontId="4" fillId="7" borderId="23" xfId="0" applyNumberFormat="1" applyFont="1" applyFill="1" applyBorder="1"/>
    <xf numFmtId="2" fontId="0" fillId="7" borderId="26" xfId="0" applyNumberFormat="1" applyFill="1" applyBorder="1"/>
    <xf numFmtId="0" fontId="4" fillId="0" borderId="1" xfId="0" applyFont="1" applyBorder="1"/>
    <xf numFmtId="0" fontId="4" fillId="0" borderId="0" xfId="0" applyFont="1"/>
    <xf numFmtId="2" fontId="34" fillId="6" borderId="23" xfId="0" applyNumberFormat="1" applyFont="1" applyFill="1" applyBorder="1"/>
    <xf numFmtId="2" fontId="34" fillId="6" borderId="0" xfId="0" applyNumberFormat="1" applyFont="1" applyFill="1" applyBorder="1"/>
    <xf numFmtId="0" fontId="4" fillId="8" borderId="23" xfId="0" applyFont="1" applyFill="1" applyBorder="1"/>
    <xf numFmtId="0" fontId="30" fillId="8" borderId="0" xfId="0" applyFont="1" applyFill="1" applyBorder="1" applyAlignment="1">
      <alignment horizontal="center"/>
    </xf>
    <xf numFmtId="0" fontId="30" fillId="8" borderId="0" xfId="0" applyFont="1" applyFill="1" applyBorder="1"/>
    <xf numFmtId="0" fontId="4" fillId="8" borderId="18" xfId="0" applyFont="1" applyFill="1" applyBorder="1"/>
    <xf numFmtId="2" fontId="21" fillId="5" borderId="23" xfId="0" applyNumberFormat="1" applyFont="1" applyFill="1" applyBorder="1"/>
    <xf numFmtId="2" fontId="21" fillId="5" borderId="0" xfId="0" applyNumberFormat="1" applyFont="1" applyFill="1" applyBorder="1"/>
    <xf numFmtId="2" fontId="21" fillId="5" borderId="18" xfId="0" applyNumberFormat="1" applyFont="1" applyFill="1" applyBorder="1"/>
    <xf numFmtId="0" fontId="6" fillId="0" borderId="1" xfId="0" applyFont="1" applyBorder="1"/>
    <xf numFmtId="0" fontId="6" fillId="0" borderId="2" xfId="0" applyFont="1" applyBorder="1"/>
    <xf numFmtId="0" fontId="3" fillId="8" borderId="0" xfId="0" applyFont="1" applyFill="1" applyBorder="1"/>
    <xf numFmtId="0" fontId="6" fillId="8" borderId="18" xfId="0" applyFont="1" applyFill="1" applyBorder="1" applyAlignment="1">
      <alignment horizontal="center"/>
    </xf>
    <xf numFmtId="0" fontId="0" fillId="6" borderId="25" xfId="0" applyFill="1" applyBorder="1"/>
    <xf numFmtId="2" fontId="33" fillId="6" borderId="26" xfId="0" applyNumberFormat="1" applyFont="1" applyFill="1" applyBorder="1"/>
    <xf numFmtId="2" fontId="33" fillId="6" borderId="27" xfId="0" applyNumberFormat="1" applyFont="1" applyFill="1" applyBorder="1"/>
    <xf numFmtId="2" fontId="0" fillId="0" borderId="25" xfId="0" applyNumberFormat="1" applyFill="1" applyBorder="1"/>
    <xf numFmtId="0" fontId="6" fillId="8" borderId="26" xfId="0" applyFont="1" applyFill="1" applyBorder="1"/>
    <xf numFmtId="0" fontId="3" fillId="8" borderId="27" xfId="0" applyFont="1" applyFill="1" applyBorder="1"/>
    <xf numFmtId="0" fontId="6" fillId="8" borderId="27" xfId="0" applyFont="1" applyFill="1" applyBorder="1" applyAlignment="1">
      <alignment horizontal="center"/>
    </xf>
    <xf numFmtId="0" fontId="6" fillId="8" borderId="24" xfId="0" applyFont="1" applyFill="1" applyBorder="1" applyAlignment="1">
      <alignment horizontal="center"/>
    </xf>
    <xf numFmtId="2" fontId="14" fillId="5" borderId="26" xfId="0" applyNumberFormat="1" applyFont="1" applyFill="1" applyBorder="1"/>
    <xf numFmtId="2" fontId="14" fillId="5" borderId="27" xfId="0" applyNumberFormat="1" applyFont="1" applyFill="1" applyBorder="1"/>
    <xf numFmtId="2" fontId="14" fillId="5" borderId="24" xfId="0" applyNumberFormat="1" applyFont="1" applyFill="1" applyBorder="1"/>
    <xf numFmtId="0" fontId="0" fillId="0" borderId="27" xfId="0" applyFill="1" applyBorder="1"/>
    <xf numFmtId="0" fontId="1" fillId="0" borderId="27" xfId="0" applyFont="1" applyFill="1" applyBorder="1"/>
    <xf numFmtId="2" fontId="0" fillId="0" borderId="0" xfId="0" applyNumberFormat="1" applyFill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0" fontId="4" fillId="0" borderId="19" xfId="0" applyFont="1" applyBorder="1"/>
    <xf numFmtId="0" fontId="4" fillId="0" borderId="20" xfId="0" applyFont="1" applyBorder="1"/>
    <xf numFmtId="0" fontId="4" fillId="0" borderId="7" xfId="0" applyFont="1" applyBorder="1"/>
    <xf numFmtId="0" fontId="4" fillId="0" borderId="23" xfId="0" applyFont="1" applyBorder="1"/>
    <xf numFmtId="0" fontId="26" fillId="0" borderId="7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0" xfId="0" applyFont="1" applyBorder="1" applyAlignment="1">
      <alignment horizontal="right"/>
    </xf>
    <xf numFmtId="0" fontId="26" fillId="0" borderId="23" xfId="0" applyFont="1" applyBorder="1" applyAlignment="1">
      <alignment horizontal="right"/>
    </xf>
    <xf numFmtId="0" fontId="4" fillId="0" borderId="21" xfId="0" applyFont="1" applyBorder="1"/>
    <xf numFmtId="2" fontId="0" fillId="0" borderId="23" xfId="0" applyNumberFormat="1" applyBorder="1"/>
    <xf numFmtId="0" fontId="26" fillId="0" borderId="18" xfId="0" applyFont="1" applyBorder="1" applyAlignment="1">
      <alignment horizontal="right"/>
    </xf>
    <xf numFmtId="2" fontId="0" fillId="0" borderId="18" xfId="0" applyNumberFormat="1" applyBorder="1"/>
    <xf numFmtId="167" fontId="0" fillId="0" borderId="7" xfId="0" applyNumberFormat="1" applyBorder="1"/>
    <xf numFmtId="0" fontId="0" fillId="0" borderId="23" xfId="0" applyBorder="1"/>
    <xf numFmtId="0" fontId="0" fillId="0" borderId="25" xfId="0" applyBorder="1"/>
    <xf numFmtId="2" fontId="0" fillId="0" borderId="26" xfId="0" applyNumberFormat="1" applyBorder="1"/>
    <xf numFmtId="2" fontId="0" fillId="0" borderId="27" xfId="0" applyNumberFormat="1" applyBorder="1"/>
    <xf numFmtId="2" fontId="0" fillId="0" borderId="24" xfId="0" applyNumberFormat="1" applyBorder="1"/>
    <xf numFmtId="1" fontId="6" fillId="0" borderId="7" xfId="0" applyNumberFormat="1" applyFont="1" applyBorder="1" applyAlignment="1">
      <alignment horizontal="right" wrapText="1"/>
    </xf>
    <xf numFmtId="1" fontId="0" fillId="0" borderId="1" xfId="0" applyNumberFormat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0" fontId="0" fillId="0" borderId="4" xfId="0" applyBorder="1"/>
    <xf numFmtId="0" fontId="0" fillId="0" borderId="28" xfId="0" applyBorder="1"/>
    <xf numFmtId="2" fontId="0" fillId="0" borderId="1" xfId="0" applyNumberFormat="1" applyBorder="1"/>
  </cellXfs>
  <cellStyles count="3">
    <cellStyle name="Hyperlink" xfId="1" builtinId="8"/>
    <cellStyle name="Normal" xfId="0" builtinId="0"/>
    <cellStyle name="Percent" xfId="2" builtinId="5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trans!$C$3</c:f>
          <c:strCache>
            <c:ptCount val="1"/>
            <c:pt idx="0">
              <c:v> - </c:v>
            </c:pt>
          </c:strCache>
        </c:strRef>
      </c:tx>
      <c:layout>
        <c:manualLayout>
          <c:xMode val="edge"/>
          <c:yMode val="edge"/>
          <c:x val="0.41218710423434834"/>
          <c:y val="3.2911342668992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566480746109061E-2"/>
          <c:y val="0.13164556962025317"/>
          <c:w val="0.85842444140702256"/>
          <c:h val="0.66835443037974684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trans!$AC$78</c:f>
              <c:strCache>
                <c:ptCount val="1"/>
                <c:pt idx="0">
                  <c:v>M1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trans!$AC$80:$AC$530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78-4F92-B90E-A0412B87E0C8}"/>
            </c:ext>
          </c:extLst>
        </c:ser>
        <c:ser>
          <c:idx val="1"/>
          <c:order val="1"/>
          <c:tx>
            <c:strRef>
              <c:f>trans!$AD$78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trans!$AD$80:$AD$530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78-4F92-B90E-A0412B87E0C8}"/>
            </c:ext>
          </c:extLst>
        </c:ser>
        <c:ser>
          <c:idx val="2"/>
          <c:order val="2"/>
          <c:tx>
            <c:strRef>
              <c:f>trans!$AE$78</c:f>
              <c:strCache>
                <c:ptCount val="1"/>
                <c:pt idx="0">
                  <c:v>M3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trans!$AE$80:$AE$530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78-4F92-B90E-A0412B87E0C8}"/>
            </c:ext>
          </c:extLst>
        </c:ser>
        <c:ser>
          <c:idx val="3"/>
          <c:order val="3"/>
          <c:tx>
            <c:strRef>
              <c:f>trans!$AF$78</c:f>
              <c:strCache>
                <c:ptCount val="1"/>
                <c:pt idx="0">
                  <c:v>M4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trans!$AF$80:$AF$530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78-4F92-B90E-A0412B87E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022368"/>
        <c:axId val="1"/>
      </c:scatterChart>
      <c:valAx>
        <c:axId val="810022368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935557880439767"/>
              <c:y val="0.878481095551678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%</a:t>
                </a:r>
              </a:p>
            </c:rich>
          </c:tx>
          <c:layout>
            <c:manualLayout>
              <c:xMode val="edge"/>
              <c:yMode val="edge"/>
              <c:x val="8.9605932125617176E-3"/>
              <c:y val="0.334177314662014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810022368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642881654219203"/>
          <c:y val="0.93053889390749911"/>
          <c:w val="0.57111972576673131"/>
          <c:h val="5.932397319993163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 Hemispherical Transmittance</a:t>
            </a:r>
          </a:p>
        </c:rich>
      </c:tx>
      <c:layout>
        <c:manualLayout>
          <c:xMode val="edge"/>
          <c:yMode val="edge"/>
          <c:x val="0.28657661166912446"/>
          <c:y val="2.91061055892603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7657940436962E-2"/>
          <c:y val="0.13513527231604924"/>
          <c:w val="0.85067998603646133"/>
          <c:h val="0.73804648726457667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trans!$AL$79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trans!$AL$80:$AL$530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C-4E14-BDFE-16A9DBE15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750960"/>
        <c:axId val="1"/>
      </c:scatterChart>
      <c:valAx>
        <c:axId val="515750960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77984598214976"/>
              <c:y val="0.931393872897035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in %</a:t>
                </a:r>
              </a:p>
            </c:rich>
          </c:tx>
          <c:layout>
            <c:manualLayout>
              <c:xMode val="edge"/>
              <c:yMode val="edge"/>
              <c:x val="7.5415263904732759E-3"/>
              <c:y val="0.3700628200163504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15750960"/>
        <c:crosses val="autoZero"/>
        <c:crossBetween val="midCat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949230250902741"/>
          <c:y val="0.64158322756465824"/>
          <c:w val="0.21449972338676038"/>
          <c:h val="0.171553776066202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trans!$C$3</c:f>
          <c:strCache>
            <c:ptCount val="1"/>
            <c:pt idx="0">
              <c:v> - </c:v>
            </c:pt>
          </c:strCache>
        </c:strRef>
      </c:tx>
      <c:layout>
        <c:manualLayout>
          <c:xMode val="edge"/>
          <c:yMode val="edge"/>
          <c:x val="0.42397182046804821"/>
          <c:y val="3.31324916502225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7656606084216798E-2"/>
          <c:y val="0.13855421686746988"/>
          <c:w val="0.87298824018566934"/>
          <c:h val="0.64759036144578308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trans!$AC$78</c:f>
              <c:strCache>
                <c:ptCount val="1"/>
                <c:pt idx="0">
                  <c:v>M1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trans!$AC$80:$AC$530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FF-4843-B716-F38982B275F9}"/>
            </c:ext>
          </c:extLst>
        </c:ser>
        <c:ser>
          <c:idx val="1"/>
          <c:order val="1"/>
          <c:tx>
            <c:strRef>
              <c:f>trans!$AD$78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trans!$AD$80:$AD$530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FF-4843-B716-F38982B275F9}"/>
            </c:ext>
          </c:extLst>
        </c:ser>
        <c:ser>
          <c:idx val="2"/>
          <c:order val="2"/>
          <c:tx>
            <c:strRef>
              <c:f>trans!$AE$78</c:f>
              <c:strCache>
                <c:ptCount val="1"/>
                <c:pt idx="0">
                  <c:v>M3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trans!$AE$80:$AE$530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FF-4843-B716-F38982B275F9}"/>
            </c:ext>
          </c:extLst>
        </c:ser>
        <c:ser>
          <c:idx val="3"/>
          <c:order val="3"/>
          <c:tx>
            <c:strRef>
              <c:f>trans!$AF$78</c:f>
              <c:strCache>
                <c:ptCount val="1"/>
                <c:pt idx="0">
                  <c:v>M4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trans!$AF$80:$AF$530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FF-4843-B716-F38982B27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384480"/>
        <c:axId val="1"/>
      </c:scatterChart>
      <c:valAx>
        <c:axId val="616384480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291638754360728"/>
              <c:y val="0.86747003339910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8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in %</a:t>
                </a:r>
              </a:p>
            </c:rich>
          </c:tx>
          <c:layout>
            <c:manualLayout>
              <c:xMode val="edge"/>
              <c:yMode val="edge"/>
              <c:x val="8.9445670755590699E-3"/>
              <c:y val="0.328313249165022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16384480"/>
        <c:crosses val="autoZero"/>
        <c:crossBetween val="midCat"/>
        <c:majorUnit val="4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54359123781273"/>
          <c:y val="0.91945180803381565"/>
          <c:w val="0.50515860811229252"/>
          <c:h val="6.81840666631818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Hemispherical Transmittance</a:t>
            </a:r>
          </a:p>
        </c:rich>
      </c:tx>
      <c:layout>
        <c:manualLayout>
          <c:xMode val="edge"/>
          <c:yMode val="edge"/>
          <c:x val="0.30421705996551351"/>
          <c:y val="3.1180361714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397663454842411E-2"/>
          <c:y val="0.13585746102449889"/>
          <c:w val="0.85090424018160549"/>
          <c:h val="0.73051224944320714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trans!$AL$79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trans!$AL$80:$AL$530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BB-433E-8E69-D98E8BC59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532048"/>
        <c:axId val="1"/>
      </c:scatterChart>
      <c:valAx>
        <c:axId val="616532048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620521879634876"/>
              <c:y val="0.928730436473218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8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in %</a:t>
                </a:r>
              </a:p>
            </c:rich>
          </c:tx>
          <c:layout>
            <c:manualLayout>
              <c:xMode val="edge"/>
              <c:yMode val="edge"/>
              <c:x val="7.5301555911942855E-3"/>
              <c:y val="0.3697104991505691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16532048"/>
        <c:crosses val="autoZero"/>
        <c:crossBetween val="midCat"/>
        <c:majorUnit val="4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15377419282801"/>
          <c:y val="0.62880890025907055"/>
          <c:w val="0.21231831805984069"/>
          <c:h val="0.225765123225545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Solar spectra </a:t>
            </a:r>
          </a:p>
        </c:rich>
      </c:tx>
      <c:layout>
        <c:manualLayout>
          <c:xMode val="edge"/>
          <c:yMode val="edge"/>
          <c:x val="0.41322313770057095"/>
          <c:y val="3.3519554656099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2561983471074"/>
          <c:y val="0.16480469405318998"/>
          <c:w val="0.8165289256198347"/>
          <c:h val="0.67597857560799968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trans!$AP$79</c:f>
              <c:strCache>
                <c:ptCount val="1"/>
                <c:pt idx="0">
                  <c:v>E891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trans!$AO$80:$AO$530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trans!$AP$80:$AP$530</c:f>
              <c:numCache>
                <c:formatCode>General</c:formatCode>
                <c:ptCount val="426"/>
                <c:pt idx="0">
                  <c:v>1.3767591169662572E-4</c:v>
                </c:pt>
                <c:pt idx="1">
                  <c:v>1.165356565416736E-4</c:v>
                </c:pt>
                <c:pt idx="2">
                  <c:v>1.1395918794466382E-4</c:v>
                </c:pt>
                <c:pt idx="3">
                  <c:v>1.1607321346015902E-4</c:v>
                </c:pt>
                <c:pt idx="4">
                  <c:v>1.1818723897565425E-4</c:v>
                </c:pt>
                <c:pt idx="5">
                  <c:v>1.2030126449114945E-4</c:v>
                </c:pt>
                <c:pt idx="6">
                  <c:v>1.2241529000664466E-4</c:v>
                </c:pt>
                <c:pt idx="7">
                  <c:v>1.245293155221399E-4</c:v>
                </c:pt>
                <c:pt idx="8">
                  <c:v>1.2657727774027585E-4</c:v>
                </c:pt>
                <c:pt idx="9">
                  <c:v>1.2869130325577109E-4</c:v>
                </c:pt>
                <c:pt idx="10">
                  <c:v>1.3080532877126629E-4</c:v>
                </c:pt>
                <c:pt idx="11">
                  <c:v>1.4467862121670362E-4</c:v>
                </c:pt>
                <c:pt idx="12">
                  <c:v>1.5855191366214095E-4</c:v>
                </c:pt>
                <c:pt idx="13">
                  <c:v>1.724252061075783E-4</c:v>
                </c:pt>
                <c:pt idx="14">
                  <c:v>1.8629849855301563E-4</c:v>
                </c:pt>
                <c:pt idx="15">
                  <c:v>2.0017179099845295E-4</c:v>
                </c:pt>
                <c:pt idx="16">
                  <c:v>2.1404508344389028E-4</c:v>
                </c:pt>
                <c:pt idx="17">
                  <c:v>2.2791837588932763E-4</c:v>
                </c:pt>
                <c:pt idx="18">
                  <c:v>4.2128564725978036E-4</c:v>
                </c:pt>
                <c:pt idx="19">
                  <c:v>4.2399424245150865E-4</c:v>
                </c:pt>
                <c:pt idx="20">
                  <c:v>4.2670283764323689E-4</c:v>
                </c:pt>
                <c:pt idx="21">
                  <c:v>4.2941143283496507E-4</c:v>
                </c:pt>
                <c:pt idx="22">
                  <c:v>4.3007206580855732E-4</c:v>
                </c:pt>
                <c:pt idx="23">
                  <c:v>4.3066663548479035E-4</c:v>
                </c:pt>
                <c:pt idx="24">
                  <c:v>4.3132726845838265E-4</c:v>
                </c:pt>
                <c:pt idx="25">
                  <c:v>4.319879014319749E-4</c:v>
                </c:pt>
                <c:pt idx="26">
                  <c:v>4.326485344055671E-4</c:v>
                </c:pt>
                <c:pt idx="27">
                  <c:v>4.3324310408180013E-4</c:v>
                </c:pt>
                <c:pt idx="28">
                  <c:v>4.3390373705539244E-4</c:v>
                </c:pt>
                <c:pt idx="29">
                  <c:v>4.3456437002898469E-4</c:v>
                </c:pt>
                <c:pt idx="30">
                  <c:v>4.3522500300257689E-4</c:v>
                </c:pt>
                <c:pt idx="31">
                  <c:v>4.3581957267880991E-4</c:v>
                </c:pt>
                <c:pt idx="32">
                  <c:v>4.3648020565240217E-4</c:v>
                </c:pt>
                <c:pt idx="33">
                  <c:v>4.3714083862599447E-4</c:v>
                </c:pt>
                <c:pt idx="34">
                  <c:v>4.377354083022275E-4</c:v>
                </c:pt>
                <c:pt idx="35">
                  <c:v>4.3839604127581975E-4</c:v>
                </c:pt>
                <c:pt idx="36">
                  <c:v>4.4255802900945089E-4</c:v>
                </c:pt>
                <c:pt idx="37">
                  <c:v>4.4903223215065502E-4</c:v>
                </c:pt>
                <c:pt idx="38">
                  <c:v>4.5550643529185914E-4</c:v>
                </c:pt>
                <c:pt idx="39">
                  <c:v>4.6198063843306327E-4</c:v>
                </c:pt>
                <c:pt idx="40">
                  <c:v>4.6845484157426729E-4</c:v>
                </c:pt>
                <c:pt idx="41">
                  <c:v>4.7492904471547136E-4</c:v>
                </c:pt>
                <c:pt idx="42">
                  <c:v>4.8140324785667549E-4</c:v>
                </c:pt>
                <c:pt idx="43">
                  <c:v>4.8787745099787951E-4</c:v>
                </c:pt>
                <c:pt idx="44">
                  <c:v>4.9435165413908369E-4</c:v>
                </c:pt>
                <c:pt idx="45">
                  <c:v>5.0082585728028776E-4</c:v>
                </c:pt>
                <c:pt idx="46">
                  <c:v>5.0611092106902578E-4</c:v>
                </c:pt>
                <c:pt idx="47">
                  <c:v>5.1053716199209393E-4</c:v>
                </c:pt>
                <c:pt idx="48">
                  <c:v>5.1502946621252114E-4</c:v>
                </c:pt>
                <c:pt idx="49">
                  <c:v>5.1952177043294856E-4</c:v>
                </c:pt>
                <c:pt idx="50">
                  <c:v>5.239480113560166E-4</c:v>
                </c:pt>
                <c:pt idx="51">
                  <c:v>5.2844031557644391E-4</c:v>
                </c:pt>
                <c:pt idx="52">
                  <c:v>5.3293261979687134E-4</c:v>
                </c:pt>
                <c:pt idx="53">
                  <c:v>5.3742492401729854E-4</c:v>
                </c:pt>
                <c:pt idx="54">
                  <c:v>5.4185116494036669E-4</c:v>
                </c:pt>
                <c:pt idx="55">
                  <c:v>5.4634346916079401E-4</c:v>
                </c:pt>
                <c:pt idx="56">
                  <c:v>5.2143760605636615E-4</c:v>
                </c:pt>
                <c:pt idx="57">
                  <c:v>4.9653174295193807E-4</c:v>
                </c:pt>
                <c:pt idx="58">
                  <c:v>4.716258798475101E-4</c:v>
                </c:pt>
                <c:pt idx="59">
                  <c:v>4.4665395344572291E-4</c:v>
                </c:pt>
                <c:pt idx="60">
                  <c:v>4.2174809034129494E-4</c:v>
                </c:pt>
                <c:pt idx="61">
                  <c:v>3.9684222723686697E-4</c:v>
                </c:pt>
                <c:pt idx="62">
                  <c:v>3.7193636413243895E-4</c:v>
                </c:pt>
                <c:pt idx="63">
                  <c:v>4.1289560849515876E-4</c:v>
                </c:pt>
                <c:pt idx="64">
                  <c:v>4.5385485285787851E-4</c:v>
                </c:pt>
                <c:pt idx="65">
                  <c:v>4.9481409722059821E-4</c:v>
                </c:pt>
                <c:pt idx="66">
                  <c:v>5.357072782859588E-4</c:v>
                </c:pt>
                <c:pt idx="67">
                  <c:v>5.7666652264867855E-4</c:v>
                </c:pt>
                <c:pt idx="68">
                  <c:v>5.9952442353497048E-4</c:v>
                </c:pt>
                <c:pt idx="69">
                  <c:v>5.2711904962925952E-4</c:v>
                </c:pt>
                <c:pt idx="70">
                  <c:v>4.5471367572354839E-4</c:v>
                </c:pt>
                <c:pt idx="71">
                  <c:v>3.8230830181783736E-4</c:v>
                </c:pt>
                <c:pt idx="72">
                  <c:v>3.0996899120948557E-4</c:v>
                </c:pt>
                <c:pt idx="73">
                  <c:v>2.3756361730377455E-4</c:v>
                </c:pt>
                <c:pt idx="74">
                  <c:v>1.651582433980635E-4</c:v>
                </c:pt>
                <c:pt idx="75">
                  <c:v>2.6405499954482392E-4</c:v>
                </c:pt>
                <c:pt idx="76">
                  <c:v>3.630178189889436E-4</c:v>
                </c:pt>
                <c:pt idx="77">
                  <c:v>4.6198063843306327E-4</c:v>
                </c:pt>
                <c:pt idx="78">
                  <c:v>5.6087739457982367E-4</c:v>
                </c:pt>
                <c:pt idx="79">
                  <c:v>4.7189013303694706E-4</c:v>
                </c:pt>
                <c:pt idx="80">
                  <c:v>3.8290287149407039E-4</c:v>
                </c:pt>
                <c:pt idx="81">
                  <c:v>2.9391560995119378E-4</c:v>
                </c:pt>
                <c:pt idx="82">
                  <c:v>2.0492834840831717E-4</c:v>
                </c:pt>
                <c:pt idx="83">
                  <c:v>1.2776641709274191E-4</c:v>
                </c:pt>
                <c:pt idx="84">
                  <c:v>1.1270398529483852E-4</c:v>
                </c:pt>
                <c:pt idx="85">
                  <c:v>9.764155349693513E-5</c:v>
                </c:pt>
                <c:pt idx="86">
                  <c:v>8.2579121699031749E-5</c:v>
                </c:pt>
                <c:pt idx="87">
                  <c:v>6.7516689901128354E-5</c:v>
                </c:pt>
                <c:pt idx="88">
                  <c:v>5.2454258103224966E-5</c:v>
                </c:pt>
                <c:pt idx="89">
                  <c:v>3.7391826305321579E-5</c:v>
                </c:pt>
                <c:pt idx="90">
                  <c:v>2.2329394507418184E-5</c:v>
                </c:pt>
                <c:pt idx="91">
                  <c:v>7.2669627095147946E-6</c:v>
                </c:pt>
                <c:pt idx="92">
                  <c:v>7.6633424936701461E-6</c:v>
                </c:pt>
                <c:pt idx="93">
                  <c:v>8.0597222778254975E-6</c:v>
                </c:pt>
                <c:pt idx="94">
                  <c:v>8.3900387646216253E-6</c:v>
                </c:pt>
                <c:pt idx="95">
                  <c:v>8.7864185487769785E-6</c:v>
                </c:pt>
                <c:pt idx="96">
                  <c:v>9.1827983329323299E-6</c:v>
                </c:pt>
                <c:pt idx="97">
                  <c:v>9.579178117087683E-6</c:v>
                </c:pt>
                <c:pt idx="98">
                  <c:v>9.9755579012430344E-6</c:v>
                </c:pt>
                <c:pt idx="99">
                  <c:v>1.0371937685398388E-5</c:v>
                </c:pt>
                <c:pt idx="100">
                  <c:v>1.0768317469553739E-5</c:v>
                </c:pt>
                <c:pt idx="101">
                  <c:v>1.1098633956349867E-5</c:v>
                </c:pt>
                <c:pt idx="102">
                  <c:v>1.149501374050522E-5</c:v>
                </c:pt>
                <c:pt idx="103">
                  <c:v>1.1891393524660571E-5</c:v>
                </c:pt>
                <c:pt idx="104">
                  <c:v>2.6623508835767838E-5</c:v>
                </c:pt>
                <c:pt idx="105">
                  <c:v>4.1421687444234318E-5</c:v>
                </c:pt>
                <c:pt idx="106">
                  <c:v>5.6153802755341586E-5</c:v>
                </c:pt>
                <c:pt idx="107">
                  <c:v>7.0885918066448855E-5</c:v>
                </c:pt>
                <c:pt idx="108">
                  <c:v>8.5684096674915348E-5</c:v>
                </c:pt>
                <c:pt idx="109">
                  <c:v>1.004162119860226E-4</c:v>
                </c:pt>
                <c:pt idx="110">
                  <c:v>1.1514832729712987E-4</c:v>
                </c:pt>
                <c:pt idx="111">
                  <c:v>1.2994650590559637E-4</c:v>
                </c:pt>
                <c:pt idx="112">
                  <c:v>1.4467862121670362E-4</c:v>
                </c:pt>
                <c:pt idx="113">
                  <c:v>1.5941073652781087E-4</c:v>
                </c:pt>
                <c:pt idx="114">
                  <c:v>1.7420891513627738E-4</c:v>
                </c:pt>
                <c:pt idx="115">
                  <c:v>1.8894103044738464E-4</c:v>
                </c:pt>
                <c:pt idx="116">
                  <c:v>2.6028939159534808E-4</c:v>
                </c:pt>
                <c:pt idx="117">
                  <c:v>3.316377527433115E-4</c:v>
                </c:pt>
                <c:pt idx="118">
                  <c:v>4.0298611389127492E-4</c:v>
                </c:pt>
                <c:pt idx="119">
                  <c:v>4.7433447503923834E-4</c:v>
                </c:pt>
                <c:pt idx="120">
                  <c:v>5.4568283618720175E-4</c:v>
                </c:pt>
                <c:pt idx="121">
                  <c:v>6.1703119733516523E-4</c:v>
                </c:pt>
                <c:pt idx="122">
                  <c:v>6.883795584831287E-4</c:v>
                </c:pt>
                <c:pt idx="123">
                  <c:v>7.5972791963109206E-4</c:v>
                </c:pt>
                <c:pt idx="124">
                  <c:v>8.3107628077905553E-4</c:v>
                </c:pt>
                <c:pt idx="125">
                  <c:v>9.024246419270189E-4</c:v>
                </c:pt>
                <c:pt idx="126">
                  <c:v>9.7377300307498237E-4</c:v>
                </c:pt>
                <c:pt idx="127">
                  <c:v>1.0451213642229456E-3</c:v>
                </c:pt>
                <c:pt idx="128">
                  <c:v>1.0689041512722669E-3</c:v>
                </c:pt>
                <c:pt idx="129">
                  <c:v>1.0926208750242287E-3</c:v>
                </c:pt>
                <c:pt idx="130">
                  <c:v>1.11640366207355E-3</c:v>
                </c:pt>
                <c:pt idx="131">
                  <c:v>1.1401864491228711E-3</c:v>
                </c:pt>
                <c:pt idx="132">
                  <c:v>1.1639031728748331E-3</c:v>
                </c:pt>
                <c:pt idx="133">
                  <c:v>1.1876859599241542E-3</c:v>
                </c:pt>
                <c:pt idx="134">
                  <c:v>1.2114687469734753E-3</c:v>
                </c:pt>
                <c:pt idx="135">
                  <c:v>1.2351854707254373E-3</c:v>
                </c:pt>
                <c:pt idx="136">
                  <c:v>1.2589682577747584E-3</c:v>
                </c:pt>
                <c:pt idx="137">
                  <c:v>1.2827510448240795E-3</c:v>
                </c:pt>
                <c:pt idx="138">
                  <c:v>1.3064677685760413E-3</c:v>
                </c:pt>
                <c:pt idx="139">
                  <c:v>1.3302505556253626E-3</c:v>
                </c:pt>
                <c:pt idx="140">
                  <c:v>1.3478894560202757E-3</c:v>
                </c:pt>
                <c:pt idx="141">
                  <c:v>1.3613663686815576E-3</c:v>
                </c:pt>
                <c:pt idx="142">
                  <c:v>1.3749093446401991E-3</c:v>
                </c:pt>
                <c:pt idx="143">
                  <c:v>1.3884523205988401E-3</c:v>
                </c:pt>
                <c:pt idx="144">
                  <c:v>1.4019952965574813E-3</c:v>
                </c:pt>
                <c:pt idx="145">
                  <c:v>1.4154722092187633E-3</c:v>
                </c:pt>
                <c:pt idx="146">
                  <c:v>1.4299400713404335E-3</c:v>
                </c:pt>
                <c:pt idx="147">
                  <c:v>1.4481074781142207E-3</c:v>
                </c:pt>
                <c:pt idx="148">
                  <c:v>1.4662748848880075E-3</c:v>
                </c:pt>
                <c:pt idx="149">
                  <c:v>1.4844422916617946E-3</c:v>
                </c:pt>
                <c:pt idx="150">
                  <c:v>1.4609898210992697E-3</c:v>
                </c:pt>
                <c:pt idx="151">
                  <c:v>1.4375373505367446E-3</c:v>
                </c:pt>
                <c:pt idx="152">
                  <c:v>1.4140848799742197E-3</c:v>
                </c:pt>
                <c:pt idx="153">
                  <c:v>1.3906324094116946E-3</c:v>
                </c:pt>
                <c:pt idx="154">
                  <c:v>1.4214839692784527E-3</c:v>
                </c:pt>
                <c:pt idx="155">
                  <c:v>1.452269465847852E-3</c:v>
                </c:pt>
                <c:pt idx="156">
                  <c:v>1.4831210257146101E-3</c:v>
                </c:pt>
                <c:pt idx="157">
                  <c:v>1.4969282548626883E-3</c:v>
                </c:pt>
                <c:pt idx="158">
                  <c:v>1.485102924635387E-3</c:v>
                </c:pt>
                <c:pt idx="159">
                  <c:v>1.4732775944080855E-3</c:v>
                </c:pt>
                <c:pt idx="160">
                  <c:v>1.4964658117811737E-3</c:v>
                </c:pt>
                <c:pt idx="161">
                  <c:v>1.5429083098247092E-3</c:v>
                </c:pt>
                <c:pt idx="162">
                  <c:v>1.5893508078682447E-3</c:v>
                </c:pt>
                <c:pt idx="163">
                  <c:v>1.6357933059117803E-3</c:v>
                </c:pt>
                <c:pt idx="164">
                  <c:v>1.6462973701918968E-3</c:v>
                </c:pt>
                <c:pt idx="165">
                  <c:v>1.6455046106235863E-3</c:v>
                </c:pt>
                <c:pt idx="166">
                  <c:v>1.6446457877579161E-3</c:v>
                </c:pt>
                <c:pt idx="167">
                  <c:v>1.6438530281896056E-3</c:v>
                </c:pt>
                <c:pt idx="168">
                  <c:v>1.630442178825683E-3</c:v>
                </c:pt>
                <c:pt idx="169">
                  <c:v>1.6139263544858765E-3</c:v>
                </c:pt>
                <c:pt idx="170">
                  <c:v>1.5974105301460701E-3</c:v>
                </c:pt>
                <c:pt idx="171">
                  <c:v>1.5808947058062639E-3</c:v>
                </c:pt>
                <c:pt idx="172">
                  <c:v>1.4771753289522798E-3</c:v>
                </c:pt>
                <c:pt idx="173">
                  <c:v>1.3735220153956553E-3</c:v>
                </c:pt>
                <c:pt idx="174">
                  <c:v>1.2698026385416714E-3</c:v>
                </c:pt>
                <c:pt idx="175">
                  <c:v>1.1661493249850467E-3</c:v>
                </c:pt>
                <c:pt idx="176">
                  <c:v>1.0578055173159171E-3</c:v>
                </c:pt>
                <c:pt idx="177">
                  <c:v>9.4252506342406867E-4</c:v>
                </c:pt>
                <c:pt idx="178">
                  <c:v>8.2724460953222047E-4</c:v>
                </c:pt>
                <c:pt idx="179">
                  <c:v>7.1196415564037205E-4</c:v>
                </c:pt>
                <c:pt idx="180">
                  <c:v>6.4253163011582628E-4</c:v>
                </c:pt>
                <c:pt idx="181">
                  <c:v>6.4187099714223391E-4</c:v>
                </c:pt>
                <c:pt idx="182">
                  <c:v>6.4114430087128249E-4</c:v>
                </c:pt>
                <c:pt idx="183">
                  <c:v>6.0329003148444627E-4</c:v>
                </c:pt>
                <c:pt idx="184">
                  <c:v>5.2830818898172546E-4</c:v>
                </c:pt>
                <c:pt idx="185">
                  <c:v>4.5339240977636388E-4</c:v>
                </c:pt>
                <c:pt idx="186">
                  <c:v>3.7841056727364308E-4</c:v>
                </c:pt>
                <c:pt idx="187">
                  <c:v>3.2344590387076757E-4</c:v>
                </c:pt>
                <c:pt idx="188">
                  <c:v>2.8849841956773731E-4</c:v>
                </c:pt>
                <c:pt idx="189">
                  <c:v>2.5361699856206628E-4</c:v>
                </c:pt>
                <c:pt idx="190">
                  <c:v>2.187355775563953E-4</c:v>
                </c:pt>
                <c:pt idx="191">
                  <c:v>1.8378809325336507E-4</c:v>
                </c:pt>
                <c:pt idx="192">
                  <c:v>1.4890667224769404E-4</c:v>
                </c:pt>
                <c:pt idx="193">
                  <c:v>1.1395918794466382E-4</c:v>
                </c:pt>
                <c:pt idx="194">
                  <c:v>7.9077766938992811E-5</c:v>
                </c:pt>
                <c:pt idx="195">
                  <c:v>4.4130282635962566E-5</c:v>
                </c:pt>
                <c:pt idx="196">
                  <c:v>9.2488616302915551E-6</c:v>
                </c:pt>
                <c:pt idx="197">
                  <c:v>3.0323053487884458E-5</c:v>
                </c:pt>
                <c:pt idx="198">
                  <c:v>5.1397245345477363E-5</c:v>
                </c:pt>
                <c:pt idx="199">
                  <c:v>7.247143720307026E-5</c:v>
                </c:pt>
                <c:pt idx="200">
                  <c:v>9.3545629060663165E-5</c:v>
                </c:pt>
                <c:pt idx="201">
                  <c:v>1.1455375762089684E-4</c:v>
                </c:pt>
                <c:pt idx="202">
                  <c:v>1.3562794947848974E-4</c:v>
                </c:pt>
                <c:pt idx="203">
                  <c:v>1.5670214133608264E-4</c:v>
                </c:pt>
                <c:pt idx="204">
                  <c:v>1.7777633319367554E-4</c:v>
                </c:pt>
                <c:pt idx="205">
                  <c:v>1.9885052505126845E-4</c:v>
                </c:pt>
                <c:pt idx="206">
                  <c:v>4.117064691426927E-4</c:v>
                </c:pt>
                <c:pt idx="207">
                  <c:v>6.2449634993675773E-4</c:v>
                </c:pt>
                <c:pt idx="208">
                  <c:v>8.3735229402818188E-4</c:v>
                </c:pt>
                <c:pt idx="209">
                  <c:v>1.0502082381196062E-3</c:v>
                </c:pt>
                <c:pt idx="210">
                  <c:v>1.2629981189136712E-3</c:v>
                </c:pt>
                <c:pt idx="211">
                  <c:v>1.4758540630050955E-3</c:v>
                </c:pt>
                <c:pt idx="212">
                  <c:v>1.6325562043411779E-3</c:v>
                </c:pt>
                <c:pt idx="213">
                  <c:v>1.7891922823799014E-3</c:v>
                </c:pt>
                <c:pt idx="214">
                  <c:v>1.9458944237159841E-3</c:v>
                </c:pt>
                <c:pt idx="215">
                  <c:v>2.1025965650520667E-3</c:v>
                </c:pt>
                <c:pt idx="216">
                  <c:v>2.2592326430907902E-3</c:v>
                </c:pt>
                <c:pt idx="217">
                  <c:v>2.4159347844268726E-3</c:v>
                </c:pt>
                <c:pt idx="218">
                  <c:v>2.450684078837825E-3</c:v>
                </c:pt>
                <c:pt idx="219">
                  <c:v>2.4854994365461373E-3</c:v>
                </c:pt>
                <c:pt idx="220">
                  <c:v>2.5202487309570897E-3</c:v>
                </c:pt>
                <c:pt idx="221">
                  <c:v>2.554998025368042E-3</c:v>
                </c:pt>
                <c:pt idx="222">
                  <c:v>2.5898133830763539E-3</c:v>
                </c:pt>
                <c:pt idx="223">
                  <c:v>2.6245626774873063E-3</c:v>
                </c:pt>
                <c:pt idx="224">
                  <c:v>2.6593780351956186E-3</c:v>
                </c:pt>
                <c:pt idx="225">
                  <c:v>2.6941273296065709E-3</c:v>
                </c:pt>
                <c:pt idx="226">
                  <c:v>2.7288766240175233E-3</c:v>
                </c:pt>
                <c:pt idx="227">
                  <c:v>2.7636919817258352E-3</c:v>
                </c:pt>
                <c:pt idx="228">
                  <c:v>2.798441276136788E-3</c:v>
                </c:pt>
                <c:pt idx="229">
                  <c:v>2.7527915376615629E-3</c:v>
                </c:pt>
                <c:pt idx="230">
                  <c:v>2.7070757358889789E-3</c:v>
                </c:pt>
                <c:pt idx="231">
                  <c:v>2.6614259974137543E-3</c:v>
                </c:pt>
                <c:pt idx="232">
                  <c:v>2.6157101956411702E-3</c:v>
                </c:pt>
                <c:pt idx="233">
                  <c:v>2.5700604571659456E-3</c:v>
                </c:pt>
                <c:pt idx="234">
                  <c:v>2.524344655393362E-3</c:v>
                </c:pt>
                <c:pt idx="235">
                  <c:v>2.4786949169181369E-3</c:v>
                </c:pt>
                <c:pt idx="236">
                  <c:v>2.5308849218319252E-3</c:v>
                </c:pt>
                <c:pt idx="237">
                  <c:v>2.583074926745713E-3</c:v>
                </c:pt>
                <c:pt idx="238">
                  <c:v>2.6352649316595009E-3</c:v>
                </c:pt>
                <c:pt idx="239">
                  <c:v>2.6874549365732891E-3</c:v>
                </c:pt>
                <c:pt idx="240">
                  <c:v>2.505054172564468E-3</c:v>
                </c:pt>
                <c:pt idx="241">
                  <c:v>2.3227194718530055E-3</c:v>
                </c:pt>
                <c:pt idx="242">
                  <c:v>2.1403187078441847E-3</c:v>
                </c:pt>
                <c:pt idx="243">
                  <c:v>1.9440446513899257E-3</c:v>
                </c:pt>
                <c:pt idx="244">
                  <c:v>1.6918810453697625E-3</c:v>
                </c:pt>
                <c:pt idx="245">
                  <c:v>1.4397174393495991E-3</c:v>
                </c:pt>
                <c:pt idx="246">
                  <c:v>1.1876198966267949E-3</c:v>
                </c:pt>
                <c:pt idx="247">
                  <c:v>9.3545629060663162E-4</c:v>
                </c:pt>
                <c:pt idx="248">
                  <c:v>8.800291841222416E-4</c:v>
                </c:pt>
                <c:pt idx="249">
                  <c:v>1.1197728902388705E-3</c:v>
                </c:pt>
                <c:pt idx="250">
                  <c:v>8.8392691866643594E-4</c:v>
                </c:pt>
                <c:pt idx="251">
                  <c:v>6.4808094709400109E-4</c:v>
                </c:pt>
                <c:pt idx="252">
                  <c:v>1.090903229292889E-3</c:v>
                </c:pt>
                <c:pt idx="253">
                  <c:v>1.5336594481944177E-3</c:v>
                </c:pt>
                <c:pt idx="254">
                  <c:v>1.9764156670959462E-3</c:v>
                </c:pt>
                <c:pt idx="255">
                  <c:v>2.419237949294834E-3</c:v>
                </c:pt>
                <c:pt idx="256">
                  <c:v>2.610293005257714E-3</c:v>
                </c:pt>
                <c:pt idx="257">
                  <c:v>2.8012819979232341E-3</c:v>
                </c:pt>
                <c:pt idx="258">
                  <c:v>2.9923370538861142E-3</c:v>
                </c:pt>
                <c:pt idx="259">
                  <c:v>3.1833921098489942E-3</c:v>
                </c:pt>
                <c:pt idx="260">
                  <c:v>3.3743811025145148E-3</c:v>
                </c:pt>
                <c:pt idx="261">
                  <c:v>3.5654361584773948E-3</c:v>
                </c:pt>
                <c:pt idx="262">
                  <c:v>3.613001732576037E-3</c:v>
                </c:pt>
                <c:pt idx="263">
                  <c:v>3.6605673066746796E-3</c:v>
                </c:pt>
                <c:pt idx="264">
                  <c:v>3.7081328807733213E-3</c:v>
                </c:pt>
                <c:pt idx="265">
                  <c:v>3.7556984548719639E-3</c:v>
                </c:pt>
                <c:pt idx="266">
                  <c:v>3.8032640289706065E-3</c:v>
                </c:pt>
                <c:pt idx="267">
                  <c:v>3.8508296030692482E-3</c:v>
                </c:pt>
                <c:pt idx="268">
                  <c:v>3.8843897581277349E-3</c:v>
                </c:pt>
                <c:pt idx="269">
                  <c:v>3.917883849888862E-3</c:v>
                </c:pt>
                <c:pt idx="270">
                  <c:v>3.9514440049473491E-3</c:v>
                </c:pt>
                <c:pt idx="271">
                  <c:v>3.9849380967084767E-3</c:v>
                </c:pt>
                <c:pt idx="272">
                  <c:v>4.018498251766962E-3</c:v>
                </c:pt>
                <c:pt idx="273">
                  <c:v>4.0519923435280896E-3</c:v>
                </c:pt>
                <c:pt idx="274">
                  <c:v>4.0855524985865758E-3</c:v>
                </c:pt>
                <c:pt idx="275">
                  <c:v>4.1190465903477034E-3</c:v>
                </c:pt>
                <c:pt idx="276">
                  <c:v>4.1526067454061904E-3</c:v>
                </c:pt>
                <c:pt idx="277">
                  <c:v>4.0249724549081666E-3</c:v>
                </c:pt>
                <c:pt idx="278">
                  <c:v>3.8282359553723933E-3</c:v>
                </c:pt>
                <c:pt idx="279">
                  <c:v>3.6314994558366205E-3</c:v>
                </c:pt>
                <c:pt idx="280">
                  <c:v>3.4146136506062832E-3</c:v>
                </c:pt>
                <c:pt idx="281">
                  <c:v>3.1976617820785869E-3</c:v>
                </c:pt>
                <c:pt idx="282">
                  <c:v>2.98077597684825E-3</c:v>
                </c:pt>
                <c:pt idx="283">
                  <c:v>2.6314332604126661E-3</c:v>
                </c:pt>
                <c:pt idx="284">
                  <c:v>2.2820905439770822E-3</c:v>
                </c:pt>
                <c:pt idx="285">
                  <c:v>1.932681764244139E-3</c:v>
                </c:pt>
                <c:pt idx="286">
                  <c:v>1.707934426628054E-3</c:v>
                </c:pt>
                <c:pt idx="287">
                  <c:v>1.5661625904951565E-3</c:v>
                </c:pt>
                <c:pt idx="288">
                  <c:v>1.7150031994454915E-3</c:v>
                </c:pt>
                <c:pt idx="289">
                  <c:v>2.2996633810746362E-3</c:v>
                </c:pt>
                <c:pt idx="290">
                  <c:v>3.873951757144977E-3</c:v>
                </c:pt>
                <c:pt idx="291">
                  <c:v>3.803924661944198E-3</c:v>
                </c:pt>
                <c:pt idx="292">
                  <c:v>3.7338975667434199E-3</c:v>
                </c:pt>
                <c:pt idx="293">
                  <c:v>3.9492639161344944E-3</c:v>
                </c:pt>
                <c:pt idx="294">
                  <c:v>4.1646302655255693E-3</c:v>
                </c:pt>
                <c:pt idx="295">
                  <c:v>4.3600454991141579E-3</c:v>
                </c:pt>
                <c:pt idx="296">
                  <c:v>4.5554607327027465E-3</c:v>
                </c:pt>
                <c:pt idx="297">
                  <c:v>4.750875966291335E-3</c:v>
                </c:pt>
                <c:pt idx="298">
                  <c:v>4.9462911998799245E-3</c:v>
                </c:pt>
                <c:pt idx="299">
                  <c:v>5.1417064334685122E-3</c:v>
                </c:pt>
                <c:pt idx="300">
                  <c:v>5.2026828569310775E-3</c:v>
                </c:pt>
                <c:pt idx="301">
                  <c:v>5.2635932170962832E-3</c:v>
                </c:pt>
                <c:pt idx="302">
                  <c:v>5.3245035772614899E-3</c:v>
                </c:pt>
                <c:pt idx="303">
                  <c:v>5.3854800007240543E-3</c:v>
                </c:pt>
                <c:pt idx="304">
                  <c:v>5.3600456312407532E-3</c:v>
                </c:pt>
                <c:pt idx="305">
                  <c:v>5.3346112617574512E-3</c:v>
                </c:pt>
                <c:pt idx="306">
                  <c:v>5.3091768922741492E-3</c:v>
                </c:pt>
                <c:pt idx="307">
                  <c:v>5.2837425227908472E-3</c:v>
                </c:pt>
                <c:pt idx="308">
                  <c:v>5.1504267887199301E-3</c:v>
                </c:pt>
                <c:pt idx="309">
                  <c:v>4.9233672356962729E-3</c:v>
                </c:pt>
                <c:pt idx="310">
                  <c:v>4.4774399785215014E-3</c:v>
                </c:pt>
                <c:pt idx="311">
                  <c:v>4.525930438783173E-3</c:v>
                </c:pt>
                <c:pt idx="312">
                  <c:v>4.7703646390123066E-3</c:v>
                </c:pt>
                <c:pt idx="313">
                  <c:v>5.1035879108922398E-3</c:v>
                </c:pt>
                <c:pt idx="314">
                  <c:v>5.4367451194748135E-3</c:v>
                </c:pt>
                <c:pt idx="315">
                  <c:v>5.7699683913547458E-3</c:v>
                </c:pt>
                <c:pt idx="316">
                  <c:v>5.8286325994097382E-3</c:v>
                </c:pt>
                <c:pt idx="317">
                  <c:v>5.8872307441673712E-3</c:v>
                </c:pt>
                <c:pt idx="318">
                  <c:v>5.9458949522223636E-3</c:v>
                </c:pt>
                <c:pt idx="319">
                  <c:v>6.0044930969799966E-3</c:v>
                </c:pt>
                <c:pt idx="320">
                  <c:v>5.7978471028403396E-3</c:v>
                </c:pt>
                <c:pt idx="321">
                  <c:v>5.5912011087006826E-3</c:v>
                </c:pt>
                <c:pt idx="322">
                  <c:v>4.4774399785215014E-3</c:v>
                </c:pt>
                <c:pt idx="323">
                  <c:v>4.8457428612991831E-3</c:v>
                </c:pt>
                <c:pt idx="324">
                  <c:v>6.2710585018244712E-3</c:v>
                </c:pt>
                <c:pt idx="325">
                  <c:v>6.3370557358863374E-3</c:v>
                </c:pt>
                <c:pt idx="326">
                  <c:v>6.3759009547335616E-3</c:v>
                </c:pt>
                <c:pt idx="327">
                  <c:v>6.4147461735807858E-3</c:v>
                </c:pt>
                <c:pt idx="328">
                  <c:v>6.1432920847317284E-3</c:v>
                </c:pt>
                <c:pt idx="329">
                  <c:v>5.8718379958826719E-3</c:v>
                </c:pt>
                <c:pt idx="330">
                  <c:v>5.6003839070336145E-3</c:v>
                </c:pt>
                <c:pt idx="331">
                  <c:v>5.4501559688387357E-3</c:v>
                </c:pt>
                <c:pt idx="332">
                  <c:v>5.8562470577058949E-3</c:v>
                </c:pt>
                <c:pt idx="333">
                  <c:v>6.6221849272887533E-3</c:v>
                </c:pt>
                <c:pt idx="334">
                  <c:v>6.3856783227427272E-3</c:v>
                </c:pt>
                <c:pt idx="335">
                  <c:v>6.1491717181966993E-3</c:v>
                </c:pt>
                <c:pt idx="336">
                  <c:v>5.9126651136506732E-3</c:v>
                </c:pt>
                <c:pt idx="337">
                  <c:v>5.6761585091046462E-3</c:v>
                </c:pt>
                <c:pt idx="338">
                  <c:v>5.985004424259025E-3</c:v>
                </c:pt>
                <c:pt idx="339">
                  <c:v>6.2938503394134038E-3</c:v>
                </c:pt>
                <c:pt idx="340">
                  <c:v>6.6026962545677826E-3</c:v>
                </c:pt>
                <c:pt idx="341">
                  <c:v>6.9115421697221614E-3</c:v>
                </c:pt>
                <c:pt idx="342">
                  <c:v>6.9371086658001806E-3</c:v>
                </c:pt>
                <c:pt idx="343">
                  <c:v>6.9627412251755611E-3</c:v>
                </c:pt>
                <c:pt idx="344">
                  <c:v>6.9883077212535803E-3</c:v>
                </c:pt>
                <c:pt idx="345">
                  <c:v>7.0139402806289608E-3</c:v>
                </c:pt>
                <c:pt idx="346">
                  <c:v>7.0146009136025523E-3</c:v>
                </c:pt>
                <c:pt idx="347">
                  <c:v>7.0152615465761455E-3</c:v>
                </c:pt>
                <c:pt idx="348">
                  <c:v>7.015922179549737E-3</c:v>
                </c:pt>
                <c:pt idx="349">
                  <c:v>7.0165828125233285E-3</c:v>
                </c:pt>
                <c:pt idx="350">
                  <c:v>7.0607130951592916E-3</c:v>
                </c:pt>
                <c:pt idx="351">
                  <c:v>7.1047773144978961E-3</c:v>
                </c:pt>
                <c:pt idx="352">
                  <c:v>7.1489075971338583E-3</c:v>
                </c:pt>
                <c:pt idx="353">
                  <c:v>7.1929718164724611E-3</c:v>
                </c:pt>
                <c:pt idx="354">
                  <c:v>7.0864777811293902E-3</c:v>
                </c:pt>
                <c:pt idx="355">
                  <c:v>6.979917682488959E-3</c:v>
                </c:pt>
                <c:pt idx="356">
                  <c:v>6.8734236471458881E-3</c:v>
                </c:pt>
                <c:pt idx="357">
                  <c:v>6.7668635485054569E-3</c:v>
                </c:pt>
                <c:pt idx="358">
                  <c:v>6.8710453684409558E-3</c:v>
                </c:pt>
                <c:pt idx="359">
                  <c:v>6.9752932516738133E-3</c:v>
                </c:pt>
                <c:pt idx="360">
                  <c:v>7.0795411349066717E-3</c:v>
                </c:pt>
                <c:pt idx="361">
                  <c:v>7.1837229548421706E-3</c:v>
                </c:pt>
                <c:pt idx="362">
                  <c:v>7.2081663748650828E-3</c:v>
                </c:pt>
                <c:pt idx="363">
                  <c:v>7.2326097948879958E-3</c:v>
                </c:pt>
                <c:pt idx="364">
                  <c:v>7.2570532149109097E-3</c:v>
                </c:pt>
                <c:pt idx="365">
                  <c:v>7.2814966349338235E-3</c:v>
                </c:pt>
                <c:pt idx="366">
                  <c:v>7.2160939705481902E-3</c:v>
                </c:pt>
                <c:pt idx="367">
                  <c:v>7.1506913061625578E-3</c:v>
                </c:pt>
                <c:pt idx="368">
                  <c:v>7.158949218332461E-3</c:v>
                </c:pt>
                <c:pt idx="369">
                  <c:v>7.1672071305023642E-3</c:v>
                </c:pt>
                <c:pt idx="370">
                  <c:v>6.9247548291940068E-3</c:v>
                </c:pt>
                <c:pt idx="371">
                  <c:v>6.6823025278856486E-3</c:v>
                </c:pt>
                <c:pt idx="372">
                  <c:v>6.8646372285971107E-3</c:v>
                </c:pt>
                <c:pt idx="373">
                  <c:v>7.0469719293085736E-3</c:v>
                </c:pt>
                <c:pt idx="374">
                  <c:v>6.9148453345901223E-3</c:v>
                </c:pt>
                <c:pt idx="375">
                  <c:v>6.7827187398716718E-3</c:v>
                </c:pt>
                <c:pt idx="376">
                  <c:v>6.7113703787237081E-3</c:v>
                </c:pt>
                <c:pt idx="377">
                  <c:v>6.6400220175757444E-3</c:v>
                </c:pt>
                <c:pt idx="378">
                  <c:v>6.7754517771621559E-3</c:v>
                </c:pt>
                <c:pt idx="379">
                  <c:v>6.9108815367485681E-3</c:v>
                </c:pt>
                <c:pt idx="380">
                  <c:v>6.7519993065996318E-3</c:v>
                </c:pt>
                <c:pt idx="381">
                  <c:v>6.5931170764506946E-3</c:v>
                </c:pt>
                <c:pt idx="382">
                  <c:v>6.5666917575070045E-3</c:v>
                </c:pt>
                <c:pt idx="383">
                  <c:v>6.5402664385633144E-3</c:v>
                </c:pt>
                <c:pt idx="384">
                  <c:v>6.4299407319734075E-3</c:v>
                </c:pt>
                <c:pt idx="385">
                  <c:v>6.3196150253835015E-3</c:v>
                </c:pt>
                <c:pt idx="386">
                  <c:v>5.7973846597588249E-3</c:v>
                </c:pt>
                <c:pt idx="387">
                  <c:v>5.2751542941341482E-3</c:v>
                </c:pt>
                <c:pt idx="388">
                  <c:v>4.757878675811413E-3</c:v>
                </c:pt>
                <c:pt idx="389">
                  <c:v>4.2406030574886778E-3</c:v>
                </c:pt>
                <c:pt idx="390">
                  <c:v>4.4021278195319844E-3</c:v>
                </c:pt>
                <c:pt idx="391">
                  <c:v>4.5636525815752902E-3</c:v>
                </c:pt>
                <c:pt idx="392">
                  <c:v>4.4496933936306266E-3</c:v>
                </c:pt>
                <c:pt idx="393">
                  <c:v>4.3357342056859621E-3</c:v>
                </c:pt>
                <c:pt idx="394">
                  <c:v>4.0044267694294474E-3</c:v>
                </c:pt>
                <c:pt idx="395">
                  <c:v>3.6731193331729322E-3</c:v>
                </c:pt>
                <c:pt idx="396">
                  <c:v>3.0973776966872831E-3</c:v>
                </c:pt>
                <c:pt idx="397">
                  <c:v>2.5216360602016335E-3</c:v>
                </c:pt>
                <c:pt idx="398">
                  <c:v>2.457884978249981E-3</c:v>
                </c:pt>
                <c:pt idx="399">
                  <c:v>2.3941338962983282E-3</c:v>
                </c:pt>
                <c:pt idx="400">
                  <c:v>2.2672923653686157E-3</c:v>
                </c:pt>
                <c:pt idx="401">
                  <c:v>2.1404508344389029E-3</c:v>
                </c:pt>
                <c:pt idx="402">
                  <c:v>1.8646365679641369E-3</c:v>
                </c:pt>
                <c:pt idx="403">
                  <c:v>1.5888223014893707E-3</c:v>
                </c:pt>
                <c:pt idx="404">
                  <c:v>1.4946821027524747E-3</c:v>
                </c:pt>
                <c:pt idx="405">
                  <c:v>1.4005419040155785E-3</c:v>
                </c:pt>
                <c:pt idx="406">
                  <c:v>1.2334017616967381E-3</c:v>
                </c:pt>
                <c:pt idx="407">
                  <c:v>1.1851755546245038E-3</c:v>
                </c:pt>
                <c:pt idx="408">
                  <c:v>1.0279449069095471E-3</c:v>
                </c:pt>
                <c:pt idx="409">
                  <c:v>1.006804651754595E-3</c:v>
                </c:pt>
                <c:pt idx="410">
                  <c:v>6.6195423953943849E-4</c:v>
                </c:pt>
                <c:pt idx="411">
                  <c:v>4.7037067719768488E-4</c:v>
                </c:pt>
                <c:pt idx="412">
                  <c:v>2.7152015214641637E-4</c:v>
                </c:pt>
                <c:pt idx="413">
                  <c:v>1.0305874388039161E-4</c:v>
                </c:pt>
                <c:pt idx="414">
                  <c:v>2.2461521102136635E-5</c:v>
                </c:pt>
                <c:pt idx="4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9-42C2-AB14-EE62CD171E9D}"/>
            </c:ext>
          </c:extLst>
        </c:ser>
        <c:ser>
          <c:idx val="0"/>
          <c:order val="1"/>
          <c:tx>
            <c:strRef>
              <c:f>trans!$AQ$79</c:f>
              <c:strCache>
                <c:ptCount val="1"/>
                <c:pt idx="0">
                  <c:v>ISO 9050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trans!$AO$80:$AO$530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trans!$AQ$80:$AQ$530</c:f>
              <c:numCache>
                <c:formatCode>General</c:formatCode>
                <c:ptCount val="426"/>
                <c:pt idx="0">
                  <c:v>4.7522846608507064E-5</c:v>
                </c:pt>
                <c:pt idx="1">
                  <c:v>5.4796343342061727E-5</c:v>
                </c:pt>
                <c:pt idx="2">
                  <c:v>6.2069840075616375E-5</c:v>
                </c:pt>
                <c:pt idx="3">
                  <c:v>6.9343336809171038E-5</c:v>
                </c:pt>
                <c:pt idx="4">
                  <c:v>7.66168335427257E-5</c:v>
                </c:pt>
                <c:pt idx="5">
                  <c:v>8.3890330276280363E-5</c:v>
                </c:pt>
                <c:pt idx="6">
                  <c:v>9.1163827009835025E-5</c:v>
                </c:pt>
                <c:pt idx="7">
                  <c:v>9.8437323743389674E-5</c:v>
                </c:pt>
                <c:pt idx="8">
                  <c:v>1.0571082047694434E-4</c:v>
                </c:pt>
                <c:pt idx="9">
                  <c:v>1.12984317210499E-4</c:v>
                </c:pt>
                <c:pt idx="10">
                  <c:v>1.2025781394405366E-4</c:v>
                </c:pt>
                <c:pt idx="11">
                  <c:v>1.3057277286055279E-4</c:v>
                </c:pt>
                <c:pt idx="12">
                  <c:v>1.408877317770519E-4</c:v>
                </c:pt>
                <c:pt idx="13">
                  <c:v>1.5120269069355101E-4</c:v>
                </c:pt>
                <c:pt idx="14">
                  <c:v>1.615176496100501E-4</c:v>
                </c:pt>
                <c:pt idx="15">
                  <c:v>1.7183260852654926E-4</c:v>
                </c:pt>
                <c:pt idx="16">
                  <c:v>1.8214756744304835E-4</c:v>
                </c:pt>
                <c:pt idx="17">
                  <c:v>1.9246252635954749E-4</c:v>
                </c:pt>
                <c:pt idx="18">
                  <c:v>3.4844751614338611E-4</c:v>
                </c:pt>
                <c:pt idx="19">
                  <c:v>3.500082664741076E-4</c:v>
                </c:pt>
                <c:pt idx="20">
                  <c:v>3.5156901680482916E-4</c:v>
                </c:pt>
                <c:pt idx="21">
                  <c:v>3.531297671355506E-4</c:v>
                </c:pt>
                <c:pt idx="22">
                  <c:v>3.546905174662721E-4</c:v>
                </c:pt>
                <c:pt idx="23">
                  <c:v>3.5625126779699359E-4</c:v>
                </c:pt>
                <c:pt idx="24">
                  <c:v>3.5781201812771514E-4</c:v>
                </c:pt>
                <c:pt idx="25">
                  <c:v>3.5937276845843659E-4</c:v>
                </c:pt>
                <c:pt idx="26">
                  <c:v>3.603532398200437E-4</c:v>
                </c:pt>
                <c:pt idx="27">
                  <c:v>3.6133371118165082E-4</c:v>
                </c:pt>
                <c:pt idx="28">
                  <c:v>3.6231418254325783E-4</c:v>
                </c:pt>
                <c:pt idx="29">
                  <c:v>3.6329465390486494E-4</c:v>
                </c:pt>
                <c:pt idx="30">
                  <c:v>3.6427512526647206E-4</c:v>
                </c:pt>
                <c:pt idx="31">
                  <c:v>3.6525559662807912E-4</c:v>
                </c:pt>
                <c:pt idx="32">
                  <c:v>3.6623606798968624E-4</c:v>
                </c:pt>
                <c:pt idx="33">
                  <c:v>3.6721653935129341E-4</c:v>
                </c:pt>
                <c:pt idx="34">
                  <c:v>3.6819701071290041E-4</c:v>
                </c:pt>
                <c:pt idx="35">
                  <c:v>3.6917748207450753E-4</c:v>
                </c:pt>
                <c:pt idx="36">
                  <c:v>3.7369965610967496E-4</c:v>
                </c:pt>
                <c:pt idx="37">
                  <c:v>3.7822183014484239E-4</c:v>
                </c:pt>
                <c:pt idx="38">
                  <c:v>3.8274400418000971E-4</c:v>
                </c:pt>
                <c:pt idx="39">
                  <c:v>3.8726617821517709E-4</c:v>
                </c:pt>
                <c:pt idx="40">
                  <c:v>3.9178835225034457E-4</c:v>
                </c:pt>
                <c:pt idx="41">
                  <c:v>3.9631052628551189E-4</c:v>
                </c:pt>
                <c:pt idx="42">
                  <c:v>4.0083270032067927E-4</c:v>
                </c:pt>
                <c:pt idx="43">
                  <c:v>4.0535487435584675E-4</c:v>
                </c:pt>
                <c:pt idx="44">
                  <c:v>4.0987704839101413E-4</c:v>
                </c:pt>
                <c:pt idx="45">
                  <c:v>4.1439922242618151E-4</c:v>
                </c:pt>
                <c:pt idx="46">
                  <c:v>4.152696408798531E-4</c:v>
                </c:pt>
                <c:pt idx="47">
                  <c:v>4.1614005933352476E-4</c:v>
                </c:pt>
                <c:pt idx="48">
                  <c:v>4.1701047778719636E-4</c:v>
                </c:pt>
                <c:pt idx="49">
                  <c:v>4.1788089624086801E-4</c:v>
                </c:pt>
                <c:pt idx="50">
                  <c:v>4.1875131469453961E-4</c:v>
                </c:pt>
                <c:pt idx="51">
                  <c:v>4.1962173314821115E-4</c:v>
                </c:pt>
                <c:pt idx="52">
                  <c:v>4.2049215160188281E-4</c:v>
                </c:pt>
                <c:pt idx="53">
                  <c:v>4.2136257005555446E-4</c:v>
                </c:pt>
                <c:pt idx="54">
                  <c:v>4.2223298850922606E-4</c:v>
                </c:pt>
                <c:pt idx="55">
                  <c:v>4.2310340696289766E-4</c:v>
                </c:pt>
                <c:pt idx="56">
                  <c:v>4.206922477981292E-4</c:v>
                </c:pt>
                <c:pt idx="57">
                  <c:v>4.1828108863336074E-4</c:v>
                </c:pt>
                <c:pt idx="58">
                  <c:v>4.1586992946859223E-4</c:v>
                </c:pt>
                <c:pt idx="59">
                  <c:v>4.1345877030382378E-4</c:v>
                </c:pt>
                <c:pt idx="60">
                  <c:v>4.1104761113905537E-4</c:v>
                </c:pt>
                <c:pt idx="61">
                  <c:v>4.0863645197428692E-4</c:v>
                </c:pt>
                <c:pt idx="62">
                  <c:v>4.0622529280951841E-4</c:v>
                </c:pt>
                <c:pt idx="63">
                  <c:v>4.0381413364475E-4</c:v>
                </c:pt>
                <c:pt idx="64">
                  <c:v>4.0140297447998149E-4</c:v>
                </c:pt>
                <c:pt idx="65">
                  <c:v>3.9899181531521304E-4</c:v>
                </c:pt>
                <c:pt idx="66">
                  <c:v>3.8934717865613921E-4</c:v>
                </c:pt>
                <c:pt idx="67">
                  <c:v>3.7970254199706538E-4</c:v>
                </c:pt>
                <c:pt idx="68">
                  <c:v>3.700579053379915E-4</c:v>
                </c:pt>
                <c:pt idx="69">
                  <c:v>3.6041326867891757E-4</c:v>
                </c:pt>
                <c:pt idx="70">
                  <c:v>3.5076863201984374E-4</c:v>
                </c:pt>
                <c:pt idx="71">
                  <c:v>3.4112399536076991E-4</c:v>
                </c:pt>
                <c:pt idx="72">
                  <c:v>3.3147935870169603E-4</c:v>
                </c:pt>
                <c:pt idx="73">
                  <c:v>3.2183472204262221E-4</c:v>
                </c:pt>
                <c:pt idx="74">
                  <c:v>3.1219008538354833E-4</c:v>
                </c:pt>
                <c:pt idx="75">
                  <c:v>3.0254544872447445E-4</c:v>
                </c:pt>
                <c:pt idx="76">
                  <c:v>2.8316613211801591E-4</c:v>
                </c:pt>
                <c:pt idx="77">
                  <c:v>2.6378681551155733E-4</c:v>
                </c:pt>
                <c:pt idx="78">
                  <c:v>2.4440749890509875E-4</c:v>
                </c:pt>
                <c:pt idx="79">
                  <c:v>2.2502818229864021E-4</c:v>
                </c:pt>
                <c:pt idx="80">
                  <c:v>2.0564886569218163E-4</c:v>
                </c:pt>
                <c:pt idx="81">
                  <c:v>1.8626954908572304E-4</c:v>
                </c:pt>
                <c:pt idx="82">
                  <c:v>1.6689023247926451E-4</c:v>
                </c:pt>
                <c:pt idx="83">
                  <c:v>1.4751091587280593E-4</c:v>
                </c:pt>
                <c:pt idx="84">
                  <c:v>1.2813159926634737E-4</c:v>
                </c:pt>
                <c:pt idx="85">
                  <c:v>1.087522826598888E-4</c:v>
                </c:pt>
                <c:pt idx="86">
                  <c:v>9.8697448798509946E-5</c:v>
                </c:pt>
                <c:pt idx="87">
                  <c:v>8.8642614937131078E-5</c:v>
                </c:pt>
                <c:pt idx="88">
                  <c:v>7.8587781075752197E-5</c:v>
                </c:pt>
                <c:pt idx="89">
                  <c:v>6.8532947214373344E-5</c:v>
                </c:pt>
                <c:pt idx="90">
                  <c:v>5.8478113352994476E-5</c:v>
                </c:pt>
                <c:pt idx="91">
                  <c:v>4.8423279491615629E-5</c:v>
                </c:pt>
                <c:pt idx="92">
                  <c:v>3.8368445630236755E-5</c:v>
                </c:pt>
                <c:pt idx="93">
                  <c:v>2.8313611768857898E-5</c:v>
                </c:pt>
                <c:pt idx="94">
                  <c:v>1.8258777907479034E-5</c:v>
                </c:pt>
                <c:pt idx="95">
                  <c:v>8.2039440461001695E-6</c:v>
                </c:pt>
                <c:pt idx="96">
                  <c:v>1.1365463946792429E-5</c:v>
                </c:pt>
                <c:pt idx="97">
                  <c:v>1.4526983847484687E-5</c:v>
                </c:pt>
                <c:pt idx="98">
                  <c:v>1.7688503748176945E-5</c:v>
                </c:pt>
                <c:pt idx="99">
                  <c:v>2.0850023648869208E-5</c:v>
                </c:pt>
                <c:pt idx="100">
                  <c:v>2.4011543549561468E-5</c:v>
                </c:pt>
                <c:pt idx="101">
                  <c:v>2.7173063450253724E-5</c:v>
                </c:pt>
                <c:pt idx="102">
                  <c:v>3.0334583350945983E-5</c:v>
                </c:pt>
                <c:pt idx="103">
                  <c:v>3.3496103251638243E-5</c:v>
                </c:pt>
                <c:pt idx="104">
                  <c:v>3.6657623152330503E-5</c:v>
                </c:pt>
                <c:pt idx="105">
                  <c:v>3.9819143053022762E-5</c:v>
                </c:pt>
                <c:pt idx="106">
                  <c:v>5.7417603512888857E-5</c:v>
                </c:pt>
                <c:pt idx="107">
                  <c:v>7.5016063972754951E-5</c:v>
                </c:pt>
                <c:pt idx="108">
                  <c:v>9.2614524432621032E-5</c:v>
                </c:pt>
                <c:pt idx="109">
                  <c:v>1.1021298489248713E-4</c:v>
                </c:pt>
                <c:pt idx="110">
                  <c:v>1.2781144535235322E-4</c:v>
                </c:pt>
                <c:pt idx="111">
                  <c:v>1.4540990581221928E-4</c:v>
                </c:pt>
                <c:pt idx="112">
                  <c:v>1.6300836627208538E-4</c:v>
                </c:pt>
                <c:pt idx="113">
                  <c:v>1.8060682673195149E-4</c:v>
                </c:pt>
                <c:pt idx="114">
                  <c:v>1.9820528719181757E-4</c:v>
                </c:pt>
                <c:pt idx="115">
                  <c:v>2.1580374765168365E-4</c:v>
                </c:pt>
                <c:pt idx="116">
                  <c:v>2.6608792176839032E-4</c:v>
                </c:pt>
                <c:pt idx="117">
                  <c:v>3.1637209588509699E-4</c:v>
                </c:pt>
                <c:pt idx="118">
                  <c:v>3.6665627000180356E-4</c:v>
                </c:pt>
                <c:pt idx="119">
                  <c:v>4.1694044411851023E-4</c:v>
                </c:pt>
                <c:pt idx="120">
                  <c:v>4.672246182352169E-4</c:v>
                </c:pt>
                <c:pt idx="121">
                  <c:v>5.1750879235192351E-4</c:v>
                </c:pt>
                <c:pt idx="122">
                  <c:v>5.6779296646863008E-4</c:v>
                </c:pt>
                <c:pt idx="123">
                  <c:v>6.1807714058533675E-4</c:v>
                </c:pt>
                <c:pt idx="124">
                  <c:v>6.6836131470204352E-4</c:v>
                </c:pt>
                <c:pt idx="125">
                  <c:v>7.1864548881875009E-4</c:v>
                </c:pt>
                <c:pt idx="126">
                  <c:v>7.1937583993504921E-4</c:v>
                </c:pt>
                <c:pt idx="127">
                  <c:v>7.2010619105134844E-4</c:v>
                </c:pt>
                <c:pt idx="128">
                  <c:v>7.2083654216764746E-4</c:v>
                </c:pt>
                <c:pt idx="129">
                  <c:v>7.2156689328394669E-4</c:v>
                </c:pt>
                <c:pt idx="130">
                  <c:v>7.2229724440024592E-4</c:v>
                </c:pt>
                <c:pt idx="131">
                  <c:v>7.2302759551654493E-4</c:v>
                </c:pt>
                <c:pt idx="132">
                  <c:v>7.2375794663284416E-4</c:v>
                </c:pt>
                <c:pt idx="133">
                  <c:v>7.2448829774914339E-4</c:v>
                </c:pt>
                <c:pt idx="134">
                  <c:v>7.2521864886544241E-4</c:v>
                </c:pt>
                <c:pt idx="135">
                  <c:v>7.2594899998174164E-4</c:v>
                </c:pt>
                <c:pt idx="136">
                  <c:v>7.5955515614131535E-4</c:v>
                </c:pt>
                <c:pt idx="137">
                  <c:v>7.9316131230088905E-4</c:v>
                </c:pt>
                <c:pt idx="138">
                  <c:v>8.2676746846046265E-4</c:v>
                </c:pt>
                <c:pt idx="139">
                  <c:v>8.6037362462003657E-4</c:v>
                </c:pt>
                <c:pt idx="140">
                  <c:v>8.9397978077961028E-4</c:v>
                </c:pt>
                <c:pt idx="141">
                  <c:v>9.2758593693918387E-4</c:v>
                </c:pt>
                <c:pt idx="142">
                  <c:v>9.6119209309875769E-4</c:v>
                </c:pt>
                <c:pt idx="143">
                  <c:v>9.947982492583315E-4</c:v>
                </c:pt>
                <c:pt idx="144">
                  <c:v>1.0284044054179053E-3</c:v>
                </c:pt>
                <c:pt idx="145">
                  <c:v>1.0620105615774791E-3</c:v>
                </c:pt>
                <c:pt idx="146">
                  <c:v>1.0778981995594389E-3</c:v>
                </c:pt>
                <c:pt idx="147">
                  <c:v>1.0937858375413988E-3</c:v>
                </c:pt>
                <c:pt idx="148">
                  <c:v>1.1096734755233584E-3</c:v>
                </c:pt>
                <c:pt idx="149">
                  <c:v>1.1255611135053184E-3</c:v>
                </c:pt>
                <c:pt idx="150">
                  <c:v>1.1414487514872782E-3</c:v>
                </c:pt>
                <c:pt idx="151">
                  <c:v>1.157336389469238E-3</c:v>
                </c:pt>
                <c:pt idx="152">
                  <c:v>1.1732240274511978E-3</c:v>
                </c:pt>
                <c:pt idx="153">
                  <c:v>1.1891116654331579E-3</c:v>
                </c:pt>
                <c:pt idx="154">
                  <c:v>1.2049993034151175E-3</c:v>
                </c:pt>
                <c:pt idx="155">
                  <c:v>1.2208869413970775E-3</c:v>
                </c:pt>
                <c:pt idx="156">
                  <c:v>1.2357941080174302E-3</c:v>
                </c:pt>
                <c:pt idx="157">
                  <c:v>1.2507012746377829E-3</c:v>
                </c:pt>
                <c:pt idx="158">
                  <c:v>1.2656084412581356E-3</c:v>
                </c:pt>
                <c:pt idx="159">
                  <c:v>1.2805156078784883E-3</c:v>
                </c:pt>
                <c:pt idx="160">
                  <c:v>1.2954227744988412E-3</c:v>
                </c:pt>
                <c:pt idx="161">
                  <c:v>1.3103299411191937E-3</c:v>
                </c:pt>
                <c:pt idx="162">
                  <c:v>1.3252371077395464E-3</c:v>
                </c:pt>
                <c:pt idx="163">
                  <c:v>1.3401442743598993E-3</c:v>
                </c:pt>
                <c:pt idx="164">
                  <c:v>1.355051440980252E-3</c:v>
                </c:pt>
                <c:pt idx="165">
                  <c:v>1.3699586076006047E-3</c:v>
                </c:pt>
                <c:pt idx="166">
                  <c:v>1.3299393683513356E-3</c:v>
                </c:pt>
                <c:pt idx="167">
                  <c:v>1.2899201291020664E-3</c:v>
                </c:pt>
                <c:pt idx="168">
                  <c:v>1.2499008898527973E-3</c:v>
                </c:pt>
                <c:pt idx="169">
                  <c:v>1.2098816506035282E-3</c:v>
                </c:pt>
                <c:pt idx="170">
                  <c:v>1.1698624113542593E-3</c:v>
                </c:pt>
                <c:pt idx="171">
                  <c:v>1.1298431721049901E-3</c:v>
                </c:pt>
                <c:pt idx="172">
                  <c:v>1.089823932855721E-3</c:v>
                </c:pt>
                <c:pt idx="173">
                  <c:v>1.0498046936064519E-3</c:v>
                </c:pt>
                <c:pt idx="174">
                  <c:v>1.0097854543571828E-3</c:v>
                </c:pt>
                <c:pt idx="175">
                  <c:v>9.6976621510791363E-4</c:v>
                </c:pt>
                <c:pt idx="176">
                  <c:v>9.1072783240542948E-4</c:v>
                </c:pt>
                <c:pt idx="177">
                  <c:v>8.5168944970294511E-4</c:v>
                </c:pt>
                <c:pt idx="178">
                  <c:v>7.9265106700046085E-4</c:v>
                </c:pt>
                <c:pt idx="179">
                  <c:v>7.336126842979767E-4</c:v>
                </c:pt>
                <c:pt idx="180">
                  <c:v>6.7457430159549234E-4</c:v>
                </c:pt>
                <c:pt idx="181">
                  <c:v>6.1553591889300808E-4</c:v>
                </c:pt>
                <c:pt idx="182">
                  <c:v>5.5649753619052382E-4</c:v>
                </c:pt>
                <c:pt idx="183">
                  <c:v>4.9745915348803967E-4</c:v>
                </c:pt>
                <c:pt idx="184">
                  <c:v>4.3842077078555536E-4</c:v>
                </c:pt>
                <c:pt idx="185">
                  <c:v>3.793823880830711E-4</c:v>
                </c:pt>
                <c:pt idx="186">
                  <c:v>3.4885771334569111E-4</c:v>
                </c:pt>
                <c:pt idx="187">
                  <c:v>3.1833303860831112E-4</c:v>
                </c:pt>
                <c:pt idx="188">
                  <c:v>2.8780836387093102E-4</c:v>
                </c:pt>
                <c:pt idx="189">
                  <c:v>2.5728368913355108E-4</c:v>
                </c:pt>
                <c:pt idx="190">
                  <c:v>2.2675901439617107E-4</c:v>
                </c:pt>
                <c:pt idx="191">
                  <c:v>1.9623433965879108E-4</c:v>
                </c:pt>
                <c:pt idx="192">
                  <c:v>1.6570966492141103E-4</c:v>
                </c:pt>
                <c:pt idx="193">
                  <c:v>1.3518499018403104E-4</c:v>
                </c:pt>
                <c:pt idx="194">
                  <c:v>1.0466031544665104E-4</c:v>
                </c:pt>
                <c:pt idx="195">
                  <c:v>7.4135640709271019E-5</c:v>
                </c:pt>
                <c:pt idx="196">
                  <c:v>1.0417007976584749E-4</c:v>
                </c:pt>
                <c:pt idx="197">
                  <c:v>1.3420451882242395E-4</c:v>
                </c:pt>
                <c:pt idx="198">
                  <c:v>1.6423895787900041E-4</c:v>
                </c:pt>
                <c:pt idx="199">
                  <c:v>1.9427339693557687E-4</c:v>
                </c:pt>
                <c:pt idx="200">
                  <c:v>2.2430783599215333E-4</c:v>
                </c:pt>
                <c:pt idx="201">
                  <c:v>2.5434227504872979E-4</c:v>
                </c:pt>
                <c:pt idx="202">
                  <c:v>2.8437671410530628E-4</c:v>
                </c:pt>
                <c:pt idx="203">
                  <c:v>3.1441115316188271E-4</c:v>
                </c:pt>
                <c:pt idx="204">
                  <c:v>3.4444559221845919E-4</c:v>
                </c:pt>
                <c:pt idx="205">
                  <c:v>3.7448003127503568E-4</c:v>
                </c:pt>
                <c:pt idx="206">
                  <c:v>5.1467743117503768E-4</c:v>
                </c:pt>
                <c:pt idx="207">
                  <c:v>6.5487483107503968E-4</c:v>
                </c:pt>
                <c:pt idx="208">
                  <c:v>7.9507223097504168E-4</c:v>
                </c:pt>
                <c:pt idx="209">
                  <c:v>9.3526963087504379E-4</c:v>
                </c:pt>
                <c:pt idx="210">
                  <c:v>1.0754670307750456E-3</c:v>
                </c:pt>
                <c:pt idx="211">
                  <c:v>1.2156644306750477E-3</c:v>
                </c:pt>
                <c:pt idx="212">
                  <c:v>1.3558618305750494E-3</c:v>
                </c:pt>
                <c:pt idx="213">
                  <c:v>1.4960592304750517E-3</c:v>
                </c:pt>
                <c:pt idx="214">
                  <c:v>1.6362566303750536E-3</c:v>
                </c:pt>
                <c:pt idx="215">
                  <c:v>1.7764540302750557E-3</c:v>
                </c:pt>
                <c:pt idx="216">
                  <c:v>1.8326810614202789E-3</c:v>
                </c:pt>
                <c:pt idx="217">
                  <c:v>1.888908092565502E-3</c:v>
                </c:pt>
                <c:pt idx="218">
                  <c:v>1.9451351237107248E-3</c:v>
                </c:pt>
                <c:pt idx="219">
                  <c:v>2.001362154855948E-3</c:v>
                </c:pt>
                <c:pt idx="220">
                  <c:v>2.0575891860011714E-3</c:v>
                </c:pt>
                <c:pt idx="221">
                  <c:v>2.1138162171463943E-3</c:v>
                </c:pt>
                <c:pt idx="222">
                  <c:v>2.1700432482916173E-3</c:v>
                </c:pt>
                <c:pt idx="223">
                  <c:v>2.2262702794368411E-3</c:v>
                </c:pt>
                <c:pt idx="224">
                  <c:v>2.2824973105820636E-3</c:v>
                </c:pt>
                <c:pt idx="225">
                  <c:v>2.338724341727287E-3</c:v>
                </c:pt>
                <c:pt idx="226">
                  <c:v>2.3304703736321251E-3</c:v>
                </c:pt>
                <c:pt idx="227">
                  <c:v>2.3222164055369636E-3</c:v>
                </c:pt>
                <c:pt idx="228">
                  <c:v>2.3139624374418017E-3</c:v>
                </c:pt>
                <c:pt idx="229">
                  <c:v>2.3057084693466397E-3</c:v>
                </c:pt>
                <c:pt idx="230">
                  <c:v>2.2974545012514782E-3</c:v>
                </c:pt>
                <c:pt idx="231">
                  <c:v>2.2892005331563163E-3</c:v>
                </c:pt>
                <c:pt idx="232">
                  <c:v>2.2809465650611544E-3</c:v>
                </c:pt>
                <c:pt idx="233">
                  <c:v>2.2726925969659929E-3</c:v>
                </c:pt>
                <c:pt idx="234">
                  <c:v>2.2644386288708314E-3</c:v>
                </c:pt>
                <c:pt idx="235">
                  <c:v>2.2561846607756695E-3</c:v>
                </c:pt>
                <c:pt idx="236">
                  <c:v>2.1629098188954352E-3</c:v>
                </c:pt>
                <c:pt idx="237">
                  <c:v>2.0696349770152013E-3</c:v>
                </c:pt>
                <c:pt idx="238">
                  <c:v>1.9763601351349669E-3</c:v>
                </c:pt>
                <c:pt idx="239">
                  <c:v>1.8830852932547335E-3</c:v>
                </c:pt>
                <c:pt idx="240">
                  <c:v>1.7898104513744996E-3</c:v>
                </c:pt>
                <c:pt idx="241">
                  <c:v>1.6965356094942653E-3</c:v>
                </c:pt>
                <c:pt idx="242">
                  <c:v>1.6032607676140314E-3</c:v>
                </c:pt>
                <c:pt idx="243">
                  <c:v>1.5099859257337975E-3</c:v>
                </c:pt>
                <c:pt idx="244">
                  <c:v>1.4167110838535634E-3</c:v>
                </c:pt>
                <c:pt idx="245">
                  <c:v>1.3234362419733295E-3</c:v>
                </c:pt>
                <c:pt idx="246">
                  <c:v>1.3797933356461127E-3</c:v>
                </c:pt>
                <c:pt idx="247">
                  <c:v>1.4361504293188959E-3</c:v>
                </c:pt>
                <c:pt idx="248">
                  <c:v>1.4925075229916792E-3</c:v>
                </c:pt>
                <c:pt idx="249">
                  <c:v>1.5488646166644624E-3</c:v>
                </c:pt>
                <c:pt idx="250">
                  <c:v>1.6052217103372456E-3</c:v>
                </c:pt>
                <c:pt idx="251">
                  <c:v>1.6615788040100288E-3</c:v>
                </c:pt>
                <c:pt idx="252">
                  <c:v>1.7179358976828116E-3</c:v>
                </c:pt>
                <c:pt idx="253">
                  <c:v>1.7742929913555955E-3</c:v>
                </c:pt>
                <c:pt idx="254">
                  <c:v>1.8306500850283783E-3</c:v>
                </c:pt>
                <c:pt idx="255">
                  <c:v>1.8870071787011615E-3</c:v>
                </c:pt>
                <c:pt idx="256">
                  <c:v>2.039570523529188E-3</c:v>
                </c:pt>
                <c:pt idx="257">
                  <c:v>2.192133868357214E-3</c:v>
                </c:pt>
                <c:pt idx="258">
                  <c:v>2.34469721318524E-3</c:v>
                </c:pt>
                <c:pt idx="259">
                  <c:v>2.4972605580132661E-3</c:v>
                </c:pt>
                <c:pt idx="260">
                  <c:v>2.6498239028412925E-3</c:v>
                </c:pt>
                <c:pt idx="261">
                  <c:v>2.8023872476693186E-3</c:v>
                </c:pt>
                <c:pt idx="262">
                  <c:v>2.9549505924973446E-3</c:v>
                </c:pt>
                <c:pt idx="263">
                  <c:v>3.1075139373253715E-3</c:v>
                </c:pt>
                <c:pt idx="264">
                  <c:v>3.2600772821533975E-3</c:v>
                </c:pt>
                <c:pt idx="265">
                  <c:v>3.4126406269814231E-3</c:v>
                </c:pt>
                <c:pt idx="266">
                  <c:v>3.4325201840784978E-3</c:v>
                </c:pt>
                <c:pt idx="267">
                  <c:v>3.452399741175572E-3</c:v>
                </c:pt>
                <c:pt idx="268">
                  <c:v>3.4722792982726462E-3</c:v>
                </c:pt>
                <c:pt idx="269">
                  <c:v>3.4921588553697212E-3</c:v>
                </c:pt>
                <c:pt idx="270">
                  <c:v>3.512038412466795E-3</c:v>
                </c:pt>
                <c:pt idx="271">
                  <c:v>3.5319179695638692E-3</c:v>
                </c:pt>
                <c:pt idx="272">
                  <c:v>3.5517975266609434E-3</c:v>
                </c:pt>
                <c:pt idx="273">
                  <c:v>3.5716770837580184E-3</c:v>
                </c:pt>
                <c:pt idx="274">
                  <c:v>3.5915566408550926E-3</c:v>
                </c:pt>
                <c:pt idx="275">
                  <c:v>3.6114361979521672E-3</c:v>
                </c:pt>
                <c:pt idx="276">
                  <c:v>3.4642354311835433E-3</c:v>
                </c:pt>
                <c:pt idx="277">
                  <c:v>3.3170346644149189E-3</c:v>
                </c:pt>
                <c:pt idx="278">
                  <c:v>3.1698338976462945E-3</c:v>
                </c:pt>
                <c:pt idx="279">
                  <c:v>3.0226331308776709E-3</c:v>
                </c:pt>
                <c:pt idx="280">
                  <c:v>2.8754323641090465E-3</c:v>
                </c:pt>
                <c:pt idx="281">
                  <c:v>2.7282315973404226E-3</c:v>
                </c:pt>
                <c:pt idx="282">
                  <c:v>2.5810308305717982E-3</c:v>
                </c:pt>
                <c:pt idx="283">
                  <c:v>2.4338300638031747E-3</c:v>
                </c:pt>
                <c:pt idx="284">
                  <c:v>2.2866292970345507E-3</c:v>
                </c:pt>
                <c:pt idx="285">
                  <c:v>2.1394285302659267E-3</c:v>
                </c:pt>
                <c:pt idx="286">
                  <c:v>2.3286494982462831E-3</c:v>
                </c:pt>
                <c:pt idx="287">
                  <c:v>2.5178704662266399E-3</c:v>
                </c:pt>
                <c:pt idx="288">
                  <c:v>2.7070914342069968E-3</c:v>
                </c:pt>
                <c:pt idx="289">
                  <c:v>2.8963124021873527E-3</c:v>
                </c:pt>
                <c:pt idx="290">
                  <c:v>3.0855333701677095E-3</c:v>
                </c:pt>
                <c:pt idx="291">
                  <c:v>3.2747543381480664E-3</c:v>
                </c:pt>
                <c:pt idx="292">
                  <c:v>3.4639753061284227E-3</c:v>
                </c:pt>
                <c:pt idx="293">
                  <c:v>3.65319627410878E-3</c:v>
                </c:pt>
                <c:pt idx="294">
                  <c:v>3.8424172420891368E-3</c:v>
                </c:pt>
                <c:pt idx="295">
                  <c:v>4.0316382100694928E-3</c:v>
                </c:pt>
                <c:pt idx="296">
                  <c:v>4.1111064144087293E-3</c:v>
                </c:pt>
                <c:pt idx="297">
                  <c:v>4.1905746187479651E-3</c:v>
                </c:pt>
                <c:pt idx="298">
                  <c:v>4.2700428230872008E-3</c:v>
                </c:pt>
                <c:pt idx="299">
                  <c:v>4.3495110274264382E-3</c:v>
                </c:pt>
                <c:pt idx="300">
                  <c:v>4.4289792317656739E-3</c:v>
                </c:pt>
                <c:pt idx="301">
                  <c:v>4.5084474361049096E-3</c:v>
                </c:pt>
                <c:pt idx="302">
                  <c:v>4.5879156404441453E-3</c:v>
                </c:pt>
                <c:pt idx="303">
                  <c:v>4.6673838447833828E-3</c:v>
                </c:pt>
                <c:pt idx="304">
                  <c:v>4.7468520491226185E-3</c:v>
                </c:pt>
                <c:pt idx="305">
                  <c:v>4.8263202534618542E-3</c:v>
                </c:pt>
                <c:pt idx="306">
                  <c:v>4.8225517750992153E-3</c:v>
                </c:pt>
                <c:pt idx="307">
                  <c:v>4.8187832967365755E-3</c:v>
                </c:pt>
                <c:pt idx="308">
                  <c:v>4.8150148183739357E-3</c:v>
                </c:pt>
                <c:pt idx="309">
                  <c:v>4.8112463400112968E-3</c:v>
                </c:pt>
                <c:pt idx="310">
                  <c:v>4.807477861648657E-3</c:v>
                </c:pt>
                <c:pt idx="311">
                  <c:v>4.8037093832860173E-3</c:v>
                </c:pt>
                <c:pt idx="312">
                  <c:v>4.7999409049233775E-3</c:v>
                </c:pt>
                <c:pt idx="313">
                  <c:v>4.7961724265607394E-3</c:v>
                </c:pt>
                <c:pt idx="314">
                  <c:v>4.7924039481980997E-3</c:v>
                </c:pt>
                <c:pt idx="315">
                  <c:v>4.7886354698354599E-3</c:v>
                </c:pt>
                <c:pt idx="316">
                  <c:v>5.2111719375756583E-3</c:v>
                </c:pt>
                <c:pt idx="317">
                  <c:v>5.6337084053158576E-3</c:v>
                </c:pt>
                <c:pt idx="318">
                  <c:v>5.6634727145075028E-3</c:v>
                </c:pt>
                <c:pt idx="319">
                  <c:v>5.6932370236991471E-3</c:v>
                </c:pt>
                <c:pt idx="320">
                  <c:v>5.4676285624313918E-3</c:v>
                </c:pt>
                <c:pt idx="321">
                  <c:v>5.2420201011636374E-3</c:v>
                </c:pt>
                <c:pt idx="322">
                  <c:v>5.0009041846867906E-3</c:v>
                </c:pt>
                <c:pt idx="323">
                  <c:v>4.7597882682099447E-3</c:v>
                </c:pt>
                <c:pt idx="324">
                  <c:v>5.4266088422008909E-3</c:v>
                </c:pt>
                <c:pt idx="325">
                  <c:v>6.0934294161918388E-3</c:v>
                </c:pt>
                <c:pt idx="326">
                  <c:v>6.0919286947199898E-3</c:v>
                </c:pt>
                <c:pt idx="327">
                  <c:v>6.0904279732481425E-3</c:v>
                </c:pt>
                <c:pt idx="328">
                  <c:v>5.8548147021680701E-3</c:v>
                </c:pt>
                <c:pt idx="329">
                  <c:v>5.6192014310879985E-3</c:v>
                </c:pt>
                <c:pt idx="330">
                  <c:v>5.4581239931096905E-3</c:v>
                </c:pt>
                <c:pt idx="331">
                  <c:v>5.2970465551313824E-3</c:v>
                </c:pt>
                <c:pt idx="332">
                  <c:v>5.8495621770166045E-3</c:v>
                </c:pt>
                <c:pt idx="333">
                  <c:v>6.4020777989018257E-3</c:v>
                </c:pt>
                <c:pt idx="334">
                  <c:v>6.315786314270589E-3</c:v>
                </c:pt>
                <c:pt idx="335">
                  <c:v>6.2294948296393532E-3</c:v>
                </c:pt>
                <c:pt idx="336">
                  <c:v>6.0631648665095779E-3</c:v>
                </c:pt>
                <c:pt idx="337">
                  <c:v>5.8968349033798042E-3</c:v>
                </c:pt>
                <c:pt idx="338">
                  <c:v>6.1594611609531317E-3</c:v>
                </c:pt>
                <c:pt idx="339">
                  <c:v>6.42208741852646E-3</c:v>
                </c:pt>
                <c:pt idx="340">
                  <c:v>6.7184799092163596E-3</c:v>
                </c:pt>
                <c:pt idx="341">
                  <c:v>7.0148723999062593E-3</c:v>
                </c:pt>
                <c:pt idx="342">
                  <c:v>7.0874072710455597E-3</c:v>
                </c:pt>
                <c:pt idx="343">
                  <c:v>7.1599421421848592E-3</c:v>
                </c:pt>
                <c:pt idx="344">
                  <c:v>7.1929580145655061E-3</c:v>
                </c:pt>
                <c:pt idx="345">
                  <c:v>7.2259738869461538E-3</c:v>
                </c:pt>
                <c:pt idx="346">
                  <c:v>7.1797016415641856E-3</c:v>
                </c:pt>
                <c:pt idx="347">
                  <c:v>7.1334293961822183E-3</c:v>
                </c:pt>
                <c:pt idx="348">
                  <c:v>7.2239729249836898E-3</c:v>
                </c:pt>
                <c:pt idx="349">
                  <c:v>7.3145164537851606E-3</c:v>
                </c:pt>
                <c:pt idx="350">
                  <c:v>7.3737949519231414E-3</c:v>
                </c:pt>
                <c:pt idx="351">
                  <c:v>7.4330734500611213E-3</c:v>
                </c:pt>
                <c:pt idx="352">
                  <c:v>7.4758440120087774E-3</c:v>
                </c:pt>
                <c:pt idx="353">
                  <c:v>7.5186145739564334E-3</c:v>
                </c:pt>
                <c:pt idx="354">
                  <c:v>7.4268204439284224E-3</c:v>
                </c:pt>
                <c:pt idx="355">
                  <c:v>7.3350263139004123E-3</c:v>
                </c:pt>
                <c:pt idx="356">
                  <c:v>7.2517362722128711E-3</c:v>
                </c:pt>
                <c:pt idx="357">
                  <c:v>7.1684462305253291E-3</c:v>
                </c:pt>
                <c:pt idx="358">
                  <c:v>7.2722461323281203E-3</c:v>
                </c:pt>
                <c:pt idx="359">
                  <c:v>7.3760460341309123E-3</c:v>
                </c:pt>
                <c:pt idx="360">
                  <c:v>7.5038574794832648E-3</c:v>
                </c:pt>
                <c:pt idx="361">
                  <c:v>7.631668924835619E-3</c:v>
                </c:pt>
                <c:pt idx="362">
                  <c:v>7.7152090867684681E-3</c:v>
                </c:pt>
                <c:pt idx="363">
                  <c:v>7.7987492487013171E-3</c:v>
                </c:pt>
                <c:pt idx="364">
                  <c:v>7.862279791009532E-3</c:v>
                </c:pt>
                <c:pt idx="365">
                  <c:v>7.9258103333177468E-3</c:v>
                </c:pt>
                <c:pt idx="366">
                  <c:v>7.9215582891475119E-3</c:v>
                </c:pt>
                <c:pt idx="367">
                  <c:v>7.917306244977277E-3</c:v>
                </c:pt>
                <c:pt idx="368">
                  <c:v>7.9273110547895941E-3</c:v>
                </c:pt>
                <c:pt idx="369">
                  <c:v>7.9373158646019112E-3</c:v>
                </c:pt>
                <c:pt idx="370">
                  <c:v>7.8097545394948658E-3</c:v>
                </c:pt>
                <c:pt idx="371">
                  <c:v>7.6821932143878212E-3</c:v>
                </c:pt>
                <c:pt idx="372">
                  <c:v>7.8362672854975068E-3</c:v>
                </c:pt>
                <c:pt idx="373">
                  <c:v>7.9903413566071932E-3</c:v>
                </c:pt>
                <c:pt idx="374">
                  <c:v>7.9473206744142284E-3</c:v>
                </c:pt>
                <c:pt idx="375">
                  <c:v>7.9042999922212635E-3</c:v>
                </c:pt>
                <c:pt idx="376">
                  <c:v>7.9025491505041075E-3</c:v>
                </c:pt>
                <c:pt idx="377">
                  <c:v>7.9007983087869531E-3</c:v>
                </c:pt>
                <c:pt idx="378">
                  <c:v>8.0528714179341765E-3</c:v>
                </c:pt>
                <c:pt idx="379">
                  <c:v>8.2049445270813998E-3</c:v>
                </c:pt>
                <c:pt idx="380">
                  <c:v>8.1489175921324215E-3</c:v>
                </c:pt>
                <c:pt idx="381">
                  <c:v>8.0928906571834467E-3</c:v>
                </c:pt>
                <c:pt idx="382">
                  <c:v>8.0898892142397504E-3</c:v>
                </c:pt>
                <c:pt idx="383">
                  <c:v>8.0868877712960557E-3</c:v>
                </c:pt>
                <c:pt idx="384">
                  <c:v>7.8810388094076277E-3</c:v>
                </c:pt>
                <c:pt idx="385">
                  <c:v>7.6751898475191987E-3</c:v>
                </c:pt>
                <c:pt idx="386">
                  <c:v>7.1506876931084666E-3</c:v>
                </c:pt>
                <c:pt idx="387">
                  <c:v>6.6261855386977328E-3</c:v>
                </c:pt>
                <c:pt idx="388">
                  <c:v>6.1512071928579697E-3</c:v>
                </c:pt>
                <c:pt idx="389">
                  <c:v>5.6762288470182075E-3</c:v>
                </c:pt>
                <c:pt idx="390">
                  <c:v>5.8087925770314106E-3</c:v>
                </c:pt>
                <c:pt idx="391">
                  <c:v>5.9413563070446146E-3</c:v>
                </c:pt>
                <c:pt idx="392">
                  <c:v>5.8815775684160198E-3</c:v>
                </c:pt>
                <c:pt idx="393">
                  <c:v>5.8217988297874241E-3</c:v>
                </c:pt>
                <c:pt idx="394">
                  <c:v>5.516151890021131E-3</c:v>
                </c:pt>
                <c:pt idx="395">
                  <c:v>5.2105049502548378E-3</c:v>
                </c:pt>
                <c:pt idx="396">
                  <c:v>4.296065333409039E-3</c:v>
                </c:pt>
                <c:pt idx="397">
                  <c:v>3.5527079643538646E-3</c:v>
                </c:pt>
                <c:pt idx="398">
                  <c:v>3.5306973827667668E-3</c:v>
                </c:pt>
                <c:pt idx="399">
                  <c:v>3.6017315324342195E-3</c:v>
                </c:pt>
                <c:pt idx="400">
                  <c:v>3.5106877631421326E-3</c:v>
                </c:pt>
                <c:pt idx="401">
                  <c:v>3.3606156159573732E-3</c:v>
                </c:pt>
                <c:pt idx="402">
                  <c:v>3.0214525633198174E-3</c:v>
                </c:pt>
                <c:pt idx="403">
                  <c:v>2.6842904726447256E-3</c:v>
                </c:pt>
                <c:pt idx="404">
                  <c:v>2.5562289070470644E-3</c:v>
                </c:pt>
                <c:pt idx="405">
                  <c:v>2.4461759991115744E-3</c:v>
                </c:pt>
                <c:pt idx="406">
                  <c:v>2.2610870175837042E-3</c:v>
                </c:pt>
                <c:pt idx="407">
                  <c:v>2.1900528679162519E-3</c:v>
                </c:pt>
                <c:pt idx="408">
                  <c:v>2.0189706201256263E-3</c:v>
                </c:pt>
                <c:pt idx="409">
                  <c:v>1.9149205980775266E-3</c:v>
                </c:pt>
                <c:pt idx="410">
                  <c:v>1.3096296044323317E-3</c:v>
                </c:pt>
                <c:pt idx="411">
                  <c:v>9.1644057880826252E-4</c:v>
                </c:pt>
                <c:pt idx="412">
                  <c:v>5.5426646360237717E-4</c:v>
                </c:pt>
                <c:pt idx="413">
                  <c:v>2.3611351157068773E-4</c:v>
                </c:pt>
                <c:pt idx="414">
                  <c:v>5.7027415930208482E-5</c:v>
                </c:pt>
                <c:pt idx="4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99-42C2-AB14-EE62CD171E9D}"/>
            </c:ext>
          </c:extLst>
        </c:ser>
        <c:ser>
          <c:idx val="1"/>
          <c:order val="2"/>
          <c:tx>
            <c:strRef>
              <c:f>trans!$AR$79</c:f>
              <c:strCache>
                <c:ptCount val="1"/>
                <c:pt idx="0">
                  <c:v>ASTM 173 global tilt (Smarts2)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trans!$AO$80:$AO$530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trans!$AR$80:$AR$530</c:f>
              <c:numCache>
                <c:formatCode>General</c:formatCode>
                <c:ptCount val="426"/>
                <c:pt idx="0">
                  <c:v>3.5521254083477342E-5</c:v>
                </c:pt>
                <c:pt idx="1">
                  <c:v>1.446756210879944E-5</c:v>
                </c:pt>
                <c:pt idx="2">
                  <c:v>1.7656037408809772E-5</c:v>
                </c:pt>
                <c:pt idx="3">
                  <c:v>2.8210036473928342E-5</c:v>
                </c:pt>
                <c:pt idx="4">
                  <c:v>4.0425401631340578E-5</c:v>
                </c:pt>
                <c:pt idx="5">
                  <c:v>8.274146201178049E-5</c:v>
                </c:pt>
                <c:pt idx="6">
                  <c:v>8.4109172596235309E-5</c:v>
                </c:pt>
                <c:pt idx="7">
                  <c:v>1.2142454115226224E-4</c:v>
                </c:pt>
                <c:pt idx="8">
                  <c:v>1.6776076554840668E-4</c:v>
                </c:pt>
                <c:pt idx="9">
                  <c:v>1.2496952630682348E-4</c:v>
                </c:pt>
                <c:pt idx="10">
                  <c:v>6.8440841047848325E-5</c:v>
                </c:pt>
                <c:pt idx="11">
                  <c:v>1.0457957623342513E-4</c:v>
                </c:pt>
                <c:pt idx="12">
                  <c:v>2.1747101127605556E-4</c:v>
                </c:pt>
                <c:pt idx="13">
                  <c:v>7.4811757630584625E-5</c:v>
                </c:pt>
                <c:pt idx="14">
                  <c:v>2.267734545894432E-4</c:v>
                </c:pt>
                <c:pt idx="15">
                  <c:v>1.6632768644337132E-4</c:v>
                </c:pt>
                <c:pt idx="16">
                  <c:v>1.3370376632593393E-4</c:v>
                </c:pt>
                <c:pt idx="17">
                  <c:v>1.3727389321918003E-4</c:v>
                </c:pt>
                <c:pt idx="18">
                  <c:v>3.1718817524783424E-4</c:v>
                </c:pt>
                <c:pt idx="19">
                  <c:v>3.3331911478802218E-4</c:v>
                </c:pt>
                <c:pt idx="20">
                  <c:v>3.2191985046831951E-4</c:v>
                </c:pt>
                <c:pt idx="21">
                  <c:v>3.26173832653793E-4</c:v>
                </c:pt>
                <c:pt idx="22">
                  <c:v>3.4261652975367285E-4</c:v>
                </c:pt>
                <c:pt idx="23">
                  <c:v>3.3654228568741757E-4</c:v>
                </c:pt>
                <c:pt idx="24">
                  <c:v>3.4036885831524892E-4</c:v>
                </c:pt>
                <c:pt idx="25">
                  <c:v>3.617242511541448E-4</c:v>
                </c:pt>
                <c:pt idx="26">
                  <c:v>3.5619809699121883E-4</c:v>
                </c:pt>
                <c:pt idx="27">
                  <c:v>3.6766272983150203E-4</c:v>
                </c:pt>
                <c:pt idx="28">
                  <c:v>3.736012085088592E-4</c:v>
                </c:pt>
                <c:pt idx="29">
                  <c:v>3.810129930731475E-4</c:v>
                </c:pt>
                <c:pt idx="30">
                  <c:v>3.7940392179731833E-4</c:v>
                </c:pt>
                <c:pt idx="31">
                  <c:v>3.9085346959439053E-4</c:v>
                </c:pt>
                <c:pt idx="32">
                  <c:v>3.8352716694163065E-4</c:v>
                </c:pt>
                <c:pt idx="33">
                  <c:v>3.9882340075748213E-4</c:v>
                </c:pt>
                <c:pt idx="34">
                  <c:v>3.7214801601287596E-4</c:v>
                </c:pt>
                <c:pt idx="35">
                  <c:v>3.5802841556747456E-4</c:v>
                </c:pt>
                <c:pt idx="36">
                  <c:v>3.9719924443844208E-4</c:v>
                </c:pt>
                <c:pt idx="37">
                  <c:v>3.9758139886645146E-4</c:v>
                </c:pt>
                <c:pt idx="38">
                  <c:v>3.7486332379083775E-4</c:v>
                </c:pt>
                <c:pt idx="39">
                  <c:v>4.1135907166573918E-4</c:v>
                </c:pt>
                <c:pt idx="40">
                  <c:v>4.0452051874346502E-4</c:v>
                </c:pt>
                <c:pt idx="41">
                  <c:v>4.1230440104028882E-4</c:v>
                </c:pt>
                <c:pt idx="42">
                  <c:v>3.8371321580789845E-4</c:v>
                </c:pt>
                <c:pt idx="43">
                  <c:v>4.2323602902045353E-4</c:v>
                </c:pt>
                <c:pt idx="44">
                  <c:v>4.2660502200422097E-4</c:v>
                </c:pt>
                <c:pt idx="45">
                  <c:v>4.2559432410909075E-4</c:v>
                </c:pt>
                <c:pt idx="46">
                  <c:v>4.499667255901664E-4</c:v>
                </c:pt>
                <c:pt idx="47">
                  <c:v>4.5640803904122023E-4</c:v>
                </c:pt>
                <c:pt idx="48">
                  <c:v>4.5277254362739358E-4</c:v>
                </c:pt>
                <c:pt idx="49">
                  <c:v>4.5141488973841275E-4</c:v>
                </c:pt>
                <c:pt idx="50">
                  <c:v>4.4567251662279721E-4</c:v>
                </c:pt>
                <c:pt idx="51">
                  <c:v>4.4042292158540439E-4</c:v>
                </c:pt>
                <c:pt idx="52">
                  <c:v>4.6096372209091175E-4</c:v>
                </c:pt>
                <c:pt idx="53">
                  <c:v>4.5081148800997674E-4</c:v>
                </c:pt>
                <c:pt idx="54">
                  <c:v>4.6840567674162186E-4</c:v>
                </c:pt>
                <c:pt idx="55">
                  <c:v>4.3310667562811839E-4</c:v>
                </c:pt>
                <c:pt idx="56">
                  <c:v>4.5127912434951459E-4</c:v>
                </c:pt>
                <c:pt idx="57">
                  <c:v>4.4802578336369743E-4</c:v>
                </c:pt>
                <c:pt idx="58">
                  <c:v>4.2792244911130616E-4</c:v>
                </c:pt>
                <c:pt idx="59">
                  <c:v>4.3652092374151853E-4</c:v>
                </c:pt>
                <c:pt idx="60">
                  <c:v>3.8941033379388123E-4</c:v>
                </c:pt>
                <c:pt idx="61">
                  <c:v>3.3024176597299879E-4</c:v>
                </c:pt>
                <c:pt idx="62">
                  <c:v>3.1112901622478984E-4</c:v>
                </c:pt>
                <c:pt idx="63">
                  <c:v>3.4792646496390931E-4</c:v>
                </c:pt>
                <c:pt idx="64">
                  <c:v>2.7608646084587176E-4</c:v>
                </c:pt>
                <c:pt idx="65">
                  <c:v>3.4156057672890994E-4</c:v>
                </c:pt>
                <c:pt idx="66">
                  <c:v>4.5795174179646893E-4</c:v>
                </c:pt>
                <c:pt idx="67">
                  <c:v>4.5145008817257145E-4</c:v>
                </c:pt>
                <c:pt idx="68">
                  <c:v>4.8466232497523386E-4</c:v>
                </c:pt>
                <c:pt idx="69">
                  <c:v>4.2668547556801243E-4</c:v>
                </c:pt>
                <c:pt idx="70">
                  <c:v>3.7214801601287596E-4</c:v>
                </c:pt>
                <c:pt idx="71">
                  <c:v>2.2618010955648119E-4</c:v>
                </c:pt>
                <c:pt idx="72">
                  <c:v>1.33995410494678E-4</c:v>
                </c:pt>
                <c:pt idx="73">
                  <c:v>1.9986676584893653E-4</c:v>
                </c:pt>
                <c:pt idx="74">
                  <c:v>7.5430244402231486E-5</c:v>
                </c:pt>
                <c:pt idx="75">
                  <c:v>1.918616362516862E-4</c:v>
                </c:pt>
                <c:pt idx="76">
                  <c:v>4.0825155276429396E-4</c:v>
                </c:pt>
                <c:pt idx="77">
                  <c:v>4.3049193480489589E-4</c:v>
                </c:pt>
                <c:pt idx="78">
                  <c:v>4.1766964807563186E-4</c:v>
                </c:pt>
                <c:pt idx="79">
                  <c:v>3.797005943137993E-4</c:v>
                </c:pt>
                <c:pt idx="80">
                  <c:v>3.4120859238732226E-4</c:v>
                </c:pt>
                <c:pt idx="81">
                  <c:v>2.456197019075929E-4</c:v>
                </c:pt>
                <c:pt idx="82">
                  <c:v>1.4362469641096846E-4</c:v>
                </c:pt>
                <c:pt idx="83">
                  <c:v>1.1015098552598379E-4</c:v>
                </c:pt>
                <c:pt idx="84">
                  <c:v>5.0464497888193798E-5</c:v>
                </c:pt>
                <c:pt idx="85">
                  <c:v>8.4109172596235309E-5</c:v>
                </c:pt>
                <c:pt idx="86">
                  <c:v>5.4622941466664922E-5</c:v>
                </c:pt>
                <c:pt idx="87">
                  <c:v>1.6503540107497095E-5</c:v>
                </c:pt>
                <c:pt idx="88">
                  <c:v>1.8069367592788402E-5</c:v>
                </c:pt>
                <c:pt idx="89">
                  <c:v>2.7777598568549239E-6</c:v>
                </c:pt>
                <c:pt idx="90">
                  <c:v>4.7072877339610022E-6</c:v>
                </c:pt>
                <c:pt idx="91">
                  <c:v>2.2662260415733421E-6</c:v>
                </c:pt>
                <c:pt idx="92">
                  <c:v>1.0030045230926681E-7</c:v>
                </c:pt>
                <c:pt idx="93">
                  <c:v>1.1587827359838841E-7</c:v>
                </c:pt>
                <c:pt idx="94">
                  <c:v>2.849413812106694E-9</c:v>
                </c:pt>
                <c:pt idx="95">
                  <c:v>4.3354917022897145E-9</c:v>
                </c:pt>
                <c:pt idx="96">
                  <c:v>6.5102018150502691E-7</c:v>
                </c:pt>
                <c:pt idx="97">
                  <c:v>1.122980900096684E-6</c:v>
                </c:pt>
                <c:pt idx="98">
                  <c:v>2.2069418217545097E-7</c:v>
                </c:pt>
                <c:pt idx="99">
                  <c:v>3.8972209135357314E-7</c:v>
                </c:pt>
                <c:pt idx="100">
                  <c:v>2.2692933336928914E-12</c:v>
                </c:pt>
                <c:pt idx="101">
                  <c:v>1.3406580736299552E-12</c:v>
                </c:pt>
                <c:pt idx="102">
                  <c:v>8.5391401269161725E-8</c:v>
                </c:pt>
                <c:pt idx="103">
                  <c:v>5.6071105614911228E-8</c:v>
                </c:pt>
                <c:pt idx="104">
                  <c:v>1.4278496233889509E-9</c:v>
                </c:pt>
                <c:pt idx="105">
                  <c:v>1.5081523367483026E-8</c:v>
                </c:pt>
                <c:pt idx="106">
                  <c:v>3.1506621250283453E-8</c:v>
                </c:pt>
                <c:pt idx="107">
                  <c:v>3.1529248815099799E-10</c:v>
                </c:pt>
                <c:pt idx="108">
                  <c:v>3.2276964123586686E-8</c:v>
                </c:pt>
                <c:pt idx="109">
                  <c:v>2.6168024457946326E-8</c:v>
                </c:pt>
                <c:pt idx="110">
                  <c:v>6.4081263559898534E-6</c:v>
                </c:pt>
                <c:pt idx="111">
                  <c:v>4.9657448076410703E-6</c:v>
                </c:pt>
                <c:pt idx="112">
                  <c:v>1.6501025933628614E-5</c:v>
                </c:pt>
                <c:pt idx="113">
                  <c:v>4.8730220753714119E-5</c:v>
                </c:pt>
                <c:pt idx="114">
                  <c:v>7.4494971723155752E-5</c:v>
                </c:pt>
                <c:pt idx="115">
                  <c:v>1.6004225177216344E-4</c:v>
                </c:pt>
                <c:pt idx="116">
                  <c:v>2.3598538764356547E-4</c:v>
                </c:pt>
                <c:pt idx="117">
                  <c:v>4.4704022720725198E-4</c:v>
                </c:pt>
                <c:pt idx="118">
                  <c:v>3.8708723713940278E-4</c:v>
                </c:pt>
                <c:pt idx="119">
                  <c:v>5.0534894756511326E-4</c:v>
                </c:pt>
                <c:pt idx="120">
                  <c:v>5.7745545411320997E-4</c:v>
                </c:pt>
                <c:pt idx="121">
                  <c:v>7.1261744128286422E-4</c:v>
                </c:pt>
                <c:pt idx="122">
                  <c:v>6.6796571337860344E-4</c:v>
                </c:pt>
                <c:pt idx="123">
                  <c:v>8.0443507095986889E-4</c:v>
                </c:pt>
                <c:pt idx="124">
                  <c:v>7.693874872332138E-4</c:v>
                </c:pt>
                <c:pt idx="125">
                  <c:v>8.3299608610583743E-4</c:v>
                </c:pt>
                <c:pt idx="126">
                  <c:v>7.7843851315975308E-4</c:v>
                </c:pt>
                <c:pt idx="127">
                  <c:v>8.4566752240299243E-4</c:v>
                </c:pt>
                <c:pt idx="128">
                  <c:v>8.1227929342953616E-4</c:v>
                </c:pt>
                <c:pt idx="129">
                  <c:v>8.7528449057372405E-4</c:v>
                </c:pt>
                <c:pt idx="130">
                  <c:v>8.954481649989588E-4</c:v>
                </c:pt>
                <c:pt idx="131">
                  <c:v>9.4020045985795898E-4</c:v>
                </c:pt>
                <c:pt idx="132">
                  <c:v>9.5362614831565908E-4</c:v>
                </c:pt>
                <c:pt idx="133">
                  <c:v>9.4482653977596802E-4</c:v>
                </c:pt>
                <c:pt idx="134">
                  <c:v>9.945066154171951E-4</c:v>
                </c:pt>
                <c:pt idx="135">
                  <c:v>1.0044124604590187E-3</c:v>
                </c:pt>
                <c:pt idx="136">
                  <c:v>1.0543439534870941E-3</c:v>
                </c:pt>
                <c:pt idx="137">
                  <c:v>1.0319678060575939E-3</c:v>
                </c:pt>
                <c:pt idx="138">
                  <c:v>1.072094020998585E-3</c:v>
                </c:pt>
                <c:pt idx="139">
                  <c:v>1.0337277277655322E-3</c:v>
                </c:pt>
                <c:pt idx="140">
                  <c:v>1.0740550766160019E-3</c:v>
                </c:pt>
                <c:pt idx="141">
                  <c:v>1.1146841263306895E-3</c:v>
                </c:pt>
                <c:pt idx="142">
                  <c:v>1.0649034837347231E-3</c:v>
                </c:pt>
                <c:pt idx="143">
                  <c:v>1.1229306166193143E-3</c:v>
                </c:pt>
                <c:pt idx="144">
                  <c:v>1.1178519854049783E-3</c:v>
                </c:pt>
                <c:pt idx="145">
                  <c:v>1.1326856112290288E-3</c:v>
                </c:pt>
                <c:pt idx="146">
                  <c:v>1.0972860431607862E-3</c:v>
                </c:pt>
                <c:pt idx="147">
                  <c:v>1.081647881698821E-3</c:v>
                </c:pt>
                <c:pt idx="148">
                  <c:v>1.1749740156969154E-3</c:v>
                </c:pt>
                <c:pt idx="149">
                  <c:v>1.1892545232698999E-3</c:v>
                </c:pt>
                <c:pt idx="150">
                  <c:v>1.1958416588053256E-3</c:v>
                </c:pt>
                <c:pt idx="151">
                  <c:v>1.179097260841228E-3</c:v>
                </c:pt>
                <c:pt idx="152">
                  <c:v>1.2120329385183573E-3</c:v>
                </c:pt>
                <c:pt idx="153">
                  <c:v>1.0941684675638669E-3</c:v>
                </c:pt>
                <c:pt idx="154">
                  <c:v>1.1908635945457292E-3</c:v>
                </c:pt>
                <c:pt idx="155">
                  <c:v>1.1972495961716763E-3</c:v>
                </c:pt>
                <c:pt idx="156">
                  <c:v>1.2984702361168079E-3</c:v>
                </c:pt>
                <c:pt idx="157">
                  <c:v>1.215804199321082E-3</c:v>
                </c:pt>
                <c:pt idx="158">
                  <c:v>1.301034693462661E-3</c:v>
                </c:pt>
                <c:pt idx="159">
                  <c:v>1.2301349903714358E-3</c:v>
                </c:pt>
                <c:pt idx="160">
                  <c:v>1.2054960864603011E-3</c:v>
                </c:pt>
                <c:pt idx="161">
                  <c:v>1.2156030654116032E-3</c:v>
                </c:pt>
                <c:pt idx="162">
                  <c:v>1.3439767831363531E-3</c:v>
                </c:pt>
                <c:pt idx="163">
                  <c:v>1.3359314267572069E-3</c:v>
                </c:pt>
                <c:pt idx="164">
                  <c:v>1.3455355709348124E-3</c:v>
                </c:pt>
                <c:pt idx="165">
                  <c:v>1.3571510542072045E-3</c:v>
                </c:pt>
                <c:pt idx="166">
                  <c:v>1.3931037405265137E-3</c:v>
                </c:pt>
                <c:pt idx="167">
                  <c:v>1.3320595989997426E-3</c:v>
                </c:pt>
                <c:pt idx="168">
                  <c:v>1.3418648770868271E-3</c:v>
                </c:pt>
                <c:pt idx="169">
                  <c:v>1.2833349094285393E-3</c:v>
                </c:pt>
                <c:pt idx="170">
                  <c:v>1.3015375282363574E-3</c:v>
                </c:pt>
                <c:pt idx="171">
                  <c:v>1.3299979764275867E-3</c:v>
                </c:pt>
                <c:pt idx="172">
                  <c:v>1.3361828441440552E-3</c:v>
                </c:pt>
                <c:pt idx="173">
                  <c:v>1.3602686298041235E-3</c:v>
                </c:pt>
                <c:pt idx="174">
                  <c:v>9.2531655055653865E-4</c:v>
                </c:pt>
                <c:pt idx="175">
                  <c:v>1.2601542263611246E-3</c:v>
                </c:pt>
                <c:pt idx="176">
                  <c:v>9.1782431242845889E-4</c:v>
                </c:pt>
                <c:pt idx="177">
                  <c:v>8.7885461746697001E-4</c:v>
                </c:pt>
                <c:pt idx="178">
                  <c:v>6.2869431755289658E-4</c:v>
                </c:pt>
                <c:pt idx="179">
                  <c:v>3.0490392172642563E-4</c:v>
                </c:pt>
                <c:pt idx="180">
                  <c:v>9.2838384267608805E-4</c:v>
                </c:pt>
                <c:pt idx="181">
                  <c:v>2.4979825887701192E-4</c:v>
                </c:pt>
                <c:pt idx="182">
                  <c:v>4.6956219672112407E-4</c:v>
                </c:pt>
                <c:pt idx="183">
                  <c:v>4.2952649203939838E-4</c:v>
                </c:pt>
                <c:pt idx="184">
                  <c:v>3.3262520280032083E-4</c:v>
                </c:pt>
                <c:pt idx="185">
                  <c:v>1.3783706816572025E-4</c:v>
                </c:pt>
                <c:pt idx="186">
                  <c:v>2.5016532826181042E-4</c:v>
                </c:pt>
                <c:pt idx="187">
                  <c:v>1.9912759873160247E-4</c:v>
                </c:pt>
                <c:pt idx="188">
                  <c:v>1.0768709513487031E-4</c:v>
                </c:pt>
                <c:pt idx="189">
                  <c:v>3.0975124894486113E-4</c:v>
                </c:pt>
                <c:pt idx="190">
                  <c:v>1.2998278900057888E-4</c:v>
                </c:pt>
                <c:pt idx="191">
                  <c:v>4.1593486810637848E-5</c:v>
                </c:pt>
                <c:pt idx="192">
                  <c:v>9.2350634537123079E-7</c:v>
                </c:pt>
                <c:pt idx="193">
                  <c:v>2.3458750697268885E-6</c:v>
                </c:pt>
                <c:pt idx="194">
                  <c:v>1.8325310492599986E-9</c:v>
                </c:pt>
                <c:pt idx="195">
                  <c:v>1.6325033762834794E-11</c:v>
                </c:pt>
                <c:pt idx="196">
                  <c:v>3.3758315366896957E-9</c:v>
                </c:pt>
                <c:pt idx="197">
                  <c:v>2.4803833716907371E-6</c:v>
                </c:pt>
                <c:pt idx="198">
                  <c:v>1.0508743935485872E-8</c:v>
                </c:pt>
                <c:pt idx="199">
                  <c:v>4.1024780681586959E-7</c:v>
                </c:pt>
                <c:pt idx="200">
                  <c:v>1.6257653903159443E-6</c:v>
                </c:pt>
                <c:pt idx="201">
                  <c:v>1.46827753919416E-9</c:v>
                </c:pt>
                <c:pt idx="202">
                  <c:v>4.5639295399800938E-14</c:v>
                </c:pt>
                <c:pt idx="203">
                  <c:v>1.076267549620267E-8</c:v>
                </c:pt>
                <c:pt idx="204">
                  <c:v>1.811914823538437E-8</c:v>
                </c:pt>
                <c:pt idx="205">
                  <c:v>8.0579272484884972E-5</c:v>
                </c:pt>
                <c:pt idx="206">
                  <c:v>5.4829103723880548E-4</c:v>
                </c:pt>
                <c:pt idx="207">
                  <c:v>8.4632120760879802E-4</c:v>
                </c:pt>
                <c:pt idx="208">
                  <c:v>1.1624031463544997E-3</c:v>
                </c:pt>
                <c:pt idx="209">
                  <c:v>1.1526481517447852E-3</c:v>
                </c:pt>
                <c:pt idx="210">
                  <c:v>1.6203347747600209E-3</c:v>
                </c:pt>
                <c:pt idx="211">
                  <c:v>1.3009341265079214E-3</c:v>
                </c:pt>
                <c:pt idx="212">
                  <c:v>1.4371520667023384E-3</c:v>
                </c:pt>
                <c:pt idx="213">
                  <c:v>1.5142366375100319E-3</c:v>
                </c:pt>
                <c:pt idx="214">
                  <c:v>1.9299804284024055E-3</c:v>
                </c:pt>
                <c:pt idx="215">
                  <c:v>1.7756101528775402E-3</c:v>
                </c:pt>
                <c:pt idx="216">
                  <c:v>2.0371848021545273E-3</c:v>
                </c:pt>
                <c:pt idx="217">
                  <c:v>2.0759533632065375E-3</c:v>
                </c:pt>
                <c:pt idx="218">
                  <c:v>2.1319691569963418E-3</c:v>
                </c:pt>
                <c:pt idx="219">
                  <c:v>2.1221638789092577E-3</c:v>
                </c:pt>
                <c:pt idx="220">
                  <c:v>2.0733386223833147E-3</c:v>
                </c:pt>
                <c:pt idx="221">
                  <c:v>1.9481830472102236E-3</c:v>
                </c:pt>
                <c:pt idx="222">
                  <c:v>1.9897171995175655E-3</c:v>
                </c:pt>
                <c:pt idx="223">
                  <c:v>2.1677207094061724E-3</c:v>
                </c:pt>
                <c:pt idx="224">
                  <c:v>2.2662763250507118E-3</c:v>
                </c:pt>
                <c:pt idx="225">
                  <c:v>2.2982063331804478E-3</c:v>
                </c:pt>
                <c:pt idx="226">
                  <c:v>2.2956921593119649E-3</c:v>
                </c:pt>
                <c:pt idx="227">
                  <c:v>2.3169117867619625E-3</c:v>
                </c:pt>
                <c:pt idx="228">
                  <c:v>2.3383828315988084E-3</c:v>
                </c:pt>
                <c:pt idx="229">
                  <c:v>2.3131908094366073E-3</c:v>
                </c:pt>
                <c:pt idx="230">
                  <c:v>2.3249068596637389E-3</c:v>
                </c:pt>
                <c:pt idx="231">
                  <c:v>2.3032346809174144E-3</c:v>
                </c:pt>
                <c:pt idx="232">
                  <c:v>2.1511271618741838E-3</c:v>
                </c:pt>
                <c:pt idx="233">
                  <c:v>2.2796517300310423E-3</c:v>
                </c:pt>
                <c:pt idx="234">
                  <c:v>2.1969856932353162E-3</c:v>
                </c:pt>
                <c:pt idx="235">
                  <c:v>2.2539568730951445E-3</c:v>
                </c:pt>
                <c:pt idx="236">
                  <c:v>2.247470304514458E-3</c:v>
                </c:pt>
                <c:pt idx="237">
                  <c:v>2.3250577100958482E-3</c:v>
                </c:pt>
                <c:pt idx="238">
                  <c:v>2.0485991515174409E-3</c:v>
                </c:pt>
                <c:pt idx="239">
                  <c:v>2.2159425642036793E-3</c:v>
                </c:pt>
                <c:pt idx="240">
                  <c:v>2.2748245162035547E-3</c:v>
                </c:pt>
                <c:pt idx="241">
                  <c:v>2.3066539573785515E-3</c:v>
                </c:pt>
                <c:pt idx="242">
                  <c:v>1.9540159305851046E-3</c:v>
                </c:pt>
                <c:pt idx="243">
                  <c:v>1.440521059686106E-3</c:v>
                </c:pt>
                <c:pt idx="244">
                  <c:v>1.5746773773083669E-3</c:v>
                </c:pt>
                <c:pt idx="245">
                  <c:v>6.1164821872458088E-4</c:v>
                </c:pt>
                <c:pt idx="246">
                  <c:v>7.3433990350655861E-4</c:v>
                </c:pt>
                <c:pt idx="247">
                  <c:v>1.2872067371860034E-3</c:v>
                </c:pt>
                <c:pt idx="248">
                  <c:v>7.7748312708972948E-5</c:v>
                </c:pt>
                <c:pt idx="249">
                  <c:v>3.548706131886597E-4</c:v>
                </c:pt>
                <c:pt idx="250">
                  <c:v>7.2549001148949791E-4</c:v>
                </c:pt>
                <c:pt idx="251">
                  <c:v>7.134722603981484E-4</c:v>
                </c:pt>
                <c:pt idx="252">
                  <c:v>1.2564332490357696E-3</c:v>
                </c:pt>
                <c:pt idx="253">
                  <c:v>2.4085282825294886E-3</c:v>
                </c:pt>
                <c:pt idx="254">
                  <c:v>2.5465564279092134E-3</c:v>
                </c:pt>
                <c:pt idx="255">
                  <c:v>2.44262048018612E-3</c:v>
                </c:pt>
                <c:pt idx="256">
                  <c:v>2.6181098162062436E-3</c:v>
                </c:pt>
                <c:pt idx="257">
                  <c:v>2.794403687864282E-3</c:v>
                </c:pt>
                <c:pt idx="258">
                  <c:v>2.9833187123421067E-3</c:v>
                </c:pt>
                <c:pt idx="259">
                  <c:v>3.0030298354710139E-3</c:v>
                </c:pt>
                <c:pt idx="260">
                  <c:v>2.9793966011072729E-3</c:v>
                </c:pt>
                <c:pt idx="261">
                  <c:v>3.0405915930661522E-3</c:v>
                </c:pt>
                <c:pt idx="262">
                  <c:v>3.1634844117576087E-3</c:v>
                </c:pt>
                <c:pt idx="263">
                  <c:v>3.1972749085500225E-3</c:v>
                </c:pt>
                <c:pt idx="264">
                  <c:v>3.2607326569905372E-3</c:v>
                </c:pt>
                <c:pt idx="265">
                  <c:v>3.29170727905025E-3</c:v>
                </c:pt>
                <c:pt idx="266">
                  <c:v>3.3414376381688464E-3</c:v>
                </c:pt>
                <c:pt idx="267">
                  <c:v>3.377541174920264E-3</c:v>
                </c:pt>
                <c:pt idx="268">
                  <c:v>3.4310427948415854E-3</c:v>
                </c:pt>
                <c:pt idx="269">
                  <c:v>3.4723255297620793E-3</c:v>
                </c:pt>
                <c:pt idx="270">
                  <c:v>3.507423396966104E-3</c:v>
                </c:pt>
                <c:pt idx="271">
                  <c:v>3.5146139342299657E-3</c:v>
                </c:pt>
                <c:pt idx="272">
                  <c:v>3.560925016887425E-3</c:v>
                </c:pt>
                <c:pt idx="273">
                  <c:v>3.6160859915619456E-3</c:v>
                </c:pt>
                <c:pt idx="274">
                  <c:v>3.4280257861994063E-3</c:v>
                </c:pt>
                <c:pt idx="275">
                  <c:v>3.6974446579460603E-3</c:v>
                </c:pt>
                <c:pt idx="276">
                  <c:v>3.7801106947417864E-3</c:v>
                </c:pt>
                <c:pt idx="277">
                  <c:v>3.6821081973483129E-3</c:v>
                </c:pt>
                <c:pt idx="278">
                  <c:v>3.4603580621480989E-3</c:v>
                </c:pt>
                <c:pt idx="279">
                  <c:v>3.0405413095887829E-3</c:v>
                </c:pt>
                <c:pt idx="280">
                  <c:v>2.9660714796043118E-3</c:v>
                </c:pt>
                <c:pt idx="281">
                  <c:v>3.1910397573561844E-3</c:v>
                </c:pt>
                <c:pt idx="282">
                  <c:v>2.5329798890194044E-3</c:v>
                </c:pt>
                <c:pt idx="283">
                  <c:v>2.1152247590322439E-3</c:v>
                </c:pt>
                <c:pt idx="284">
                  <c:v>1.7155213974207927E-3</c:v>
                </c:pt>
                <c:pt idx="285">
                  <c:v>7.4047448774565753E-4</c:v>
                </c:pt>
                <c:pt idx="286">
                  <c:v>1.8514879202283616E-3</c:v>
                </c:pt>
                <c:pt idx="287">
                  <c:v>2.3724247457780705E-3</c:v>
                </c:pt>
                <c:pt idx="288">
                  <c:v>1.261310746340627E-3</c:v>
                </c:pt>
                <c:pt idx="289">
                  <c:v>2.1727490571431386E-3</c:v>
                </c:pt>
                <c:pt idx="290">
                  <c:v>3.5756580757567366E-3</c:v>
                </c:pt>
                <c:pt idx="291">
                  <c:v>3.7417946849861035E-3</c:v>
                </c:pt>
                <c:pt idx="292">
                  <c:v>3.4110299708484597E-3</c:v>
                </c:pt>
                <c:pt idx="293">
                  <c:v>3.1410579808507388E-3</c:v>
                </c:pt>
                <c:pt idx="294">
                  <c:v>4.1086126523977948E-3</c:v>
                </c:pt>
                <c:pt idx="295">
                  <c:v>3.7340510294711755E-3</c:v>
                </c:pt>
                <c:pt idx="296">
                  <c:v>4.0909128683636739E-3</c:v>
                </c:pt>
                <c:pt idx="297">
                  <c:v>4.6458413246152743E-3</c:v>
                </c:pt>
                <c:pt idx="298">
                  <c:v>4.7479167836756908E-3</c:v>
                </c:pt>
                <c:pt idx="299">
                  <c:v>4.7244846832214275E-3</c:v>
                </c:pt>
                <c:pt idx="300">
                  <c:v>4.6606246669619556E-3</c:v>
                </c:pt>
                <c:pt idx="301">
                  <c:v>4.8651778529017449E-3</c:v>
                </c:pt>
                <c:pt idx="302">
                  <c:v>4.8435056741554195E-3</c:v>
                </c:pt>
                <c:pt idx="303">
                  <c:v>4.9688120997606203E-3</c:v>
                </c:pt>
                <c:pt idx="304">
                  <c:v>4.5908814838502331E-3</c:v>
                </c:pt>
                <c:pt idx="305">
                  <c:v>4.4939349394815227E-3</c:v>
                </c:pt>
                <c:pt idx="306">
                  <c:v>5.1113154746262445E-3</c:v>
                </c:pt>
                <c:pt idx="307">
                  <c:v>5.1072927964366721E-3</c:v>
                </c:pt>
                <c:pt idx="308">
                  <c:v>5.0444384497245935E-3</c:v>
                </c:pt>
                <c:pt idx="309">
                  <c:v>4.606016810538501E-3</c:v>
                </c:pt>
                <c:pt idx="310">
                  <c:v>4.874228878828284E-3</c:v>
                </c:pt>
                <c:pt idx="311">
                  <c:v>4.3338323475365153E-3</c:v>
                </c:pt>
                <c:pt idx="312">
                  <c:v>4.5015277445643416E-3</c:v>
                </c:pt>
                <c:pt idx="313">
                  <c:v>5.3094323754627176E-3</c:v>
                </c:pt>
                <c:pt idx="314">
                  <c:v>5.3023926886309643E-3</c:v>
                </c:pt>
                <c:pt idx="315">
                  <c:v>5.3929029478963575E-3</c:v>
                </c:pt>
                <c:pt idx="316">
                  <c:v>5.4969897460515598E-3</c:v>
                </c:pt>
                <c:pt idx="317">
                  <c:v>5.4859273810302341E-3</c:v>
                </c:pt>
                <c:pt idx="318">
                  <c:v>5.8258436880491565E-3</c:v>
                </c:pt>
                <c:pt idx="319">
                  <c:v>5.8509854267339879E-3</c:v>
                </c:pt>
                <c:pt idx="320">
                  <c:v>5.9188681211830331E-3</c:v>
                </c:pt>
                <c:pt idx="321">
                  <c:v>5.8369060530704822E-3</c:v>
                </c:pt>
                <c:pt idx="322">
                  <c:v>3.4494968310362522E-3</c:v>
                </c:pt>
                <c:pt idx="323">
                  <c:v>1.3377416319425147E-3</c:v>
                </c:pt>
                <c:pt idx="324">
                  <c:v>6.22660300268537E-3</c:v>
                </c:pt>
                <c:pt idx="325">
                  <c:v>6.2054839421901119E-3</c:v>
                </c:pt>
                <c:pt idx="326">
                  <c:v>6.2839261668867861E-3</c:v>
                </c:pt>
                <c:pt idx="327">
                  <c:v>6.1320700652304043E-3</c:v>
                </c:pt>
                <c:pt idx="328">
                  <c:v>6.123521874077561E-3</c:v>
                </c:pt>
                <c:pt idx="329">
                  <c:v>5.6744904211664705E-3</c:v>
                </c:pt>
                <c:pt idx="330">
                  <c:v>5.219424950971021E-3</c:v>
                </c:pt>
                <c:pt idx="331">
                  <c:v>4.9554366947802894E-3</c:v>
                </c:pt>
                <c:pt idx="332">
                  <c:v>6.3291812965194823E-3</c:v>
                </c:pt>
                <c:pt idx="333">
                  <c:v>6.624848143453101E-3</c:v>
                </c:pt>
                <c:pt idx="334">
                  <c:v>6.64445869962727E-3</c:v>
                </c:pt>
                <c:pt idx="335">
                  <c:v>6.4478503031118878E-3</c:v>
                </c:pt>
                <c:pt idx="336">
                  <c:v>6.3930413127789559E-3</c:v>
                </c:pt>
                <c:pt idx="337">
                  <c:v>5.9440098598678636E-3</c:v>
                </c:pt>
                <c:pt idx="338">
                  <c:v>6.9129724687812706E-3</c:v>
                </c:pt>
                <c:pt idx="339">
                  <c:v>7.0240989537682262E-3</c:v>
                </c:pt>
                <c:pt idx="340">
                  <c:v>7.0185677712575629E-3</c:v>
                </c:pt>
                <c:pt idx="341">
                  <c:v>7.1382424473973609E-3</c:v>
                </c:pt>
                <c:pt idx="342">
                  <c:v>7.1472934733238999E-3</c:v>
                </c:pt>
                <c:pt idx="343">
                  <c:v>7.0356641535632486E-3</c:v>
                </c:pt>
                <c:pt idx="344">
                  <c:v>6.7877666101308102E-3</c:v>
                </c:pt>
                <c:pt idx="345">
                  <c:v>6.8355359136319889E-3</c:v>
                </c:pt>
                <c:pt idx="346">
                  <c:v>7.3247941484388115E-3</c:v>
                </c:pt>
                <c:pt idx="347">
                  <c:v>7.2106506548096751E-3</c:v>
                </c:pt>
                <c:pt idx="348">
                  <c:v>7.2699851581058779E-3</c:v>
                </c:pt>
                <c:pt idx="349">
                  <c:v>7.0014713889518781E-3</c:v>
                </c:pt>
                <c:pt idx="350">
                  <c:v>7.0527605358689342E-3</c:v>
                </c:pt>
                <c:pt idx="351">
                  <c:v>7.4112817295146306E-3</c:v>
                </c:pt>
                <c:pt idx="352">
                  <c:v>7.3901626690193725E-3</c:v>
                </c:pt>
                <c:pt idx="353">
                  <c:v>7.3846314865087092E-3</c:v>
                </c:pt>
                <c:pt idx="354">
                  <c:v>7.4897239542113057E-3</c:v>
                </c:pt>
                <c:pt idx="355">
                  <c:v>7.4183214163463839E-3</c:v>
                </c:pt>
                <c:pt idx="356">
                  <c:v>7.1945599420513836E-3</c:v>
                </c:pt>
                <c:pt idx="357">
                  <c:v>6.8933619126071016E-3</c:v>
                </c:pt>
                <c:pt idx="358">
                  <c:v>7.7054400721271593E-3</c:v>
                </c:pt>
                <c:pt idx="359">
                  <c:v>7.5525783009233842E-3</c:v>
                </c:pt>
                <c:pt idx="360">
                  <c:v>7.4303894509151029E-3</c:v>
                </c:pt>
                <c:pt idx="361">
                  <c:v>7.4500000070892719E-3</c:v>
                </c:pt>
                <c:pt idx="362">
                  <c:v>7.6435913949624741E-3</c:v>
                </c:pt>
                <c:pt idx="363">
                  <c:v>7.4117845642883273E-3</c:v>
                </c:pt>
                <c:pt idx="364">
                  <c:v>7.8613188519731144E-3</c:v>
                </c:pt>
                <c:pt idx="365">
                  <c:v>7.7431526801544073E-3</c:v>
                </c:pt>
                <c:pt idx="366">
                  <c:v>7.7612547320074863E-3</c:v>
                </c:pt>
                <c:pt idx="367">
                  <c:v>7.454525520052541E-3</c:v>
                </c:pt>
                <c:pt idx="368">
                  <c:v>7.8115382093771491E-3</c:v>
                </c:pt>
                <c:pt idx="369">
                  <c:v>7.7667859145181487E-3</c:v>
                </c:pt>
                <c:pt idx="370">
                  <c:v>7.9352355637065195E-3</c:v>
                </c:pt>
                <c:pt idx="371">
                  <c:v>7.6611906120418564E-3</c:v>
                </c:pt>
                <c:pt idx="372">
                  <c:v>7.7004117243901936E-3</c:v>
                </c:pt>
                <c:pt idx="373">
                  <c:v>7.7843851315975311E-3</c:v>
                </c:pt>
                <c:pt idx="374">
                  <c:v>7.8618216867468102E-3</c:v>
                </c:pt>
                <c:pt idx="375">
                  <c:v>7.7693000883866312E-3</c:v>
                </c:pt>
                <c:pt idx="376">
                  <c:v>8.2892312443889477E-3</c:v>
                </c:pt>
                <c:pt idx="377">
                  <c:v>8.1579913684541264E-3</c:v>
                </c:pt>
                <c:pt idx="378">
                  <c:v>7.88595775588425E-3</c:v>
                </c:pt>
                <c:pt idx="379">
                  <c:v>8.1363694731851725E-3</c:v>
                </c:pt>
                <c:pt idx="380">
                  <c:v>8.1383808122799592E-3</c:v>
                </c:pt>
                <c:pt idx="381">
                  <c:v>7.5812398830240922E-3</c:v>
                </c:pt>
                <c:pt idx="382">
                  <c:v>7.7185137762432717E-3</c:v>
                </c:pt>
                <c:pt idx="383">
                  <c:v>7.6888465245951703E-3</c:v>
                </c:pt>
                <c:pt idx="384">
                  <c:v>7.6551565947574965E-3</c:v>
                </c:pt>
                <c:pt idx="385">
                  <c:v>7.8417082957989472E-3</c:v>
                </c:pt>
                <c:pt idx="386">
                  <c:v>7.3509415566710354E-3</c:v>
                </c:pt>
                <c:pt idx="387">
                  <c:v>6.7877666101308102E-3</c:v>
                </c:pt>
                <c:pt idx="388">
                  <c:v>6.261298602070438E-3</c:v>
                </c:pt>
                <c:pt idx="389">
                  <c:v>4.3978934977054662E-3</c:v>
                </c:pt>
                <c:pt idx="390">
                  <c:v>6.2794006539235161E-3</c:v>
                </c:pt>
                <c:pt idx="391">
                  <c:v>5.6478401781605491E-3</c:v>
                </c:pt>
                <c:pt idx="392">
                  <c:v>6.1637486559732915E-3</c:v>
                </c:pt>
                <c:pt idx="393">
                  <c:v>5.2722226022091662E-3</c:v>
                </c:pt>
                <c:pt idx="394">
                  <c:v>5.7881310800219094E-3</c:v>
                </c:pt>
                <c:pt idx="395">
                  <c:v>5.6020822137541563E-3</c:v>
                </c:pt>
                <c:pt idx="396">
                  <c:v>4.0614970341024204E-3</c:v>
                </c:pt>
                <c:pt idx="397">
                  <c:v>4.0075428628847717E-3</c:v>
                </c:pt>
                <c:pt idx="398">
                  <c:v>3.3868436182336518E-3</c:v>
                </c:pt>
                <c:pt idx="399">
                  <c:v>3.523715243633875E-3</c:v>
                </c:pt>
                <c:pt idx="400">
                  <c:v>2.9632053213942415E-3</c:v>
                </c:pt>
                <c:pt idx="401">
                  <c:v>3.7967545257511452E-3</c:v>
                </c:pt>
                <c:pt idx="402">
                  <c:v>3.1356273652948154E-3</c:v>
                </c:pt>
                <c:pt idx="403">
                  <c:v>3.0078067658211322E-3</c:v>
                </c:pt>
                <c:pt idx="404">
                  <c:v>3.0743318063811967E-3</c:v>
                </c:pt>
                <c:pt idx="405">
                  <c:v>2.6548670381634676E-3</c:v>
                </c:pt>
                <c:pt idx="406">
                  <c:v>2.3079110443127927E-3</c:v>
                </c:pt>
                <c:pt idx="407">
                  <c:v>2.5232248944096901E-3</c:v>
                </c:pt>
                <c:pt idx="408">
                  <c:v>2.3325499482239279E-3</c:v>
                </c:pt>
                <c:pt idx="409">
                  <c:v>2.3703128397285444E-3</c:v>
                </c:pt>
                <c:pt idx="410">
                  <c:v>1.4026073177493801E-3</c:v>
                </c:pt>
                <c:pt idx="411">
                  <c:v>1.0321689399670727E-3</c:v>
                </c:pt>
                <c:pt idx="412">
                  <c:v>6.8511237916165854E-4</c:v>
                </c:pt>
                <c:pt idx="413">
                  <c:v>2.5613900537332641E-4</c:v>
                </c:pt>
                <c:pt idx="414">
                  <c:v>8.2781688793676208E-5</c:v>
                </c:pt>
                <c:pt idx="415">
                  <c:v>5.1314288655741101E-6</c:v>
                </c:pt>
                <c:pt idx="416">
                  <c:v>6.1798393687315837E-8</c:v>
                </c:pt>
                <c:pt idx="417">
                  <c:v>3.025456266377884E-11</c:v>
                </c:pt>
                <c:pt idx="418">
                  <c:v>4.0298184433595328E-17</c:v>
                </c:pt>
                <c:pt idx="419">
                  <c:v>2.3788610308813874E-25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99-42C2-AB14-EE62CD171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963184"/>
        <c:axId val="1"/>
      </c:scatterChart>
      <c:valAx>
        <c:axId val="616963184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5123961631084775"/>
              <c:y val="0.927375668214259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relative Intensity</a:t>
                </a:r>
              </a:p>
            </c:rich>
          </c:tx>
          <c:layout>
            <c:manualLayout>
              <c:xMode val="edge"/>
              <c:yMode val="edge"/>
              <c:x val="4.1322347593148796E-2"/>
              <c:y val="0.332402793603283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169631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963220651406012"/>
          <c:y val="0.57796661935312577"/>
          <c:w val="0.23232006760876966"/>
          <c:h val="0.283279691722420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References</a:t>
            </a:r>
          </a:p>
        </c:rich>
      </c:tx>
      <c:layout>
        <c:manualLayout>
          <c:xMode val="edge"/>
          <c:yMode val="edge"/>
          <c:x val="0.43030376447699287"/>
          <c:y val="3.36134119598686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454686693132534E-2"/>
          <c:y val="0.15406204608183999"/>
          <c:w val="0.85454671896709122"/>
          <c:h val="0.6862763870918327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trans!$AU$77</c:f>
              <c:strCache>
                <c:ptCount val="1"/>
                <c:pt idx="0">
                  <c:v>G-95004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trans!$AU$80:$AU$530</c:f>
              <c:numCache>
                <c:formatCode>0.00</c:formatCode>
                <c:ptCount val="426"/>
                <c:pt idx="0">
                  <c:v>94.131286174808068</c:v>
                </c:pt>
                <c:pt idx="1">
                  <c:v>94.286003520161174</c:v>
                </c:pt>
                <c:pt idx="2">
                  <c:v>94.393060191414961</c:v>
                </c:pt>
                <c:pt idx="3">
                  <c:v>94.438363375630615</c:v>
                </c:pt>
                <c:pt idx="4">
                  <c:v>94.397405498599667</c:v>
                </c:pt>
                <c:pt idx="5">
                  <c:v>94.49112176676384</c:v>
                </c:pt>
                <c:pt idx="6">
                  <c:v>94.585668802793421</c:v>
                </c:pt>
                <c:pt idx="7">
                  <c:v>94.64430666433951</c:v>
                </c:pt>
                <c:pt idx="8">
                  <c:v>94.684333503688137</c:v>
                </c:pt>
                <c:pt idx="9">
                  <c:v>94.74686925284152</c:v>
                </c:pt>
                <c:pt idx="10">
                  <c:v>94.83298316063663</c:v>
                </c:pt>
                <c:pt idx="11">
                  <c:v>94.86340946377031</c:v>
                </c:pt>
                <c:pt idx="12">
                  <c:v>94.928776953769628</c:v>
                </c:pt>
                <c:pt idx="13">
                  <c:v>95.00361629703059</c:v>
                </c:pt>
                <c:pt idx="14">
                  <c:v>95.058333158479357</c:v>
                </c:pt>
                <c:pt idx="15">
                  <c:v>95.117597241315238</c:v>
                </c:pt>
                <c:pt idx="16">
                  <c:v>95.184872341549678</c:v>
                </c:pt>
                <c:pt idx="17">
                  <c:v>95.238995952351388</c:v>
                </c:pt>
                <c:pt idx="18">
                  <c:v>95.491289934821836</c:v>
                </c:pt>
                <c:pt idx="19">
                  <c:v>95.454219683841032</c:v>
                </c:pt>
                <c:pt idx="20">
                  <c:v>95.435107636022892</c:v>
                </c:pt>
                <c:pt idx="21">
                  <c:v>95.418558212152291</c:v>
                </c:pt>
                <c:pt idx="22">
                  <c:v>95.397129434880227</c:v>
                </c:pt>
                <c:pt idx="23">
                  <c:v>95.366586360185337</c:v>
                </c:pt>
                <c:pt idx="24">
                  <c:v>95.350575842552416</c:v>
                </c:pt>
                <c:pt idx="25">
                  <c:v>95.311422376281328</c:v>
                </c:pt>
                <c:pt idx="26">
                  <c:v>95.288275188905459</c:v>
                </c:pt>
                <c:pt idx="27">
                  <c:v>95.265002210915341</c:v>
                </c:pt>
                <c:pt idx="28">
                  <c:v>95.232656037874349</c:v>
                </c:pt>
                <c:pt idx="29">
                  <c:v>95.221563700702518</c:v>
                </c:pt>
                <c:pt idx="30">
                  <c:v>95.226315506077</c:v>
                </c:pt>
                <c:pt idx="31">
                  <c:v>95.241189400310418</c:v>
                </c:pt>
                <c:pt idx="32">
                  <c:v>95.280102561300779</c:v>
                </c:pt>
                <c:pt idx="33">
                  <c:v>95.310076764951646</c:v>
                </c:pt>
                <c:pt idx="34">
                  <c:v>95.385279345514391</c:v>
                </c:pt>
                <c:pt idx="35">
                  <c:v>95.467026465642107</c:v>
                </c:pt>
                <c:pt idx="36">
                  <c:v>95.583372360189188</c:v>
                </c:pt>
                <c:pt idx="37">
                  <c:v>95.692387166883989</c:v>
                </c:pt>
                <c:pt idx="38">
                  <c:v>95.815011406219313</c:v>
                </c:pt>
                <c:pt idx="39">
                  <c:v>95.938847618609159</c:v>
                </c:pt>
                <c:pt idx="40">
                  <c:v>96.045367557211463</c:v>
                </c:pt>
                <c:pt idx="41">
                  <c:v>96.145579309414487</c:v>
                </c:pt>
                <c:pt idx="42">
                  <c:v>96.218543789508502</c:v>
                </c:pt>
                <c:pt idx="43">
                  <c:v>96.28208270875173</c:v>
                </c:pt>
                <c:pt idx="44">
                  <c:v>96.327804762855521</c:v>
                </c:pt>
                <c:pt idx="45">
                  <c:v>96.390454809836044</c:v>
                </c:pt>
                <c:pt idx="46">
                  <c:v>96.431400430619206</c:v>
                </c:pt>
                <c:pt idx="47">
                  <c:v>96.465481217718022</c:v>
                </c:pt>
                <c:pt idx="48">
                  <c:v>96.495339596669041</c:v>
                </c:pt>
                <c:pt idx="49">
                  <c:v>96.511439966296777</c:v>
                </c:pt>
                <c:pt idx="50">
                  <c:v>96.544747712358401</c:v>
                </c:pt>
                <c:pt idx="51">
                  <c:v>96.557215884016401</c:v>
                </c:pt>
                <c:pt idx="52">
                  <c:v>96.590044845486531</c:v>
                </c:pt>
                <c:pt idx="53">
                  <c:v>96.6098920487903</c:v>
                </c:pt>
                <c:pt idx="54">
                  <c:v>96.631815033147191</c:v>
                </c:pt>
                <c:pt idx="55">
                  <c:v>96.644126789406712</c:v>
                </c:pt>
                <c:pt idx="56">
                  <c:v>96.650895012781731</c:v>
                </c:pt>
                <c:pt idx="57">
                  <c:v>96.671876387585101</c:v>
                </c:pt>
                <c:pt idx="58">
                  <c:v>96.682722440450377</c:v>
                </c:pt>
                <c:pt idx="59">
                  <c:v>96.698657029477317</c:v>
                </c:pt>
                <c:pt idx="60">
                  <c:v>96.704776898508101</c:v>
                </c:pt>
                <c:pt idx="61">
                  <c:v>96.706484117222274</c:v>
                </c:pt>
                <c:pt idx="62">
                  <c:v>96.728980256168896</c:v>
                </c:pt>
                <c:pt idx="63">
                  <c:v>96.732672725469683</c:v>
                </c:pt>
                <c:pt idx="64">
                  <c:v>96.734302848728063</c:v>
                </c:pt>
                <c:pt idx="65">
                  <c:v>96.74005989960358</c:v>
                </c:pt>
                <c:pt idx="66">
                  <c:v>96.75631138157901</c:v>
                </c:pt>
                <c:pt idx="67">
                  <c:v>96.766170147447511</c:v>
                </c:pt>
                <c:pt idx="68">
                  <c:v>96.773577755449523</c:v>
                </c:pt>
                <c:pt idx="69">
                  <c:v>96.790243924065564</c:v>
                </c:pt>
                <c:pt idx="70">
                  <c:v>96.797690882418621</c:v>
                </c:pt>
                <c:pt idx="71">
                  <c:v>96.805265727646585</c:v>
                </c:pt>
                <c:pt idx="72">
                  <c:v>96.812394313798563</c:v>
                </c:pt>
                <c:pt idx="73">
                  <c:v>96.809348546680283</c:v>
                </c:pt>
                <c:pt idx="74">
                  <c:v>96.822074533609168</c:v>
                </c:pt>
                <c:pt idx="75">
                  <c:v>96.836457767892284</c:v>
                </c:pt>
                <c:pt idx="76">
                  <c:v>96.852771967760376</c:v>
                </c:pt>
                <c:pt idx="77">
                  <c:v>96.853436795380688</c:v>
                </c:pt>
                <c:pt idx="78">
                  <c:v>96.863581392091135</c:v>
                </c:pt>
                <c:pt idx="79">
                  <c:v>96.869933627882219</c:v>
                </c:pt>
                <c:pt idx="80">
                  <c:v>96.886519027599846</c:v>
                </c:pt>
                <c:pt idx="81">
                  <c:v>96.896577822429848</c:v>
                </c:pt>
                <c:pt idx="82">
                  <c:v>96.904149352593365</c:v>
                </c:pt>
                <c:pt idx="83">
                  <c:v>96.922235035881954</c:v>
                </c:pt>
                <c:pt idx="84">
                  <c:v>96.944246045657849</c:v>
                </c:pt>
                <c:pt idx="85">
                  <c:v>96.959726543209868</c:v>
                </c:pt>
                <c:pt idx="86">
                  <c:v>96.973136696668817</c:v>
                </c:pt>
                <c:pt idx="87">
                  <c:v>96.982694892106522</c:v>
                </c:pt>
                <c:pt idx="88">
                  <c:v>96.976748170369248</c:v>
                </c:pt>
                <c:pt idx="89">
                  <c:v>97.00214458865257</c:v>
                </c:pt>
                <c:pt idx="90">
                  <c:v>97.022415829654008</c:v>
                </c:pt>
                <c:pt idx="91">
                  <c:v>97.022090748984553</c:v>
                </c:pt>
                <c:pt idx="92">
                  <c:v>97.031626639714432</c:v>
                </c:pt>
                <c:pt idx="93">
                  <c:v>97.035990788407616</c:v>
                </c:pt>
                <c:pt idx="94">
                  <c:v>97.03258071209963</c:v>
                </c:pt>
                <c:pt idx="95">
                  <c:v>97.043907421296737</c:v>
                </c:pt>
                <c:pt idx="96">
                  <c:v>97.053257316190766</c:v>
                </c:pt>
                <c:pt idx="97">
                  <c:v>97.058327053395388</c:v>
                </c:pt>
                <c:pt idx="98">
                  <c:v>97.077184828749637</c:v>
                </c:pt>
                <c:pt idx="99">
                  <c:v>97.098826255707763</c:v>
                </c:pt>
                <c:pt idx="100">
                  <c:v>97.121449459972212</c:v>
                </c:pt>
                <c:pt idx="101">
                  <c:v>97.122860058974311</c:v>
                </c:pt>
                <c:pt idx="102">
                  <c:v>97.128499921954969</c:v>
                </c:pt>
                <c:pt idx="103">
                  <c:v>97.134139784935613</c:v>
                </c:pt>
                <c:pt idx="104">
                  <c:v>97.139779647916271</c:v>
                </c:pt>
                <c:pt idx="105">
                  <c:v>97.153811627214267</c:v>
                </c:pt>
                <c:pt idx="106">
                  <c:v>97.143235323695706</c:v>
                </c:pt>
                <c:pt idx="107">
                  <c:v>97.137491876111937</c:v>
                </c:pt>
                <c:pt idx="108">
                  <c:v>97.159312099479848</c:v>
                </c:pt>
                <c:pt idx="109">
                  <c:v>97.170223259100496</c:v>
                </c:pt>
                <c:pt idx="110">
                  <c:v>97.194607917568916</c:v>
                </c:pt>
                <c:pt idx="111">
                  <c:v>97.198530555266515</c:v>
                </c:pt>
                <c:pt idx="112">
                  <c:v>97.200954127715534</c:v>
                </c:pt>
                <c:pt idx="113">
                  <c:v>97.215298053800225</c:v>
                </c:pt>
                <c:pt idx="114">
                  <c:v>97.214024458362061</c:v>
                </c:pt>
                <c:pt idx="115">
                  <c:v>97.229230933814904</c:v>
                </c:pt>
                <c:pt idx="116">
                  <c:v>97.239686544752132</c:v>
                </c:pt>
                <c:pt idx="117">
                  <c:v>97.229032153626989</c:v>
                </c:pt>
                <c:pt idx="118">
                  <c:v>97.250344943840403</c:v>
                </c:pt>
                <c:pt idx="119">
                  <c:v>97.269369357883633</c:v>
                </c:pt>
                <c:pt idx="120">
                  <c:v>97.284585646754422</c:v>
                </c:pt>
                <c:pt idx="121">
                  <c:v>97.283986733118738</c:v>
                </c:pt>
                <c:pt idx="122">
                  <c:v>97.280598745461546</c:v>
                </c:pt>
                <c:pt idx="123">
                  <c:v>97.297833533843786</c:v>
                </c:pt>
                <c:pt idx="124">
                  <c:v>97.30871963652568</c:v>
                </c:pt>
                <c:pt idx="125">
                  <c:v>97.323921237603784</c:v>
                </c:pt>
                <c:pt idx="126">
                  <c:v>97.317698196216256</c:v>
                </c:pt>
                <c:pt idx="127">
                  <c:v>97.331160412826932</c:v>
                </c:pt>
                <c:pt idx="128">
                  <c:v>97.34654505474515</c:v>
                </c:pt>
                <c:pt idx="129">
                  <c:v>97.348248238922608</c:v>
                </c:pt>
                <c:pt idx="130">
                  <c:v>97.362578195027822</c:v>
                </c:pt>
                <c:pt idx="131">
                  <c:v>97.36899708352189</c:v>
                </c:pt>
                <c:pt idx="132">
                  <c:v>97.359486680123482</c:v>
                </c:pt>
                <c:pt idx="133">
                  <c:v>97.364915063559522</c:v>
                </c:pt>
                <c:pt idx="134">
                  <c:v>97.385414977685926</c:v>
                </c:pt>
                <c:pt idx="135">
                  <c:v>97.389729862071405</c:v>
                </c:pt>
                <c:pt idx="136">
                  <c:v>97.391472241180168</c:v>
                </c:pt>
                <c:pt idx="137">
                  <c:v>97.400278784888584</c:v>
                </c:pt>
                <c:pt idx="138">
                  <c:v>97.390273599032994</c:v>
                </c:pt>
                <c:pt idx="139">
                  <c:v>97.409124239318658</c:v>
                </c:pt>
                <c:pt idx="140">
                  <c:v>97.411855091839939</c:v>
                </c:pt>
                <c:pt idx="141">
                  <c:v>97.408447213606976</c:v>
                </c:pt>
                <c:pt idx="142">
                  <c:v>97.421216201296104</c:v>
                </c:pt>
                <c:pt idx="143">
                  <c:v>97.429990354465573</c:v>
                </c:pt>
                <c:pt idx="144">
                  <c:v>97.425702485274257</c:v>
                </c:pt>
                <c:pt idx="145">
                  <c:v>97.423193827829621</c:v>
                </c:pt>
                <c:pt idx="146">
                  <c:v>97.421368414462378</c:v>
                </c:pt>
                <c:pt idx="147">
                  <c:v>97.427137038602169</c:v>
                </c:pt>
                <c:pt idx="148">
                  <c:v>97.421853311497856</c:v>
                </c:pt>
                <c:pt idx="149">
                  <c:v>97.419855339243313</c:v>
                </c:pt>
                <c:pt idx="150">
                  <c:v>97.425592310220068</c:v>
                </c:pt>
                <c:pt idx="151">
                  <c:v>97.426302640779468</c:v>
                </c:pt>
                <c:pt idx="152">
                  <c:v>97.435690080173913</c:v>
                </c:pt>
                <c:pt idx="153">
                  <c:v>97.422147158969779</c:v>
                </c:pt>
                <c:pt idx="154">
                  <c:v>97.419215607800709</c:v>
                </c:pt>
                <c:pt idx="155">
                  <c:v>97.41978408662716</c:v>
                </c:pt>
                <c:pt idx="156">
                  <c:v>97.428051760845747</c:v>
                </c:pt>
                <c:pt idx="157">
                  <c:v>97.420315056240725</c:v>
                </c:pt>
                <c:pt idx="158">
                  <c:v>97.407971334329446</c:v>
                </c:pt>
                <c:pt idx="159">
                  <c:v>97.408172256101537</c:v>
                </c:pt>
                <c:pt idx="160">
                  <c:v>97.40273658147612</c:v>
                </c:pt>
                <c:pt idx="161">
                  <c:v>97.39510752076059</c:v>
                </c:pt>
                <c:pt idx="162">
                  <c:v>97.385345818518928</c:v>
                </c:pt>
                <c:pt idx="163">
                  <c:v>97.387287547517658</c:v>
                </c:pt>
                <c:pt idx="164">
                  <c:v>97.369017071931879</c:v>
                </c:pt>
                <c:pt idx="165">
                  <c:v>97.347399582015726</c:v>
                </c:pt>
                <c:pt idx="166">
                  <c:v>97.338706615130789</c:v>
                </c:pt>
                <c:pt idx="167">
                  <c:v>97.308277864322392</c:v>
                </c:pt>
                <c:pt idx="168">
                  <c:v>97.327425571443925</c:v>
                </c:pt>
                <c:pt idx="169">
                  <c:v>97.306040962059043</c:v>
                </c:pt>
                <c:pt idx="170">
                  <c:v>97.32571020554866</c:v>
                </c:pt>
                <c:pt idx="171">
                  <c:v>97.33257381942515</c:v>
                </c:pt>
                <c:pt idx="172">
                  <c:v>97.329909196793707</c:v>
                </c:pt>
                <c:pt idx="173">
                  <c:v>97.316199544412441</c:v>
                </c:pt>
                <c:pt idx="174">
                  <c:v>97.303078305060566</c:v>
                </c:pt>
                <c:pt idx="175">
                  <c:v>97.289989386154886</c:v>
                </c:pt>
                <c:pt idx="176">
                  <c:v>97.292199338240309</c:v>
                </c:pt>
                <c:pt idx="177">
                  <c:v>97.265436018183593</c:v>
                </c:pt>
                <c:pt idx="178">
                  <c:v>97.259648827371549</c:v>
                </c:pt>
                <c:pt idx="179">
                  <c:v>97.258036157526888</c:v>
                </c:pt>
                <c:pt idx="180">
                  <c:v>97.264908132709351</c:v>
                </c:pt>
                <c:pt idx="181">
                  <c:v>97.22884978431091</c:v>
                </c:pt>
                <c:pt idx="182">
                  <c:v>97.224764593200533</c:v>
                </c:pt>
                <c:pt idx="183">
                  <c:v>97.213543276986385</c:v>
                </c:pt>
                <c:pt idx="184">
                  <c:v>97.1908909610205</c:v>
                </c:pt>
                <c:pt idx="185">
                  <c:v>97.181593407356459</c:v>
                </c:pt>
                <c:pt idx="186">
                  <c:v>97.176404620002288</c:v>
                </c:pt>
                <c:pt idx="187">
                  <c:v>97.168244833333802</c:v>
                </c:pt>
                <c:pt idx="188">
                  <c:v>97.150021680378543</c:v>
                </c:pt>
                <c:pt idx="189">
                  <c:v>97.114694617750004</c:v>
                </c:pt>
                <c:pt idx="190">
                  <c:v>97.092338403598092</c:v>
                </c:pt>
                <c:pt idx="191">
                  <c:v>97.082098704434586</c:v>
                </c:pt>
                <c:pt idx="192">
                  <c:v>97.077572857314806</c:v>
                </c:pt>
                <c:pt idx="193">
                  <c:v>97.029252435179231</c:v>
                </c:pt>
                <c:pt idx="194">
                  <c:v>97.064391561777214</c:v>
                </c:pt>
                <c:pt idx="195">
                  <c:v>97.047353534721523</c:v>
                </c:pt>
                <c:pt idx="196">
                  <c:v>97.084499744467962</c:v>
                </c:pt>
                <c:pt idx="197">
                  <c:v>97.110587874654286</c:v>
                </c:pt>
                <c:pt idx="198">
                  <c:v>97.122513908916019</c:v>
                </c:pt>
                <c:pt idx="199">
                  <c:v>97.11837912890968</c:v>
                </c:pt>
                <c:pt idx="200">
                  <c:v>97.143028917679899</c:v>
                </c:pt>
                <c:pt idx="201">
                  <c:v>97.148700308040318</c:v>
                </c:pt>
                <c:pt idx="202">
                  <c:v>97.119895451509976</c:v>
                </c:pt>
                <c:pt idx="203">
                  <c:v>97.105742743594647</c:v>
                </c:pt>
                <c:pt idx="204">
                  <c:v>97.117323073734156</c:v>
                </c:pt>
                <c:pt idx="205">
                  <c:v>97.114238483988345</c:v>
                </c:pt>
                <c:pt idx="206">
                  <c:v>97.110389585672294</c:v>
                </c:pt>
                <c:pt idx="207">
                  <c:v>97.124679204369272</c:v>
                </c:pt>
                <c:pt idx="208">
                  <c:v>97.106654650725702</c:v>
                </c:pt>
                <c:pt idx="209">
                  <c:v>97.075685569829645</c:v>
                </c:pt>
                <c:pt idx="210">
                  <c:v>97.080385588149284</c:v>
                </c:pt>
                <c:pt idx="211">
                  <c:v>97.070185662681524</c:v>
                </c:pt>
                <c:pt idx="212">
                  <c:v>97.083755997924243</c:v>
                </c:pt>
                <c:pt idx="213">
                  <c:v>97.082163513910885</c:v>
                </c:pt>
                <c:pt idx="214">
                  <c:v>97.059239550716185</c:v>
                </c:pt>
                <c:pt idx="215">
                  <c:v>97.028699530823246</c:v>
                </c:pt>
                <c:pt idx="216">
                  <c:v>97.03795495216923</c:v>
                </c:pt>
                <c:pt idx="217">
                  <c:v>97.046020447504532</c:v>
                </c:pt>
                <c:pt idx="218">
                  <c:v>97.018333398322497</c:v>
                </c:pt>
                <c:pt idx="219">
                  <c:v>97.023372335989976</c:v>
                </c:pt>
                <c:pt idx="220">
                  <c:v>97.029839700231378</c:v>
                </c:pt>
                <c:pt idx="221">
                  <c:v>97.009677060969253</c:v>
                </c:pt>
                <c:pt idx="222">
                  <c:v>96.993635424929607</c:v>
                </c:pt>
                <c:pt idx="223">
                  <c:v>97.006524421590484</c:v>
                </c:pt>
                <c:pt idx="224">
                  <c:v>96.997305922621251</c:v>
                </c:pt>
                <c:pt idx="225">
                  <c:v>96.991748786302537</c:v>
                </c:pt>
                <c:pt idx="226">
                  <c:v>97.014845610923444</c:v>
                </c:pt>
                <c:pt idx="227">
                  <c:v>96.9814049261458</c:v>
                </c:pt>
                <c:pt idx="228">
                  <c:v>96.961678668200548</c:v>
                </c:pt>
                <c:pt idx="229">
                  <c:v>96.968646970080229</c:v>
                </c:pt>
                <c:pt idx="230">
                  <c:v>96.971538890397014</c:v>
                </c:pt>
                <c:pt idx="231">
                  <c:v>96.984788825585326</c:v>
                </c:pt>
                <c:pt idx="232">
                  <c:v>96.967529884332194</c:v>
                </c:pt>
                <c:pt idx="233">
                  <c:v>96.964542738145568</c:v>
                </c:pt>
                <c:pt idx="234">
                  <c:v>96.961617869447863</c:v>
                </c:pt>
                <c:pt idx="235">
                  <c:v>96.946551695490825</c:v>
                </c:pt>
                <c:pt idx="236">
                  <c:v>96.960428753802162</c:v>
                </c:pt>
                <c:pt idx="237">
                  <c:v>96.943215433001356</c:v>
                </c:pt>
                <c:pt idx="238">
                  <c:v>96.921810429262166</c:v>
                </c:pt>
                <c:pt idx="239">
                  <c:v>96.939328591937326</c:v>
                </c:pt>
                <c:pt idx="240">
                  <c:v>96.912454597825942</c:v>
                </c:pt>
                <c:pt idx="241">
                  <c:v>96.922277049160741</c:v>
                </c:pt>
                <c:pt idx="242">
                  <c:v>96.925489887097129</c:v>
                </c:pt>
                <c:pt idx="243">
                  <c:v>96.93130065277802</c:v>
                </c:pt>
                <c:pt idx="244">
                  <c:v>96.906474873024194</c:v>
                </c:pt>
                <c:pt idx="245">
                  <c:v>96.90143606325455</c:v>
                </c:pt>
                <c:pt idx="246">
                  <c:v>96.909393982881468</c:v>
                </c:pt>
                <c:pt idx="247">
                  <c:v>96.898059126088242</c:v>
                </c:pt>
                <c:pt idx="248">
                  <c:v>96.890454377815459</c:v>
                </c:pt>
                <c:pt idx="249">
                  <c:v>96.904723497618249</c:v>
                </c:pt>
                <c:pt idx="250">
                  <c:v>96.880858250153935</c:v>
                </c:pt>
                <c:pt idx="251">
                  <c:v>96.892600659566185</c:v>
                </c:pt>
                <c:pt idx="252">
                  <c:v>96.894723329588544</c:v>
                </c:pt>
                <c:pt idx="253">
                  <c:v>96.911669142032665</c:v>
                </c:pt>
                <c:pt idx="254">
                  <c:v>96.889283200155703</c:v>
                </c:pt>
                <c:pt idx="255">
                  <c:v>96.887615968794805</c:v>
                </c:pt>
                <c:pt idx="256">
                  <c:v>96.882286191779144</c:v>
                </c:pt>
                <c:pt idx="257">
                  <c:v>96.87216468883571</c:v>
                </c:pt>
                <c:pt idx="258">
                  <c:v>96.860311830466614</c:v>
                </c:pt>
                <c:pt idx="259">
                  <c:v>96.864170785887211</c:v>
                </c:pt>
                <c:pt idx="260">
                  <c:v>96.849673714918552</c:v>
                </c:pt>
                <c:pt idx="261">
                  <c:v>96.842372839215201</c:v>
                </c:pt>
                <c:pt idx="262">
                  <c:v>96.851554235526336</c:v>
                </c:pt>
                <c:pt idx="263">
                  <c:v>96.868512296336561</c:v>
                </c:pt>
                <c:pt idx="264">
                  <c:v>96.855376163627838</c:v>
                </c:pt>
                <c:pt idx="265">
                  <c:v>96.841201488847005</c:v>
                </c:pt>
                <c:pt idx="266">
                  <c:v>96.838841425461723</c:v>
                </c:pt>
                <c:pt idx="267">
                  <c:v>96.841916411387729</c:v>
                </c:pt>
                <c:pt idx="268">
                  <c:v>96.829398993142263</c:v>
                </c:pt>
                <c:pt idx="269">
                  <c:v>96.83859618354343</c:v>
                </c:pt>
                <c:pt idx="270">
                  <c:v>96.827486263497249</c:v>
                </c:pt>
                <c:pt idx="271">
                  <c:v>96.833502531976322</c:v>
                </c:pt>
                <c:pt idx="272">
                  <c:v>96.816647346543178</c:v>
                </c:pt>
                <c:pt idx="273">
                  <c:v>96.820071667058755</c:v>
                </c:pt>
                <c:pt idx="274">
                  <c:v>96.818374912218303</c:v>
                </c:pt>
                <c:pt idx="275">
                  <c:v>96.828662291168328</c:v>
                </c:pt>
                <c:pt idx="276">
                  <c:v>96.814029701272943</c:v>
                </c:pt>
                <c:pt idx="277">
                  <c:v>96.821083978387023</c:v>
                </c:pt>
                <c:pt idx="278">
                  <c:v>96.814666661201628</c:v>
                </c:pt>
                <c:pt idx="279">
                  <c:v>96.795618184305326</c:v>
                </c:pt>
                <c:pt idx="280">
                  <c:v>96.798891522365366</c:v>
                </c:pt>
                <c:pt idx="281">
                  <c:v>96.795662664524343</c:v>
                </c:pt>
                <c:pt idx="282">
                  <c:v>96.802777437458602</c:v>
                </c:pt>
                <c:pt idx="283">
                  <c:v>96.796121879397205</c:v>
                </c:pt>
                <c:pt idx="284">
                  <c:v>96.800557648181623</c:v>
                </c:pt>
                <c:pt idx="285">
                  <c:v>96.799560537054859</c:v>
                </c:pt>
                <c:pt idx="286">
                  <c:v>96.797278371279091</c:v>
                </c:pt>
                <c:pt idx="287">
                  <c:v>96.806381905871106</c:v>
                </c:pt>
                <c:pt idx="288">
                  <c:v>96.79054245027244</c:v>
                </c:pt>
                <c:pt idx="289">
                  <c:v>96.788674057499449</c:v>
                </c:pt>
                <c:pt idx="290">
                  <c:v>96.796606048555574</c:v>
                </c:pt>
                <c:pt idx="291">
                  <c:v>96.782155519701291</c:v>
                </c:pt>
                <c:pt idx="292">
                  <c:v>96.78447146278377</c:v>
                </c:pt>
                <c:pt idx="293">
                  <c:v>96.781664197759881</c:v>
                </c:pt>
                <c:pt idx="294">
                  <c:v>96.786913113555173</c:v>
                </c:pt>
                <c:pt idx="295">
                  <c:v>96.791240092235498</c:v>
                </c:pt>
                <c:pt idx="296">
                  <c:v>96.784055882332268</c:v>
                </c:pt>
                <c:pt idx="297">
                  <c:v>96.772704841222449</c:v>
                </c:pt>
                <c:pt idx="298">
                  <c:v>96.775774517672303</c:v>
                </c:pt>
                <c:pt idx="299">
                  <c:v>96.777274573626372</c:v>
                </c:pt>
                <c:pt idx="300">
                  <c:v>96.768679323443848</c:v>
                </c:pt>
                <c:pt idx="301">
                  <c:v>96.752080914229865</c:v>
                </c:pt>
                <c:pt idx="302">
                  <c:v>96.745615538391917</c:v>
                </c:pt>
                <c:pt idx="303">
                  <c:v>96.734214332506269</c:v>
                </c:pt>
                <c:pt idx="304">
                  <c:v>96.728463781737972</c:v>
                </c:pt>
                <c:pt idx="305">
                  <c:v>96.713643874128664</c:v>
                </c:pt>
                <c:pt idx="306">
                  <c:v>96.718749893149933</c:v>
                </c:pt>
                <c:pt idx="307">
                  <c:v>96.706941059261581</c:v>
                </c:pt>
                <c:pt idx="308">
                  <c:v>96.709496757028489</c:v>
                </c:pt>
                <c:pt idx="309">
                  <c:v>96.748109252742395</c:v>
                </c:pt>
                <c:pt idx="310">
                  <c:v>96.715126550846364</c:v>
                </c:pt>
                <c:pt idx="311">
                  <c:v>96.69138126999394</c:v>
                </c:pt>
                <c:pt idx="312">
                  <c:v>96.702204782024296</c:v>
                </c:pt>
                <c:pt idx="313">
                  <c:v>96.716850728099345</c:v>
                </c:pt>
                <c:pt idx="314">
                  <c:v>96.694710117979596</c:v>
                </c:pt>
                <c:pt idx="315">
                  <c:v>96.692736895329674</c:v>
                </c:pt>
                <c:pt idx="316">
                  <c:v>96.706338602233942</c:v>
                </c:pt>
                <c:pt idx="317">
                  <c:v>96.686262471439065</c:v>
                </c:pt>
                <c:pt idx="318">
                  <c:v>96.68306826237</c:v>
                </c:pt>
                <c:pt idx="319">
                  <c:v>96.693456373099295</c:v>
                </c:pt>
                <c:pt idx="320">
                  <c:v>96.677145401428234</c:v>
                </c:pt>
                <c:pt idx="321">
                  <c:v>96.68443860826018</c:v>
                </c:pt>
                <c:pt idx="322">
                  <c:v>96.632031383361053</c:v>
                </c:pt>
                <c:pt idx="323">
                  <c:v>96.638507862152267</c:v>
                </c:pt>
                <c:pt idx="324">
                  <c:v>96.642062968993585</c:v>
                </c:pt>
                <c:pt idx="325">
                  <c:v>96.601545066247354</c:v>
                </c:pt>
                <c:pt idx="326">
                  <c:v>96.586356197017892</c:v>
                </c:pt>
                <c:pt idx="327">
                  <c:v>96.590261454331127</c:v>
                </c:pt>
                <c:pt idx="328">
                  <c:v>96.592787592704497</c:v>
                </c:pt>
                <c:pt idx="329">
                  <c:v>96.572739688257954</c:v>
                </c:pt>
                <c:pt idx="330">
                  <c:v>96.573363462925371</c:v>
                </c:pt>
                <c:pt idx="331">
                  <c:v>96.540888378931811</c:v>
                </c:pt>
                <c:pt idx="332">
                  <c:v>96.517685374572579</c:v>
                </c:pt>
                <c:pt idx="333">
                  <c:v>96.513013280452697</c:v>
                </c:pt>
                <c:pt idx="334">
                  <c:v>96.472066720497978</c:v>
                </c:pt>
                <c:pt idx="335">
                  <c:v>96.468555232259305</c:v>
                </c:pt>
                <c:pt idx="336">
                  <c:v>96.467134073369564</c:v>
                </c:pt>
                <c:pt idx="337">
                  <c:v>96.445698874009395</c:v>
                </c:pt>
                <c:pt idx="338">
                  <c:v>96.416038830495339</c:v>
                </c:pt>
                <c:pt idx="339">
                  <c:v>96.397712733978878</c:v>
                </c:pt>
                <c:pt idx="340">
                  <c:v>96.36020030113184</c:v>
                </c:pt>
                <c:pt idx="341">
                  <c:v>96.322518476577514</c:v>
                </c:pt>
                <c:pt idx="342">
                  <c:v>96.296150671995449</c:v>
                </c:pt>
                <c:pt idx="343">
                  <c:v>96.268358522197545</c:v>
                </c:pt>
                <c:pt idx="344">
                  <c:v>96.24259062873567</c:v>
                </c:pt>
                <c:pt idx="345">
                  <c:v>96.239801859746493</c:v>
                </c:pt>
                <c:pt idx="346">
                  <c:v>96.200797470421733</c:v>
                </c:pt>
                <c:pt idx="347">
                  <c:v>96.182003850078331</c:v>
                </c:pt>
                <c:pt idx="348">
                  <c:v>96.18657106075905</c:v>
                </c:pt>
                <c:pt idx="349">
                  <c:v>96.178727992661493</c:v>
                </c:pt>
                <c:pt idx="350">
                  <c:v>96.146978048956043</c:v>
                </c:pt>
                <c:pt idx="351">
                  <c:v>96.135742271882137</c:v>
                </c:pt>
                <c:pt idx="352">
                  <c:v>96.111967258438611</c:v>
                </c:pt>
                <c:pt idx="353">
                  <c:v>96.077378968363476</c:v>
                </c:pt>
                <c:pt idx="354">
                  <c:v>96.052212478221904</c:v>
                </c:pt>
                <c:pt idx="355">
                  <c:v>96.028002370175003</c:v>
                </c:pt>
                <c:pt idx="356">
                  <c:v>95.985164560307808</c:v>
                </c:pt>
                <c:pt idx="357">
                  <c:v>95.949196091773828</c:v>
                </c:pt>
                <c:pt idx="358">
                  <c:v>95.931173519630661</c:v>
                </c:pt>
                <c:pt idx="359">
                  <c:v>95.920901654026849</c:v>
                </c:pt>
                <c:pt idx="360">
                  <c:v>95.884241225244992</c:v>
                </c:pt>
                <c:pt idx="361">
                  <c:v>95.851371382207432</c:v>
                </c:pt>
                <c:pt idx="362">
                  <c:v>95.80845944404841</c:v>
                </c:pt>
                <c:pt idx="363">
                  <c:v>95.739704646673246</c:v>
                </c:pt>
                <c:pt idx="364">
                  <c:v>95.671415332940185</c:v>
                </c:pt>
                <c:pt idx="365">
                  <c:v>95.620561079788743</c:v>
                </c:pt>
                <c:pt idx="366">
                  <c:v>95.576470496975091</c:v>
                </c:pt>
                <c:pt idx="367">
                  <c:v>95.525009110210704</c:v>
                </c:pt>
                <c:pt idx="368">
                  <c:v>95.44061300720125</c:v>
                </c:pt>
                <c:pt idx="369">
                  <c:v>95.358220076865493</c:v>
                </c:pt>
                <c:pt idx="370">
                  <c:v>95.158337045490725</c:v>
                </c:pt>
                <c:pt idx="371">
                  <c:v>94.965949839596547</c:v>
                </c:pt>
                <c:pt idx="372">
                  <c:v>95.043185304781801</c:v>
                </c:pt>
                <c:pt idx="373">
                  <c:v>95.106559458400042</c:v>
                </c:pt>
                <c:pt idx="374">
                  <c:v>95.025956051073322</c:v>
                </c:pt>
                <c:pt idx="375">
                  <c:v>94.946946453701912</c:v>
                </c:pt>
                <c:pt idx="376">
                  <c:v>94.822035800568074</c:v>
                </c:pt>
                <c:pt idx="377">
                  <c:v>94.690384578910425</c:v>
                </c:pt>
                <c:pt idx="378">
                  <c:v>94.562216951366608</c:v>
                </c:pt>
                <c:pt idx="379">
                  <c:v>94.452136693846128</c:v>
                </c:pt>
                <c:pt idx="380">
                  <c:v>94.323521093328807</c:v>
                </c:pt>
                <c:pt idx="381">
                  <c:v>94.183802713477789</c:v>
                </c:pt>
                <c:pt idx="382">
                  <c:v>94.013179748995654</c:v>
                </c:pt>
                <c:pt idx="383">
                  <c:v>93.843107773699046</c:v>
                </c:pt>
                <c:pt idx="384">
                  <c:v>93.658818062400655</c:v>
                </c:pt>
                <c:pt idx="385">
                  <c:v>93.462446131468823</c:v>
                </c:pt>
                <c:pt idx="386">
                  <c:v>93.243768396785512</c:v>
                </c:pt>
                <c:pt idx="387">
                  <c:v>93.022302838184942</c:v>
                </c:pt>
                <c:pt idx="388">
                  <c:v>92.764928897490606</c:v>
                </c:pt>
                <c:pt idx="389">
                  <c:v>92.504317485034377</c:v>
                </c:pt>
                <c:pt idx="390">
                  <c:v>92.190018537510625</c:v>
                </c:pt>
                <c:pt idx="391">
                  <c:v>91.867253292695423</c:v>
                </c:pt>
                <c:pt idx="392">
                  <c:v>91.475290452558156</c:v>
                </c:pt>
                <c:pt idx="393">
                  <c:v>91.085602157600832</c:v>
                </c:pt>
                <c:pt idx="394">
                  <c:v>90.601231226774075</c:v>
                </c:pt>
                <c:pt idx="395">
                  <c:v>90.102659246197916</c:v>
                </c:pt>
                <c:pt idx="396">
                  <c:v>89.448071603676127</c:v>
                </c:pt>
                <c:pt idx="397">
                  <c:v>88.800875154089724</c:v>
                </c:pt>
                <c:pt idx="398">
                  <c:v>87.907953162091118</c:v>
                </c:pt>
                <c:pt idx="399">
                  <c:v>87.00372862809833</c:v>
                </c:pt>
                <c:pt idx="400">
                  <c:v>86.114222341137136</c:v>
                </c:pt>
                <c:pt idx="401">
                  <c:v>85.243651605811408</c:v>
                </c:pt>
                <c:pt idx="402">
                  <c:v>83.984856865181314</c:v>
                </c:pt>
                <c:pt idx="403">
                  <c:v>82.723400802944809</c:v>
                </c:pt>
                <c:pt idx="404">
                  <c:v>80.768768856088556</c:v>
                </c:pt>
                <c:pt idx="405">
                  <c:v>78.842425170519661</c:v>
                </c:pt>
                <c:pt idx="406">
                  <c:v>74.975964295943044</c:v>
                </c:pt>
                <c:pt idx="407">
                  <c:v>71.098827959880282</c:v>
                </c:pt>
                <c:pt idx="408">
                  <c:v>61.683212420955357</c:v>
                </c:pt>
                <c:pt idx="409">
                  <c:v>51.80894064270413</c:v>
                </c:pt>
                <c:pt idx="410">
                  <c:v>32.340795625832975</c:v>
                </c:pt>
                <c:pt idx="411">
                  <c:v>14.197446584075621</c:v>
                </c:pt>
                <c:pt idx="412">
                  <c:v>11.895917350273615</c:v>
                </c:pt>
                <c:pt idx="413">
                  <c:v>8.48286883473987</c:v>
                </c:pt>
                <c:pt idx="414">
                  <c:v>8.9965674128960558</c:v>
                </c:pt>
                <c:pt idx="415">
                  <c:v>9.6943747306200354</c:v>
                </c:pt>
                <c:pt idx="416">
                  <c:v>9.4112179739484958</c:v>
                </c:pt>
                <c:pt idx="417">
                  <c:v>9.1672227298050153</c:v>
                </c:pt>
                <c:pt idx="418">
                  <c:v>8.372424242424243</c:v>
                </c:pt>
                <c:pt idx="419">
                  <c:v>7.5320741940906544</c:v>
                </c:pt>
                <c:pt idx="420">
                  <c:v>6.9814919843464329</c:v>
                </c:pt>
                <c:pt idx="421">
                  <c:v>6.3964766063269911</c:v>
                </c:pt>
                <c:pt idx="422">
                  <c:v>6.2180445125694446</c:v>
                </c:pt>
                <c:pt idx="423">
                  <c:v>6.0545689769554345</c:v>
                </c:pt>
                <c:pt idx="424">
                  <c:v>6.1093222155508853</c:v>
                </c:pt>
                <c:pt idx="425">
                  <c:v>6.1631345469616967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A8-41EF-9859-4A25781088B2}"/>
            </c:ext>
          </c:extLst>
        </c:ser>
        <c:ser>
          <c:idx val="0"/>
          <c:order val="1"/>
          <c:tx>
            <c:strRef>
              <c:f>trans!$AV$77</c:f>
              <c:strCache>
                <c:ptCount val="1"/>
                <c:pt idx="0">
                  <c:v>G-95008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trans!$AV$80:$AV$530</c:f>
              <c:numCache>
                <c:formatCode>0.00</c:formatCode>
                <c:ptCount val="426"/>
                <c:pt idx="0">
                  <c:v>94.058070024438621</c:v>
                </c:pt>
                <c:pt idx="1">
                  <c:v>94.161338059504203</c:v>
                </c:pt>
                <c:pt idx="2">
                  <c:v>94.293208515093468</c:v>
                </c:pt>
                <c:pt idx="3">
                  <c:v>94.350376031378332</c:v>
                </c:pt>
                <c:pt idx="4">
                  <c:v>94.379270835493386</c:v>
                </c:pt>
                <c:pt idx="5">
                  <c:v>94.449203014624956</c:v>
                </c:pt>
                <c:pt idx="6">
                  <c:v>94.507044925836212</c:v>
                </c:pt>
                <c:pt idx="7">
                  <c:v>94.53920512677378</c:v>
                </c:pt>
                <c:pt idx="8">
                  <c:v>94.566365728270625</c:v>
                </c:pt>
                <c:pt idx="9">
                  <c:v>94.656391440238608</c:v>
                </c:pt>
                <c:pt idx="10">
                  <c:v>94.736751756148422</c:v>
                </c:pt>
                <c:pt idx="11">
                  <c:v>94.794064523790254</c:v>
                </c:pt>
                <c:pt idx="12">
                  <c:v>94.854755253127053</c:v>
                </c:pt>
                <c:pt idx="13">
                  <c:v>94.906675670293794</c:v>
                </c:pt>
                <c:pt idx="14">
                  <c:v>94.991504939830861</c:v>
                </c:pt>
                <c:pt idx="15">
                  <c:v>95.034578700468884</c:v>
                </c:pt>
                <c:pt idx="16">
                  <c:v>95.1049712203544</c:v>
                </c:pt>
                <c:pt idx="17">
                  <c:v>95.16439315194377</c:v>
                </c:pt>
                <c:pt idx="18">
                  <c:v>95.42590884457951</c:v>
                </c:pt>
                <c:pt idx="19">
                  <c:v>95.402558584023495</c:v>
                </c:pt>
                <c:pt idx="20">
                  <c:v>95.372677891129101</c:v>
                </c:pt>
                <c:pt idx="21">
                  <c:v>95.352803815097332</c:v>
                </c:pt>
                <c:pt idx="22">
                  <c:v>95.327286731882907</c:v>
                </c:pt>
                <c:pt idx="23">
                  <c:v>95.306498420289472</c:v>
                </c:pt>
                <c:pt idx="24">
                  <c:v>95.273026058802273</c:v>
                </c:pt>
                <c:pt idx="25">
                  <c:v>95.240546999880294</c:v>
                </c:pt>
                <c:pt idx="26">
                  <c:v>95.217531100016302</c:v>
                </c:pt>
                <c:pt idx="27">
                  <c:v>95.183051317941946</c:v>
                </c:pt>
                <c:pt idx="28">
                  <c:v>95.167899809051775</c:v>
                </c:pt>
                <c:pt idx="29">
                  <c:v>95.152720800029542</c:v>
                </c:pt>
                <c:pt idx="30">
                  <c:v>95.157939358729735</c:v>
                </c:pt>
                <c:pt idx="31">
                  <c:v>95.16255528974834</c:v>
                </c:pt>
                <c:pt idx="32">
                  <c:v>95.203710594933071</c:v>
                </c:pt>
                <c:pt idx="33">
                  <c:v>95.244265940404375</c:v>
                </c:pt>
                <c:pt idx="34">
                  <c:v>95.326838764736308</c:v>
                </c:pt>
                <c:pt idx="35">
                  <c:v>95.402483707948704</c:v>
                </c:pt>
                <c:pt idx="36">
                  <c:v>95.520729188729618</c:v>
                </c:pt>
                <c:pt idx="37">
                  <c:v>95.632843645230125</c:v>
                </c:pt>
                <c:pt idx="38">
                  <c:v>95.760735967393842</c:v>
                </c:pt>
                <c:pt idx="39">
                  <c:v>95.903079509427585</c:v>
                </c:pt>
                <c:pt idx="40">
                  <c:v>96.013430734719194</c:v>
                </c:pt>
                <c:pt idx="41">
                  <c:v>96.11542393620158</c:v>
                </c:pt>
                <c:pt idx="42">
                  <c:v>96.186872954477835</c:v>
                </c:pt>
                <c:pt idx="43">
                  <c:v>96.263023164969738</c:v>
                </c:pt>
                <c:pt idx="44">
                  <c:v>96.31556631238584</c:v>
                </c:pt>
                <c:pt idx="45">
                  <c:v>96.369008819190299</c:v>
                </c:pt>
                <c:pt idx="46">
                  <c:v>96.410526559312245</c:v>
                </c:pt>
                <c:pt idx="47">
                  <c:v>96.443131674389988</c:v>
                </c:pt>
                <c:pt idx="48">
                  <c:v>96.480847129614048</c:v>
                </c:pt>
                <c:pt idx="49">
                  <c:v>96.509458813097467</c:v>
                </c:pt>
                <c:pt idx="50">
                  <c:v>96.530296698562097</c:v>
                </c:pt>
                <c:pt idx="51">
                  <c:v>96.55392250481755</c:v>
                </c:pt>
                <c:pt idx="52">
                  <c:v>96.578513443403963</c:v>
                </c:pt>
                <c:pt idx="53">
                  <c:v>96.595961850996503</c:v>
                </c:pt>
                <c:pt idx="54">
                  <c:v>96.615676880064527</c:v>
                </c:pt>
                <c:pt idx="55">
                  <c:v>96.624475758418882</c:v>
                </c:pt>
                <c:pt idx="56">
                  <c:v>96.639956779443295</c:v>
                </c:pt>
                <c:pt idx="57">
                  <c:v>96.65991309403006</c:v>
                </c:pt>
                <c:pt idx="58">
                  <c:v>96.678505520146246</c:v>
                </c:pt>
                <c:pt idx="59">
                  <c:v>96.687374168582053</c:v>
                </c:pt>
                <c:pt idx="60">
                  <c:v>96.692698961999483</c:v>
                </c:pt>
                <c:pt idx="61">
                  <c:v>96.701379254958411</c:v>
                </c:pt>
                <c:pt idx="62">
                  <c:v>96.710799406453489</c:v>
                </c:pt>
                <c:pt idx="63">
                  <c:v>96.727503886955219</c:v>
                </c:pt>
                <c:pt idx="64">
                  <c:v>96.732969713604561</c:v>
                </c:pt>
                <c:pt idx="65">
                  <c:v>96.741252124277366</c:v>
                </c:pt>
                <c:pt idx="66">
                  <c:v>96.743991541796959</c:v>
                </c:pt>
                <c:pt idx="67">
                  <c:v>96.754075580831412</c:v>
                </c:pt>
                <c:pt idx="68">
                  <c:v>96.760817665169156</c:v>
                </c:pt>
                <c:pt idx="69">
                  <c:v>96.769377807973441</c:v>
                </c:pt>
                <c:pt idx="70">
                  <c:v>96.777755041911846</c:v>
                </c:pt>
                <c:pt idx="71">
                  <c:v>96.782112039884211</c:v>
                </c:pt>
                <c:pt idx="72">
                  <c:v>96.793231245831166</c:v>
                </c:pt>
                <c:pt idx="73">
                  <c:v>96.802119080783157</c:v>
                </c:pt>
                <c:pt idx="74">
                  <c:v>96.810893536906406</c:v>
                </c:pt>
                <c:pt idx="75">
                  <c:v>96.814030824305519</c:v>
                </c:pt>
                <c:pt idx="76">
                  <c:v>96.819230664944556</c:v>
                </c:pt>
                <c:pt idx="77">
                  <c:v>96.833730217192169</c:v>
                </c:pt>
                <c:pt idx="78">
                  <c:v>96.852950298259756</c:v>
                </c:pt>
                <c:pt idx="79">
                  <c:v>96.867361747812879</c:v>
                </c:pt>
                <c:pt idx="80">
                  <c:v>96.870166239104378</c:v>
                </c:pt>
                <c:pt idx="81">
                  <c:v>96.883213547954526</c:v>
                </c:pt>
                <c:pt idx="82">
                  <c:v>96.895344139439558</c:v>
                </c:pt>
                <c:pt idx="83">
                  <c:v>96.909033704419173</c:v>
                </c:pt>
                <c:pt idx="84">
                  <c:v>96.920444638168973</c:v>
                </c:pt>
                <c:pt idx="85">
                  <c:v>96.93850649623802</c:v>
                </c:pt>
                <c:pt idx="86">
                  <c:v>96.957513807763249</c:v>
                </c:pt>
                <c:pt idx="87">
                  <c:v>96.963005933229056</c:v>
                </c:pt>
                <c:pt idx="88">
                  <c:v>96.968461780711323</c:v>
                </c:pt>
                <c:pt idx="89">
                  <c:v>96.967390108209599</c:v>
                </c:pt>
                <c:pt idx="90">
                  <c:v>96.986685502832259</c:v>
                </c:pt>
                <c:pt idx="91">
                  <c:v>96.998168567456972</c:v>
                </c:pt>
                <c:pt idx="92">
                  <c:v>97.005251059786175</c:v>
                </c:pt>
                <c:pt idx="93">
                  <c:v>97.028549708972719</c:v>
                </c:pt>
                <c:pt idx="94">
                  <c:v>97.037184658580074</c:v>
                </c:pt>
                <c:pt idx="95">
                  <c:v>97.04924411601246</c:v>
                </c:pt>
                <c:pt idx="96">
                  <c:v>97.06155736515359</c:v>
                </c:pt>
                <c:pt idx="97">
                  <c:v>97.062269446725395</c:v>
                </c:pt>
                <c:pt idx="98">
                  <c:v>97.069974492882508</c:v>
                </c:pt>
                <c:pt idx="99">
                  <c:v>97.087693398222939</c:v>
                </c:pt>
                <c:pt idx="100">
                  <c:v>97.100919946663893</c:v>
                </c:pt>
                <c:pt idx="101">
                  <c:v>97.115644255872098</c:v>
                </c:pt>
                <c:pt idx="102">
                  <c:v>97.114950449551515</c:v>
                </c:pt>
                <c:pt idx="103">
                  <c:v>97.114256643230945</c:v>
                </c:pt>
                <c:pt idx="104">
                  <c:v>97.113562836910361</c:v>
                </c:pt>
                <c:pt idx="105">
                  <c:v>97.127127850552995</c:v>
                </c:pt>
                <c:pt idx="106">
                  <c:v>97.14630979509532</c:v>
                </c:pt>
                <c:pt idx="107">
                  <c:v>97.140159392256237</c:v>
                </c:pt>
                <c:pt idx="108">
                  <c:v>97.147885124396808</c:v>
                </c:pt>
                <c:pt idx="109">
                  <c:v>97.169960994209575</c:v>
                </c:pt>
                <c:pt idx="110">
                  <c:v>97.179036541579876</c:v>
                </c:pt>
                <c:pt idx="111">
                  <c:v>97.178893383265532</c:v>
                </c:pt>
                <c:pt idx="112">
                  <c:v>97.189280324322411</c:v>
                </c:pt>
                <c:pt idx="113">
                  <c:v>97.194185534196492</c:v>
                </c:pt>
                <c:pt idx="114">
                  <c:v>97.212617543205752</c:v>
                </c:pt>
                <c:pt idx="115">
                  <c:v>97.225054821324363</c:v>
                </c:pt>
                <c:pt idx="116">
                  <c:v>97.218155366059975</c:v>
                </c:pt>
                <c:pt idx="117">
                  <c:v>97.228355115162742</c:v>
                </c:pt>
                <c:pt idx="118">
                  <c:v>97.236983235355908</c:v>
                </c:pt>
                <c:pt idx="119">
                  <c:v>97.259915404214894</c:v>
                </c:pt>
                <c:pt idx="120">
                  <c:v>97.278461605312657</c:v>
                </c:pt>
                <c:pt idx="121">
                  <c:v>97.273740396517596</c:v>
                </c:pt>
                <c:pt idx="122">
                  <c:v>97.28854443547101</c:v>
                </c:pt>
                <c:pt idx="123">
                  <c:v>97.299795597062086</c:v>
                </c:pt>
                <c:pt idx="124">
                  <c:v>97.3184965886486</c:v>
                </c:pt>
                <c:pt idx="125">
                  <c:v>97.325557236881863</c:v>
                </c:pt>
                <c:pt idx="126">
                  <c:v>97.326875007346317</c:v>
                </c:pt>
                <c:pt idx="127">
                  <c:v>97.331750887358396</c:v>
                </c:pt>
                <c:pt idx="128">
                  <c:v>97.345062708858123</c:v>
                </c:pt>
                <c:pt idx="129">
                  <c:v>97.352272578324758</c:v>
                </c:pt>
                <c:pt idx="130">
                  <c:v>97.378366309333913</c:v>
                </c:pt>
                <c:pt idx="131">
                  <c:v>97.389487209863205</c:v>
                </c:pt>
                <c:pt idx="132">
                  <c:v>97.369886440371104</c:v>
                </c:pt>
                <c:pt idx="133">
                  <c:v>97.377001884868392</c:v>
                </c:pt>
                <c:pt idx="134">
                  <c:v>97.385292067213598</c:v>
                </c:pt>
                <c:pt idx="135">
                  <c:v>97.388651421611655</c:v>
                </c:pt>
                <c:pt idx="136">
                  <c:v>97.399605760778059</c:v>
                </c:pt>
                <c:pt idx="137">
                  <c:v>97.39064986811529</c:v>
                </c:pt>
                <c:pt idx="138">
                  <c:v>97.409874721914051</c:v>
                </c:pt>
                <c:pt idx="139">
                  <c:v>97.417567217311486</c:v>
                </c:pt>
                <c:pt idx="140">
                  <c:v>97.410317548907287</c:v>
                </c:pt>
                <c:pt idx="141">
                  <c:v>97.411909930291245</c:v>
                </c:pt>
                <c:pt idx="142">
                  <c:v>97.419974649698418</c:v>
                </c:pt>
                <c:pt idx="143">
                  <c:v>97.420958588064536</c:v>
                </c:pt>
                <c:pt idx="144">
                  <c:v>97.419470792911667</c:v>
                </c:pt>
                <c:pt idx="145">
                  <c:v>97.423125307306293</c:v>
                </c:pt>
                <c:pt idx="146">
                  <c:v>97.433594055475723</c:v>
                </c:pt>
                <c:pt idx="147">
                  <c:v>97.433451131090763</c:v>
                </c:pt>
                <c:pt idx="148">
                  <c:v>97.434528171986244</c:v>
                </c:pt>
                <c:pt idx="149">
                  <c:v>97.436882478933285</c:v>
                </c:pt>
                <c:pt idx="150">
                  <c:v>97.428830797758735</c:v>
                </c:pt>
                <c:pt idx="151">
                  <c:v>97.430266947388176</c:v>
                </c:pt>
                <c:pt idx="152">
                  <c:v>97.436790390772003</c:v>
                </c:pt>
                <c:pt idx="153">
                  <c:v>97.432009960773414</c:v>
                </c:pt>
                <c:pt idx="154">
                  <c:v>97.430483075590715</c:v>
                </c:pt>
                <c:pt idx="155">
                  <c:v>97.428099478938634</c:v>
                </c:pt>
                <c:pt idx="156">
                  <c:v>97.421703045496812</c:v>
                </c:pt>
                <c:pt idx="157">
                  <c:v>97.424153169080043</c:v>
                </c:pt>
                <c:pt idx="158">
                  <c:v>97.425683380035821</c:v>
                </c:pt>
                <c:pt idx="159">
                  <c:v>97.429345139054519</c:v>
                </c:pt>
                <c:pt idx="160">
                  <c:v>97.408900485710447</c:v>
                </c:pt>
                <c:pt idx="161">
                  <c:v>97.412126721348429</c:v>
                </c:pt>
                <c:pt idx="162">
                  <c:v>97.396286525282974</c:v>
                </c:pt>
                <c:pt idx="163">
                  <c:v>97.387342667266068</c:v>
                </c:pt>
                <c:pt idx="164">
                  <c:v>97.366310216650888</c:v>
                </c:pt>
                <c:pt idx="165">
                  <c:v>97.368510436394899</c:v>
                </c:pt>
                <c:pt idx="166">
                  <c:v>97.33914648823152</c:v>
                </c:pt>
                <c:pt idx="167">
                  <c:v>97.307064799629941</c:v>
                </c:pt>
                <c:pt idx="168">
                  <c:v>97.307580483706417</c:v>
                </c:pt>
                <c:pt idx="169">
                  <c:v>97.314670199087345</c:v>
                </c:pt>
                <c:pt idx="170">
                  <c:v>97.336305109286613</c:v>
                </c:pt>
                <c:pt idx="171">
                  <c:v>97.336498621770943</c:v>
                </c:pt>
                <c:pt idx="172">
                  <c:v>97.316332719882951</c:v>
                </c:pt>
                <c:pt idx="173">
                  <c:v>97.324122807960364</c:v>
                </c:pt>
                <c:pt idx="174">
                  <c:v>97.316993976739511</c:v>
                </c:pt>
                <c:pt idx="175">
                  <c:v>97.301429656434735</c:v>
                </c:pt>
                <c:pt idx="176">
                  <c:v>97.283913468360979</c:v>
                </c:pt>
                <c:pt idx="177">
                  <c:v>97.274584552898773</c:v>
                </c:pt>
                <c:pt idx="178">
                  <c:v>97.249086581713058</c:v>
                </c:pt>
                <c:pt idx="179">
                  <c:v>97.257464044010604</c:v>
                </c:pt>
                <c:pt idx="180">
                  <c:v>97.247466460936934</c:v>
                </c:pt>
                <c:pt idx="181">
                  <c:v>97.249157679238706</c:v>
                </c:pt>
                <c:pt idx="182">
                  <c:v>97.230624973010677</c:v>
                </c:pt>
                <c:pt idx="183">
                  <c:v>97.200206612808302</c:v>
                </c:pt>
                <c:pt idx="184">
                  <c:v>97.195989147167097</c:v>
                </c:pt>
                <c:pt idx="185">
                  <c:v>97.198408126786532</c:v>
                </c:pt>
                <c:pt idx="186">
                  <c:v>97.170498860747912</c:v>
                </c:pt>
                <c:pt idx="187">
                  <c:v>97.145648048645185</c:v>
                </c:pt>
                <c:pt idx="188">
                  <c:v>97.117302978907261</c:v>
                </c:pt>
                <c:pt idx="189">
                  <c:v>97.098353210512869</c:v>
                </c:pt>
                <c:pt idx="190">
                  <c:v>97.086598518078787</c:v>
                </c:pt>
                <c:pt idx="191">
                  <c:v>97.080655175954575</c:v>
                </c:pt>
                <c:pt idx="192">
                  <c:v>97.064033922341665</c:v>
                </c:pt>
                <c:pt idx="193">
                  <c:v>97.070806617351465</c:v>
                </c:pt>
                <c:pt idx="194">
                  <c:v>97.062953208202302</c:v>
                </c:pt>
                <c:pt idx="195">
                  <c:v>97.060056755352491</c:v>
                </c:pt>
                <c:pt idx="196">
                  <c:v>97.083217269561956</c:v>
                </c:pt>
                <c:pt idx="197">
                  <c:v>97.103330798107763</c:v>
                </c:pt>
                <c:pt idx="198">
                  <c:v>97.108184790496423</c:v>
                </c:pt>
                <c:pt idx="199">
                  <c:v>97.142521587192789</c:v>
                </c:pt>
                <c:pt idx="200">
                  <c:v>97.131858655491556</c:v>
                </c:pt>
                <c:pt idx="201">
                  <c:v>97.13749792524375</c:v>
                </c:pt>
                <c:pt idx="202">
                  <c:v>97.138716128067315</c:v>
                </c:pt>
                <c:pt idx="203">
                  <c:v>97.117816854304081</c:v>
                </c:pt>
                <c:pt idx="204">
                  <c:v>97.130520650249764</c:v>
                </c:pt>
                <c:pt idx="205">
                  <c:v>97.113696275127566</c:v>
                </c:pt>
                <c:pt idx="206">
                  <c:v>97.096044797427069</c:v>
                </c:pt>
                <c:pt idx="207">
                  <c:v>97.131827353024576</c:v>
                </c:pt>
                <c:pt idx="208">
                  <c:v>97.077718392951724</c:v>
                </c:pt>
                <c:pt idx="209">
                  <c:v>97.066548869047153</c:v>
                </c:pt>
                <c:pt idx="210">
                  <c:v>97.083529110173131</c:v>
                </c:pt>
                <c:pt idx="211">
                  <c:v>97.06683727000329</c:v>
                </c:pt>
                <c:pt idx="212">
                  <c:v>97.071359053502945</c:v>
                </c:pt>
                <c:pt idx="213">
                  <c:v>97.055697962853344</c:v>
                </c:pt>
                <c:pt idx="214">
                  <c:v>97.067181911391728</c:v>
                </c:pt>
                <c:pt idx="215">
                  <c:v>97.039836468937878</c:v>
                </c:pt>
                <c:pt idx="216">
                  <c:v>97.03770408186142</c:v>
                </c:pt>
                <c:pt idx="217">
                  <c:v>97.030777790772007</c:v>
                </c:pt>
                <c:pt idx="218">
                  <c:v>97.044019877053032</c:v>
                </c:pt>
                <c:pt idx="219">
                  <c:v>97.007611843859237</c:v>
                </c:pt>
                <c:pt idx="220">
                  <c:v>97.01747467036104</c:v>
                </c:pt>
                <c:pt idx="221">
                  <c:v>97.009237685147582</c:v>
                </c:pt>
                <c:pt idx="222">
                  <c:v>96.998292355118338</c:v>
                </c:pt>
                <c:pt idx="223">
                  <c:v>96.987482063010305</c:v>
                </c:pt>
                <c:pt idx="224">
                  <c:v>96.96354670362571</c:v>
                </c:pt>
                <c:pt idx="225">
                  <c:v>96.98702243093642</c:v>
                </c:pt>
                <c:pt idx="226">
                  <c:v>96.976950860586598</c:v>
                </c:pt>
                <c:pt idx="227">
                  <c:v>96.949303527552047</c:v>
                </c:pt>
                <c:pt idx="228">
                  <c:v>96.986153348642858</c:v>
                </c:pt>
                <c:pt idx="229">
                  <c:v>96.945321650502819</c:v>
                </c:pt>
                <c:pt idx="230">
                  <c:v>96.938988283024216</c:v>
                </c:pt>
                <c:pt idx="231">
                  <c:v>96.943861275430663</c:v>
                </c:pt>
                <c:pt idx="232">
                  <c:v>96.943151070233043</c:v>
                </c:pt>
                <c:pt idx="233">
                  <c:v>96.949325206632466</c:v>
                </c:pt>
                <c:pt idx="234">
                  <c:v>96.947283142634888</c:v>
                </c:pt>
                <c:pt idx="235">
                  <c:v>96.958692223332491</c:v>
                </c:pt>
                <c:pt idx="236">
                  <c:v>96.937440271140972</c:v>
                </c:pt>
                <c:pt idx="237">
                  <c:v>96.91799629781265</c:v>
                </c:pt>
                <c:pt idx="238">
                  <c:v>96.929235772673053</c:v>
                </c:pt>
                <c:pt idx="239">
                  <c:v>96.929044289270237</c:v>
                </c:pt>
                <c:pt idx="240">
                  <c:v>96.917198209006145</c:v>
                </c:pt>
                <c:pt idx="241">
                  <c:v>96.903894079934688</c:v>
                </c:pt>
                <c:pt idx="242">
                  <c:v>96.91299055432512</c:v>
                </c:pt>
                <c:pt idx="243">
                  <c:v>96.905882660621032</c:v>
                </c:pt>
                <c:pt idx="244">
                  <c:v>96.896349349281579</c:v>
                </c:pt>
                <c:pt idx="245">
                  <c:v>96.888147442921607</c:v>
                </c:pt>
                <c:pt idx="246">
                  <c:v>96.888805245509289</c:v>
                </c:pt>
                <c:pt idx="247">
                  <c:v>96.889744402390306</c:v>
                </c:pt>
                <c:pt idx="248">
                  <c:v>96.896217414970991</c:v>
                </c:pt>
                <c:pt idx="249">
                  <c:v>96.877271977880568</c:v>
                </c:pt>
                <c:pt idx="250">
                  <c:v>96.878771816111296</c:v>
                </c:pt>
                <c:pt idx="251">
                  <c:v>96.868901156768402</c:v>
                </c:pt>
                <c:pt idx="252">
                  <c:v>96.877749524626282</c:v>
                </c:pt>
                <c:pt idx="253">
                  <c:v>96.88661869378025</c:v>
                </c:pt>
                <c:pt idx="254">
                  <c:v>96.861107610032761</c:v>
                </c:pt>
                <c:pt idx="255">
                  <c:v>96.859921560328857</c:v>
                </c:pt>
                <c:pt idx="256">
                  <c:v>96.850683259355534</c:v>
                </c:pt>
                <c:pt idx="257">
                  <c:v>96.837929576170382</c:v>
                </c:pt>
                <c:pt idx="258">
                  <c:v>96.860247655969019</c:v>
                </c:pt>
                <c:pt idx="259">
                  <c:v>96.86552495242772</c:v>
                </c:pt>
                <c:pt idx="260">
                  <c:v>96.842734820727742</c:v>
                </c:pt>
                <c:pt idx="261">
                  <c:v>96.83472173493476</c:v>
                </c:pt>
                <c:pt idx="262">
                  <c:v>96.860467575367849</c:v>
                </c:pt>
                <c:pt idx="263">
                  <c:v>96.83861914434199</c:v>
                </c:pt>
                <c:pt idx="264">
                  <c:v>96.833421335443859</c:v>
                </c:pt>
                <c:pt idx="265">
                  <c:v>96.847024235138463</c:v>
                </c:pt>
                <c:pt idx="266">
                  <c:v>96.832903945356918</c:v>
                </c:pt>
                <c:pt idx="267">
                  <c:v>96.828394355954813</c:v>
                </c:pt>
                <c:pt idx="268">
                  <c:v>96.825745185526785</c:v>
                </c:pt>
                <c:pt idx="269">
                  <c:v>96.820510153988153</c:v>
                </c:pt>
                <c:pt idx="270">
                  <c:v>96.839402761613982</c:v>
                </c:pt>
                <c:pt idx="271">
                  <c:v>96.83900152853046</c:v>
                </c:pt>
                <c:pt idx="272">
                  <c:v>96.823062895996941</c:v>
                </c:pt>
                <c:pt idx="273">
                  <c:v>96.828988890568326</c:v>
                </c:pt>
                <c:pt idx="274">
                  <c:v>96.805855783687022</c:v>
                </c:pt>
                <c:pt idx="275">
                  <c:v>96.804835260248012</c:v>
                </c:pt>
                <c:pt idx="276">
                  <c:v>96.795014454817988</c:v>
                </c:pt>
                <c:pt idx="277">
                  <c:v>96.796548542573646</c:v>
                </c:pt>
                <c:pt idx="278">
                  <c:v>96.786976780680916</c:v>
                </c:pt>
                <c:pt idx="279">
                  <c:v>96.786841461101702</c:v>
                </c:pt>
                <c:pt idx="280">
                  <c:v>96.799306061631526</c:v>
                </c:pt>
                <c:pt idx="281">
                  <c:v>96.785239533175243</c:v>
                </c:pt>
                <c:pt idx="282">
                  <c:v>96.781760876790258</c:v>
                </c:pt>
                <c:pt idx="283">
                  <c:v>96.793006239207998</c:v>
                </c:pt>
                <c:pt idx="284">
                  <c:v>96.791621445347872</c:v>
                </c:pt>
                <c:pt idx="285">
                  <c:v>96.791298326548898</c:v>
                </c:pt>
                <c:pt idx="286">
                  <c:v>96.792742514728502</c:v>
                </c:pt>
                <c:pt idx="287">
                  <c:v>96.806225286335362</c:v>
                </c:pt>
                <c:pt idx="288">
                  <c:v>96.79955430040259</c:v>
                </c:pt>
                <c:pt idx="289">
                  <c:v>96.792385805268722</c:v>
                </c:pt>
                <c:pt idx="290">
                  <c:v>96.790645085863332</c:v>
                </c:pt>
                <c:pt idx="291">
                  <c:v>96.796199744615365</c:v>
                </c:pt>
                <c:pt idx="292">
                  <c:v>96.793544519122676</c:v>
                </c:pt>
                <c:pt idx="293">
                  <c:v>96.78991948785341</c:v>
                </c:pt>
                <c:pt idx="294">
                  <c:v>96.80179771484147</c:v>
                </c:pt>
                <c:pt idx="295">
                  <c:v>96.812576366438108</c:v>
                </c:pt>
                <c:pt idx="296">
                  <c:v>96.80855092256229</c:v>
                </c:pt>
                <c:pt idx="297">
                  <c:v>96.794984614689966</c:v>
                </c:pt>
                <c:pt idx="298">
                  <c:v>96.801530065999316</c:v>
                </c:pt>
                <c:pt idx="299">
                  <c:v>96.81386961255113</c:v>
                </c:pt>
                <c:pt idx="300">
                  <c:v>96.798981035215618</c:v>
                </c:pt>
                <c:pt idx="301">
                  <c:v>96.786904087766246</c:v>
                </c:pt>
                <c:pt idx="302">
                  <c:v>96.775059704782095</c:v>
                </c:pt>
                <c:pt idx="303">
                  <c:v>96.776481719685705</c:v>
                </c:pt>
                <c:pt idx="304">
                  <c:v>96.785263395063041</c:v>
                </c:pt>
                <c:pt idx="305">
                  <c:v>96.777263011018064</c:v>
                </c:pt>
                <c:pt idx="306">
                  <c:v>96.779630474342738</c:v>
                </c:pt>
                <c:pt idx="307">
                  <c:v>96.821578545330908</c:v>
                </c:pt>
                <c:pt idx="308">
                  <c:v>96.835562049718234</c:v>
                </c:pt>
                <c:pt idx="309">
                  <c:v>96.779312601034292</c:v>
                </c:pt>
                <c:pt idx="310">
                  <c:v>96.749740798638939</c:v>
                </c:pt>
                <c:pt idx="311">
                  <c:v>96.715323437590087</c:v>
                </c:pt>
                <c:pt idx="312">
                  <c:v>96.699015438454452</c:v>
                </c:pt>
                <c:pt idx="313">
                  <c:v>96.746103081753631</c:v>
                </c:pt>
                <c:pt idx="314">
                  <c:v>96.733601801657301</c:v>
                </c:pt>
                <c:pt idx="315">
                  <c:v>96.72852896922889</c:v>
                </c:pt>
                <c:pt idx="316">
                  <c:v>96.735078617161165</c:v>
                </c:pt>
                <c:pt idx="317">
                  <c:v>96.716975031246861</c:v>
                </c:pt>
                <c:pt idx="318">
                  <c:v>96.756808969256141</c:v>
                </c:pt>
                <c:pt idx="319">
                  <c:v>96.791404746683725</c:v>
                </c:pt>
                <c:pt idx="320">
                  <c:v>96.737718079260659</c:v>
                </c:pt>
                <c:pt idx="321">
                  <c:v>96.736544689681651</c:v>
                </c:pt>
                <c:pt idx="322">
                  <c:v>96.729896514263785</c:v>
                </c:pt>
                <c:pt idx="323">
                  <c:v>96.710805026072137</c:v>
                </c:pt>
                <c:pt idx="324">
                  <c:v>96.67218753258264</c:v>
                </c:pt>
                <c:pt idx="325">
                  <c:v>96.643766092047599</c:v>
                </c:pt>
                <c:pt idx="326">
                  <c:v>96.70445064984898</c:v>
                </c:pt>
                <c:pt idx="327">
                  <c:v>96.690758227896296</c:v>
                </c:pt>
                <c:pt idx="328">
                  <c:v>96.645125851875719</c:v>
                </c:pt>
                <c:pt idx="329">
                  <c:v>96.629374210283004</c:v>
                </c:pt>
                <c:pt idx="330">
                  <c:v>96.586851585830416</c:v>
                </c:pt>
                <c:pt idx="331">
                  <c:v>96.584486063860297</c:v>
                </c:pt>
                <c:pt idx="332">
                  <c:v>96.590086509059617</c:v>
                </c:pt>
                <c:pt idx="333">
                  <c:v>96.572079121734944</c:v>
                </c:pt>
                <c:pt idx="334">
                  <c:v>96.524560549928879</c:v>
                </c:pt>
                <c:pt idx="335">
                  <c:v>96.488324375645831</c:v>
                </c:pt>
                <c:pt idx="336">
                  <c:v>96.491510729811225</c:v>
                </c:pt>
                <c:pt idx="337">
                  <c:v>96.479992149237049</c:v>
                </c:pt>
                <c:pt idx="338">
                  <c:v>96.46781305243853</c:v>
                </c:pt>
                <c:pt idx="339">
                  <c:v>96.456647366498558</c:v>
                </c:pt>
                <c:pt idx="340">
                  <c:v>96.427235593930092</c:v>
                </c:pt>
                <c:pt idx="341">
                  <c:v>96.397180832828795</c:v>
                </c:pt>
                <c:pt idx="342">
                  <c:v>96.373077174341987</c:v>
                </c:pt>
                <c:pt idx="343">
                  <c:v>96.358620111166076</c:v>
                </c:pt>
                <c:pt idx="344">
                  <c:v>96.315611530487104</c:v>
                </c:pt>
                <c:pt idx="345">
                  <c:v>96.283383934853987</c:v>
                </c:pt>
                <c:pt idx="346">
                  <c:v>96.291847114255177</c:v>
                </c:pt>
                <c:pt idx="347">
                  <c:v>96.265904423417808</c:v>
                </c:pt>
                <c:pt idx="348">
                  <c:v>96.250936468182374</c:v>
                </c:pt>
                <c:pt idx="349">
                  <c:v>96.227859166658547</c:v>
                </c:pt>
                <c:pt idx="350">
                  <c:v>96.199356227241154</c:v>
                </c:pt>
                <c:pt idx="351">
                  <c:v>96.197703161218712</c:v>
                </c:pt>
                <c:pt idx="352">
                  <c:v>96.172636193575457</c:v>
                </c:pt>
                <c:pt idx="353">
                  <c:v>96.154956887036064</c:v>
                </c:pt>
                <c:pt idx="354">
                  <c:v>96.125384349609945</c:v>
                </c:pt>
                <c:pt idx="355">
                  <c:v>96.103477921948411</c:v>
                </c:pt>
                <c:pt idx="356">
                  <c:v>96.090674873134446</c:v>
                </c:pt>
                <c:pt idx="357">
                  <c:v>96.072233309830992</c:v>
                </c:pt>
                <c:pt idx="358">
                  <c:v>96.029065753995084</c:v>
                </c:pt>
                <c:pt idx="359">
                  <c:v>96.002362939153102</c:v>
                </c:pt>
                <c:pt idx="360">
                  <c:v>95.978769999000235</c:v>
                </c:pt>
                <c:pt idx="361">
                  <c:v>95.92641120184787</c:v>
                </c:pt>
                <c:pt idx="362">
                  <c:v>95.886775045368083</c:v>
                </c:pt>
                <c:pt idx="363">
                  <c:v>95.856169526605356</c:v>
                </c:pt>
                <c:pt idx="364">
                  <c:v>95.811457005748721</c:v>
                </c:pt>
                <c:pt idx="365">
                  <c:v>95.770699468518885</c:v>
                </c:pt>
                <c:pt idx="366">
                  <c:v>95.717121235688467</c:v>
                </c:pt>
                <c:pt idx="367">
                  <c:v>95.667117312172834</c:v>
                </c:pt>
                <c:pt idx="368">
                  <c:v>95.580553667730669</c:v>
                </c:pt>
                <c:pt idx="369">
                  <c:v>95.495188898004074</c:v>
                </c:pt>
                <c:pt idx="370">
                  <c:v>95.306022964224397</c:v>
                </c:pt>
                <c:pt idx="371">
                  <c:v>95.125576108510018</c:v>
                </c:pt>
                <c:pt idx="372">
                  <c:v>95.192688891927219</c:v>
                </c:pt>
                <c:pt idx="373">
                  <c:v>95.253785428487205</c:v>
                </c:pt>
                <c:pt idx="374">
                  <c:v>95.16988040441278</c:v>
                </c:pt>
                <c:pt idx="375">
                  <c:v>95.080025472053805</c:v>
                </c:pt>
                <c:pt idx="376">
                  <c:v>94.967478149752139</c:v>
                </c:pt>
                <c:pt idx="377">
                  <c:v>94.865871022097551</c:v>
                </c:pt>
                <c:pt idx="378">
                  <c:v>94.769614867767856</c:v>
                </c:pt>
                <c:pt idx="379">
                  <c:v>94.639724188527154</c:v>
                </c:pt>
                <c:pt idx="380">
                  <c:v>94.49438436731846</c:v>
                </c:pt>
                <c:pt idx="381">
                  <c:v>94.382884661709511</c:v>
                </c:pt>
                <c:pt idx="382">
                  <c:v>94.231024658552272</c:v>
                </c:pt>
                <c:pt idx="383">
                  <c:v>94.06608051606834</c:v>
                </c:pt>
                <c:pt idx="384">
                  <c:v>93.863531708076948</c:v>
                </c:pt>
                <c:pt idx="385">
                  <c:v>93.679749203771891</c:v>
                </c:pt>
                <c:pt idx="386">
                  <c:v>93.496837149855992</c:v>
                </c:pt>
                <c:pt idx="387">
                  <c:v>93.300144650260748</c:v>
                </c:pt>
                <c:pt idx="388">
                  <c:v>93.064555341111216</c:v>
                </c:pt>
                <c:pt idx="389">
                  <c:v>92.817337416223083</c:v>
                </c:pt>
                <c:pt idx="390">
                  <c:v>92.521214786603423</c:v>
                </c:pt>
                <c:pt idx="391">
                  <c:v>92.233568754118963</c:v>
                </c:pt>
                <c:pt idx="392">
                  <c:v>91.885548874692233</c:v>
                </c:pt>
                <c:pt idx="393">
                  <c:v>91.53755300424443</c:v>
                </c:pt>
                <c:pt idx="394">
                  <c:v>91.093772070174523</c:v>
                </c:pt>
                <c:pt idx="395">
                  <c:v>90.637660656845512</c:v>
                </c:pt>
                <c:pt idx="396">
                  <c:v>90.031338598498067</c:v>
                </c:pt>
                <c:pt idx="397">
                  <c:v>89.390853559306265</c:v>
                </c:pt>
                <c:pt idx="398">
                  <c:v>88.510122455627823</c:v>
                </c:pt>
                <c:pt idx="399">
                  <c:v>87.652275191991805</c:v>
                </c:pt>
                <c:pt idx="400">
                  <c:v>86.815143677199828</c:v>
                </c:pt>
                <c:pt idx="401">
                  <c:v>85.96020230771704</c:v>
                </c:pt>
                <c:pt idx="402">
                  <c:v>84.668036628688739</c:v>
                </c:pt>
                <c:pt idx="403">
                  <c:v>83.404346956310988</c:v>
                </c:pt>
                <c:pt idx="404">
                  <c:v>81.446209710970621</c:v>
                </c:pt>
                <c:pt idx="405">
                  <c:v>79.490901367922291</c:v>
                </c:pt>
                <c:pt idx="406">
                  <c:v>75.558741869410241</c:v>
                </c:pt>
                <c:pt idx="407">
                  <c:v>71.580333217003542</c:v>
                </c:pt>
                <c:pt idx="408">
                  <c:v>62.017621564637302</c:v>
                </c:pt>
                <c:pt idx="409">
                  <c:v>51.905493145664273</c:v>
                </c:pt>
                <c:pt idx="410">
                  <c:v>32.200102453901415</c:v>
                </c:pt>
                <c:pt idx="411">
                  <c:v>14.098598648817719</c:v>
                </c:pt>
                <c:pt idx="412">
                  <c:v>11.905141219719434</c:v>
                </c:pt>
                <c:pt idx="413">
                  <c:v>8.4438825926276895</c:v>
                </c:pt>
                <c:pt idx="414">
                  <c:v>8.8863214797687871</c:v>
                </c:pt>
                <c:pt idx="415">
                  <c:v>9.5564520262399597</c:v>
                </c:pt>
                <c:pt idx="416">
                  <c:v>9.2750973850751492</c:v>
                </c:pt>
                <c:pt idx="417">
                  <c:v>9.0029684642243542</c:v>
                </c:pt>
                <c:pt idx="418">
                  <c:v>8.2080514800003979</c:v>
                </c:pt>
                <c:pt idx="419">
                  <c:v>7.3978575200145364</c:v>
                </c:pt>
                <c:pt idx="420">
                  <c:v>6.8651081394080906</c:v>
                </c:pt>
                <c:pt idx="421">
                  <c:v>6.311908556815041</c:v>
                </c:pt>
                <c:pt idx="422">
                  <c:v>6.1657761965578066</c:v>
                </c:pt>
                <c:pt idx="423">
                  <c:v>6.0315075059353056</c:v>
                </c:pt>
                <c:pt idx="424">
                  <c:v>6.1072278328074461</c:v>
                </c:pt>
                <c:pt idx="425">
                  <c:v>6.2003268049356777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A8-41EF-9859-4A25781088B2}"/>
            </c:ext>
          </c:extLst>
        </c:ser>
        <c:ser>
          <c:idx val="1"/>
          <c:order val="2"/>
          <c:tx>
            <c:strRef>
              <c:f>trans!$AW$77</c:f>
              <c:strCache>
                <c:ptCount val="1"/>
                <c:pt idx="0">
                  <c:v>G-03006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trans!$AW$80:$AW$530</c:f>
              <c:numCache>
                <c:formatCode>0.00</c:formatCode>
                <c:ptCount val="426"/>
                <c:pt idx="0">
                  <c:v>85.991424653907416</c:v>
                </c:pt>
                <c:pt idx="1">
                  <c:v>86.112609500861893</c:v>
                </c:pt>
                <c:pt idx="2">
                  <c:v>86.223971379315103</c:v>
                </c:pt>
                <c:pt idx="3">
                  <c:v>86.405929290889276</c:v>
                </c:pt>
                <c:pt idx="4">
                  <c:v>86.609585286687619</c:v>
                </c:pt>
                <c:pt idx="5">
                  <c:v>86.632374253854252</c:v>
                </c:pt>
                <c:pt idx="6">
                  <c:v>86.812272484715095</c:v>
                </c:pt>
                <c:pt idx="7">
                  <c:v>86.879317705271362</c:v>
                </c:pt>
                <c:pt idx="8">
                  <c:v>87.016901740193063</c:v>
                </c:pt>
                <c:pt idx="9">
                  <c:v>87.198834772818529</c:v>
                </c:pt>
                <c:pt idx="10">
                  <c:v>87.386329301156636</c:v>
                </c:pt>
                <c:pt idx="11">
                  <c:v>87.591670796464044</c:v>
                </c:pt>
                <c:pt idx="12">
                  <c:v>87.742995350890553</c:v>
                </c:pt>
                <c:pt idx="13">
                  <c:v>87.914082626685641</c:v>
                </c:pt>
                <c:pt idx="14">
                  <c:v>88.066079070908629</c:v>
                </c:pt>
                <c:pt idx="15">
                  <c:v>88.251755015630309</c:v>
                </c:pt>
                <c:pt idx="16">
                  <c:v>88.427994448634124</c:v>
                </c:pt>
                <c:pt idx="17">
                  <c:v>88.555564013401849</c:v>
                </c:pt>
                <c:pt idx="18">
                  <c:v>89.517896107656952</c:v>
                </c:pt>
                <c:pt idx="19">
                  <c:v>89.471270574665269</c:v>
                </c:pt>
                <c:pt idx="20">
                  <c:v>89.393681533890103</c:v>
                </c:pt>
                <c:pt idx="21">
                  <c:v>89.316325910540158</c:v>
                </c:pt>
                <c:pt idx="22">
                  <c:v>89.229919155896553</c:v>
                </c:pt>
                <c:pt idx="23">
                  <c:v>89.141125344612178</c:v>
                </c:pt>
                <c:pt idx="24">
                  <c:v>89.074128464886186</c:v>
                </c:pt>
                <c:pt idx="25">
                  <c:v>89.018489286974429</c:v>
                </c:pt>
                <c:pt idx="26">
                  <c:v>88.952193472367853</c:v>
                </c:pt>
                <c:pt idx="27">
                  <c:v>88.880168652547567</c:v>
                </c:pt>
                <c:pt idx="28">
                  <c:v>88.852951377847603</c:v>
                </c:pt>
                <c:pt idx="29">
                  <c:v>88.820880360387264</c:v>
                </c:pt>
                <c:pt idx="30">
                  <c:v>88.847884708397601</c:v>
                </c:pt>
                <c:pt idx="31">
                  <c:v>88.873106088155509</c:v>
                </c:pt>
                <c:pt idx="32">
                  <c:v>89.000742226012378</c:v>
                </c:pt>
                <c:pt idx="33">
                  <c:v>89.111091830199825</c:v>
                </c:pt>
                <c:pt idx="34">
                  <c:v>89.330537981788552</c:v>
                </c:pt>
                <c:pt idx="35">
                  <c:v>89.541141691501466</c:v>
                </c:pt>
                <c:pt idx="36">
                  <c:v>89.872434141374995</c:v>
                </c:pt>
                <c:pt idx="37">
                  <c:v>90.191694063099433</c:v>
                </c:pt>
                <c:pt idx="38">
                  <c:v>90.53447911721544</c:v>
                </c:pt>
                <c:pt idx="39">
                  <c:v>90.890411184397024</c:v>
                </c:pt>
                <c:pt idx="40">
                  <c:v>91.177934288113036</c:v>
                </c:pt>
                <c:pt idx="41">
                  <c:v>91.466100204617007</c:v>
                </c:pt>
                <c:pt idx="42">
                  <c:v>91.672319551425332</c:v>
                </c:pt>
                <c:pt idx="43">
                  <c:v>91.883290407143591</c:v>
                </c:pt>
                <c:pt idx="44">
                  <c:v>92.027219904533368</c:v>
                </c:pt>
                <c:pt idx="45">
                  <c:v>92.157057288497697</c:v>
                </c:pt>
                <c:pt idx="46">
                  <c:v>92.274180702480976</c:v>
                </c:pt>
                <c:pt idx="47">
                  <c:v>92.390906934362206</c:v>
                </c:pt>
                <c:pt idx="48">
                  <c:v>92.483507539964748</c:v>
                </c:pt>
                <c:pt idx="49">
                  <c:v>92.573721605029789</c:v>
                </c:pt>
                <c:pt idx="50">
                  <c:v>92.650248789763793</c:v>
                </c:pt>
                <c:pt idx="51">
                  <c:v>92.72791838495084</c:v>
                </c:pt>
                <c:pt idx="52">
                  <c:v>92.789089277364454</c:v>
                </c:pt>
                <c:pt idx="53">
                  <c:v>92.857136533740956</c:v>
                </c:pt>
                <c:pt idx="54">
                  <c:v>92.903457903111601</c:v>
                </c:pt>
                <c:pt idx="55">
                  <c:v>92.950318574301733</c:v>
                </c:pt>
                <c:pt idx="56">
                  <c:v>92.993988465506405</c:v>
                </c:pt>
                <c:pt idx="57">
                  <c:v>93.042760853563493</c:v>
                </c:pt>
                <c:pt idx="58">
                  <c:v>93.088706681982046</c:v>
                </c:pt>
                <c:pt idx="59">
                  <c:v>93.125951895439883</c:v>
                </c:pt>
                <c:pt idx="60">
                  <c:v>93.15246322961768</c:v>
                </c:pt>
                <c:pt idx="61">
                  <c:v>93.185311794628475</c:v>
                </c:pt>
                <c:pt idx="62">
                  <c:v>93.204711671424931</c:v>
                </c:pt>
                <c:pt idx="63">
                  <c:v>93.22843969014265</c:v>
                </c:pt>
                <c:pt idx="64">
                  <c:v>93.262919084927887</c:v>
                </c:pt>
                <c:pt idx="65">
                  <c:v>93.285416214335939</c:v>
                </c:pt>
                <c:pt idx="66">
                  <c:v>93.308147480282216</c:v>
                </c:pt>
                <c:pt idx="67">
                  <c:v>93.331084725665292</c:v>
                </c:pt>
                <c:pt idx="68">
                  <c:v>93.361773113385993</c:v>
                </c:pt>
                <c:pt idx="69">
                  <c:v>93.38479968906141</c:v>
                </c:pt>
                <c:pt idx="70">
                  <c:v>93.417273244824798</c:v>
                </c:pt>
                <c:pt idx="71">
                  <c:v>93.444197446275965</c:v>
                </c:pt>
                <c:pt idx="72">
                  <c:v>93.46479216609066</c:v>
                </c:pt>
                <c:pt idx="73">
                  <c:v>93.496157605899498</c:v>
                </c:pt>
                <c:pt idx="74">
                  <c:v>93.522448536246188</c:v>
                </c:pt>
                <c:pt idx="75">
                  <c:v>93.557689891906932</c:v>
                </c:pt>
                <c:pt idx="76">
                  <c:v>93.586188190019769</c:v>
                </c:pt>
                <c:pt idx="77">
                  <c:v>93.618246585189056</c:v>
                </c:pt>
                <c:pt idx="78">
                  <c:v>93.661588346244727</c:v>
                </c:pt>
                <c:pt idx="79">
                  <c:v>93.688747119259119</c:v>
                </c:pt>
                <c:pt idx="80">
                  <c:v>93.734522628165891</c:v>
                </c:pt>
                <c:pt idx="81">
                  <c:v>93.775715077169693</c:v>
                </c:pt>
                <c:pt idx="82">
                  <c:v>93.816338390662153</c:v>
                </c:pt>
                <c:pt idx="83">
                  <c:v>93.849946892887075</c:v>
                </c:pt>
                <c:pt idx="84">
                  <c:v>93.892216399455492</c:v>
                </c:pt>
                <c:pt idx="85">
                  <c:v>93.92957167669266</c:v>
                </c:pt>
                <c:pt idx="86">
                  <c:v>93.949974498146005</c:v>
                </c:pt>
                <c:pt idx="87">
                  <c:v>93.995523439894882</c:v>
                </c:pt>
                <c:pt idx="88">
                  <c:v>94.041896395224668</c:v>
                </c:pt>
                <c:pt idx="89">
                  <c:v>94.077930908605254</c:v>
                </c:pt>
                <c:pt idx="90">
                  <c:v>94.136129496776562</c:v>
                </c:pt>
                <c:pt idx="91">
                  <c:v>94.173543775352258</c:v>
                </c:pt>
                <c:pt idx="92">
                  <c:v>94.188966305366151</c:v>
                </c:pt>
                <c:pt idx="93">
                  <c:v>94.228581892591919</c:v>
                </c:pt>
                <c:pt idx="94">
                  <c:v>94.264188497195434</c:v>
                </c:pt>
                <c:pt idx="95">
                  <c:v>94.28620386178595</c:v>
                </c:pt>
                <c:pt idx="96">
                  <c:v>94.328780882975551</c:v>
                </c:pt>
                <c:pt idx="97">
                  <c:v>94.361447522367669</c:v>
                </c:pt>
                <c:pt idx="98">
                  <c:v>94.400625363359723</c:v>
                </c:pt>
                <c:pt idx="99">
                  <c:v>94.433092709705079</c:v>
                </c:pt>
                <c:pt idx="100">
                  <c:v>94.443851356721268</c:v>
                </c:pt>
                <c:pt idx="101">
                  <c:v>94.474338632018089</c:v>
                </c:pt>
                <c:pt idx="102">
                  <c:v>94.509092991484167</c:v>
                </c:pt>
                <c:pt idx="103">
                  <c:v>94.54384735095023</c:v>
                </c:pt>
                <c:pt idx="104">
                  <c:v>94.578601710416308</c:v>
                </c:pt>
                <c:pt idx="105">
                  <c:v>94.594144354510647</c:v>
                </c:pt>
                <c:pt idx="106">
                  <c:v>94.634809064052419</c:v>
                </c:pt>
                <c:pt idx="107">
                  <c:v>94.659266273209866</c:v>
                </c:pt>
                <c:pt idx="108">
                  <c:v>94.671301025705006</c:v>
                </c:pt>
                <c:pt idx="109">
                  <c:v>94.701142858291618</c:v>
                </c:pt>
                <c:pt idx="110">
                  <c:v>94.748497209151353</c:v>
                </c:pt>
                <c:pt idx="111">
                  <c:v>94.793101396233297</c:v>
                </c:pt>
                <c:pt idx="112">
                  <c:v>94.813562621881033</c:v>
                </c:pt>
                <c:pt idx="113">
                  <c:v>94.840004262358136</c:v>
                </c:pt>
                <c:pt idx="114">
                  <c:v>94.871797609503915</c:v>
                </c:pt>
                <c:pt idx="115">
                  <c:v>94.905834256692515</c:v>
                </c:pt>
                <c:pt idx="116">
                  <c:v>94.938329670979627</c:v>
                </c:pt>
                <c:pt idx="117">
                  <c:v>94.9678798274618</c:v>
                </c:pt>
                <c:pt idx="118">
                  <c:v>94.996427240436219</c:v>
                </c:pt>
                <c:pt idx="119">
                  <c:v>95.040912870193083</c:v>
                </c:pt>
                <c:pt idx="120">
                  <c:v>95.088276260054201</c:v>
                </c:pt>
                <c:pt idx="121">
                  <c:v>95.118605006064683</c:v>
                </c:pt>
                <c:pt idx="122">
                  <c:v>95.15886088979947</c:v>
                </c:pt>
                <c:pt idx="123">
                  <c:v>95.189357036426657</c:v>
                </c:pt>
                <c:pt idx="124">
                  <c:v>95.214996967767476</c:v>
                </c:pt>
                <c:pt idx="125">
                  <c:v>95.234730058278771</c:v>
                </c:pt>
                <c:pt idx="126">
                  <c:v>95.258992964920481</c:v>
                </c:pt>
                <c:pt idx="127">
                  <c:v>95.293763471675661</c:v>
                </c:pt>
                <c:pt idx="128">
                  <c:v>95.319471600110049</c:v>
                </c:pt>
                <c:pt idx="129">
                  <c:v>95.346158888708146</c:v>
                </c:pt>
                <c:pt idx="130">
                  <c:v>95.367731596168767</c:v>
                </c:pt>
                <c:pt idx="131">
                  <c:v>95.380383890481127</c:v>
                </c:pt>
                <c:pt idx="132">
                  <c:v>95.406064064878251</c:v>
                </c:pt>
                <c:pt idx="133">
                  <c:v>95.439452111002822</c:v>
                </c:pt>
                <c:pt idx="134">
                  <c:v>95.458745993772581</c:v>
                </c:pt>
                <c:pt idx="135">
                  <c:v>95.468667119955057</c:v>
                </c:pt>
                <c:pt idx="136">
                  <c:v>95.491794215781468</c:v>
                </c:pt>
                <c:pt idx="137">
                  <c:v>95.517162616245471</c:v>
                </c:pt>
                <c:pt idx="138">
                  <c:v>95.545221728459936</c:v>
                </c:pt>
                <c:pt idx="139">
                  <c:v>95.542212847524596</c:v>
                </c:pt>
                <c:pt idx="140">
                  <c:v>95.548153842122886</c:v>
                </c:pt>
                <c:pt idx="141">
                  <c:v>95.568439052591472</c:v>
                </c:pt>
                <c:pt idx="142">
                  <c:v>95.587844864709822</c:v>
                </c:pt>
                <c:pt idx="143">
                  <c:v>95.609835803035253</c:v>
                </c:pt>
                <c:pt idx="144">
                  <c:v>95.609067235813669</c:v>
                </c:pt>
                <c:pt idx="145">
                  <c:v>95.611268651988169</c:v>
                </c:pt>
                <c:pt idx="146">
                  <c:v>95.609889440126551</c:v>
                </c:pt>
                <c:pt idx="147">
                  <c:v>95.612537345087006</c:v>
                </c:pt>
                <c:pt idx="148">
                  <c:v>95.608340192585729</c:v>
                </c:pt>
                <c:pt idx="149">
                  <c:v>95.614238599402483</c:v>
                </c:pt>
                <c:pt idx="150">
                  <c:v>95.620823430110093</c:v>
                </c:pt>
                <c:pt idx="151">
                  <c:v>95.616821751885652</c:v>
                </c:pt>
                <c:pt idx="152">
                  <c:v>95.62273863744754</c:v>
                </c:pt>
                <c:pt idx="153">
                  <c:v>95.632677760124423</c:v>
                </c:pt>
                <c:pt idx="154">
                  <c:v>95.620516403865722</c:v>
                </c:pt>
                <c:pt idx="155">
                  <c:v>95.613430022422406</c:v>
                </c:pt>
                <c:pt idx="156">
                  <c:v>95.599397557164878</c:v>
                </c:pt>
                <c:pt idx="157">
                  <c:v>95.593910418897721</c:v>
                </c:pt>
                <c:pt idx="158">
                  <c:v>95.585280553174073</c:v>
                </c:pt>
                <c:pt idx="159">
                  <c:v>95.579748107652662</c:v>
                </c:pt>
                <c:pt idx="160">
                  <c:v>95.547280706025447</c:v>
                </c:pt>
                <c:pt idx="161">
                  <c:v>95.528516833670054</c:v>
                </c:pt>
                <c:pt idx="162">
                  <c:v>95.507670241294875</c:v>
                </c:pt>
                <c:pt idx="163">
                  <c:v>95.491689520268551</c:v>
                </c:pt>
                <c:pt idx="164">
                  <c:v>95.43201911456805</c:v>
                </c:pt>
                <c:pt idx="165">
                  <c:v>95.374228624516206</c:v>
                </c:pt>
                <c:pt idx="166">
                  <c:v>95.29211558628451</c:v>
                </c:pt>
                <c:pt idx="167">
                  <c:v>95.219588217416401</c:v>
                </c:pt>
                <c:pt idx="168">
                  <c:v>95.253134315415124</c:v>
                </c:pt>
                <c:pt idx="169">
                  <c:v>95.267030040453434</c:v>
                </c:pt>
                <c:pt idx="170">
                  <c:v>95.288323873571656</c:v>
                </c:pt>
                <c:pt idx="171">
                  <c:v>95.326421676302587</c:v>
                </c:pt>
                <c:pt idx="172">
                  <c:v>95.320308989444186</c:v>
                </c:pt>
                <c:pt idx="173">
                  <c:v>95.297518801447154</c:v>
                </c:pt>
                <c:pt idx="174">
                  <c:v>95.25560928712629</c:v>
                </c:pt>
                <c:pt idx="175">
                  <c:v>95.225279479974276</c:v>
                </c:pt>
                <c:pt idx="176">
                  <c:v>95.189994505744423</c:v>
                </c:pt>
                <c:pt idx="177">
                  <c:v>95.158420335585333</c:v>
                </c:pt>
                <c:pt idx="178">
                  <c:v>95.123366656972408</c:v>
                </c:pt>
                <c:pt idx="179">
                  <c:v>95.067461678878757</c:v>
                </c:pt>
                <c:pt idx="180">
                  <c:v>95.066628891825715</c:v>
                </c:pt>
                <c:pt idx="181">
                  <c:v>95.029572417929273</c:v>
                </c:pt>
                <c:pt idx="182">
                  <c:v>94.997665949587102</c:v>
                </c:pt>
                <c:pt idx="183">
                  <c:v>94.982260198650692</c:v>
                </c:pt>
                <c:pt idx="184">
                  <c:v>94.943318950673131</c:v>
                </c:pt>
                <c:pt idx="185">
                  <c:v>94.896312701913345</c:v>
                </c:pt>
                <c:pt idx="186">
                  <c:v>94.836471008118068</c:v>
                </c:pt>
                <c:pt idx="187">
                  <c:v>94.79968618938112</c:v>
                </c:pt>
                <c:pt idx="188">
                  <c:v>94.732621622350891</c:v>
                </c:pt>
                <c:pt idx="189">
                  <c:v>94.667270683135783</c:v>
                </c:pt>
                <c:pt idx="190">
                  <c:v>94.610267134700749</c:v>
                </c:pt>
                <c:pt idx="191">
                  <c:v>94.549625375817186</c:v>
                </c:pt>
                <c:pt idx="192">
                  <c:v>94.529632517156529</c:v>
                </c:pt>
                <c:pt idx="193">
                  <c:v>94.504672232809909</c:v>
                </c:pt>
                <c:pt idx="194">
                  <c:v>94.524637314764945</c:v>
                </c:pt>
                <c:pt idx="195">
                  <c:v>94.521945895007264</c:v>
                </c:pt>
                <c:pt idx="196">
                  <c:v>94.563741855583274</c:v>
                </c:pt>
                <c:pt idx="197">
                  <c:v>94.639115420231633</c:v>
                </c:pt>
                <c:pt idx="198">
                  <c:v>94.661796072642687</c:v>
                </c:pt>
                <c:pt idx="199">
                  <c:v>94.73906015005069</c:v>
                </c:pt>
                <c:pt idx="200">
                  <c:v>94.729714636866689</c:v>
                </c:pt>
                <c:pt idx="201">
                  <c:v>94.726460062585943</c:v>
                </c:pt>
                <c:pt idx="202">
                  <c:v>94.678689391984491</c:v>
                </c:pt>
                <c:pt idx="203">
                  <c:v>94.671371248203229</c:v>
                </c:pt>
                <c:pt idx="204">
                  <c:v>94.658344480556181</c:v>
                </c:pt>
                <c:pt idx="205">
                  <c:v>94.617309837638388</c:v>
                </c:pt>
                <c:pt idx="206">
                  <c:v>94.608657732300642</c:v>
                </c:pt>
                <c:pt idx="207">
                  <c:v>94.613271264156921</c:v>
                </c:pt>
                <c:pt idx="208">
                  <c:v>94.579090310406499</c:v>
                </c:pt>
                <c:pt idx="209">
                  <c:v>94.572104435975731</c:v>
                </c:pt>
                <c:pt idx="210">
                  <c:v>94.558988117733747</c:v>
                </c:pt>
                <c:pt idx="211">
                  <c:v>94.535190485306472</c:v>
                </c:pt>
                <c:pt idx="212">
                  <c:v>94.50884678073156</c:v>
                </c:pt>
                <c:pt idx="213">
                  <c:v>94.505634724618588</c:v>
                </c:pt>
                <c:pt idx="214">
                  <c:v>94.484232129400723</c:v>
                </c:pt>
                <c:pt idx="215">
                  <c:v>94.46444127042065</c:v>
                </c:pt>
                <c:pt idx="216">
                  <c:v>94.45820167962728</c:v>
                </c:pt>
                <c:pt idx="217">
                  <c:v>94.442309346832147</c:v>
                </c:pt>
                <c:pt idx="218">
                  <c:v>94.403254285319278</c:v>
                </c:pt>
                <c:pt idx="219">
                  <c:v>94.39067732999338</c:v>
                </c:pt>
                <c:pt idx="220">
                  <c:v>94.392243923859482</c:v>
                </c:pt>
                <c:pt idx="221">
                  <c:v>94.367829426882111</c:v>
                </c:pt>
                <c:pt idx="222">
                  <c:v>94.362339442787473</c:v>
                </c:pt>
                <c:pt idx="223">
                  <c:v>94.324360345333517</c:v>
                </c:pt>
                <c:pt idx="224">
                  <c:v>94.31909761264167</c:v>
                </c:pt>
                <c:pt idx="225">
                  <c:v>94.326147980702558</c:v>
                </c:pt>
                <c:pt idx="226">
                  <c:v>94.285571438346565</c:v>
                </c:pt>
                <c:pt idx="227">
                  <c:v>94.306254283932205</c:v>
                </c:pt>
                <c:pt idx="228">
                  <c:v>94.280483551648885</c:v>
                </c:pt>
                <c:pt idx="229">
                  <c:v>94.294811096992817</c:v>
                </c:pt>
                <c:pt idx="230">
                  <c:v>94.272219499806226</c:v>
                </c:pt>
                <c:pt idx="231">
                  <c:v>94.245446912059421</c:v>
                </c:pt>
                <c:pt idx="232">
                  <c:v>94.243032668498628</c:v>
                </c:pt>
                <c:pt idx="233">
                  <c:v>94.233745458512431</c:v>
                </c:pt>
                <c:pt idx="234">
                  <c:v>94.234847221973567</c:v>
                </c:pt>
                <c:pt idx="235">
                  <c:v>94.22394009420502</c:v>
                </c:pt>
                <c:pt idx="236">
                  <c:v>94.216368139641474</c:v>
                </c:pt>
                <c:pt idx="237">
                  <c:v>94.19726742261831</c:v>
                </c:pt>
                <c:pt idx="238">
                  <c:v>94.192754913341858</c:v>
                </c:pt>
                <c:pt idx="239">
                  <c:v>94.171190434915289</c:v>
                </c:pt>
                <c:pt idx="240">
                  <c:v>94.198174512081138</c:v>
                </c:pt>
                <c:pt idx="241">
                  <c:v>94.157331672777204</c:v>
                </c:pt>
                <c:pt idx="242">
                  <c:v>94.162656230237488</c:v>
                </c:pt>
                <c:pt idx="243">
                  <c:v>94.166096974058817</c:v>
                </c:pt>
                <c:pt idx="244">
                  <c:v>94.152319745262901</c:v>
                </c:pt>
                <c:pt idx="245">
                  <c:v>94.133521329593066</c:v>
                </c:pt>
                <c:pt idx="246">
                  <c:v>94.160205678562477</c:v>
                </c:pt>
                <c:pt idx="247">
                  <c:v>94.156787866373762</c:v>
                </c:pt>
                <c:pt idx="248">
                  <c:v>94.158869174559911</c:v>
                </c:pt>
                <c:pt idx="249">
                  <c:v>94.141666788943539</c:v>
                </c:pt>
                <c:pt idx="250">
                  <c:v>94.14180772931779</c:v>
                </c:pt>
                <c:pt idx="251">
                  <c:v>94.116066336188794</c:v>
                </c:pt>
                <c:pt idx="252">
                  <c:v>94.138563611395455</c:v>
                </c:pt>
                <c:pt idx="253">
                  <c:v>94.132851611732164</c:v>
                </c:pt>
                <c:pt idx="254">
                  <c:v>94.137879192274951</c:v>
                </c:pt>
                <c:pt idx="255">
                  <c:v>94.126082079557236</c:v>
                </c:pt>
                <c:pt idx="256">
                  <c:v>94.128997883512966</c:v>
                </c:pt>
                <c:pt idx="257">
                  <c:v>94.132114907241771</c:v>
                </c:pt>
                <c:pt idx="258">
                  <c:v>94.125684739828259</c:v>
                </c:pt>
                <c:pt idx="259">
                  <c:v>94.127853165458831</c:v>
                </c:pt>
                <c:pt idx="260">
                  <c:v>94.120022738180651</c:v>
                </c:pt>
                <c:pt idx="261">
                  <c:v>94.115871491975852</c:v>
                </c:pt>
                <c:pt idx="262">
                  <c:v>94.113199885852453</c:v>
                </c:pt>
                <c:pt idx="263">
                  <c:v>94.129580164991594</c:v>
                </c:pt>
                <c:pt idx="264">
                  <c:v>94.129755535244712</c:v>
                </c:pt>
                <c:pt idx="265">
                  <c:v>94.139090022457992</c:v>
                </c:pt>
                <c:pt idx="266">
                  <c:v>94.131705119977312</c:v>
                </c:pt>
                <c:pt idx="267">
                  <c:v>94.147391858981791</c:v>
                </c:pt>
                <c:pt idx="268">
                  <c:v>94.148449193572972</c:v>
                </c:pt>
                <c:pt idx="269">
                  <c:v>94.130120722069378</c:v>
                </c:pt>
                <c:pt idx="270">
                  <c:v>94.157458946719785</c:v>
                </c:pt>
                <c:pt idx="271">
                  <c:v>94.158000722217636</c:v>
                </c:pt>
                <c:pt idx="272">
                  <c:v>94.160674750216245</c:v>
                </c:pt>
                <c:pt idx="273">
                  <c:v>94.177380149946671</c:v>
                </c:pt>
                <c:pt idx="274">
                  <c:v>94.171043061511469</c:v>
                </c:pt>
                <c:pt idx="275">
                  <c:v>94.176814198033881</c:v>
                </c:pt>
                <c:pt idx="276">
                  <c:v>94.182618460353424</c:v>
                </c:pt>
                <c:pt idx="277">
                  <c:v>94.182631723634813</c:v>
                </c:pt>
                <c:pt idx="278">
                  <c:v>94.167855217326334</c:v>
                </c:pt>
                <c:pt idx="279">
                  <c:v>94.161157464060196</c:v>
                </c:pt>
                <c:pt idx="280">
                  <c:v>94.162799358853931</c:v>
                </c:pt>
                <c:pt idx="281">
                  <c:v>94.181091289481898</c:v>
                </c:pt>
                <c:pt idx="282">
                  <c:v>94.205456894687117</c:v>
                </c:pt>
                <c:pt idx="283">
                  <c:v>94.228784820443551</c:v>
                </c:pt>
                <c:pt idx="284">
                  <c:v>94.241277283185752</c:v>
                </c:pt>
                <c:pt idx="285">
                  <c:v>94.254807581137641</c:v>
                </c:pt>
                <c:pt idx="286">
                  <c:v>94.278942924487637</c:v>
                </c:pt>
                <c:pt idx="287">
                  <c:v>94.298627951865114</c:v>
                </c:pt>
                <c:pt idx="288">
                  <c:v>94.318459044150089</c:v>
                </c:pt>
                <c:pt idx="289">
                  <c:v>94.332105589348615</c:v>
                </c:pt>
                <c:pt idx="290">
                  <c:v>94.346528249210465</c:v>
                </c:pt>
                <c:pt idx="291">
                  <c:v>94.36242506003407</c:v>
                </c:pt>
                <c:pt idx="292">
                  <c:v>94.389529142227559</c:v>
                </c:pt>
                <c:pt idx="293">
                  <c:v>94.413411246497802</c:v>
                </c:pt>
                <c:pt idx="294">
                  <c:v>94.430207674806638</c:v>
                </c:pt>
                <c:pt idx="295">
                  <c:v>94.448903788688725</c:v>
                </c:pt>
                <c:pt idx="296">
                  <c:v>94.482139675814096</c:v>
                </c:pt>
                <c:pt idx="297">
                  <c:v>94.497127021474057</c:v>
                </c:pt>
                <c:pt idx="298">
                  <c:v>94.512316526804298</c:v>
                </c:pt>
                <c:pt idx="299">
                  <c:v>94.528167335184619</c:v>
                </c:pt>
                <c:pt idx="300">
                  <c:v>94.536561621033073</c:v>
                </c:pt>
                <c:pt idx="301">
                  <c:v>94.557991702410561</c:v>
                </c:pt>
                <c:pt idx="302">
                  <c:v>94.570940302271595</c:v>
                </c:pt>
                <c:pt idx="303">
                  <c:v>94.592849128538433</c:v>
                </c:pt>
                <c:pt idx="304">
                  <c:v>94.630293662508663</c:v>
                </c:pt>
                <c:pt idx="305">
                  <c:v>94.681967519117734</c:v>
                </c:pt>
                <c:pt idx="306">
                  <c:v>94.637271024193907</c:v>
                </c:pt>
                <c:pt idx="307">
                  <c:v>94.635296048253736</c:v>
                </c:pt>
                <c:pt idx="308">
                  <c:v>94.648939899571829</c:v>
                </c:pt>
                <c:pt idx="309">
                  <c:v>94.693170435674645</c:v>
                </c:pt>
                <c:pt idx="310">
                  <c:v>94.738748700578412</c:v>
                </c:pt>
                <c:pt idx="311">
                  <c:v>94.749604497382606</c:v>
                </c:pt>
                <c:pt idx="312">
                  <c:v>94.807495033576743</c:v>
                </c:pt>
                <c:pt idx="313">
                  <c:v>94.819803314222966</c:v>
                </c:pt>
                <c:pt idx="314">
                  <c:v>94.815150368152146</c:v>
                </c:pt>
                <c:pt idx="315">
                  <c:v>94.854078601930382</c:v>
                </c:pt>
                <c:pt idx="316">
                  <c:v>94.900480059044114</c:v>
                </c:pt>
                <c:pt idx="317">
                  <c:v>94.963478861725093</c:v>
                </c:pt>
                <c:pt idx="318">
                  <c:v>94.947567645505231</c:v>
                </c:pt>
                <c:pt idx="319">
                  <c:v>94.934118782713767</c:v>
                </c:pt>
                <c:pt idx="320">
                  <c:v>95.037507359366472</c:v>
                </c:pt>
                <c:pt idx="321">
                  <c:v>95.126180161566708</c:v>
                </c:pt>
                <c:pt idx="322">
                  <c:v>95.122160947276825</c:v>
                </c:pt>
                <c:pt idx="323">
                  <c:v>95.131360861483486</c:v>
                </c:pt>
                <c:pt idx="324">
                  <c:v>95.16512333634337</c:v>
                </c:pt>
                <c:pt idx="325">
                  <c:v>95.218458981059811</c:v>
                </c:pt>
                <c:pt idx="326">
                  <c:v>95.224401067677604</c:v>
                </c:pt>
                <c:pt idx="327">
                  <c:v>95.213974144682538</c:v>
                </c:pt>
                <c:pt idx="328">
                  <c:v>95.236085143288676</c:v>
                </c:pt>
                <c:pt idx="329">
                  <c:v>95.272510359313287</c:v>
                </c:pt>
                <c:pt idx="330">
                  <c:v>95.29347658919778</c:v>
                </c:pt>
                <c:pt idx="331">
                  <c:v>95.299657764695823</c:v>
                </c:pt>
                <c:pt idx="332">
                  <c:v>95.322136879873071</c:v>
                </c:pt>
                <c:pt idx="333">
                  <c:v>95.348206057742132</c:v>
                </c:pt>
                <c:pt idx="334">
                  <c:v>95.352653670700263</c:v>
                </c:pt>
                <c:pt idx="335">
                  <c:v>95.374402489603298</c:v>
                </c:pt>
                <c:pt idx="336">
                  <c:v>95.408083468814496</c:v>
                </c:pt>
                <c:pt idx="337">
                  <c:v>95.422435971491552</c:v>
                </c:pt>
                <c:pt idx="338">
                  <c:v>95.431449422876426</c:v>
                </c:pt>
                <c:pt idx="339">
                  <c:v>95.434320706792406</c:v>
                </c:pt>
                <c:pt idx="340">
                  <c:v>95.416909811920235</c:v>
                </c:pt>
                <c:pt idx="341">
                  <c:v>95.429266720257658</c:v>
                </c:pt>
                <c:pt idx="342">
                  <c:v>95.426632501826987</c:v>
                </c:pt>
                <c:pt idx="343">
                  <c:v>95.412689804359971</c:v>
                </c:pt>
                <c:pt idx="344">
                  <c:v>95.391149914387441</c:v>
                </c:pt>
                <c:pt idx="345">
                  <c:v>95.362353916909001</c:v>
                </c:pt>
                <c:pt idx="346">
                  <c:v>95.418858771221082</c:v>
                </c:pt>
                <c:pt idx="347">
                  <c:v>95.480598746851271</c:v>
                </c:pt>
                <c:pt idx="348">
                  <c:v>95.496450259825735</c:v>
                </c:pt>
                <c:pt idx="349">
                  <c:v>95.493713239241515</c:v>
                </c:pt>
                <c:pt idx="350">
                  <c:v>95.494033362689905</c:v>
                </c:pt>
                <c:pt idx="351">
                  <c:v>95.516438901917681</c:v>
                </c:pt>
                <c:pt idx="352">
                  <c:v>95.529890110374097</c:v>
                </c:pt>
                <c:pt idx="353">
                  <c:v>95.53286982248521</c:v>
                </c:pt>
                <c:pt idx="354">
                  <c:v>95.534040526123476</c:v>
                </c:pt>
                <c:pt idx="355">
                  <c:v>95.519878846826188</c:v>
                </c:pt>
                <c:pt idx="356">
                  <c:v>95.505152392719012</c:v>
                </c:pt>
                <c:pt idx="357">
                  <c:v>95.510354655469598</c:v>
                </c:pt>
                <c:pt idx="358">
                  <c:v>95.504099951173032</c:v>
                </c:pt>
                <c:pt idx="359">
                  <c:v>95.507262723814279</c:v>
                </c:pt>
                <c:pt idx="360">
                  <c:v>95.48840723510942</c:v>
                </c:pt>
                <c:pt idx="361">
                  <c:v>95.458123794680375</c:v>
                </c:pt>
                <c:pt idx="362">
                  <c:v>95.428337768532529</c:v>
                </c:pt>
                <c:pt idx="363">
                  <c:v>95.405520842787993</c:v>
                </c:pt>
                <c:pt idx="364">
                  <c:v>95.347883833036107</c:v>
                </c:pt>
                <c:pt idx="365">
                  <c:v>95.309688283865924</c:v>
                </c:pt>
                <c:pt idx="366">
                  <c:v>95.252315290166507</c:v>
                </c:pt>
                <c:pt idx="367">
                  <c:v>95.186449548105998</c:v>
                </c:pt>
                <c:pt idx="368">
                  <c:v>95.078625196870277</c:v>
                </c:pt>
                <c:pt idx="369">
                  <c:v>94.97375582385699</c:v>
                </c:pt>
                <c:pt idx="370">
                  <c:v>94.504584982357642</c:v>
                </c:pt>
                <c:pt idx="371">
                  <c:v>94.037488067774518</c:v>
                </c:pt>
                <c:pt idx="372">
                  <c:v>94.403818230613069</c:v>
                </c:pt>
                <c:pt idx="373">
                  <c:v>94.770277528491036</c:v>
                </c:pt>
                <c:pt idx="374">
                  <c:v>94.684160319000227</c:v>
                </c:pt>
                <c:pt idx="375">
                  <c:v>94.606658122294164</c:v>
                </c:pt>
                <c:pt idx="376">
                  <c:v>94.469214266905439</c:v>
                </c:pt>
                <c:pt idx="377">
                  <c:v>94.333338305718073</c:v>
                </c:pt>
                <c:pt idx="378">
                  <c:v>94.235488338397261</c:v>
                </c:pt>
                <c:pt idx="379">
                  <c:v>94.131557920077228</c:v>
                </c:pt>
                <c:pt idx="380">
                  <c:v>93.977634143810178</c:v>
                </c:pt>
                <c:pt idx="381">
                  <c:v>93.830468781787161</c:v>
                </c:pt>
                <c:pt idx="382">
                  <c:v>93.645684381802539</c:v>
                </c:pt>
                <c:pt idx="383">
                  <c:v>93.469015807004851</c:v>
                </c:pt>
                <c:pt idx="384">
                  <c:v>93.252864758484819</c:v>
                </c:pt>
                <c:pt idx="385">
                  <c:v>93.031202304652382</c:v>
                </c:pt>
                <c:pt idx="386">
                  <c:v>92.813845322757501</c:v>
                </c:pt>
                <c:pt idx="387">
                  <c:v>92.58176343602166</c:v>
                </c:pt>
                <c:pt idx="388">
                  <c:v>92.330905271624147</c:v>
                </c:pt>
                <c:pt idx="389">
                  <c:v>92.093603984972972</c:v>
                </c:pt>
                <c:pt idx="390">
                  <c:v>91.790806615330766</c:v>
                </c:pt>
                <c:pt idx="391">
                  <c:v>91.481088931565125</c:v>
                </c:pt>
                <c:pt idx="392">
                  <c:v>91.10142808514108</c:v>
                </c:pt>
                <c:pt idx="393">
                  <c:v>90.72788475931543</c:v>
                </c:pt>
                <c:pt idx="394">
                  <c:v>90.255055888061023</c:v>
                </c:pt>
                <c:pt idx="395">
                  <c:v>89.769099395599255</c:v>
                </c:pt>
                <c:pt idx="396">
                  <c:v>89.063387412888275</c:v>
                </c:pt>
                <c:pt idx="397">
                  <c:v>88.360399372602629</c:v>
                </c:pt>
                <c:pt idx="398">
                  <c:v>87.229251177748765</c:v>
                </c:pt>
                <c:pt idx="399">
                  <c:v>86.073260374672302</c:v>
                </c:pt>
                <c:pt idx="400">
                  <c:v>85.342375917322784</c:v>
                </c:pt>
                <c:pt idx="401">
                  <c:v>84.635790144789397</c:v>
                </c:pt>
                <c:pt idx="402">
                  <c:v>83.206269362745601</c:v>
                </c:pt>
                <c:pt idx="403">
                  <c:v>81.777506640997458</c:v>
                </c:pt>
                <c:pt idx="404">
                  <c:v>79.41357847240613</c:v>
                </c:pt>
                <c:pt idx="405">
                  <c:v>77.090417665752938</c:v>
                </c:pt>
                <c:pt idx="406">
                  <c:v>72.385277263884589</c:v>
                </c:pt>
                <c:pt idx="407">
                  <c:v>67.706073386368317</c:v>
                </c:pt>
                <c:pt idx="408">
                  <c:v>57.4031073006092</c:v>
                </c:pt>
                <c:pt idx="409">
                  <c:v>46.955138911953746</c:v>
                </c:pt>
                <c:pt idx="410">
                  <c:v>29.131018769926509</c:v>
                </c:pt>
                <c:pt idx="411">
                  <c:v>11.653625842633593</c:v>
                </c:pt>
                <c:pt idx="412">
                  <c:v>9.7323999522580831</c:v>
                </c:pt>
                <c:pt idx="413">
                  <c:v>7.4520817509675483</c:v>
                </c:pt>
                <c:pt idx="414">
                  <c:v>7.2238047074392675</c:v>
                </c:pt>
                <c:pt idx="415">
                  <c:v>7.0270990052552564</c:v>
                </c:pt>
                <c:pt idx="416">
                  <c:v>6.5981242435872831</c:v>
                </c:pt>
                <c:pt idx="417">
                  <c:v>6.1470807646671055</c:v>
                </c:pt>
                <c:pt idx="418">
                  <c:v>6.0165276464390516</c:v>
                </c:pt>
                <c:pt idx="419">
                  <c:v>5.9157294492215913</c:v>
                </c:pt>
                <c:pt idx="420">
                  <c:v>6.0330204315078122</c:v>
                </c:pt>
                <c:pt idx="421">
                  <c:v>6.1520854860350154</c:v>
                </c:pt>
                <c:pt idx="422">
                  <c:v>6.330967634810321</c:v>
                </c:pt>
                <c:pt idx="423">
                  <c:v>6.5080828081985054</c:v>
                </c:pt>
                <c:pt idx="424">
                  <c:v>6.6949450870279668</c:v>
                </c:pt>
                <c:pt idx="425">
                  <c:v>6.8150511632873716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A8-41EF-9859-4A25781088B2}"/>
            </c:ext>
          </c:extLst>
        </c:ser>
        <c:ser>
          <c:idx val="2"/>
          <c:order val="3"/>
          <c:tx>
            <c:strRef>
              <c:f>trans!$AY$77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trans!$AY$80:$AY$530</c:f>
              <c:numCache>
                <c:formatCode>0.00</c:formatCode>
                <c:ptCount val="4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A8-41EF-9859-4A25781088B2}"/>
            </c:ext>
          </c:extLst>
        </c:ser>
        <c:ser>
          <c:idx val="3"/>
          <c:order val="4"/>
          <c:tx>
            <c:strRef>
              <c:f>trans!$AZ$77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trans!$O$80:$O$530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trans!$AZ$80:$AZ$530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4A8-41EF-9859-4A2578108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605952"/>
        <c:axId val="1"/>
      </c:scatterChart>
      <c:valAx>
        <c:axId val="624605952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181873244865371"/>
              <c:y val="0.924372521616616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Reflectivity in %</a:t>
                </a:r>
              </a:p>
            </c:rich>
          </c:tx>
          <c:layout>
            <c:manualLayout>
              <c:xMode val="edge"/>
              <c:yMode val="edge"/>
              <c:x val="7.575757575757576E-3"/>
              <c:y val="0.3501408914794741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4605952"/>
        <c:crosses val="autoZero"/>
        <c:crossBetween val="midCat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43960845830571"/>
          <c:y val="0.39239425024692465"/>
          <c:w val="0.22681107715076779"/>
          <c:h val="0.413347341279527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Transmittance </a:t>
            </a:r>
          </a:p>
        </c:rich>
      </c:tx>
      <c:layout>
        <c:manualLayout>
          <c:xMode val="edge"/>
          <c:yMode val="edge"/>
          <c:x val="0.35498486717428873"/>
          <c:y val="3.15535096050736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29305135951662"/>
          <c:y val="0.15048561524102991"/>
          <c:w val="0.8368580060422961"/>
          <c:h val="0.70631151669580161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trans!$AO$8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trans!$O$80:$O$520</c:f>
              <c:numCache>
                <c:formatCode>General</c:formatCode>
                <c:ptCount val="41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</c:numCache>
            </c:numRef>
          </c:xVal>
          <c:yVal>
            <c:numRef>
              <c:f>trans!$AL$80:$AL$520</c:f>
              <c:numCache>
                <c:formatCode>0.00</c:formatCode>
                <c:ptCount val="4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8C-457C-BC09-9B538407F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606912"/>
        <c:axId val="1"/>
      </c:scatterChart>
      <c:valAx>
        <c:axId val="624606912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447127854601219"/>
              <c:y val="0.91990384713583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</a:t>
                </a:r>
              </a:p>
            </c:rich>
          </c:tx>
          <c:layout>
            <c:manualLayout>
              <c:xMode val="edge"/>
              <c:yMode val="edge"/>
              <c:x val="7.552810315671672E-3"/>
              <c:y val="0.3640782499463831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4606912"/>
        <c:crosses val="autoZero"/>
        <c:crossBetween val="midCat"/>
        <c:majorUnit val="0.1"/>
        <c:minorUnit val="0.0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175892973580956"/>
          <c:y val="0.70815004873361931"/>
          <c:w val="0.20657002883557529"/>
          <c:h val="0.1077980167861481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Transmittance upper range</a:t>
            </a:r>
          </a:p>
        </c:rich>
      </c:tx>
      <c:layout>
        <c:manualLayout>
          <c:xMode val="edge"/>
          <c:yMode val="edge"/>
          <c:x val="0.28928100118770067"/>
          <c:y val="3.14769513034171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1323165214249"/>
          <c:y val="0.15012106537530268"/>
          <c:w val="0.8414108982236862"/>
          <c:h val="0.70702179176755453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trans!$AO$8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trans!$O$80:$O$520</c:f>
              <c:numCache>
                <c:formatCode>General</c:formatCode>
                <c:ptCount val="41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</c:numCache>
            </c:numRef>
          </c:xVal>
          <c:yVal>
            <c:numRef>
              <c:f>trans!$AL$80:$AL$520</c:f>
              <c:numCache>
                <c:formatCode>0.00</c:formatCode>
                <c:ptCount val="4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0E-4AED-A45A-DD1C98333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158496"/>
        <c:axId val="1"/>
      </c:scatterChart>
      <c:valAx>
        <c:axId val="622158496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584495373832459"/>
              <c:y val="0.920096832556124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"/>
          <c:min val="0.8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</a:t>
                </a:r>
              </a:p>
            </c:rich>
          </c:tx>
          <c:layout>
            <c:manualLayout>
              <c:xMode val="edge"/>
              <c:yMode val="edge"/>
              <c:x val="7.342116453320429E-3"/>
              <c:y val="0.365617307545294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2158496"/>
        <c:crosses val="autoZero"/>
        <c:crossBetween val="midCat"/>
        <c:majorUnit val="0.02"/>
        <c:minorUnit val="0.0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59714970969343"/>
          <c:y val="0.70697532472027436"/>
          <c:w val="0.20137922769701855"/>
          <c:h val="0.107619194629549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203200</xdr:colOff>
      <xdr:row>0</xdr:row>
      <xdr:rowOff>101600</xdr:rowOff>
    </xdr:from>
    <xdr:to>
      <xdr:col>18</xdr:col>
      <xdr:colOff>609600</xdr:colOff>
      <xdr:row>22</xdr:row>
      <xdr:rowOff>69850</xdr:rowOff>
    </xdr:to>
    <xdr:graphicFrame macro="">
      <xdr:nvGraphicFramePr>
        <xdr:cNvPr id="1534" name="Gráfico 1">
          <a:extLst>
            <a:ext uri="{FF2B5EF4-FFF2-40B4-BE49-F238E27FC236}">
              <a16:creationId xmlns:a16="http://schemas.microsoft.com/office/drawing/2014/main" id="{3BE73BA0-7DB4-3378-4EB0-35582530C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422275</xdr:colOff>
      <xdr:row>5</xdr:row>
      <xdr:rowOff>126365</xdr:rowOff>
    </xdr:from>
    <xdr:to>
      <xdr:col>4</xdr:col>
      <xdr:colOff>298493</xdr:colOff>
      <xdr:row>10</xdr:row>
      <xdr:rowOff>161841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5648DDA-1112-8B2C-E6F9-2D55112B5D18}"/>
            </a:ext>
          </a:extLst>
        </xdr:cNvPr>
        <xdr:cNvSpPr>
          <a:spLocks noChangeArrowheads="1"/>
        </xdr:cNvSpPr>
      </xdr:nvSpPr>
      <xdr:spPr bwMode="auto">
        <a:xfrm>
          <a:off x="6101715" y="1053465"/>
          <a:ext cx="1354466" cy="868680"/>
        </a:xfrm>
        <a:prstGeom prst="flowChartMultidocumen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Import Spectra Measurements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and Zero/Base</a:t>
          </a:r>
        </a:p>
      </xdr:txBody>
    </xdr:sp>
    <xdr:clientData/>
  </xdr:twoCellAnchor>
  <xdr:twoCellAnchor editAs="absolute">
    <xdr:from>
      <xdr:col>19</xdr:col>
      <xdr:colOff>6350</xdr:colOff>
      <xdr:row>0</xdr:row>
      <xdr:rowOff>63500</xdr:rowOff>
    </xdr:from>
    <xdr:to>
      <xdr:col>26</xdr:col>
      <xdr:colOff>400050</xdr:colOff>
      <xdr:row>27</xdr:row>
      <xdr:rowOff>12700</xdr:rowOff>
    </xdr:to>
    <xdr:graphicFrame macro="">
      <xdr:nvGraphicFramePr>
        <xdr:cNvPr id="1536" name="Gráfico 4">
          <a:extLst>
            <a:ext uri="{FF2B5EF4-FFF2-40B4-BE49-F238E27FC236}">
              <a16:creationId xmlns:a16="http://schemas.microsoft.com/office/drawing/2014/main" id="{A6ADC82B-90A0-F46C-8AE9-1C11B6938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525145</xdr:colOff>
      <xdr:row>1</xdr:row>
      <xdr:rowOff>28575</xdr:rowOff>
    </xdr:from>
    <xdr:to>
      <xdr:col>37</xdr:col>
      <xdr:colOff>639445</xdr:colOff>
      <xdr:row>5</xdr:row>
      <xdr:rowOff>99697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C28DA14D-DCD8-612B-9A72-B1DA68B2F2B1}"/>
            </a:ext>
          </a:extLst>
        </xdr:cNvPr>
        <xdr:cNvSpPr>
          <a:spLocks noChangeArrowheads="1"/>
        </xdr:cNvSpPr>
      </xdr:nvSpPr>
      <xdr:spPr bwMode="auto">
        <a:xfrm>
          <a:off x="23997285" y="249555"/>
          <a:ext cx="982980" cy="777240"/>
        </a:xfrm>
        <a:prstGeom prst="doubleWave">
          <a:avLst>
            <a:gd name="adj1" fmla="val 6500"/>
            <a:gd name="adj2" fmla="val 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add curve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203200</xdr:colOff>
      <xdr:row>8</xdr:row>
      <xdr:rowOff>133350</xdr:rowOff>
    </xdr:from>
    <xdr:to>
      <xdr:col>8</xdr:col>
      <xdr:colOff>127000</xdr:colOff>
      <xdr:row>13</xdr:row>
      <xdr:rowOff>126333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8DCA0654-3EED-28C0-5950-4C6B1982C2E4}"/>
            </a:ext>
          </a:extLst>
        </xdr:cNvPr>
        <xdr:cNvSpPr>
          <a:spLocks noChangeArrowheads="1"/>
        </xdr:cNvSpPr>
      </xdr:nvSpPr>
      <xdr:spPr bwMode="auto">
        <a:xfrm>
          <a:off x="8061960" y="1558290"/>
          <a:ext cx="1371600" cy="844021"/>
        </a:xfrm>
        <a:prstGeom prst="flowChartMultidocument">
          <a:avLst/>
        </a:prstGeom>
        <a:solidFill>
          <a:schemeClr val="bg1">
            <a:lumMod val="85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 data results into table</a:t>
          </a:r>
        </a:p>
      </xdr:txBody>
    </xdr:sp>
    <xdr:clientData/>
  </xdr:twoCellAnchor>
  <xdr:twoCellAnchor>
    <xdr:from>
      <xdr:col>12</xdr:col>
      <xdr:colOff>285750</xdr:colOff>
      <xdr:row>25</xdr:row>
      <xdr:rowOff>69850</xdr:rowOff>
    </xdr:from>
    <xdr:to>
      <xdr:col>18</xdr:col>
      <xdr:colOff>711200</xdr:colOff>
      <xdr:row>48</xdr:row>
      <xdr:rowOff>152400</xdr:rowOff>
    </xdr:to>
    <xdr:graphicFrame macro="">
      <xdr:nvGraphicFramePr>
        <xdr:cNvPr id="1539" name="Gráfico 7">
          <a:extLst>
            <a:ext uri="{FF2B5EF4-FFF2-40B4-BE49-F238E27FC236}">
              <a16:creationId xmlns:a16="http://schemas.microsoft.com/office/drawing/2014/main" id="{93308A21-B695-1265-5D5B-FBB662BDA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95250</xdr:colOff>
      <xdr:row>29</xdr:row>
      <xdr:rowOff>6350</xdr:rowOff>
    </xdr:from>
    <xdr:to>
      <xdr:col>31</xdr:col>
      <xdr:colOff>495300</xdr:colOff>
      <xdr:row>58</xdr:row>
      <xdr:rowOff>63500</xdr:rowOff>
    </xdr:to>
    <xdr:graphicFrame macro="">
      <xdr:nvGraphicFramePr>
        <xdr:cNvPr id="1540" name="Gráfico 8">
          <a:extLst>
            <a:ext uri="{FF2B5EF4-FFF2-40B4-BE49-F238E27FC236}">
              <a16:creationId xmlns:a16="http://schemas.microsoft.com/office/drawing/2014/main" id="{0B07453D-93B1-A101-FB05-E5AF46C36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146050</xdr:colOff>
      <xdr:row>82</xdr:row>
      <xdr:rowOff>120650</xdr:rowOff>
    </xdr:from>
    <xdr:to>
      <xdr:col>45</xdr:col>
      <xdr:colOff>254000</xdr:colOff>
      <xdr:row>128</xdr:row>
      <xdr:rowOff>127000</xdr:rowOff>
    </xdr:to>
    <xdr:graphicFrame macro="">
      <xdr:nvGraphicFramePr>
        <xdr:cNvPr id="1541" name="Gráfico 9">
          <a:extLst>
            <a:ext uri="{FF2B5EF4-FFF2-40B4-BE49-F238E27FC236}">
              <a16:creationId xmlns:a16="http://schemas.microsoft.com/office/drawing/2014/main" id="{04CC2A30-C89F-A5B7-C467-97003BEC6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400050</xdr:colOff>
      <xdr:row>82</xdr:row>
      <xdr:rowOff>88900</xdr:rowOff>
    </xdr:from>
    <xdr:to>
      <xdr:col>53</xdr:col>
      <xdr:colOff>279400</xdr:colOff>
      <xdr:row>128</xdr:row>
      <xdr:rowOff>88900</xdr:rowOff>
    </xdr:to>
    <xdr:graphicFrame macro="">
      <xdr:nvGraphicFramePr>
        <xdr:cNvPr id="1542" name="Gráfico 10">
          <a:extLst>
            <a:ext uri="{FF2B5EF4-FFF2-40B4-BE49-F238E27FC236}">
              <a16:creationId xmlns:a16="http://schemas.microsoft.com/office/drawing/2014/main" id="{C737BD27-5416-549F-1ECC-5CE0B7229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39</xdr:col>
      <xdr:colOff>63500</xdr:colOff>
      <xdr:row>17</xdr:row>
      <xdr:rowOff>82550</xdr:rowOff>
    </xdr:from>
    <xdr:to>
      <xdr:col>45</xdr:col>
      <xdr:colOff>736600</xdr:colOff>
      <xdr:row>45</xdr:row>
      <xdr:rowOff>114300</xdr:rowOff>
    </xdr:to>
    <xdr:graphicFrame macro="">
      <xdr:nvGraphicFramePr>
        <xdr:cNvPr id="1543" name="Gráfico 11">
          <a:extLst>
            <a:ext uri="{FF2B5EF4-FFF2-40B4-BE49-F238E27FC236}">
              <a16:creationId xmlns:a16="http://schemas.microsoft.com/office/drawing/2014/main" id="{35FEC244-0074-A626-37C3-00DC64343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46</xdr:col>
      <xdr:colOff>215900</xdr:colOff>
      <xdr:row>17</xdr:row>
      <xdr:rowOff>82550</xdr:rowOff>
    </xdr:from>
    <xdr:to>
      <xdr:col>54</xdr:col>
      <xdr:colOff>419100</xdr:colOff>
      <xdr:row>45</xdr:row>
      <xdr:rowOff>120650</xdr:rowOff>
    </xdr:to>
    <xdr:graphicFrame macro="">
      <xdr:nvGraphicFramePr>
        <xdr:cNvPr id="1544" name="Gráfico 12">
          <a:extLst>
            <a:ext uri="{FF2B5EF4-FFF2-40B4-BE49-F238E27FC236}">
              <a16:creationId xmlns:a16="http://schemas.microsoft.com/office/drawing/2014/main" id="{F0346467-BE2F-7AB3-46A8-A53B2F792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336550</xdr:colOff>
      <xdr:row>14</xdr:row>
      <xdr:rowOff>66675</xdr:rowOff>
    </xdr:from>
    <xdr:to>
      <xdr:col>4</xdr:col>
      <xdr:colOff>213993</xdr:colOff>
      <xdr:row>19</xdr:row>
      <xdr:rowOff>28575</xdr:rowOff>
    </xdr:to>
    <xdr:sp macro="[1]!ExportTransmittancetable" textlink="">
      <xdr:nvSpPr>
        <xdr:cNvPr id="13" name="AutoShape 6">
          <a:extLst>
            <a:ext uri="{FF2B5EF4-FFF2-40B4-BE49-F238E27FC236}">
              <a16:creationId xmlns:a16="http://schemas.microsoft.com/office/drawing/2014/main" id="{030EF727-6BD5-172F-9F11-C799E3BCBD63}"/>
            </a:ext>
          </a:extLst>
        </xdr:cNvPr>
        <xdr:cNvSpPr>
          <a:spLocks noChangeArrowheads="1"/>
        </xdr:cNvSpPr>
      </xdr:nvSpPr>
      <xdr:spPr bwMode="auto">
        <a:xfrm>
          <a:off x="6015990" y="2535555"/>
          <a:ext cx="1362075" cy="830580"/>
        </a:xfrm>
        <a:prstGeom prst="flowChartMultidocumen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 data results into OPAC Transmittance Table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0.86192</cdr:x>
      <cdr:y>0.87626</cdr:y>
    </cdr:from>
    <cdr:to>
      <cdr:x>0.93323</cdr:x>
      <cdr:y>0.98341</cdr:y>
    </cdr:to>
    <cdr:pic>
      <cdr:nvPicPr>
        <cdr:cNvPr id="71681" name="Picture 1" descr="Logo_dlr_Transp">
          <a:extLst xmlns:a="http://schemas.openxmlformats.org/drawingml/2006/main">
            <a:ext uri="{FF2B5EF4-FFF2-40B4-BE49-F238E27FC236}">
              <a16:creationId xmlns:a16="http://schemas.microsoft.com/office/drawing/2014/main" id="{4DDE3E56-9796-D9A5-44BC-B40D423AC437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4957061" y="3024319"/>
          <a:ext cx="400221" cy="3432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0.8622</cdr:x>
      <cdr:y>0.8755</cdr:y>
    </cdr:from>
    <cdr:to>
      <cdr:x>0.92497</cdr:x>
      <cdr:y>0.9836</cdr:y>
    </cdr:to>
    <cdr:pic>
      <cdr:nvPicPr>
        <cdr:cNvPr id="72705" name="Picture 1" descr="Logo_dlr_Transp">
          <a:extLst xmlns:a="http://schemas.openxmlformats.org/drawingml/2006/main">
            <a:ext uri="{FF2B5EF4-FFF2-40B4-BE49-F238E27FC236}">
              <a16:creationId xmlns:a16="http://schemas.microsoft.com/office/drawing/2014/main" id="{A887DA72-7E89-52D6-6124-2EBC2E14D51E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447024" y="3014142"/>
          <a:ext cx="399950" cy="3430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01_refl_3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l5"/>
      <sheetName val="202501_refl_320"/>
    </sheetNames>
    <definedNames>
      <definedName name="ExportTransmittancetable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E4EF-7748-4F0C-AEAE-5EF461FB386F}">
  <sheetPr codeName="Tabelle6"/>
  <dimension ref="B1:BC1078"/>
  <sheetViews>
    <sheetView tabSelected="1" workbookViewId="0">
      <selection activeCell="T33" sqref="T33"/>
    </sheetView>
  </sheetViews>
  <sheetFormatPr defaultColWidth="9.08984375" defaultRowHeight="12.5" x14ac:dyDescent="0.25"/>
  <cols>
    <col min="1" max="1" width="1.54296875" customWidth="1"/>
    <col min="2" max="2" width="31.90625" customWidth="1"/>
    <col min="3" max="3" width="49.453125" customWidth="1"/>
    <col min="4" max="4" width="21.6328125" style="2" customWidth="1"/>
    <col min="5" max="5" width="6.90625" style="3" customWidth="1"/>
    <col min="6" max="6" width="5.54296875" style="4" customWidth="1"/>
    <col min="7" max="7" width="7.453125" style="4" customWidth="1"/>
    <col min="8" max="12" width="6.36328125" style="4" customWidth="1"/>
    <col min="13" max="14" width="11.453125" customWidth="1"/>
    <col min="15" max="39" width="12.6328125" customWidth="1"/>
    <col min="40" max="40" width="18.90625" customWidth="1"/>
    <col min="41" max="42" width="11.6328125" customWidth="1"/>
    <col min="43" max="43" width="18.08984375" customWidth="1"/>
    <col min="44" max="44" width="11.6328125" customWidth="1"/>
    <col min="45" max="45" width="12.6328125" customWidth="1"/>
    <col min="46" max="46" width="13.6328125" customWidth="1"/>
    <col min="47" max="47" width="12.90625" customWidth="1"/>
  </cols>
  <sheetData>
    <row r="1" spans="2:51" ht="18" x14ac:dyDescent="0.4">
      <c r="B1" s="1" t="s">
        <v>0</v>
      </c>
      <c r="D1" s="2" t="s">
        <v>1</v>
      </c>
      <c r="AY1" t="s">
        <v>178</v>
      </c>
    </row>
    <row r="2" spans="2:51" ht="13" x14ac:dyDescent="0.3">
      <c r="B2" t="s">
        <v>2</v>
      </c>
      <c r="D2" s="5" t="s">
        <v>3</v>
      </c>
      <c r="AN2" s="6" t="s">
        <v>4</v>
      </c>
      <c r="AO2" s="7"/>
      <c r="AP2" s="7"/>
      <c r="AQ2" s="7"/>
      <c r="AR2" s="7"/>
      <c r="AS2" s="8"/>
      <c r="AT2" s="8"/>
      <c r="AY2" t="s">
        <v>14</v>
      </c>
    </row>
    <row r="3" spans="2:51" ht="15.5" x14ac:dyDescent="0.35">
      <c r="B3" s="9" t="s">
        <v>5</v>
      </c>
      <c r="C3" s="10" t="str">
        <f>C5&amp;" - "&amp;C7</f>
        <v xml:space="preserve"> - </v>
      </c>
      <c r="D3" s="2" t="s">
        <v>6</v>
      </c>
      <c r="E3" s="3" t="s">
        <v>7</v>
      </c>
      <c r="AM3" s="11"/>
      <c r="AS3" s="8"/>
      <c r="AT3" s="8"/>
      <c r="AY3" t="s">
        <v>17</v>
      </c>
    </row>
    <row r="4" spans="2:51" x14ac:dyDescent="0.25">
      <c r="B4" s="12" t="s">
        <v>2</v>
      </c>
      <c r="C4" s="10"/>
      <c r="AN4" s="4"/>
      <c r="AO4" s="4"/>
      <c r="AP4" s="4"/>
      <c r="AQ4" s="4"/>
      <c r="AR4" s="4"/>
      <c r="AS4" s="8"/>
      <c r="AT4" s="8"/>
      <c r="AY4" t="s">
        <v>21</v>
      </c>
    </row>
    <row r="5" spans="2:51" ht="13" x14ac:dyDescent="0.3">
      <c r="B5" s="13" t="s">
        <v>8</v>
      </c>
      <c r="C5" s="14"/>
      <c r="AN5" s="15" t="s">
        <v>9</v>
      </c>
      <c r="AO5" s="16"/>
      <c r="AP5" s="16"/>
      <c r="AQ5" s="16"/>
      <c r="AR5" s="17"/>
      <c r="AS5" s="8"/>
      <c r="AT5" s="8"/>
      <c r="AY5" t="s">
        <v>20</v>
      </c>
    </row>
    <row r="6" spans="2:51" x14ac:dyDescent="0.25">
      <c r="B6" s="18" t="s">
        <v>10</v>
      </c>
      <c r="C6" s="19"/>
      <c r="AN6" s="3"/>
      <c r="AO6" s="4"/>
      <c r="AP6" s="4"/>
      <c r="AQ6" s="4"/>
      <c r="AR6" s="2"/>
      <c r="AS6" s="8"/>
      <c r="AT6" s="8"/>
      <c r="AY6" t="s">
        <v>179</v>
      </c>
    </row>
    <row r="7" spans="2:51" ht="13" x14ac:dyDescent="0.3">
      <c r="B7" s="18" t="s">
        <v>11</v>
      </c>
      <c r="C7" s="19"/>
      <c r="AN7" s="20" t="s">
        <v>12</v>
      </c>
      <c r="AO7" s="21">
        <f>C12</f>
        <v>0</v>
      </c>
      <c r="AP7" s="4"/>
      <c r="AQ7" s="22" t="s">
        <v>13</v>
      </c>
      <c r="AR7" s="23">
        <f>C11</f>
        <v>0</v>
      </c>
      <c r="AS7" s="8"/>
      <c r="AT7" s="8"/>
      <c r="AY7" t="s">
        <v>180</v>
      </c>
    </row>
    <row r="8" spans="2:51" ht="13" x14ac:dyDescent="0.3">
      <c r="B8" s="18" t="s">
        <v>14</v>
      </c>
      <c r="C8" s="19"/>
      <c r="AN8" s="20" t="s">
        <v>15</v>
      </c>
      <c r="AO8" s="24">
        <f>C6</f>
        <v>0</v>
      </c>
      <c r="AP8" s="4"/>
      <c r="AQ8" s="22" t="s">
        <v>16</v>
      </c>
      <c r="AR8" s="2" t="str">
        <f>refname</f>
        <v>G-95008</v>
      </c>
      <c r="AS8" s="8"/>
      <c r="AT8" s="8"/>
    </row>
    <row r="9" spans="2:51" ht="12.75" customHeight="1" x14ac:dyDescent="0.3">
      <c r="B9" s="18" t="s">
        <v>17</v>
      </c>
      <c r="C9" s="25"/>
      <c r="AN9" s="26" t="s">
        <v>18</v>
      </c>
      <c r="AO9" s="24">
        <f>C15</f>
        <v>0</v>
      </c>
      <c r="AP9" s="4"/>
      <c r="AQ9" s="22" t="s">
        <v>19</v>
      </c>
      <c r="AR9" s="27">
        <f>C8</f>
        <v>0</v>
      </c>
      <c r="AS9" s="8"/>
      <c r="AT9" s="8"/>
    </row>
    <row r="10" spans="2:51" ht="13.5" thickBot="1" x14ac:dyDescent="0.35">
      <c r="B10" s="18" t="s">
        <v>20</v>
      </c>
      <c r="C10" s="28"/>
      <c r="AN10" s="20" t="s">
        <v>21</v>
      </c>
      <c r="AO10" s="24">
        <f>C7</f>
        <v>0</v>
      </c>
      <c r="AP10" s="4"/>
      <c r="AQ10" s="29" t="s">
        <v>22</v>
      </c>
      <c r="AR10" s="27">
        <f>C13</f>
        <v>0</v>
      </c>
      <c r="AS10" s="8"/>
      <c r="AT10" s="8"/>
    </row>
    <row r="11" spans="2:51" ht="13.5" customHeight="1" thickTop="1" x14ac:dyDescent="0.25">
      <c r="B11" s="30" t="s">
        <v>23</v>
      </c>
      <c r="C11" s="31"/>
      <c r="AN11" s="32"/>
      <c r="AO11" s="33"/>
      <c r="AP11" s="33"/>
      <c r="AQ11" s="33"/>
      <c r="AR11" s="34"/>
      <c r="AS11" s="8"/>
      <c r="AT11" s="8"/>
    </row>
    <row r="12" spans="2:51" ht="13.5" customHeight="1" x14ac:dyDescent="0.3">
      <c r="B12" s="18" t="s">
        <v>24</v>
      </c>
      <c r="C12" s="35"/>
      <c r="AN12" s="15" t="s">
        <v>25</v>
      </c>
      <c r="AO12" s="16"/>
      <c r="AP12" s="16"/>
      <c r="AQ12" s="16"/>
      <c r="AR12" s="17"/>
      <c r="AS12" s="8"/>
      <c r="AT12" s="8"/>
      <c r="AY12" t="s">
        <v>181</v>
      </c>
    </row>
    <row r="13" spans="2:51" x14ac:dyDescent="0.25">
      <c r="B13" s="18" t="s">
        <v>22</v>
      </c>
      <c r="C13" s="19"/>
      <c r="AN13" s="3"/>
      <c r="AO13" s="4"/>
      <c r="AP13" s="4"/>
      <c r="AQ13" s="4"/>
      <c r="AR13" s="2"/>
      <c r="AS13" s="8"/>
      <c r="AT13" s="8"/>
      <c r="AY13" t="s">
        <v>182</v>
      </c>
    </row>
    <row r="14" spans="2:51" ht="15.5" thickBot="1" x14ac:dyDescent="0.45">
      <c r="B14" s="36" t="s">
        <v>26</v>
      </c>
      <c r="C14" s="28"/>
      <c r="AN14" s="26" t="s">
        <v>27</v>
      </c>
      <c r="AO14" s="37" t="s">
        <v>28</v>
      </c>
      <c r="AP14" s="38" t="s">
        <v>29</v>
      </c>
      <c r="AQ14" s="37" t="s">
        <v>30</v>
      </c>
      <c r="AR14" s="39" t="s">
        <v>29</v>
      </c>
      <c r="AS14" s="37"/>
      <c r="AT14" s="37"/>
      <c r="AY14" t="s">
        <v>183</v>
      </c>
    </row>
    <row r="15" spans="2:51" ht="13.5" thickTop="1" x14ac:dyDescent="0.3">
      <c r="B15" s="30" t="s">
        <v>31</v>
      </c>
      <c r="C15" s="40"/>
      <c r="AN15" s="20" t="s">
        <v>32</v>
      </c>
      <c r="AO15" s="41">
        <f>C30</f>
        <v>0</v>
      </c>
      <c r="AP15" s="42" t="e">
        <f>C32</f>
        <v>#DIV/0!</v>
      </c>
      <c r="AQ15" s="42">
        <f>C31</f>
        <v>0</v>
      </c>
      <c r="AR15" s="43" t="e">
        <f>C47</f>
        <v>#DIV/0!</v>
      </c>
      <c r="AS15" s="44"/>
      <c r="AT15" s="45"/>
      <c r="AY15" t="s">
        <v>36</v>
      </c>
    </row>
    <row r="16" spans="2:51" ht="13" x14ac:dyDescent="0.3">
      <c r="B16" s="18" t="s">
        <v>33</v>
      </c>
      <c r="C16" s="46"/>
      <c r="AN16" s="47"/>
      <c r="AO16" s="48"/>
      <c r="AP16" s="49"/>
      <c r="AQ16" s="49"/>
      <c r="AR16" s="50"/>
      <c r="AS16" s="8"/>
      <c r="AT16" s="8"/>
      <c r="AY16" t="s">
        <v>37</v>
      </c>
    </row>
    <row r="17" spans="2:52" ht="14" x14ac:dyDescent="0.3">
      <c r="B17" s="18" t="s">
        <v>34</v>
      </c>
      <c r="C17" s="46"/>
      <c r="AL17" s="11"/>
      <c r="AM17" s="11"/>
      <c r="AN17" s="51"/>
      <c r="AO17" s="11"/>
      <c r="AP17" s="11"/>
      <c r="AQ17" s="11"/>
      <c r="AR17" s="11"/>
      <c r="AS17" s="11"/>
      <c r="AT17" s="11"/>
      <c r="AY17" t="s">
        <v>184</v>
      </c>
    </row>
    <row r="18" spans="2:52" ht="14" x14ac:dyDescent="0.3">
      <c r="B18" s="18" t="s">
        <v>35</v>
      </c>
      <c r="C18" s="282"/>
      <c r="D18" s="283"/>
      <c r="AL18" s="11"/>
      <c r="AM18" s="11"/>
      <c r="AN18" s="51"/>
      <c r="AO18" s="11"/>
      <c r="AP18" s="11"/>
      <c r="AQ18" s="11"/>
      <c r="AR18" s="11"/>
      <c r="AS18" s="11"/>
      <c r="AT18" s="11"/>
      <c r="AY18" t="s">
        <v>185</v>
      </c>
      <c r="AZ18">
        <v>0</v>
      </c>
    </row>
    <row r="19" spans="2:52" ht="14" x14ac:dyDescent="0.3">
      <c r="B19" s="18" t="s">
        <v>36</v>
      </c>
      <c r="C19" s="46"/>
      <c r="AN19" s="51"/>
      <c r="AP19" s="52"/>
    </row>
    <row r="20" spans="2:52" x14ac:dyDescent="0.25">
      <c r="B20" s="18" t="s">
        <v>37</v>
      </c>
      <c r="C20" s="46"/>
      <c r="AP20" s="52"/>
    </row>
    <row r="21" spans="2:52" x14ac:dyDescent="0.25">
      <c r="B21" s="18" t="s">
        <v>38</v>
      </c>
      <c r="C21" s="46"/>
    </row>
    <row r="22" spans="2:52" x14ac:dyDescent="0.25">
      <c r="B22" s="53" t="s">
        <v>39</v>
      </c>
      <c r="C22" s="54"/>
    </row>
    <row r="23" spans="2:52" x14ac:dyDescent="0.25">
      <c r="B23" s="55" t="s">
        <v>40</v>
      </c>
      <c r="C23" s="56" t="s">
        <v>70</v>
      </c>
    </row>
    <row r="24" spans="2:52" x14ac:dyDescent="0.25">
      <c r="B24" s="10"/>
      <c r="C24" s="10"/>
    </row>
    <row r="25" spans="2:52" ht="15.5" x14ac:dyDescent="0.35">
      <c r="B25" s="9" t="s">
        <v>25</v>
      </c>
      <c r="C25" s="12"/>
    </row>
    <row r="26" spans="2:52" ht="12" customHeight="1" x14ac:dyDescent="0.25">
      <c r="B26" s="10" t="s">
        <v>2</v>
      </c>
      <c r="C26" s="10"/>
    </row>
    <row r="27" spans="2:52" x14ac:dyDescent="0.25">
      <c r="B27" s="57" t="s">
        <v>41</v>
      </c>
      <c r="C27" s="12"/>
      <c r="D27" s="58">
        <f>COUNT(E28:I28)</f>
        <v>0</v>
      </c>
      <c r="E27" s="3" t="str">
        <f>C59</f>
        <v>M1</v>
      </c>
      <c r="F27" s="4" t="str">
        <f>C60</f>
        <v>M2</v>
      </c>
      <c r="G27" s="4" t="str">
        <f>C61</f>
        <v>M3</v>
      </c>
      <c r="H27" s="4" t="str">
        <f>C62</f>
        <v>M4</v>
      </c>
      <c r="I27" s="4" t="str">
        <f>C63</f>
        <v>M5</v>
      </c>
      <c r="J27" s="4" t="s">
        <v>174</v>
      </c>
      <c r="K27" s="4" t="s">
        <v>175</v>
      </c>
      <c r="L27" s="4" t="s">
        <v>176</v>
      </c>
      <c r="M27" s="8" t="s">
        <v>177</v>
      </c>
      <c r="AY27" t="s">
        <v>39</v>
      </c>
    </row>
    <row r="28" spans="2:52" ht="14" x14ac:dyDescent="0.3">
      <c r="B28" s="59" t="s">
        <v>42</v>
      </c>
      <c r="C28" s="60">
        <f>$AL63</f>
        <v>0</v>
      </c>
      <c r="D28" s="61" t="e">
        <f>STDEV(E28:M28)</f>
        <v>#DIV/0!</v>
      </c>
      <c r="E28" s="62" t="str">
        <f t="shared" ref="E28:H30" si="0">IF(AC63&gt;0,AC63,"")</f>
        <v/>
      </c>
      <c r="F28" s="63" t="str">
        <f t="shared" si="0"/>
        <v/>
      </c>
      <c r="G28" s="63" t="str">
        <f t="shared" si="0"/>
        <v/>
      </c>
      <c r="H28" s="63" t="str">
        <f t="shared" si="0"/>
        <v/>
      </c>
      <c r="I28" s="63" t="str">
        <f>IF(AH63&gt;0,AH63,"")</f>
        <v/>
      </c>
      <c r="J28" s="62" t="str">
        <f>IF(AH63&gt;0,AH63,"")</f>
        <v/>
      </c>
      <c r="K28" s="63" t="str">
        <f>IF(AI63&gt;0,AI63,"")</f>
        <v/>
      </c>
      <c r="L28" s="63" t="str">
        <f>IF(AJ63&gt;0,AJ63,"")</f>
        <v/>
      </c>
      <c r="M28" s="63" t="str">
        <f>IF(AK63&gt;0,AK63,"")</f>
        <v/>
      </c>
    </row>
    <row r="29" spans="2:52" ht="15.5" hidden="1" x14ac:dyDescent="0.4">
      <c r="B29" s="64" t="s">
        <v>43</v>
      </c>
      <c r="C29" s="65">
        <f>$AL64/100</f>
        <v>0</v>
      </c>
      <c r="D29" s="61" t="e">
        <f>STDEV(E29:I29)/100</f>
        <v>#DIV/0!</v>
      </c>
      <c r="E29" s="62" t="str">
        <f t="shared" si="0"/>
        <v/>
      </c>
      <c r="F29" s="63" t="str">
        <f t="shared" si="0"/>
        <v/>
      </c>
      <c r="G29" s="63" t="str">
        <f t="shared" si="0"/>
        <v/>
      </c>
      <c r="H29" s="63" t="str">
        <f t="shared" si="0"/>
        <v/>
      </c>
      <c r="I29" s="63" t="str">
        <f>IF(AH64&gt;0,AH64,"")</f>
        <v/>
      </c>
      <c r="J29" s="63"/>
      <c r="K29" s="63"/>
      <c r="L29" s="63"/>
    </row>
    <row r="30" spans="2:52" ht="14" x14ac:dyDescent="0.3">
      <c r="B30" s="66" t="s">
        <v>44</v>
      </c>
      <c r="C30" s="67">
        <f>$AL65/100</f>
        <v>0</v>
      </c>
      <c r="D30" s="61" t="e">
        <f>STDEV(E30:M30)/100</f>
        <v>#DIV/0!</v>
      </c>
      <c r="E30" s="62" t="str">
        <f t="shared" si="0"/>
        <v/>
      </c>
      <c r="F30" s="63" t="str">
        <f t="shared" si="0"/>
        <v/>
      </c>
      <c r="G30" s="63" t="str">
        <f t="shared" si="0"/>
        <v/>
      </c>
      <c r="H30" s="63" t="str">
        <f t="shared" si="0"/>
        <v/>
      </c>
      <c r="I30" s="62" t="str">
        <f>IF(AG65&gt;0,AG65,"")</f>
        <v/>
      </c>
      <c r="J30" s="63" t="str">
        <f>IF(AH65&gt;0,AH65,"")</f>
        <v/>
      </c>
      <c r="K30" s="63" t="str">
        <f>IF(AI65&gt;0,AI65,"")</f>
        <v/>
      </c>
      <c r="L30" s="63" t="str">
        <f>IF(AJ65&gt;0,AJ65,"")</f>
        <v/>
      </c>
      <c r="M30" s="62" t="str">
        <f>IF(AK65&gt;0,AK65,"")</f>
        <v/>
      </c>
    </row>
    <row r="31" spans="2:52" x14ac:dyDescent="0.25">
      <c r="B31" s="68" t="s">
        <v>45</v>
      </c>
      <c r="C31" s="69">
        <f>D31</f>
        <v>0</v>
      </c>
      <c r="D31" s="70">
        <f>AL67</f>
        <v>0</v>
      </c>
      <c r="E31" s="71">
        <f>STDEV(AC$448:AK$448)/100</f>
        <v>0</v>
      </c>
    </row>
    <row r="32" spans="2:52" x14ac:dyDescent="0.25">
      <c r="B32" s="72" t="s">
        <v>46</v>
      </c>
      <c r="C32" s="73" t="e">
        <f>D30</f>
        <v>#DIV/0!</v>
      </c>
    </row>
    <row r="33" spans="2:52" x14ac:dyDescent="0.25">
      <c r="B33" s="74" t="s">
        <v>47</v>
      </c>
      <c r="C33" s="75"/>
      <c r="D33" s="58">
        <f>COUNT(E34:M34)</f>
        <v>0</v>
      </c>
    </row>
    <row r="34" spans="2:52" ht="15.5" x14ac:dyDescent="0.4">
      <c r="B34" s="76" t="s">
        <v>48</v>
      </c>
      <c r="C34" s="77" t="e">
        <f>AVERAGE(E34:I34)/100</f>
        <v>#DIV/0!</v>
      </c>
      <c r="D34" s="78" t="e">
        <f>STDEV(E34:I34)/100</f>
        <v>#DIV/0!</v>
      </c>
      <c r="E34" s="3" t="str">
        <f>IF(C77&gt;0,C77,"")</f>
        <v/>
      </c>
      <c r="F34" s="4" t="str">
        <f>IF(C78&gt;0,C78,"")</f>
        <v/>
      </c>
      <c r="G34" s="4" t="str">
        <f>IF(C79&gt;0,C79,"")</f>
        <v/>
      </c>
      <c r="H34" s="4" t="str">
        <f>IF(C80&gt;0,C80,"")</f>
        <v/>
      </c>
      <c r="I34" s="4" t="str">
        <f>IF(C81&gt;0,C81,"")</f>
        <v/>
      </c>
    </row>
    <row r="35" spans="2:52" ht="15.5" x14ac:dyDescent="0.4">
      <c r="B35" s="76" t="s">
        <v>49</v>
      </c>
      <c r="C35" s="79" t="e">
        <f>AVERAGE(E35:M35)/100</f>
        <v>#DIV/0!</v>
      </c>
      <c r="D35" s="78" t="e">
        <f>STDEV(E35:M35)/100</f>
        <v>#DIV/0!</v>
      </c>
      <c r="E35" s="3" t="str">
        <f>IF(C84&gt;0,C84,"")</f>
        <v/>
      </c>
      <c r="F35" s="4" t="str">
        <f>IF(C85&gt;0,C85,"")</f>
        <v/>
      </c>
      <c r="G35" s="4" t="str">
        <f>IF(C86&gt;0,C86,"")</f>
        <v/>
      </c>
      <c r="H35" s="4" t="str">
        <f>IF(C87&gt;0,C87,"")</f>
        <v/>
      </c>
      <c r="I35" s="4" t="str">
        <f>IF(C88&gt;0,C88,"")</f>
        <v/>
      </c>
      <c r="M35" s="4" t="str">
        <f>IF(C89&gt;0,C89,"")</f>
        <v/>
      </c>
    </row>
    <row r="36" spans="2:52" ht="15.5" x14ac:dyDescent="0.4">
      <c r="B36" s="76" t="s">
        <v>50</v>
      </c>
      <c r="C36" s="80" t="e">
        <f>AVERAGE(E36:I36)/100</f>
        <v>#DIV/0!</v>
      </c>
      <c r="D36" s="78" t="e">
        <f>STDEV(E36:I36)/100</f>
        <v>#DIV/0!</v>
      </c>
      <c r="E36" s="3" t="str">
        <f>IF(C91&gt;0,C91,"")</f>
        <v/>
      </c>
      <c r="F36" s="4" t="str">
        <f>IF(C92&gt;0,C92,"")</f>
        <v/>
      </c>
      <c r="G36" s="4" t="str">
        <f>IF(C93&gt;0,C93,"")</f>
        <v/>
      </c>
      <c r="H36" s="4" t="str">
        <f>IF(C94&gt;0,C94,"")</f>
        <v/>
      </c>
      <c r="I36" s="4" t="str">
        <f>IF(C95&gt;0,C95,"")</f>
        <v/>
      </c>
    </row>
    <row r="37" spans="2:52" x14ac:dyDescent="0.25">
      <c r="B37" s="81" t="s">
        <v>51</v>
      </c>
      <c r="C37" s="82" t="e">
        <f>C35/C31</f>
        <v>#DIV/0!</v>
      </c>
      <c r="D37" s="83"/>
      <c r="AY37" t="s">
        <v>186</v>
      </c>
    </row>
    <row r="38" spans="2:52" hidden="1" x14ac:dyDescent="0.25">
      <c r="B38" s="12" t="s">
        <v>52</v>
      </c>
      <c r="C38" s="84"/>
      <c r="D38" s="83"/>
    </row>
    <row r="39" spans="2:52" hidden="1" x14ac:dyDescent="0.25">
      <c r="B39" s="13" t="s">
        <v>53</v>
      </c>
      <c r="C39" s="85" t="e">
        <f>AVERAGE(E39:I39)</f>
        <v>#DIV/0!</v>
      </c>
      <c r="D39" s="83"/>
      <c r="E39" s="3" t="str">
        <f>IF(C100&gt;0,C100,"")</f>
        <v/>
      </c>
      <c r="F39" s="4" t="str">
        <f>IF(C101&gt;0,C101,"")</f>
        <v/>
      </c>
      <c r="G39" s="4" t="str">
        <f>IF(C102&gt;0,C102,"")</f>
        <v/>
      </c>
      <c r="H39" s="4" t="str">
        <f>IF(C103&gt;0,C103,"")</f>
        <v/>
      </c>
    </row>
    <row r="40" spans="2:52" hidden="1" x14ac:dyDescent="0.25">
      <c r="B40" s="18" t="s">
        <v>54</v>
      </c>
      <c r="C40" s="86" t="e">
        <f>AVERAGE(E40:I40)</f>
        <v>#DIV/0!</v>
      </c>
      <c r="D40" s="83"/>
      <c r="E40" s="3" t="str">
        <f>IF(C106&gt;0,C106,"")</f>
        <v/>
      </c>
      <c r="F40" s="4" t="str">
        <f>IF(C107&gt;0,C107,"")</f>
        <v/>
      </c>
      <c r="G40" s="4" t="str">
        <f>IF(C108&gt;0,C108,"")</f>
        <v/>
      </c>
      <c r="H40" s="4" t="str">
        <f>IF(C109&gt;0,C109,"")</f>
        <v/>
      </c>
    </row>
    <row r="41" spans="2:52" hidden="1" x14ac:dyDescent="0.25">
      <c r="B41" s="53" t="s">
        <v>55</v>
      </c>
      <c r="C41" s="87" t="e">
        <f>AVERAGE(E41:I41)</f>
        <v>#DIV/0!</v>
      </c>
      <c r="D41" s="83"/>
      <c r="E41" s="3" t="str">
        <f>IF(C112&gt;0,C112,"")</f>
        <v/>
      </c>
      <c r="F41" s="4" t="str">
        <f>IF(C113&gt;0,C113,"")</f>
        <v/>
      </c>
      <c r="G41" s="4" t="str">
        <f>IF(C114&gt;0,C114,"")</f>
        <v/>
      </c>
      <c r="H41" s="4" t="str">
        <f>IF(C115&gt;0,C115,"")</f>
        <v/>
      </c>
      <c r="AZ41" t="s">
        <v>177</v>
      </c>
    </row>
    <row r="42" spans="2:52" x14ac:dyDescent="0.25">
      <c r="B42" s="10" t="s">
        <v>2</v>
      </c>
      <c r="C42" s="88"/>
      <c r="D42" s="83"/>
    </row>
    <row r="43" spans="2:52" ht="15.5" x14ac:dyDescent="0.4">
      <c r="B43" s="74" t="s">
        <v>56</v>
      </c>
      <c r="C43" s="75"/>
      <c r="D43" s="83"/>
      <c r="AZ43">
        <v>0</v>
      </c>
    </row>
    <row r="44" spans="2:52" ht="16" x14ac:dyDescent="0.4">
      <c r="B44" s="89" t="s">
        <v>57</v>
      </c>
      <c r="C44" s="77" t="e">
        <f>E90</f>
        <v>#DIV/0!</v>
      </c>
      <c r="D44" s="83" t="s">
        <v>58</v>
      </c>
      <c r="AZ44">
        <v>0</v>
      </c>
    </row>
    <row r="45" spans="2:52" ht="15.5" hidden="1" x14ac:dyDescent="0.4">
      <c r="B45" s="90" t="s">
        <v>59</v>
      </c>
      <c r="C45" s="79" t="e">
        <f>F90</f>
        <v>#DIV/0!</v>
      </c>
      <c r="D45" s="83" t="s">
        <v>58</v>
      </c>
      <c r="AZ45">
        <v>0</v>
      </c>
    </row>
    <row r="46" spans="2:52" ht="17" x14ac:dyDescent="0.45">
      <c r="B46" s="91" t="s">
        <v>60</v>
      </c>
      <c r="C46" s="92" t="e">
        <f>G90</f>
        <v>#DIV/0!</v>
      </c>
      <c r="D46" s="83" t="s">
        <v>58</v>
      </c>
      <c r="E46" s="71" t="e">
        <f>STDEV(G$84:G$86)/100</f>
        <v>#DIV/0!</v>
      </c>
      <c r="AZ46">
        <v>0</v>
      </c>
    </row>
    <row r="47" spans="2:52" x14ac:dyDescent="0.25">
      <c r="B47" s="93" t="s">
        <v>46</v>
      </c>
      <c r="C47" s="93" t="e">
        <f>SQRT(0.001^2+D35^2+D30^2)</f>
        <v>#DIV/0!</v>
      </c>
      <c r="D47" s="83"/>
      <c r="AZ47">
        <v>0</v>
      </c>
    </row>
    <row r="48" spans="2:52" ht="13" x14ac:dyDescent="0.3">
      <c r="E48" s="94" t="s">
        <v>61</v>
      </c>
      <c r="F48" s="95"/>
      <c r="G48" s="96" t="s">
        <v>62</v>
      </c>
      <c r="H48" s="97"/>
      <c r="I48" s="97"/>
      <c r="J48" s="97"/>
      <c r="K48" s="97"/>
      <c r="L48" s="97"/>
      <c r="AZ48">
        <v>0</v>
      </c>
    </row>
    <row r="49" spans="2:52" ht="15.5" x14ac:dyDescent="0.35">
      <c r="B49" s="98" t="s">
        <v>63</v>
      </c>
      <c r="C49" s="99"/>
      <c r="E49" s="100"/>
      <c r="F49" s="101"/>
      <c r="G49" s="100"/>
      <c r="H49" s="101"/>
      <c r="I49" s="100"/>
      <c r="J49" s="100"/>
      <c r="K49" s="100"/>
      <c r="L49" s="100"/>
      <c r="M49" s="101"/>
      <c r="N49" s="102"/>
      <c r="O49" s="101"/>
      <c r="P49" s="103"/>
      <c r="Q49" s="101"/>
      <c r="R49" s="11"/>
      <c r="AZ49">
        <v>0</v>
      </c>
    </row>
    <row r="50" spans="2:52" x14ac:dyDescent="0.25">
      <c r="E50" s="104"/>
      <c r="F50" s="105"/>
      <c r="G50" s="105"/>
      <c r="H50" s="105"/>
      <c r="I50" s="105"/>
      <c r="J50" s="105"/>
      <c r="K50" s="105"/>
      <c r="L50" s="105"/>
      <c r="M50" s="106"/>
      <c r="N50" s="106"/>
      <c r="O50" s="106"/>
      <c r="P50" s="106"/>
      <c r="Q50" s="106"/>
      <c r="R50" s="11"/>
      <c r="AZ50">
        <v>0</v>
      </c>
    </row>
    <row r="51" spans="2:52" ht="13" x14ac:dyDescent="0.3">
      <c r="B51" s="107" t="s">
        <v>64</v>
      </c>
      <c r="C51" s="107" t="s">
        <v>65</v>
      </c>
      <c r="AZ51">
        <v>0</v>
      </c>
    </row>
    <row r="52" spans="2:52" x14ac:dyDescent="0.25">
      <c r="B52" s="108" t="s">
        <v>66</v>
      </c>
      <c r="C52" s="109" t="str">
        <f>C23</f>
        <v>G-95008</v>
      </c>
      <c r="D52" s="2" t="str">
        <f ca="1">$R$76</f>
        <v>G-95008</v>
      </c>
      <c r="R52" s="110" t="s">
        <v>67</v>
      </c>
      <c r="S52" s="110"/>
      <c r="AZ52">
        <v>0</v>
      </c>
    </row>
    <row r="53" spans="2:52" x14ac:dyDescent="0.25">
      <c r="B53" s="111" t="s">
        <v>68</v>
      </c>
      <c r="C53" s="2" t="s">
        <v>69</v>
      </c>
      <c r="R53" s="110" t="s">
        <v>70</v>
      </c>
      <c r="S53" s="110"/>
      <c r="AZ53">
        <v>0</v>
      </c>
    </row>
    <row r="54" spans="2:52" x14ac:dyDescent="0.25">
      <c r="B54" s="111" t="s">
        <v>71</v>
      </c>
      <c r="C54" s="2" t="s">
        <v>72</v>
      </c>
      <c r="R54" s="112" t="s">
        <v>73</v>
      </c>
      <c r="S54" s="110"/>
      <c r="AZ54">
        <v>0</v>
      </c>
    </row>
    <row r="55" spans="2:52" x14ac:dyDescent="0.25">
      <c r="B55" s="111" t="s">
        <v>74</v>
      </c>
      <c r="C55" s="2" t="s">
        <v>72</v>
      </c>
      <c r="R55" s="113" t="s">
        <v>75</v>
      </c>
      <c r="S55" s="110"/>
      <c r="AZ55">
        <v>0</v>
      </c>
    </row>
    <row r="56" spans="2:52" x14ac:dyDescent="0.25">
      <c r="B56" s="111" t="s">
        <v>76</v>
      </c>
      <c r="C56" s="2" t="s">
        <v>77</v>
      </c>
      <c r="D56" s="114">
        <f>$P$316</f>
        <v>0</v>
      </c>
      <c r="R56" s="115" t="s">
        <v>78</v>
      </c>
      <c r="S56" s="116"/>
      <c r="AZ56">
        <v>0</v>
      </c>
    </row>
    <row r="57" spans="2:52" x14ac:dyDescent="0.25">
      <c r="B57" s="116" t="s">
        <v>79</v>
      </c>
      <c r="C57" s="34" t="s">
        <v>77</v>
      </c>
      <c r="D57" s="114">
        <f>$Q$316</f>
        <v>0</v>
      </c>
      <c r="R57" s="117" t="s">
        <v>80</v>
      </c>
      <c r="S57" s="110"/>
      <c r="AZ57">
        <v>0</v>
      </c>
    </row>
    <row r="58" spans="2:52" x14ac:dyDescent="0.25">
      <c r="AZ58">
        <v>0</v>
      </c>
    </row>
    <row r="59" spans="2:52" x14ac:dyDescent="0.25">
      <c r="B59" s="285" t="s">
        <v>81</v>
      </c>
      <c r="C59" s="108" t="s">
        <v>169</v>
      </c>
      <c r="D59" s="119">
        <f>IF($C59&gt;" ",$T$316,"")</f>
        <v>0</v>
      </c>
      <c r="E59" s="120">
        <f>$T$316</f>
        <v>0</v>
      </c>
      <c r="F59" s="121">
        <f>$U$316</f>
        <v>0</v>
      </c>
      <c r="G59" s="121">
        <f>$V$316</f>
        <v>0</v>
      </c>
      <c r="H59" s="121">
        <f>$W$316</f>
        <v>0</v>
      </c>
      <c r="I59" s="121">
        <f>$AB$316</f>
        <v>0</v>
      </c>
      <c r="J59" s="121"/>
      <c r="K59" s="121"/>
      <c r="L59" s="121"/>
      <c r="M59" s="4"/>
      <c r="AZ59">
        <v>0</v>
      </c>
    </row>
    <row r="60" spans="2:52" x14ac:dyDescent="0.25">
      <c r="B60" s="3"/>
      <c r="C60" s="111" t="s">
        <v>170</v>
      </c>
      <c r="D60" s="119">
        <f>IF($C60&gt;" ",$U$316,"")</f>
        <v>0</v>
      </c>
      <c r="AZ60">
        <v>0</v>
      </c>
    </row>
    <row r="61" spans="2:52" x14ac:dyDescent="0.25">
      <c r="B61" s="3"/>
      <c r="C61" s="111" t="s">
        <v>171</v>
      </c>
      <c r="D61" s="119">
        <f>IF($C61&gt;" ",$V$316,"")</f>
        <v>0</v>
      </c>
      <c r="AZ61">
        <v>0</v>
      </c>
    </row>
    <row r="62" spans="2:52" ht="13" x14ac:dyDescent="0.3">
      <c r="B62" s="3"/>
      <c r="C62" s="111" t="s">
        <v>172</v>
      </c>
      <c r="D62" s="119">
        <f>IF($C62&gt;" ",$W$316,"")</f>
        <v>0</v>
      </c>
      <c r="AB62" s="122" t="s">
        <v>82</v>
      </c>
      <c r="AC62" s="123" t="str">
        <f t="shared" ref="AC62:AL62" si="1">AC78</f>
        <v>M1</v>
      </c>
      <c r="AD62" s="123" t="str">
        <f t="shared" si="1"/>
        <v>M2</v>
      </c>
      <c r="AE62" s="123" t="str">
        <f t="shared" si="1"/>
        <v>M3</v>
      </c>
      <c r="AF62" s="123" t="str">
        <f t="shared" si="1"/>
        <v>M4</v>
      </c>
      <c r="AG62" s="123" t="str">
        <f t="shared" si="1"/>
        <v>M5</v>
      </c>
      <c r="AH62" s="123" t="str">
        <f t="shared" si="1"/>
        <v>M6</v>
      </c>
      <c r="AI62" s="123" t="str">
        <f t="shared" si="1"/>
        <v>M7</v>
      </c>
      <c r="AJ62" s="123" t="str">
        <f t="shared" si="1"/>
        <v>M8</v>
      </c>
      <c r="AK62" s="123" t="str">
        <f t="shared" si="1"/>
        <v>M9</v>
      </c>
      <c r="AL62" s="123" t="str">
        <f t="shared" si="1"/>
        <v>ρ gemittelt</v>
      </c>
      <c r="AM62" s="37"/>
      <c r="AZ62">
        <v>0</v>
      </c>
    </row>
    <row r="63" spans="2:52" ht="13" x14ac:dyDescent="0.3">
      <c r="B63" s="3"/>
      <c r="C63" s="111" t="s">
        <v>173</v>
      </c>
      <c r="D63" s="119">
        <f>IF($C63&gt;" ",$AB$316,"")</f>
        <v>0</v>
      </c>
      <c r="W63" s="124"/>
      <c r="X63" s="124"/>
      <c r="Y63" s="124"/>
      <c r="Z63" s="124"/>
      <c r="AA63" s="124"/>
      <c r="AB63" s="124" t="s">
        <v>83</v>
      </c>
      <c r="AC63" s="125">
        <f>IF(AC$62&gt;" ",SUMPRODUCT(AC$80:AC$519,AQ$80:AQ$519),"")</f>
        <v>0</v>
      </c>
      <c r="AD63" s="125">
        <f>IF(AD$62&gt;" ",SUMPRODUCT(AD$80:AD$519,AQ$80:AQ$519),"")</f>
        <v>0</v>
      </c>
      <c r="AE63" s="125">
        <f>IF(AE$62&gt;" ",SUMPRODUCT(AE$80:AE$519,AQ$80:AQ$519),"")</f>
        <v>0</v>
      </c>
      <c r="AF63" s="125">
        <f>IF(AF$62&gt;" ",SUMPRODUCT(AF$80:AF$519,AQ$80:AQ$519),"")</f>
        <v>0</v>
      </c>
      <c r="AG63" s="125">
        <f>IF(AG$62&gt;" ",SUMPRODUCT(AG$80:AG$519,AQ$80:AQ$519),"")</f>
        <v>0</v>
      </c>
      <c r="AH63" s="125">
        <f>IF(AH$62&gt;" ",SUMPRODUCT(AH$80:AH$519,AQ$80:AQ$519),"")</f>
        <v>0</v>
      </c>
      <c r="AI63" s="125">
        <f>IF(AI$62&gt;" ",SUMPRODUCT(AI$80:AI$519,AQ$80:AQ$519),"")</f>
        <v>0</v>
      </c>
      <c r="AJ63" s="125">
        <f>IF(AJ$62&gt;" ",SUMPRODUCT(AJ$80:AJ$519,AQ$80:AQ$519),"")</f>
        <v>0</v>
      </c>
      <c r="AK63" s="125">
        <f>IF(AK$62&gt;" ",SUMPRODUCT(AK$80:AK$519,AQ$80:AQ$519),"")</f>
        <v>0</v>
      </c>
      <c r="AL63" s="125">
        <f>IF(AL$62&gt;" ",SUMPRODUCT(AL$80:AL$519,AQ$80:AQ$519),"")</f>
        <v>0</v>
      </c>
      <c r="AM63" s="126"/>
      <c r="AZ63">
        <v>0</v>
      </c>
    </row>
    <row r="64" spans="2:52" ht="13" x14ac:dyDescent="0.3">
      <c r="B64" s="3"/>
      <c r="C64" s="111" t="s">
        <v>174</v>
      </c>
      <c r="D64" s="119">
        <f>IF($C64&gt;" ",$AB$316,"")</f>
        <v>0</v>
      </c>
      <c r="W64" s="284"/>
      <c r="X64" s="284"/>
      <c r="Y64" s="284"/>
      <c r="Z64" s="284"/>
      <c r="AA64" s="284"/>
      <c r="AB64" s="124" t="s">
        <v>86</v>
      </c>
      <c r="AC64" s="125">
        <f>IF(AC$62&gt;" ",SUMPRODUCT(AC$80:AC$519,AP$80:AP$519),"")</f>
        <v>0</v>
      </c>
      <c r="AD64" s="125">
        <f>IF(AD$62&gt;" ",SUMPRODUCT(AD$80:AD$519,AP$80:AP$519),"")</f>
        <v>0</v>
      </c>
      <c r="AE64" s="125">
        <f>IF(AE$62&gt;" ",SUMPRODUCT(AE$80:AE$519,AP$80:AP$519),"")</f>
        <v>0</v>
      </c>
      <c r="AF64" s="125">
        <f>IF(AF$62&gt;" ",SUMPRODUCT(AF$80:AF$519,AP$80:AP$519),"")</f>
        <v>0</v>
      </c>
      <c r="AG64" s="125">
        <f>IF(AG$62&gt;" ",SUMPRODUCT(AG$80:AG$519,AP$80:AP$519),"")</f>
        <v>0</v>
      </c>
      <c r="AH64" s="125">
        <f>IF(AH$62&gt;" ",SUMPRODUCT(AH$80:AH$519,AP$80:AP$519),"")</f>
        <v>0</v>
      </c>
      <c r="AI64" s="125">
        <f>IF(AI$62&gt;" ",SUMPRODUCT(AI$80:AI$519,AP$80:AP$519),"")</f>
        <v>0</v>
      </c>
      <c r="AJ64" s="125">
        <f>IF(AJ$62&gt;" ",SUMPRODUCT(AJ$80:AJ$519,AP$80:AP$519),"")</f>
        <v>0</v>
      </c>
      <c r="AK64" s="125">
        <f>IF(AK$62&gt;" ",SUMPRODUCT(AK$80:AK$519,AP$80:AP$519),"")</f>
        <v>0</v>
      </c>
      <c r="AL64" s="125">
        <f>IF(AL$62&gt;" ",SUMPRODUCT(AL$80:AL$519,AP$80:AP$519),"")</f>
        <v>0</v>
      </c>
      <c r="AM64" s="126"/>
      <c r="AZ64">
        <v>0</v>
      </c>
    </row>
    <row r="65" spans="2:55" ht="13" x14ac:dyDescent="0.3">
      <c r="B65" s="3"/>
      <c r="C65" s="111" t="s">
        <v>175</v>
      </c>
      <c r="D65" s="119">
        <f>IF($C65&gt;" ",$AB$316,"")</f>
        <v>0</v>
      </c>
      <c r="W65" s="284"/>
      <c r="X65" s="284"/>
      <c r="Y65" s="284"/>
      <c r="Z65" s="284"/>
      <c r="AA65" s="284"/>
      <c r="AB65" s="124" t="s">
        <v>89</v>
      </c>
      <c r="AC65" s="125">
        <f>IF(AC$62&gt;" ",SUMPRODUCT(AC$80:AC$524,AS$80:AS$524),"")</f>
        <v>0</v>
      </c>
      <c r="AD65" s="125">
        <f>IF(AD$62&gt;" ",SUMPRODUCT(AD$80:AD$524,AS$80:AS$524),"")</f>
        <v>0</v>
      </c>
      <c r="AE65" s="125">
        <f>IF(AE$62&gt;" ",SUMPRODUCT(AE$80:AE$524,AS$80:AS$524),"")</f>
        <v>0</v>
      </c>
      <c r="AF65" s="125">
        <f>IF(AF$62&gt;" ",SUMPRODUCT(AF$80:AF$524,AS$80:AS$524),"")</f>
        <v>0</v>
      </c>
      <c r="AG65" s="125">
        <f>IF(AG$62&gt;" ",SUMPRODUCT(AG$80:AG$524,AS$80:AS$524),"")</f>
        <v>0</v>
      </c>
      <c r="AH65" s="125">
        <f>IF(AH$62&gt;" ",SUMPRODUCT(AH$80:AH$524,AS$80:AS$524),"")</f>
        <v>0</v>
      </c>
      <c r="AI65" s="125">
        <f>IF(AI$62&gt;" ",SUMPRODUCT(AI$80:AI$524,AS$80:AS$524),"")</f>
        <v>0</v>
      </c>
      <c r="AJ65" s="125">
        <f>IF(AJ$62&gt;" ",SUMPRODUCT(AJ$80:AJ$524,AS$80:AS$524),"")</f>
        <v>0</v>
      </c>
      <c r="AK65" s="125">
        <f>IF(AK$62&gt;" ",SUMPRODUCT(AK$80:AK$524,AS$80:AS$524),"")</f>
        <v>0</v>
      </c>
      <c r="AL65" s="125">
        <f>IF(AL$62&gt;" ",SUMPRODUCT(AL$80:AL$524,AS$80:AS$524),"")</f>
        <v>0</v>
      </c>
      <c r="AM65" s="126"/>
      <c r="AZ65">
        <v>0</v>
      </c>
    </row>
    <row r="66" spans="2:55" ht="13" x14ac:dyDescent="0.3">
      <c r="B66" s="3"/>
      <c r="C66" s="111" t="s">
        <v>176</v>
      </c>
      <c r="D66" s="119">
        <f>IF($C66&gt;" ",$AB$316,"")</f>
        <v>0</v>
      </c>
      <c r="AM66" s="126"/>
      <c r="AZ66">
        <v>0</v>
      </c>
    </row>
    <row r="67" spans="2:55" ht="15.5" x14ac:dyDescent="0.4">
      <c r="B67" s="32"/>
      <c r="C67" s="116" t="s">
        <v>177</v>
      </c>
      <c r="D67" s="119">
        <f>IF($C67&gt;" ",$AB$316,"")</f>
        <v>0</v>
      </c>
      <c r="AH67" s="127" t="s">
        <v>92</v>
      </c>
      <c r="AI67" s="286"/>
      <c r="AJ67" s="286"/>
      <c r="AK67" s="286"/>
      <c r="AL67" s="128">
        <f>AVERAGE(AL80:AL524)</f>
        <v>0</v>
      </c>
      <c r="AM67" s="126"/>
      <c r="AZ67">
        <v>0</v>
      </c>
    </row>
    <row r="68" spans="2:55" x14ac:dyDescent="0.25">
      <c r="AM68" s="8"/>
      <c r="AZ68">
        <v>0</v>
      </c>
    </row>
    <row r="69" spans="2:55" x14ac:dyDescent="0.25">
      <c r="B69" s="108" t="s">
        <v>84</v>
      </c>
      <c r="C69" s="118" t="s">
        <v>85</v>
      </c>
      <c r="AM69" s="129"/>
      <c r="AU69" s="130"/>
      <c r="AV69" s="130" t="s">
        <v>93</v>
      </c>
      <c r="AW69" s="130"/>
      <c r="AX69" s="130"/>
      <c r="AY69" s="130"/>
      <c r="AZ69" s="130">
        <v>0</v>
      </c>
    </row>
    <row r="70" spans="2:55" x14ac:dyDescent="0.25">
      <c r="B70" s="111" t="s">
        <v>87</v>
      </c>
      <c r="C70" s="2" t="s">
        <v>88</v>
      </c>
      <c r="AM70" s="11"/>
      <c r="AS70" t="s">
        <v>94</v>
      </c>
      <c r="AU70" s="130"/>
      <c r="AV70" s="130"/>
      <c r="AW70" s="130"/>
      <c r="AX70" s="130"/>
      <c r="AY70" s="130"/>
      <c r="AZ70" s="130">
        <v>0</v>
      </c>
    </row>
    <row r="71" spans="2:55" x14ac:dyDescent="0.25">
      <c r="B71" s="111" t="s">
        <v>90</v>
      </c>
      <c r="C71" s="2"/>
      <c r="AM71" s="11"/>
      <c r="AU71" s="130"/>
      <c r="AV71" s="130"/>
      <c r="AW71" s="130"/>
      <c r="AX71" s="130"/>
      <c r="AY71" s="130"/>
      <c r="AZ71" s="130">
        <v>0</v>
      </c>
    </row>
    <row r="72" spans="2:55" x14ac:dyDescent="0.25">
      <c r="B72" s="111" t="s">
        <v>91</v>
      </c>
      <c r="C72" s="2"/>
      <c r="AM72" s="11"/>
      <c r="AU72" s="130"/>
      <c r="AV72" s="130"/>
      <c r="AW72" s="130"/>
      <c r="AX72" s="130"/>
      <c r="AY72" s="130"/>
      <c r="AZ72" s="130">
        <v>0</v>
      </c>
    </row>
    <row r="73" spans="2:55" ht="13.75" customHeight="1" x14ac:dyDescent="0.25">
      <c r="B73" s="116"/>
      <c r="C73" s="34"/>
      <c r="AM73" s="11"/>
      <c r="AU73" s="130"/>
      <c r="AV73" s="130"/>
      <c r="AW73" s="130"/>
      <c r="AX73" s="130"/>
      <c r="AY73" s="130"/>
      <c r="AZ73" s="130">
        <v>0</v>
      </c>
    </row>
    <row r="74" spans="2:55" ht="13.5" thickBot="1" x14ac:dyDescent="0.35">
      <c r="AM74" s="11"/>
      <c r="AU74" s="131" t="s">
        <v>95</v>
      </c>
      <c r="AV74" s="131" t="s">
        <v>96</v>
      </c>
      <c r="AW74" s="131" t="s">
        <v>97</v>
      </c>
      <c r="AX74" s="131" t="s">
        <v>98</v>
      </c>
      <c r="AY74" s="131"/>
      <c r="AZ74" s="131">
        <v>0</v>
      </c>
    </row>
    <row r="75" spans="2:55" ht="13" x14ac:dyDescent="0.3">
      <c r="B75" s="107" t="s">
        <v>99</v>
      </c>
      <c r="C75" s="11" t="s">
        <v>100</v>
      </c>
      <c r="D75" s="4"/>
      <c r="E75" s="132" t="s">
        <v>101</v>
      </c>
      <c r="F75" s="133" t="s">
        <v>86</v>
      </c>
      <c r="G75" s="133" t="s">
        <v>32</v>
      </c>
      <c r="H75" s="134"/>
      <c r="I75" s="55"/>
      <c r="J75" s="55"/>
      <c r="K75" s="55"/>
      <c r="L75" s="55"/>
      <c r="O75" s="135"/>
      <c r="P75" s="136" t="s">
        <v>102</v>
      </c>
      <c r="Q75" s="136"/>
      <c r="R75" s="137">
        <f>MATCH(refname,RefListeStart,0)-1</f>
        <v>1</v>
      </c>
      <c r="T75" s="138"/>
      <c r="U75" s="139" t="s">
        <v>103</v>
      </c>
      <c r="V75" s="140"/>
      <c r="W75" s="140"/>
      <c r="X75" s="140"/>
      <c r="Y75" s="140"/>
      <c r="Z75" s="140"/>
      <c r="AA75" s="140"/>
      <c r="AB75" s="141"/>
      <c r="AC75" s="142"/>
      <c r="AD75" s="139" t="s">
        <v>104</v>
      </c>
      <c r="AE75" s="139"/>
      <c r="AF75" s="139"/>
      <c r="AG75" s="139"/>
      <c r="AH75" s="139"/>
      <c r="AI75" s="139"/>
      <c r="AJ75" s="139"/>
      <c r="AK75" s="139"/>
      <c r="AL75" s="143"/>
      <c r="AM75" s="144"/>
      <c r="AN75" s="4"/>
      <c r="AO75" s="145"/>
      <c r="AP75" s="146" t="s">
        <v>105</v>
      </c>
      <c r="AQ75" s="147"/>
      <c r="AR75" s="147"/>
      <c r="AS75" s="148"/>
      <c r="AU75" s="149" t="s">
        <v>106</v>
      </c>
      <c r="AV75" s="150"/>
      <c r="AW75" s="150"/>
      <c r="AX75" s="150"/>
      <c r="AY75" s="150"/>
      <c r="AZ75" s="151">
        <v>0</v>
      </c>
      <c r="BA75" s="8"/>
      <c r="BB75" s="8"/>
      <c r="BC75" s="8"/>
    </row>
    <row r="76" spans="2:55" ht="13" x14ac:dyDescent="0.3">
      <c r="B76" s="108" t="s">
        <v>107</v>
      </c>
      <c r="C76" s="118"/>
      <c r="O76" s="152"/>
      <c r="P76" s="153"/>
      <c r="Q76" s="136"/>
      <c r="R76" s="154" t="str">
        <f t="array" aca="1" ref="R76:R530" ca="1">OFFSET(RefListeStart,,R75,455)</f>
        <v>G-95008</v>
      </c>
      <c r="T76" s="160"/>
      <c r="U76" s="161"/>
      <c r="V76" s="161"/>
      <c r="W76" s="161"/>
      <c r="X76" s="161"/>
      <c r="Y76" s="161"/>
      <c r="Z76" s="161"/>
      <c r="AA76" s="161"/>
      <c r="AB76" s="162"/>
      <c r="AC76" s="163"/>
      <c r="AD76" s="164"/>
      <c r="AE76" s="164"/>
      <c r="AF76" s="164"/>
      <c r="AG76" s="164"/>
      <c r="AH76" s="164"/>
      <c r="AI76" s="164"/>
      <c r="AJ76" s="164"/>
      <c r="AK76" s="164"/>
      <c r="AL76" s="165"/>
      <c r="AM76" s="166"/>
      <c r="AN76" s="4"/>
      <c r="AO76" s="167"/>
      <c r="AP76" s="168" t="s">
        <v>108</v>
      </c>
      <c r="AQ76" s="168" t="s">
        <v>108</v>
      </c>
      <c r="AR76" s="169"/>
      <c r="AS76" s="170"/>
      <c r="AU76" s="171" t="s">
        <v>67</v>
      </c>
      <c r="AV76" s="172" t="s">
        <v>70</v>
      </c>
      <c r="AW76" s="172" t="s">
        <v>73</v>
      </c>
      <c r="AX76" s="172" t="s">
        <v>75</v>
      </c>
      <c r="AY76" s="172"/>
      <c r="AZ76" s="173">
        <v>0</v>
      </c>
      <c r="BA76" s="29"/>
      <c r="BB76" s="29"/>
      <c r="BC76" s="8"/>
    </row>
    <row r="77" spans="2:55" ht="13" x14ac:dyDescent="0.3">
      <c r="B77" s="174" t="s">
        <v>109</v>
      </c>
      <c r="C77" s="175"/>
      <c r="E77" s="176" t="str">
        <f>IF(C77&gt;0, C77*$C$28/$AL$448, "")</f>
        <v/>
      </c>
      <c r="F77" s="177" t="str">
        <f>IF(C77&gt;0, C77*$C$29/$AL$448, "")</f>
        <v/>
      </c>
      <c r="G77" s="177" t="str">
        <f>IF(C77&gt;0, C77*$C$30/$AL$448, "")</f>
        <v/>
      </c>
      <c r="O77" s="152"/>
      <c r="P77" s="153"/>
      <c r="Q77" s="136"/>
      <c r="R77" s="154" t="str">
        <f ca="1"/>
        <v>G-95008</v>
      </c>
      <c r="T77" s="160"/>
      <c r="U77" s="161"/>
      <c r="V77" s="161"/>
      <c r="W77" s="161"/>
      <c r="X77" s="161"/>
      <c r="Y77" s="161"/>
      <c r="Z77" s="161"/>
      <c r="AA77" s="161"/>
      <c r="AB77" s="162"/>
      <c r="AC77" s="163"/>
      <c r="AD77" s="164"/>
      <c r="AE77" s="164"/>
      <c r="AF77" s="164"/>
      <c r="AG77" s="164"/>
      <c r="AH77" s="164"/>
      <c r="AI77" s="164"/>
      <c r="AJ77" s="164"/>
      <c r="AK77" s="164"/>
      <c r="AL77" s="165"/>
      <c r="AM77" s="166"/>
      <c r="AN77" s="4"/>
      <c r="AO77" s="167"/>
      <c r="AP77" s="178" t="s">
        <v>110</v>
      </c>
      <c r="AQ77" s="178" t="s">
        <v>83</v>
      </c>
      <c r="AR77" s="178" t="s">
        <v>111</v>
      </c>
      <c r="AS77" s="179" t="s">
        <v>112</v>
      </c>
      <c r="AU77" s="180" t="s">
        <v>67</v>
      </c>
      <c r="AV77" s="181" t="s">
        <v>70</v>
      </c>
      <c r="AW77" s="181" t="s">
        <v>73</v>
      </c>
      <c r="AX77" s="181" t="s">
        <v>75</v>
      </c>
      <c r="AY77" s="181"/>
      <c r="AZ77" s="182">
        <v>0</v>
      </c>
      <c r="BA77" s="183"/>
      <c r="BB77" s="8"/>
      <c r="BC77" s="8"/>
    </row>
    <row r="78" spans="2:55" ht="13.5" thickBot="1" x14ac:dyDescent="0.35">
      <c r="B78" s="174" t="s">
        <v>113</v>
      </c>
      <c r="C78" s="175"/>
      <c r="E78" s="176" t="str">
        <f>IF(C78&gt;0, (C78*$C$28/$AL$448), "")</f>
        <v/>
      </c>
      <c r="F78" s="177" t="str">
        <f>IF(C78&gt;0, C78*$C$29/$AL$448, "")</f>
        <v/>
      </c>
      <c r="G78" s="177" t="str">
        <f>IF(C78&gt;0, C78*$C$30/$AL$448, "")</f>
        <v/>
      </c>
      <c r="O78" s="184" t="s">
        <v>114</v>
      </c>
      <c r="P78" s="185" t="s">
        <v>115</v>
      </c>
      <c r="Q78" s="186" t="s">
        <v>116</v>
      </c>
      <c r="R78" s="155">
        <f ca="1"/>
        <v>0</v>
      </c>
      <c r="T78" s="187" t="str">
        <f>C59</f>
        <v>M1</v>
      </c>
      <c r="U78" s="187" t="str">
        <f>C60</f>
        <v>M2</v>
      </c>
      <c r="V78" s="187" t="str">
        <f>C61</f>
        <v>M3</v>
      </c>
      <c r="W78" s="187" t="str">
        <f>C62</f>
        <v>M4</v>
      </c>
      <c r="X78" s="187" t="str">
        <f>C63</f>
        <v>M5</v>
      </c>
      <c r="Y78" s="187" t="str">
        <f>C64</f>
        <v>M6</v>
      </c>
      <c r="Z78" s="187" t="str">
        <f>C65</f>
        <v>M7</v>
      </c>
      <c r="AA78" s="187" t="str">
        <f>C66</f>
        <v>M8</v>
      </c>
      <c r="AB78" s="187" t="str">
        <f>C67</f>
        <v>M9</v>
      </c>
      <c r="AC78" s="187" t="s">
        <v>169</v>
      </c>
      <c r="AD78" s="187" t="s">
        <v>170</v>
      </c>
      <c r="AE78" s="187" t="s">
        <v>171</v>
      </c>
      <c r="AF78" s="187" t="s">
        <v>172</v>
      </c>
      <c r="AG78" s="187" t="s">
        <v>173</v>
      </c>
      <c r="AH78" s="187" t="s">
        <v>174</v>
      </c>
      <c r="AI78" s="187" t="s">
        <v>175</v>
      </c>
      <c r="AJ78" s="187" t="s">
        <v>176</v>
      </c>
      <c r="AK78" s="187" t="s">
        <v>177</v>
      </c>
      <c r="AL78" s="188" t="s">
        <v>117</v>
      </c>
      <c r="AM78" s="189"/>
      <c r="AN78" s="4"/>
      <c r="AO78" s="167"/>
      <c r="AP78" s="190"/>
      <c r="AQ78" s="190" t="s">
        <v>118</v>
      </c>
      <c r="AR78" s="190" t="s">
        <v>118</v>
      </c>
      <c r="AS78" s="191" t="s">
        <v>118</v>
      </c>
      <c r="AU78" s="192"/>
      <c r="AV78" s="193"/>
      <c r="AW78" s="193"/>
      <c r="AX78" s="193"/>
      <c r="AY78" s="193"/>
      <c r="AZ78" s="194">
        <v>0</v>
      </c>
      <c r="BA78" s="8"/>
      <c r="BB78" s="8"/>
      <c r="BC78" s="8"/>
    </row>
    <row r="79" spans="2:55" ht="13" x14ac:dyDescent="0.3">
      <c r="B79" s="174" t="s">
        <v>119</v>
      </c>
      <c r="C79" s="175"/>
      <c r="E79" s="176" t="str">
        <f>IF(C79&gt;0, C79*$C$28/$AL$448, "")</f>
        <v/>
      </c>
      <c r="F79" s="177" t="str">
        <f>IF(C79&gt;0, C79*$C$29/$AL$448, "")</f>
        <v/>
      </c>
      <c r="G79" s="177" t="str">
        <f>IF(C79&gt;0, C79*$C$30/$AL$448, "")</f>
        <v/>
      </c>
      <c r="O79" s="195"/>
      <c r="P79" s="196"/>
      <c r="Q79" s="197"/>
      <c r="R79" s="156">
        <f ca="1"/>
        <v>0</v>
      </c>
      <c r="T79" s="160"/>
      <c r="U79" s="161"/>
      <c r="V79" s="161"/>
      <c r="W79" s="161"/>
      <c r="X79" s="161"/>
      <c r="Y79" s="161"/>
      <c r="Z79" s="161"/>
      <c r="AA79" s="161"/>
      <c r="AB79" s="162"/>
      <c r="AC79" s="138"/>
      <c r="AD79" s="161"/>
      <c r="AE79" s="161"/>
      <c r="AF79" s="161"/>
      <c r="AG79" s="161"/>
      <c r="AH79" s="140"/>
      <c r="AI79" s="140"/>
      <c r="AJ79" s="140"/>
      <c r="AK79" s="140"/>
      <c r="AL79" s="143">
        <f>$C$5</f>
        <v>0</v>
      </c>
      <c r="AM79" s="198">
        <f>$C$5</f>
        <v>0</v>
      </c>
      <c r="AN79" s="4"/>
      <c r="AO79" s="167"/>
      <c r="AP79" s="178" t="s">
        <v>110</v>
      </c>
      <c r="AQ79" s="199" t="s">
        <v>83</v>
      </c>
      <c r="AR79" s="178" t="s">
        <v>111</v>
      </c>
      <c r="AS79" s="200" t="s">
        <v>112</v>
      </c>
      <c r="AU79" s="192"/>
      <c r="AV79" s="193"/>
      <c r="AW79" s="193"/>
      <c r="AX79" s="193"/>
      <c r="AY79" s="193"/>
      <c r="AZ79" s="194">
        <v>0</v>
      </c>
      <c r="BA79" s="8"/>
      <c r="BB79" s="8"/>
      <c r="BC79" s="8"/>
    </row>
    <row r="80" spans="2:55" x14ac:dyDescent="0.25">
      <c r="B80" s="174" t="s">
        <v>120</v>
      </c>
      <c r="C80" s="201"/>
      <c r="E80" s="176" t="str">
        <f>IF(C80&gt;0, C80*$C$28/$AL$448, "")</f>
        <v/>
      </c>
      <c r="F80" s="177" t="str">
        <f>IF(C80&gt;0, C80*$C$29/$AL$448, "")</f>
        <v/>
      </c>
      <c r="G80" s="177" t="str">
        <f>IF(C80&gt;0, C80*$C$30/$AL$448, "")</f>
        <v/>
      </c>
      <c r="O80" s="195">
        <v>2500</v>
      </c>
      <c r="P80" s="202">
        <f t="shared" ref="P80:Q95" si="2">P628</f>
        <v>0</v>
      </c>
      <c r="Q80" s="203">
        <f t="shared" si="2"/>
        <v>0</v>
      </c>
      <c r="R80" s="157">
        <f ca="1"/>
        <v>94.058070024438621</v>
      </c>
      <c r="T80" s="204">
        <f t="array" ref="T80:T305">IF(T78&gt;" ",(T$628:T$1078),"")</f>
        <v>0</v>
      </c>
      <c r="U80" s="206">
        <f t="array" ref="U80:U530">IF(U78&gt;" ",(U$628:U$1078),"")</f>
        <v>0</v>
      </c>
      <c r="V80" s="206">
        <f t="array" ref="V80:V530">IF(V78&gt;" ",(V$628:V$1078),"")</f>
        <v>0</v>
      </c>
      <c r="W80" s="206">
        <f t="array" ref="W80:W530">IF(W78&gt;" ",(W$628:W$1078),"")</f>
        <v>0</v>
      </c>
      <c r="X80" s="206">
        <f t="array" ref="X80">IF(X$78&gt;" ",(X$628:X$1078),"")</f>
        <v>0</v>
      </c>
      <c r="Y80" s="206">
        <f t="array" ref="Y80">IF(Y$78&gt;" ",(Y$628:Y$1078),"")</f>
        <v>0</v>
      </c>
      <c r="Z80" s="206">
        <f t="array" ref="Z80">IF(Z$78&gt;" ",(Z$628:Z$1078),"")</f>
        <v>0</v>
      </c>
      <c r="AA80" s="206">
        <f t="array" ref="AA80">IF(AA$78&gt;" ",(AA$628:AA$1078),"")</f>
        <v>0</v>
      </c>
      <c r="AB80" s="210">
        <f t="array" ref="AB80:AB530">IF(AB78&gt;" ",(AB$628:AB$1078),"")</f>
        <v>0</v>
      </c>
      <c r="AC80" s="204">
        <f t="shared" ref="AC80:AK80" si="3">T80</f>
        <v>0</v>
      </c>
      <c r="AD80" s="206">
        <f t="shared" si="3"/>
        <v>0</v>
      </c>
      <c r="AE80" s="206">
        <f t="shared" si="3"/>
        <v>0</v>
      </c>
      <c r="AF80" s="206">
        <f t="shared" si="3"/>
        <v>0</v>
      </c>
      <c r="AG80" s="206">
        <f t="shared" si="3"/>
        <v>0</v>
      </c>
      <c r="AH80" s="206">
        <f t="shared" si="3"/>
        <v>0</v>
      </c>
      <c r="AI80" s="206">
        <f t="shared" si="3"/>
        <v>0</v>
      </c>
      <c r="AJ80" s="206">
        <f t="shared" si="3"/>
        <v>0</v>
      </c>
      <c r="AK80" s="206">
        <f t="shared" si="3"/>
        <v>0</v>
      </c>
      <c r="AL80" s="206">
        <f>AVERAGE(AC80:AK80)</f>
        <v>0</v>
      </c>
      <c r="AM80" s="214">
        <f>AL80/100</f>
        <v>0</v>
      </c>
      <c r="AN80" s="4"/>
      <c r="AO80" s="167">
        <v>2500</v>
      </c>
      <c r="AP80" s="215">
        <v>1.3767591169662572E-4</v>
      </c>
      <c r="AQ80" s="190">
        <v>4.7522846608507064E-5</v>
      </c>
      <c r="AR80" s="190">
        <v>3.5521254083477342E-5</v>
      </c>
      <c r="AS80" s="170">
        <v>3.9358376567825931E-5</v>
      </c>
      <c r="AU80" s="216">
        <v>94.131286174808068</v>
      </c>
      <c r="AV80" s="217">
        <v>94.058070024438621</v>
      </c>
      <c r="AW80" s="217">
        <v>85.991424653907416</v>
      </c>
      <c r="AX80" s="217">
        <v>86.124077096187918</v>
      </c>
      <c r="AY80" s="217"/>
      <c r="AZ80" s="218">
        <v>0</v>
      </c>
      <c r="BA80" s="8"/>
      <c r="BB80" s="219"/>
      <c r="BC80" s="220"/>
    </row>
    <row r="81" spans="2:55" x14ac:dyDescent="0.25">
      <c r="B81" s="221" t="s">
        <v>121</v>
      </c>
      <c r="C81" s="222"/>
      <c r="E81" s="176" t="str">
        <f>IF(C81&gt;0, C81*$C$28/$AL$448, "")</f>
        <v/>
      </c>
      <c r="F81" s="177" t="str">
        <f>IF(C81&gt;0, C81*$C$29/$AL$448, "")</f>
        <v/>
      </c>
      <c r="G81" s="177" t="str">
        <f>IF(C81&gt;0, C81*$C$30/$AL$448, "")</f>
        <v/>
      </c>
      <c r="O81" s="195">
        <v>2495</v>
      </c>
      <c r="P81" s="202">
        <f t="shared" si="2"/>
        <v>0</v>
      </c>
      <c r="Q81" s="203">
        <f t="shared" si="2"/>
        <v>0</v>
      </c>
      <c r="R81" s="157">
        <f ca="1"/>
        <v>94.161338059504203</v>
      </c>
      <c r="T81" s="204">
        <v>0</v>
      </c>
      <c r="U81" s="206">
        <v>0</v>
      </c>
      <c r="V81" s="206">
        <v>0</v>
      </c>
      <c r="W81" s="206">
        <v>0</v>
      </c>
      <c r="X81" s="206">
        <f t="array" ref="X81">IF(X$78&gt;" ",(X$628:X$1078),"")</f>
        <v>0</v>
      </c>
      <c r="Y81" s="206">
        <f t="array" ref="Y81">IF(Y$78&gt;" ",(Y$628:Y$1078),"")</f>
        <v>0</v>
      </c>
      <c r="Z81" s="206">
        <f t="array" ref="Z81">IF(Z$78&gt;" ",(Z$628:Z$1078),"")</f>
        <v>0</v>
      </c>
      <c r="AA81" s="206">
        <f t="array" ref="AA81">IF(AA$78&gt;" ",(AA$628:AA$1078),"")</f>
        <v>0</v>
      </c>
      <c r="AB81" s="210">
        <v>0</v>
      </c>
      <c r="AC81" s="204">
        <f t="shared" ref="AC81:AC144" si="4">T81</f>
        <v>0</v>
      </c>
      <c r="AD81" s="206">
        <f t="shared" ref="AD81:AD144" si="5">U81</f>
        <v>0</v>
      </c>
      <c r="AE81" s="206">
        <f t="shared" ref="AE81:AE144" si="6">V81</f>
        <v>0</v>
      </c>
      <c r="AF81" s="206">
        <f t="shared" ref="AF81:AF144" si="7">W81</f>
        <v>0</v>
      </c>
      <c r="AG81" s="206">
        <f t="shared" ref="AG81:AG144" si="8">X81</f>
        <v>0</v>
      </c>
      <c r="AH81" s="206">
        <f t="shared" ref="AH81:AH144" si="9">Y81</f>
        <v>0</v>
      </c>
      <c r="AI81" s="206">
        <f t="shared" ref="AI81:AI144" si="10">Z81</f>
        <v>0</v>
      </c>
      <c r="AJ81" s="206">
        <f t="shared" ref="AJ81:AJ144" si="11">AA81</f>
        <v>0</v>
      </c>
      <c r="AK81" s="206">
        <f t="shared" ref="AK81:AK144" si="12">AB81</f>
        <v>0</v>
      </c>
      <c r="AL81" s="206">
        <f t="shared" ref="AL81:AL144" si="13">AVERAGE(AC81:AK81)</f>
        <v>0</v>
      </c>
      <c r="AM81" s="214">
        <f t="shared" ref="AM81:AM144" si="14">AL81/100</f>
        <v>0</v>
      </c>
      <c r="AN81" s="4"/>
      <c r="AO81" s="167">
        <v>2495</v>
      </c>
      <c r="AP81" s="215">
        <v>1.165356565416736E-4</v>
      </c>
      <c r="AQ81" s="190">
        <v>5.4796343342061727E-5</v>
      </c>
      <c r="AR81" s="190">
        <v>1.446756210879944E-5</v>
      </c>
      <c r="AS81" s="170">
        <v>1.6032013046560538E-5</v>
      </c>
      <c r="AU81" s="216">
        <v>94.286003520161174</v>
      </c>
      <c r="AV81" s="217">
        <v>94.161338059504203</v>
      </c>
      <c r="AW81" s="217">
        <v>86.112609500861893</v>
      </c>
      <c r="AX81" s="217">
        <v>86.193471763669493</v>
      </c>
      <c r="AY81" s="217"/>
      <c r="AZ81" s="218">
        <v>0</v>
      </c>
      <c r="BA81" s="8"/>
      <c r="BB81" s="219"/>
      <c r="BC81" s="220"/>
    </row>
    <row r="82" spans="2:55" x14ac:dyDescent="0.25">
      <c r="C82" s="223"/>
      <c r="D82" s="2" t="s">
        <v>122</v>
      </c>
      <c r="E82" s="224" t="e">
        <f>AVERAGE(E77:E81)</f>
        <v>#DIV/0!</v>
      </c>
      <c r="F82" s="225" t="e">
        <f>AVERAGE(F77:F81)</f>
        <v>#DIV/0!</v>
      </c>
      <c r="G82" s="225" t="e">
        <f>AVERAGE(G77:G81)</f>
        <v>#DIV/0!</v>
      </c>
      <c r="O82" s="195">
        <v>2490</v>
      </c>
      <c r="P82" s="202">
        <f t="shared" si="2"/>
        <v>0</v>
      </c>
      <c r="Q82" s="203">
        <f t="shared" si="2"/>
        <v>0</v>
      </c>
      <c r="R82" s="157">
        <f ca="1"/>
        <v>94.293208515093468</v>
      </c>
      <c r="T82" s="204">
        <v>0</v>
      </c>
      <c r="U82" s="206">
        <v>0</v>
      </c>
      <c r="V82" s="206">
        <v>0</v>
      </c>
      <c r="W82" s="206">
        <v>0</v>
      </c>
      <c r="X82" s="206">
        <f t="array" ref="X82">IF(X$78&gt;" ",(X$628:X$1078),"")</f>
        <v>0</v>
      </c>
      <c r="Y82" s="206">
        <f t="array" ref="Y82">IF(Y$78&gt;" ",(Y$628:Y$1078),"")</f>
        <v>0</v>
      </c>
      <c r="Z82" s="206">
        <f t="array" ref="Z82">IF(Z$78&gt;" ",(Z$628:Z$1078),"")</f>
        <v>0</v>
      </c>
      <c r="AA82" s="206">
        <f t="array" ref="AA82">IF(AA$78&gt;" ",(AA$628:AA$1078),"")</f>
        <v>0</v>
      </c>
      <c r="AB82" s="210">
        <v>0</v>
      </c>
      <c r="AC82" s="204">
        <f t="shared" si="4"/>
        <v>0</v>
      </c>
      <c r="AD82" s="206">
        <f t="shared" si="5"/>
        <v>0</v>
      </c>
      <c r="AE82" s="206">
        <f t="shared" si="6"/>
        <v>0</v>
      </c>
      <c r="AF82" s="206">
        <f t="shared" si="7"/>
        <v>0</v>
      </c>
      <c r="AG82" s="206">
        <f t="shared" si="8"/>
        <v>0</v>
      </c>
      <c r="AH82" s="206">
        <f t="shared" si="9"/>
        <v>0</v>
      </c>
      <c r="AI82" s="206">
        <f t="shared" si="10"/>
        <v>0</v>
      </c>
      <c r="AJ82" s="206">
        <f t="shared" si="11"/>
        <v>0</v>
      </c>
      <c r="AK82" s="206">
        <f t="shared" si="12"/>
        <v>0</v>
      </c>
      <c r="AL82" s="206">
        <f t="shared" si="13"/>
        <v>0</v>
      </c>
      <c r="AM82" s="214">
        <f t="shared" si="14"/>
        <v>0</v>
      </c>
      <c r="AN82" s="4"/>
      <c r="AO82" s="167">
        <v>2490</v>
      </c>
      <c r="AP82" s="215">
        <v>1.1395918794466382E-4</v>
      </c>
      <c r="AQ82" s="190">
        <v>6.2069840075616375E-5</v>
      </c>
      <c r="AR82" s="190">
        <v>1.7656037408809772E-5</v>
      </c>
      <c r="AS82" s="170">
        <v>1.9563342760799268E-5</v>
      </c>
      <c r="AU82" s="216">
        <v>94.393060191414961</v>
      </c>
      <c r="AV82" s="217">
        <v>94.293208515093468</v>
      </c>
      <c r="AW82" s="217">
        <v>86.223971379315103</v>
      </c>
      <c r="AX82" s="217">
        <v>86.308958413231309</v>
      </c>
      <c r="AY82" s="217"/>
      <c r="AZ82" s="218">
        <v>0</v>
      </c>
      <c r="BA82" s="8"/>
      <c r="BB82" s="219"/>
      <c r="BC82" s="220"/>
    </row>
    <row r="83" spans="2:55" x14ac:dyDescent="0.25">
      <c r="B83" s="108" t="s">
        <v>58</v>
      </c>
      <c r="C83" s="226"/>
      <c r="E83" s="224"/>
      <c r="F83" s="225"/>
      <c r="G83" s="225"/>
      <c r="N83" s="227"/>
      <c r="O83" s="195">
        <v>2485</v>
      </c>
      <c r="P83" s="202">
        <f t="shared" si="2"/>
        <v>0</v>
      </c>
      <c r="Q83" s="203">
        <f t="shared" si="2"/>
        <v>0</v>
      </c>
      <c r="R83" s="157">
        <f ca="1"/>
        <v>94.350376031378332</v>
      </c>
      <c r="T83" s="204">
        <v>0</v>
      </c>
      <c r="U83" s="206">
        <v>0</v>
      </c>
      <c r="V83" s="206">
        <v>0</v>
      </c>
      <c r="W83" s="206">
        <v>0</v>
      </c>
      <c r="X83" s="206">
        <f t="array" ref="X83">IF(X$78&gt;" ",(X$628:X$1078),"")</f>
        <v>0</v>
      </c>
      <c r="Y83" s="206">
        <f t="array" ref="Y83">IF(Y$78&gt;" ",(Y$628:Y$1078),"")</f>
        <v>0</v>
      </c>
      <c r="Z83" s="206">
        <f t="array" ref="Z83">IF(Z$78&gt;" ",(Z$628:Z$1078),"")</f>
        <v>0</v>
      </c>
      <c r="AA83" s="206">
        <f t="array" ref="AA83">IF(AA$78&gt;" ",(AA$628:AA$1078),"")</f>
        <v>0</v>
      </c>
      <c r="AB83" s="210">
        <v>0</v>
      </c>
      <c r="AC83" s="204">
        <f t="shared" si="4"/>
        <v>0</v>
      </c>
      <c r="AD83" s="206">
        <f t="shared" si="5"/>
        <v>0</v>
      </c>
      <c r="AE83" s="206">
        <f t="shared" si="6"/>
        <v>0</v>
      </c>
      <c r="AF83" s="206">
        <f t="shared" si="7"/>
        <v>0</v>
      </c>
      <c r="AG83" s="206">
        <f t="shared" si="8"/>
        <v>0</v>
      </c>
      <c r="AH83" s="206">
        <f t="shared" si="9"/>
        <v>0</v>
      </c>
      <c r="AI83" s="206">
        <f t="shared" si="10"/>
        <v>0</v>
      </c>
      <c r="AJ83" s="206">
        <f t="shared" si="11"/>
        <v>0</v>
      </c>
      <c r="AK83" s="206">
        <f t="shared" si="12"/>
        <v>0</v>
      </c>
      <c r="AL83" s="206">
        <f t="shared" si="13"/>
        <v>0</v>
      </c>
      <c r="AM83" s="214">
        <f t="shared" si="14"/>
        <v>0</v>
      </c>
      <c r="AN83" s="4"/>
      <c r="AO83" s="167">
        <v>2485</v>
      </c>
      <c r="AP83" s="215">
        <v>1.1607321346015902E-4</v>
      </c>
      <c r="AQ83" s="190">
        <v>6.9343336809171038E-5</v>
      </c>
      <c r="AR83" s="190">
        <v>2.8210036473928342E-5</v>
      </c>
      <c r="AS83" s="170">
        <v>3.1250309230283816E-5</v>
      </c>
      <c r="AU83" s="216">
        <v>94.438363375630615</v>
      </c>
      <c r="AV83" s="217">
        <v>94.350376031378332</v>
      </c>
      <c r="AW83" s="217">
        <v>86.405929290889276</v>
      </c>
      <c r="AX83" s="217">
        <v>86.465609128248275</v>
      </c>
      <c r="AY83" s="217"/>
      <c r="AZ83" s="218">
        <v>0</v>
      </c>
      <c r="BA83" s="8"/>
      <c r="BB83" s="219"/>
      <c r="BC83" s="220"/>
    </row>
    <row r="84" spans="2:55" x14ac:dyDescent="0.25">
      <c r="B84" s="174" t="s">
        <v>109</v>
      </c>
      <c r="C84" s="201"/>
      <c r="E84" s="176" t="e">
        <f t="shared" ref="E84:E89" si="15">C84*$C$28/$AL$448</f>
        <v>#DIV/0!</v>
      </c>
      <c r="F84" s="177" t="e">
        <f t="shared" ref="F84:F89" si="16">C84*$C$29/$AL$448</f>
        <v>#DIV/0!</v>
      </c>
      <c r="G84" s="177" t="e">
        <f t="shared" ref="G84:G89" si="17">C84*$C$30/$AL$448</f>
        <v>#DIV/0!</v>
      </c>
      <c r="O84" s="195">
        <v>2480</v>
      </c>
      <c r="P84" s="202">
        <f t="shared" si="2"/>
        <v>0</v>
      </c>
      <c r="Q84" s="203">
        <f t="shared" si="2"/>
        <v>0</v>
      </c>
      <c r="R84" s="157">
        <f ca="1"/>
        <v>94.379270835493386</v>
      </c>
      <c r="T84" s="204">
        <v>0</v>
      </c>
      <c r="U84" s="206">
        <v>0</v>
      </c>
      <c r="V84" s="206">
        <v>0</v>
      </c>
      <c r="W84" s="206">
        <v>0</v>
      </c>
      <c r="X84" s="206">
        <f t="array" ref="X84">IF(X$78&gt;" ",(X$628:X$1078),"")</f>
        <v>0</v>
      </c>
      <c r="Y84" s="206">
        <f t="array" ref="Y84">IF(Y$78&gt;" ",(Y$628:Y$1078),"")</f>
        <v>0</v>
      </c>
      <c r="Z84" s="206">
        <f t="array" ref="Z84">IF(Z$78&gt;" ",(Z$628:Z$1078),"")</f>
        <v>0</v>
      </c>
      <c r="AA84" s="206">
        <f t="array" ref="AA84">IF(AA$78&gt;" ",(AA$628:AA$1078),"")</f>
        <v>0</v>
      </c>
      <c r="AB84" s="210">
        <v>0</v>
      </c>
      <c r="AC84" s="204">
        <f t="shared" si="4"/>
        <v>0</v>
      </c>
      <c r="AD84" s="206">
        <f t="shared" si="5"/>
        <v>0</v>
      </c>
      <c r="AE84" s="206">
        <f t="shared" si="6"/>
        <v>0</v>
      </c>
      <c r="AF84" s="206">
        <f t="shared" si="7"/>
        <v>0</v>
      </c>
      <c r="AG84" s="206">
        <f t="shared" si="8"/>
        <v>0</v>
      </c>
      <c r="AH84" s="206">
        <f t="shared" si="9"/>
        <v>0</v>
      </c>
      <c r="AI84" s="206">
        <f t="shared" si="10"/>
        <v>0</v>
      </c>
      <c r="AJ84" s="206">
        <f t="shared" si="11"/>
        <v>0</v>
      </c>
      <c r="AK84" s="206">
        <f t="shared" si="12"/>
        <v>0</v>
      </c>
      <c r="AL84" s="206">
        <f t="shared" si="13"/>
        <v>0</v>
      </c>
      <c r="AM84" s="214">
        <f t="shared" si="14"/>
        <v>0</v>
      </c>
      <c r="AN84" s="4"/>
      <c r="AO84" s="167">
        <v>2480</v>
      </c>
      <c r="AP84" s="215">
        <v>1.1818723897565425E-4</v>
      </c>
      <c r="AQ84" s="190">
        <v>7.66168335427257E-5</v>
      </c>
      <c r="AR84" s="190">
        <v>4.0425401631340578E-5</v>
      </c>
      <c r="AS84" s="170">
        <v>4.4768978101464617E-5</v>
      </c>
      <c r="AU84" s="216">
        <v>94.397405498599667</v>
      </c>
      <c r="AV84" s="217">
        <v>94.379270835493386</v>
      </c>
      <c r="AW84" s="217">
        <v>86.609585286687619</v>
      </c>
      <c r="AX84" s="217">
        <v>86.642948350905328</v>
      </c>
      <c r="AY84" s="217"/>
      <c r="AZ84" s="218">
        <v>0</v>
      </c>
      <c r="BA84" s="8"/>
      <c r="BB84" s="219"/>
      <c r="BC84" s="220"/>
    </row>
    <row r="85" spans="2:55" x14ac:dyDescent="0.25">
      <c r="B85" s="174" t="s">
        <v>113</v>
      </c>
      <c r="C85" s="201"/>
      <c r="E85" s="176" t="e">
        <f t="shared" si="15"/>
        <v>#DIV/0!</v>
      </c>
      <c r="F85" s="177" t="e">
        <f t="shared" si="16"/>
        <v>#DIV/0!</v>
      </c>
      <c r="G85" s="177" t="e">
        <f t="shared" si="17"/>
        <v>#DIV/0!</v>
      </c>
      <c r="O85" s="195">
        <v>2475</v>
      </c>
      <c r="P85" s="202">
        <f t="shared" si="2"/>
        <v>0</v>
      </c>
      <c r="Q85" s="203">
        <f t="shared" si="2"/>
        <v>0</v>
      </c>
      <c r="R85" s="157">
        <f ca="1"/>
        <v>94.449203014624956</v>
      </c>
      <c r="T85" s="204">
        <v>0</v>
      </c>
      <c r="U85" s="206">
        <v>0</v>
      </c>
      <c r="V85" s="206">
        <v>0</v>
      </c>
      <c r="W85" s="206">
        <v>0</v>
      </c>
      <c r="X85" s="206">
        <f t="array" ref="X85">IF(X$78&gt;" ",(X$628:X$1078),"")</f>
        <v>0</v>
      </c>
      <c r="Y85" s="206">
        <f t="array" ref="Y85">IF(Y$78&gt;" ",(Y$628:Y$1078),"")</f>
        <v>0</v>
      </c>
      <c r="Z85" s="206">
        <f t="array" ref="Z85">IF(Z$78&gt;" ",(Z$628:Z$1078),"")</f>
        <v>0</v>
      </c>
      <c r="AA85" s="206">
        <f t="array" ref="AA85">IF(AA$78&gt;" ",(AA$628:AA$1078),"")</f>
        <v>0</v>
      </c>
      <c r="AB85" s="210">
        <v>0</v>
      </c>
      <c r="AC85" s="204">
        <f t="shared" si="4"/>
        <v>0</v>
      </c>
      <c r="AD85" s="206">
        <f t="shared" si="5"/>
        <v>0</v>
      </c>
      <c r="AE85" s="206">
        <f t="shared" si="6"/>
        <v>0</v>
      </c>
      <c r="AF85" s="206">
        <f t="shared" si="7"/>
        <v>0</v>
      </c>
      <c r="AG85" s="206">
        <f t="shared" si="8"/>
        <v>0</v>
      </c>
      <c r="AH85" s="206">
        <f t="shared" si="9"/>
        <v>0</v>
      </c>
      <c r="AI85" s="206">
        <f t="shared" si="10"/>
        <v>0</v>
      </c>
      <c r="AJ85" s="206">
        <f t="shared" si="11"/>
        <v>0</v>
      </c>
      <c r="AK85" s="206">
        <f t="shared" si="12"/>
        <v>0</v>
      </c>
      <c r="AL85" s="206">
        <f t="shared" si="13"/>
        <v>0</v>
      </c>
      <c r="AM85" s="214">
        <f t="shared" si="14"/>
        <v>0</v>
      </c>
      <c r="AN85" s="4"/>
      <c r="AO85" s="167">
        <v>2475</v>
      </c>
      <c r="AP85" s="215">
        <v>1.2030126449114945E-4</v>
      </c>
      <c r="AQ85" s="190">
        <v>8.3890330276280363E-5</v>
      </c>
      <c r="AR85" s="190">
        <v>8.274146201178049E-5</v>
      </c>
      <c r="AS85" s="170">
        <v>9.1601909291061154E-5</v>
      </c>
      <c r="AU85" s="216">
        <v>94.49112176676384</v>
      </c>
      <c r="AV85" s="217">
        <v>94.449203014624956</v>
      </c>
      <c r="AW85" s="217">
        <v>86.632374253854252</v>
      </c>
      <c r="AX85" s="217">
        <v>86.702587073648871</v>
      </c>
      <c r="AY85" s="217"/>
      <c r="AZ85" s="218">
        <v>0</v>
      </c>
      <c r="BA85" s="8"/>
      <c r="BB85" s="219"/>
      <c r="BC85" s="220"/>
    </row>
    <row r="86" spans="2:55" x14ac:dyDescent="0.25">
      <c r="B86" s="174" t="s">
        <v>119</v>
      </c>
      <c r="C86" s="201"/>
      <c r="E86" s="176" t="e">
        <f t="shared" si="15"/>
        <v>#DIV/0!</v>
      </c>
      <c r="F86" s="177" t="e">
        <f t="shared" si="16"/>
        <v>#DIV/0!</v>
      </c>
      <c r="G86" s="177" t="e">
        <f t="shared" si="17"/>
        <v>#DIV/0!</v>
      </c>
      <c r="O86" s="195">
        <v>2470</v>
      </c>
      <c r="P86" s="202">
        <f t="shared" si="2"/>
        <v>0</v>
      </c>
      <c r="Q86" s="203">
        <f t="shared" si="2"/>
        <v>0</v>
      </c>
      <c r="R86" s="157">
        <f ca="1"/>
        <v>94.507044925836212</v>
      </c>
      <c r="T86" s="204">
        <v>0</v>
      </c>
      <c r="U86" s="206">
        <v>0</v>
      </c>
      <c r="V86" s="206">
        <v>0</v>
      </c>
      <c r="W86" s="206">
        <v>0</v>
      </c>
      <c r="X86" s="206">
        <f t="array" ref="X86">IF(X$78&gt;" ",(X$628:X$1078),"")</f>
        <v>0</v>
      </c>
      <c r="Y86" s="206">
        <f t="array" ref="Y86">IF(Y$78&gt;" ",(Y$628:Y$1078),"")</f>
        <v>0</v>
      </c>
      <c r="Z86" s="206">
        <f t="array" ref="Z86">IF(Z$78&gt;" ",(Z$628:Z$1078),"")</f>
        <v>0</v>
      </c>
      <c r="AA86" s="206">
        <f t="array" ref="AA86">IF(AA$78&gt;" ",(AA$628:AA$1078),"")</f>
        <v>0</v>
      </c>
      <c r="AB86" s="210">
        <v>0</v>
      </c>
      <c r="AC86" s="204">
        <f t="shared" si="4"/>
        <v>0</v>
      </c>
      <c r="AD86" s="206">
        <f t="shared" si="5"/>
        <v>0</v>
      </c>
      <c r="AE86" s="206">
        <f t="shared" si="6"/>
        <v>0</v>
      </c>
      <c r="AF86" s="206">
        <f t="shared" si="7"/>
        <v>0</v>
      </c>
      <c r="AG86" s="206">
        <f t="shared" si="8"/>
        <v>0</v>
      </c>
      <c r="AH86" s="206">
        <f t="shared" si="9"/>
        <v>0</v>
      </c>
      <c r="AI86" s="206">
        <f t="shared" si="10"/>
        <v>0</v>
      </c>
      <c r="AJ86" s="206">
        <f t="shared" si="11"/>
        <v>0</v>
      </c>
      <c r="AK86" s="206">
        <f t="shared" si="12"/>
        <v>0</v>
      </c>
      <c r="AL86" s="206">
        <f t="shared" si="13"/>
        <v>0</v>
      </c>
      <c r="AM86" s="214">
        <f t="shared" si="14"/>
        <v>0</v>
      </c>
      <c r="AN86" s="4"/>
      <c r="AO86" s="167">
        <v>2470</v>
      </c>
      <c r="AP86" s="215">
        <v>1.2241529000664466E-4</v>
      </c>
      <c r="AQ86" s="190">
        <v>9.1163827009835025E-5</v>
      </c>
      <c r="AR86" s="190">
        <v>8.4109172596235309E-5</v>
      </c>
      <c r="AS86" s="170">
        <v>9.3096148647165328E-5</v>
      </c>
      <c r="AU86" s="216">
        <v>94.585668802793421</v>
      </c>
      <c r="AV86" s="217">
        <v>94.507044925836212</v>
      </c>
      <c r="AW86" s="217">
        <v>86.812272484715095</v>
      </c>
      <c r="AX86" s="217">
        <v>86.863488824715617</v>
      </c>
      <c r="AY86" s="217"/>
      <c r="AZ86" s="218">
        <v>0</v>
      </c>
      <c r="BA86" s="8"/>
      <c r="BB86" s="219"/>
      <c r="BC86" s="220"/>
    </row>
    <row r="87" spans="2:55" x14ac:dyDescent="0.25">
      <c r="B87" s="174" t="s">
        <v>120</v>
      </c>
      <c r="C87" s="201"/>
      <c r="E87" s="176" t="e">
        <f t="shared" si="15"/>
        <v>#DIV/0!</v>
      </c>
      <c r="F87" s="177" t="e">
        <f t="shared" si="16"/>
        <v>#DIV/0!</v>
      </c>
      <c r="G87" s="177" t="e">
        <f t="shared" si="17"/>
        <v>#DIV/0!</v>
      </c>
      <c r="O87" s="195">
        <v>2465</v>
      </c>
      <c r="P87" s="202">
        <f t="shared" si="2"/>
        <v>0</v>
      </c>
      <c r="Q87" s="203">
        <f t="shared" si="2"/>
        <v>0</v>
      </c>
      <c r="R87" s="157">
        <f ca="1"/>
        <v>94.53920512677378</v>
      </c>
      <c r="T87" s="204">
        <v>0</v>
      </c>
      <c r="U87" s="206">
        <v>0</v>
      </c>
      <c r="V87" s="206">
        <v>0</v>
      </c>
      <c r="W87" s="206">
        <v>0</v>
      </c>
      <c r="X87" s="206">
        <f t="array" ref="X87">IF(X$78&gt;" ",(X$628:X$1078),"")</f>
        <v>0</v>
      </c>
      <c r="Y87" s="206">
        <f t="array" ref="Y87">IF(Y$78&gt;" ",(Y$628:Y$1078),"")</f>
        <v>0</v>
      </c>
      <c r="Z87" s="206">
        <f t="array" ref="Z87">IF(Z$78&gt;" ",(Z$628:Z$1078),"")</f>
        <v>0</v>
      </c>
      <c r="AA87" s="206">
        <f t="array" ref="AA87">IF(AA$78&gt;" ",(AA$628:AA$1078),"")</f>
        <v>0</v>
      </c>
      <c r="AB87" s="210">
        <v>0</v>
      </c>
      <c r="AC87" s="204">
        <f t="shared" si="4"/>
        <v>0</v>
      </c>
      <c r="AD87" s="206">
        <f t="shared" si="5"/>
        <v>0</v>
      </c>
      <c r="AE87" s="206">
        <f t="shared" si="6"/>
        <v>0</v>
      </c>
      <c r="AF87" s="206">
        <f t="shared" si="7"/>
        <v>0</v>
      </c>
      <c r="AG87" s="206">
        <f t="shared" si="8"/>
        <v>0</v>
      </c>
      <c r="AH87" s="206">
        <f t="shared" si="9"/>
        <v>0</v>
      </c>
      <c r="AI87" s="206">
        <f t="shared" si="10"/>
        <v>0</v>
      </c>
      <c r="AJ87" s="206">
        <f t="shared" si="11"/>
        <v>0</v>
      </c>
      <c r="AK87" s="206">
        <f t="shared" si="12"/>
        <v>0</v>
      </c>
      <c r="AL87" s="206">
        <f t="shared" si="13"/>
        <v>0</v>
      </c>
      <c r="AM87" s="214">
        <f t="shared" si="14"/>
        <v>0</v>
      </c>
      <c r="AN87" s="4"/>
      <c r="AO87" s="167">
        <v>2465</v>
      </c>
      <c r="AP87" s="215">
        <v>1.245293155221399E-4</v>
      </c>
      <c r="AQ87" s="190">
        <v>9.8437323743389674E-5</v>
      </c>
      <c r="AR87" s="190">
        <v>1.2142454115226224E-4</v>
      </c>
      <c r="AS87" s="170">
        <v>1.3436401760563826E-4</v>
      </c>
      <c r="AU87" s="216">
        <v>94.64430666433951</v>
      </c>
      <c r="AV87" s="217">
        <v>94.53920512677378</v>
      </c>
      <c r="AW87" s="217">
        <v>86.879317705271362</v>
      </c>
      <c r="AX87" s="217">
        <v>86.967410515030565</v>
      </c>
      <c r="AY87" s="217"/>
      <c r="AZ87" s="218">
        <v>0</v>
      </c>
      <c r="BA87" s="8"/>
      <c r="BB87" s="219"/>
      <c r="BC87" s="220"/>
    </row>
    <row r="88" spans="2:55" x14ac:dyDescent="0.25">
      <c r="B88" s="221" t="s">
        <v>121</v>
      </c>
      <c r="C88" s="222"/>
      <c r="E88" s="176" t="e">
        <f t="shared" si="15"/>
        <v>#DIV/0!</v>
      </c>
      <c r="F88" s="177" t="e">
        <f t="shared" si="16"/>
        <v>#DIV/0!</v>
      </c>
      <c r="G88" s="177" t="e">
        <f t="shared" si="17"/>
        <v>#DIV/0!</v>
      </c>
      <c r="O88" s="195">
        <v>2460</v>
      </c>
      <c r="P88" s="202">
        <f t="shared" si="2"/>
        <v>0</v>
      </c>
      <c r="Q88" s="203">
        <f t="shared" si="2"/>
        <v>0</v>
      </c>
      <c r="R88" s="157">
        <f ca="1"/>
        <v>94.566365728270625</v>
      </c>
      <c r="T88" s="204">
        <v>0</v>
      </c>
      <c r="U88" s="206">
        <v>0</v>
      </c>
      <c r="V88" s="206">
        <v>0</v>
      </c>
      <c r="W88" s="206">
        <v>0</v>
      </c>
      <c r="X88" s="206">
        <f t="array" ref="X88">IF(X$78&gt;" ",(X$628:X$1078),"")</f>
        <v>0</v>
      </c>
      <c r="Y88" s="206">
        <f t="array" ref="Y88">IF(Y$78&gt;" ",(Y$628:Y$1078),"")</f>
        <v>0</v>
      </c>
      <c r="Z88" s="206">
        <f t="array" ref="Z88">IF(Z$78&gt;" ",(Z$628:Z$1078),"")</f>
        <v>0</v>
      </c>
      <c r="AA88" s="206">
        <f t="array" ref="AA88">IF(AA$78&gt;" ",(AA$628:AA$1078),"")</f>
        <v>0</v>
      </c>
      <c r="AB88" s="210">
        <v>0</v>
      </c>
      <c r="AC88" s="204">
        <f t="shared" si="4"/>
        <v>0</v>
      </c>
      <c r="AD88" s="206">
        <f t="shared" si="5"/>
        <v>0</v>
      </c>
      <c r="AE88" s="206">
        <f t="shared" si="6"/>
        <v>0</v>
      </c>
      <c r="AF88" s="206">
        <f t="shared" si="7"/>
        <v>0</v>
      </c>
      <c r="AG88" s="206">
        <f t="shared" si="8"/>
        <v>0</v>
      </c>
      <c r="AH88" s="206">
        <f t="shared" si="9"/>
        <v>0</v>
      </c>
      <c r="AI88" s="206">
        <f t="shared" si="10"/>
        <v>0</v>
      </c>
      <c r="AJ88" s="206">
        <f t="shared" si="11"/>
        <v>0</v>
      </c>
      <c r="AK88" s="206">
        <f t="shared" si="12"/>
        <v>0</v>
      </c>
      <c r="AL88" s="206">
        <f t="shared" si="13"/>
        <v>0</v>
      </c>
      <c r="AM88" s="214">
        <f t="shared" si="14"/>
        <v>0</v>
      </c>
      <c r="AN88" s="4"/>
      <c r="AO88" s="167">
        <v>2460</v>
      </c>
      <c r="AP88" s="215">
        <v>1.2657727774027585E-4</v>
      </c>
      <c r="AQ88" s="190">
        <v>1.0571082047694434E-4</v>
      </c>
      <c r="AR88" s="190">
        <v>1.6776076554840668E-4</v>
      </c>
      <c r="AS88" s="170">
        <v>1.8555990385897572E-4</v>
      </c>
      <c r="AU88" s="216">
        <v>94.684333503688137</v>
      </c>
      <c r="AV88" s="217">
        <v>94.566365728270625</v>
      </c>
      <c r="AW88" s="217">
        <v>87.016901740193063</v>
      </c>
      <c r="AX88" s="217">
        <v>87.091186578756776</v>
      </c>
      <c r="AY88" s="217"/>
      <c r="AZ88" s="218">
        <v>0</v>
      </c>
      <c r="BA88" s="8"/>
      <c r="BB88" s="219"/>
      <c r="BC88" s="220"/>
    </row>
    <row r="89" spans="2:55" x14ac:dyDescent="0.25">
      <c r="B89" s="174" t="s">
        <v>123</v>
      </c>
      <c r="C89" s="223"/>
      <c r="D89" s="2" t="s">
        <v>122</v>
      </c>
      <c r="E89" s="176" t="e">
        <f t="shared" si="15"/>
        <v>#DIV/0!</v>
      </c>
      <c r="F89" s="177" t="e">
        <f t="shared" si="16"/>
        <v>#DIV/0!</v>
      </c>
      <c r="G89" s="177" t="e">
        <f t="shared" si="17"/>
        <v>#DIV/0!</v>
      </c>
      <c r="O89" s="195">
        <v>2455</v>
      </c>
      <c r="P89" s="202">
        <f t="shared" si="2"/>
        <v>0</v>
      </c>
      <c r="Q89" s="203">
        <f t="shared" si="2"/>
        <v>0</v>
      </c>
      <c r="R89" s="157">
        <f ca="1"/>
        <v>94.656391440238608</v>
      </c>
      <c r="T89" s="204">
        <v>0</v>
      </c>
      <c r="U89" s="206">
        <v>0</v>
      </c>
      <c r="V89" s="206">
        <v>0</v>
      </c>
      <c r="W89" s="206">
        <v>0</v>
      </c>
      <c r="X89" s="206">
        <f t="array" ref="X89">IF(X$78&gt;" ",(X$628:X$1078),"")</f>
        <v>0</v>
      </c>
      <c r="Y89" s="206">
        <f t="array" ref="Y89">IF(Y$78&gt;" ",(Y$628:Y$1078),"")</f>
        <v>0</v>
      </c>
      <c r="Z89" s="206">
        <f t="array" ref="Z89">IF(Z$78&gt;" ",(Z$628:Z$1078),"")</f>
        <v>0</v>
      </c>
      <c r="AA89" s="206">
        <f t="array" ref="AA89">IF(AA$78&gt;" ",(AA$628:AA$1078),"")</f>
        <v>0</v>
      </c>
      <c r="AB89" s="210">
        <v>0</v>
      </c>
      <c r="AC89" s="204">
        <f t="shared" si="4"/>
        <v>0</v>
      </c>
      <c r="AD89" s="206">
        <f t="shared" si="5"/>
        <v>0</v>
      </c>
      <c r="AE89" s="206">
        <f t="shared" si="6"/>
        <v>0</v>
      </c>
      <c r="AF89" s="206">
        <f t="shared" si="7"/>
        <v>0</v>
      </c>
      <c r="AG89" s="206">
        <f t="shared" si="8"/>
        <v>0</v>
      </c>
      <c r="AH89" s="206">
        <f t="shared" si="9"/>
        <v>0</v>
      </c>
      <c r="AI89" s="206">
        <f t="shared" si="10"/>
        <v>0</v>
      </c>
      <c r="AJ89" s="206">
        <f t="shared" si="11"/>
        <v>0</v>
      </c>
      <c r="AK89" s="206">
        <f t="shared" si="12"/>
        <v>0</v>
      </c>
      <c r="AL89" s="206">
        <f t="shared" si="13"/>
        <v>0</v>
      </c>
      <c r="AM89" s="214">
        <f t="shared" si="14"/>
        <v>0</v>
      </c>
      <c r="AN89" s="4"/>
      <c r="AO89" s="167">
        <v>2455</v>
      </c>
      <c r="AP89" s="215">
        <v>1.2869130325577109E-4</v>
      </c>
      <c r="AQ89" s="190">
        <v>1.12984317210499E-4</v>
      </c>
      <c r="AR89" s="190">
        <v>1.2496952630682348E-4</v>
      </c>
      <c r="AS89" s="170">
        <v>1.3820314943443032E-4</v>
      </c>
      <c r="AU89" s="216">
        <v>94.74686925284152</v>
      </c>
      <c r="AV89" s="217">
        <v>94.656391440238608</v>
      </c>
      <c r="AW89" s="217">
        <v>87.198834772818529</v>
      </c>
      <c r="AX89" s="217">
        <v>87.260502656112024</v>
      </c>
      <c r="AY89" s="217"/>
      <c r="AZ89" s="218">
        <v>0</v>
      </c>
      <c r="BA89" s="8"/>
      <c r="BB89" s="219"/>
      <c r="BC89" s="220"/>
    </row>
    <row r="90" spans="2:55" x14ac:dyDescent="0.25">
      <c r="B90" s="108" t="s">
        <v>124</v>
      </c>
      <c r="C90" s="226"/>
      <c r="E90" s="224" t="e">
        <f>AVERAGE(E84:E89)</f>
        <v>#DIV/0!</v>
      </c>
      <c r="F90" s="225" t="e">
        <f>AVERAGE(F84:F89)</f>
        <v>#DIV/0!</v>
      </c>
      <c r="G90" s="225" t="e">
        <f>AVERAGE(G84:G89)</f>
        <v>#DIV/0!</v>
      </c>
      <c r="O90" s="195">
        <v>2450</v>
      </c>
      <c r="P90" s="202">
        <f t="shared" si="2"/>
        <v>0</v>
      </c>
      <c r="Q90" s="203">
        <f t="shared" si="2"/>
        <v>0</v>
      </c>
      <c r="R90" s="157">
        <f ca="1"/>
        <v>94.736751756148422</v>
      </c>
      <c r="T90" s="204">
        <v>0</v>
      </c>
      <c r="U90" s="206">
        <v>0</v>
      </c>
      <c r="V90" s="206">
        <v>0</v>
      </c>
      <c r="W90" s="206">
        <v>0</v>
      </c>
      <c r="X90" s="206">
        <f t="array" ref="X90">IF(X$78&gt;" ",(X$628:X$1078),"")</f>
        <v>0</v>
      </c>
      <c r="Y90" s="206">
        <f t="array" ref="Y90">IF(Y$78&gt;" ",(Y$628:Y$1078),"")</f>
        <v>0</v>
      </c>
      <c r="Z90" s="206">
        <f t="array" ref="Z90">IF(Z$78&gt;" ",(Z$628:Z$1078),"")</f>
        <v>0</v>
      </c>
      <c r="AA90" s="206">
        <f t="array" ref="AA90">IF(AA$78&gt;" ",(AA$628:AA$1078),"")</f>
        <v>0</v>
      </c>
      <c r="AB90" s="210">
        <v>0</v>
      </c>
      <c r="AC90" s="204">
        <f t="shared" si="4"/>
        <v>0</v>
      </c>
      <c r="AD90" s="206">
        <f t="shared" si="5"/>
        <v>0</v>
      </c>
      <c r="AE90" s="206">
        <f t="shared" si="6"/>
        <v>0</v>
      </c>
      <c r="AF90" s="206">
        <f t="shared" si="7"/>
        <v>0</v>
      </c>
      <c r="AG90" s="206">
        <f t="shared" si="8"/>
        <v>0</v>
      </c>
      <c r="AH90" s="206">
        <f t="shared" si="9"/>
        <v>0</v>
      </c>
      <c r="AI90" s="206">
        <f t="shared" si="10"/>
        <v>0</v>
      </c>
      <c r="AJ90" s="206">
        <f t="shared" si="11"/>
        <v>0</v>
      </c>
      <c r="AK90" s="206">
        <f t="shared" si="12"/>
        <v>0</v>
      </c>
      <c r="AL90" s="206">
        <f t="shared" si="13"/>
        <v>0</v>
      </c>
      <c r="AM90" s="214">
        <f t="shared" si="14"/>
        <v>0</v>
      </c>
      <c r="AN90" s="4"/>
      <c r="AO90" s="167">
        <v>2450</v>
      </c>
      <c r="AP90" s="215">
        <v>1.3080532877126629E-4</v>
      </c>
      <c r="AQ90" s="190">
        <v>1.2025781394405366E-4</v>
      </c>
      <c r="AR90" s="190">
        <v>6.8440841047848325E-5</v>
      </c>
      <c r="AS90" s="170">
        <v>7.5680145365531522E-5</v>
      </c>
      <c r="AU90" s="216">
        <v>94.83298316063663</v>
      </c>
      <c r="AV90" s="217">
        <v>94.736751756148422</v>
      </c>
      <c r="AW90" s="217">
        <v>87.386329301156636</v>
      </c>
      <c r="AX90" s="217">
        <v>87.439609784841764</v>
      </c>
      <c r="AY90" s="217"/>
      <c r="AZ90" s="218">
        <v>0</v>
      </c>
      <c r="BA90" s="8"/>
      <c r="BB90" s="219"/>
      <c r="BC90" s="220"/>
    </row>
    <row r="91" spans="2:55" x14ac:dyDescent="0.25">
      <c r="B91" s="174" t="s">
        <v>109</v>
      </c>
      <c r="C91" s="201"/>
      <c r="E91" s="176" t="e">
        <f>C91*$C$28/$AL$448</f>
        <v>#DIV/0!</v>
      </c>
      <c r="F91" s="177" t="e">
        <f>C91*$C$29/$AL$448</f>
        <v>#DIV/0!</v>
      </c>
      <c r="G91" s="177" t="e">
        <f>C91*$C$30/$AL$448</f>
        <v>#DIV/0!</v>
      </c>
      <c r="O91" s="195">
        <v>2445</v>
      </c>
      <c r="P91" s="202">
        <f t="shared" si="2"/>
        <v>0</v>
      </c>
      <c r="Q91" s="203">
        <f t="shared" si="2"/>
        <v>0</v>
      </c>
      <c r="R91" s="157">
        <f ca="1"/>
        <v>94.794064523790254</v>
      </c>
      <c r="T91" s="204">
        <v>0</v>
      </c>
      <c r="U91" s="206">
        <v>0</v>
      </c>
      <c r="V91" s="206">
        <v>0</v>
      </c>
      <c r="W91" s="206">
        <v>0</v>
      </c>
      <c r="X91" s="206">
        <f t="array" ref="X91">IF(X$78&gt;" ",(X$628:X$1078),"")</f>
        <v>0</v>
      </c>
      <c r="Y91" s="206">
        <f t="array" ref="Y91">IF(Y$78&gt;" ",(Y$628:Y$1078),"")</f>
        <v>0</v>
      </c>
      <c r="Z91" s="206">
        <f t="array" ref="Z91">IF(Z$78&gt;" ",(Z$628:Z$1078),"")</f>
        <v>0</v>
      </c>
      <c r="AA91" s="206">
        <f t="array" ref="AA91">IF(AA$78&gt;" ",(AA$628:AA$1078),"")</f>
        <v>0</v>
      </c>
      <c r="AB91" s="210">
        <v>0</v>
      </c>
      <c r="AC91" s="204">
        <f t="shared" si="4"/>
        <v>0</v>
      </c>
      <c r="AD91" s="206">
        <f t="shared" si="5"/>
        <v>0</v>
      </c>
      <c r="AE91" s="206">
        <f t="shared" si="6"/>
        <v>0</v>
      </c>
      <c r="AF91" s="206">
        <f t="shared" si="7"/>
        <v>0</v>
      </c>
      <c r="AG91" s="206">
        <f t="shared" si="8"/>
        <v>0</v>
      </c>
      <c r="AH91" s="206">
        <f t="shared" si="9"/>
        <v>0</v>
      </c>
      <c r="AI91" s="206">
        <f t="shared" si="10"/>
        <v>0</v>
      </c>
      <c r="AJ91" s="206">
        <f t="shared" si="11"/>
        <v>0</v>
      </c>
      <c r="AK91" s="206">
        <f t="shared" si="12"/>
        <v>0</v>
      </c>
      <c r="AL91" s="206">
        <f t="shared" si="13"/>
        <v>0</v>
      </c>
      <c r="AM91" s="214">
        <f t="shared" si="14"/>
        <v>0</v>
      </c>
      <c r="AN91" s="4"/>
      <c r="AO91" s="167">
        <v>2445</v>
      </c>
      <c r="AP91" s="215">
        <v>1.4467862121670362E-4</v>
      </c>
      <c r="AQ91" s="190">
        <v>1.3057277286055279E-4</v>
      </c>
      <c r="AR91" s="190">
        <v>1.0457957623342513E-4</v>
      </c>
      <c r="AS91" s="170">
        <v>1.1560487782413551E-4</v>
      </c>
      <c r="AU91" s="216">
        <v>94.86340946377031</v>
      </c>
      <c r="AV91" s="217">
        <v>94.794064523790254</v>
      </c>
      <c r="AW91" s="217">
        <v>87.591670796464044</v>
      </c>
      <c r="AX91" s="217">
        <v>87.658639646713979</v>
      </c>
      <c r="AY91" s="217"/>
      <c r="AZ91" s="218">
        <v>0</v>
      </c>
      <c r="BA91" s="8"/>
      <c r="BB91" s="219"/>
      <c r="BC91" s="220"/>
    </row>
    <row r="92" spans="2:55" x14ac:dyDescent="0.25">
      <c r="B92" s="174" t="s">
        <v>113</v>
      </c>
      <c r="C92" s="201"/>
      <c r="E92" s="176" t="e">
        <f>C92*$C$28/$AL$448</f>
        <v>#DIV/0!</v>
      </c>
      <c r="F92" s="177" t="e">
        <f>C92*$C$29/$AL$448</f>
        <v>#DIV/0!</v>
      </c>
      <c r="G92" s="177" t="e">
        <f>C92*$C$30/$AL$448</f>
        <v>#DIV/0!</v>
      </c>
      <c r="O92" s="195">
        <v>2440</v>
      </c>
      <c r="P92" s="202">
        <f t="shared" si="2"/>
        <v>0</v>
      </c>
      <c r="Q92" s="203">
        <f t="shared" si="2"/>
        <v>0</v>
      </c>
      <c r="R92" s="157">
        <f ca="1"/>
        <v>94.854755253127053</v>
      </c>
      <c r="T92" s="204">
        <v>0</v>
      </c>
      <c r="U92" s="206">
        <v>0</v>
      </c>
      <c r="V92" s="206">
        <v>0</v>
      </c>
      <c r="W92" s="206">
        <v>0</v>
      </c>
      <c r="X92" s="206">
        <f t="array" ref="X92">IF(X$78&gt;" ",(X$628:X$1078),"")</f>
        <v>0</v>
      </c>
      <c r="Y92" s="206">
        <f t="array" ref="Y92">IF(Y$78&gt;" ",(Y$628:Y$1078),"")</f>
        <v>0</v>
      </c>
      <c r="Z92" s="206">
        <f t="array" ref="Z92">IF(Z$78&gt;" ",(Z$628:Z$1078),"")</f>
        <v>0</v>
      </c>
      <c r="AA92" s="206">
        <f t="array" ref="AA92">IF(AA$78&gt;" ",(AA$628:AA$1078),"")</f>
        <v>0</v>
      </c>
      <c r="AB92" s="210">
        <v>0</v>
      </c>
      <c r="AC92" s="204">
        <f t="shared" si="4"/>
        <v>0</v>
      </c>
      <c r="AD92" s="206">
        <f t="shared" si="5"/>
        <v>0</v>
      </c>
      <c r="AE92" s="206">
        <f t="shared" si="6"/>
        <v>0</v>
      </c>
      <c r="AF92" s="206">
        <f t="shared" si="7"/>
        <v>0</v>
      </c>
      <c r="AG92" s="206">
        <f t="shared" si="8"/>
        <v>0</v>
      </c>
      <c r="AH92" s="206">
        <f t="shared" si="9"/>
        <v>0</v>
      </c>
      <c r="AI92" s="206">
        <f t="shared" si="10"/>
        <v>0</v>
      </c>
      <c r="AJ92" s="206">
        <f t="shared" si="11"/>
        <v>0</v>
      </c>
      <c r="AK92" s="206">
        <f t="shared" si="12"/>
        <v>0</v>
      </c>
      <c r="AL92" s="206">
        <f t="shared" si="13"/>
        <v>0</v>
      </c>
      <c r="AM92" s="214">
        <f t="shared" si="14"/>
        <v>0</v>
      </c>
      <c r="AN92" s="4"/>
      <c r="AO92" s="167">
        <v>2440</v>
      </c>
      <c r="AP92" s="215">
        <v>1.5855191366214095E-4</v>
      </c>
      <c r="AQ92" s="190">
        <v>1.408877317770519E-4</v>
      </c>
      <c r="AR92" s="190">
        <v>2.1747101127605556E-4</v>
      </c>
      <c r="AS92" s="170">
        <v>2.4023115580572402E-4</v>
      </c>
      <c r="AU92" s="216">
        <v>94.928776953769628</v>
      </c>
      <c r="AV92" s="217">
        <v>94.854755253127053</v>
      </c>
      <c r="AW92" s="217">
        <v>87.742995350890553</v>
      </c>
      <c r="AX92" s="217">
        <v>87.815739776943531</v>
      </c>
      <c r="AY92" s="217"/>
      <c r="AZ92" s="218">
        <v>0</v>
      </c>
      <c r="BA92" s="8"/>
      <c r="BB92" s="219"/>
      <c r="BC92" s="220"/>
    </row>
    <row r="93" spans="2:55" x14ac:dyDescent="0.25">
      <c r="B93" s="174" t="s">
        <v>119</v>
      </c>
      <c r="C93" s="201"/>
      <c r="E93" s="176" t="e">
        <f>C93*$C$28/$AL$448</f>
        <v>#DIV/0!</v>
      </c>
      <c r="F93" s="177" t="e">
        <f>C93*$C$29/$AL$448</f>
        <v>#DIV/0!</v>
      </c>
      <c r="G93" s="177" t="e">
        <f>C93*$C$30/$AL$448</f>
        <v>#DIV/0!</v>
      </c>
      <c r="O93" s="195">
        <v>2435</v>
      </c>
      <c r="P93" s="202">
        <f t="shared" si="2"/>
        <v>0</v>
      </c>
      <c r="Q93" s="203">
        <f t="shared" si="2"/>
        <v>0</v>
      </c>
      <c r="R93" s="157">
        <f ca="1"/>
        <v>94.906675670293794</v>
      </c>
      <c r="T93" s="204">
        <v>0</v>
      </c>
      <c r="U93" s="206">
        <v>0</v>
      </c>
      <c r="V93" s="206">
        <v>0</v>
      </c>
      <c r="W93" s="206">
        <v>0</v>
      </c>
      <c r="X93" s="206">
        <f t="array" ref="X93">IF(X$78&gt;" ",(X$628:X$1078),"")</f>
        <v>0</v>
      </c>
      <c r="Y93" s="206">
        <f t="array" ref="Y93">IF(Y$78&gt;" ",(Y$628:Y$1078),"")</f>
        <v>0</v>
      </c>
      <c r="Z93" s="206">
        <f t="array" ref="Z93">IF(Z$78&gt;" ",(Z$628:Z$1078),"")</f>
        <v>0</v>
      </c>
      <c r="AA93" s="206">
        <f t="array" ref="AA93">IF(AA$78&gt;" ",(AA$628:AA$1078),"")</f>
        <v>0</v>
      </c>
      <c r="AB93" s="210">
        <v>0</v>
      </c>
      <c r="AC93" s="204">
        <f t="shared" si="4"/>
        <v>0</v>
      </c>
      <c r="AD93" s="206">
        <f t="shared" si="5"/>
        <v>0</v>
      </c>
      <c r="AE93" s="206">
        <f t="shared" si="6"/>
        <v>0</v>
      </c>
      <c r="AF93" s="206">
        <f t="shared" si="7"/>
        <v>0</v>
      </c>
      <c r="AG93" s="206">
        <f t="shared" si="8"/>
        <v>0</v>
      </c>
      <c r="AH93" s="206">
        <f t="shared" si="9"/>
        <v>0</v>
      </c>
      <c r="AI93" s="206">
        <f t="shared" si="10"/>
        <v>0</v>
      </c>
      <c r="AJ93" s="206">
        <f t="shared" si="11"/>
        <v>0</v>
      </c>
      <c r="AK93" s="206">
        <f t="shared" si="12"/>
        <v>0</v>
      </c>
      <c r="AL93" s="206">
        <f t="shared" si="13"/>
        <v>0</v>
      </c>
      <c r="AM93" s="214">
        <f t="shared" si="14"/>
        <v>0</v>
      </c>
      <c r="AN93" s="4"/>
      <c r="AO93" s="167">
        <v>2435</v>
      </c>
      <c r="AP93" s="215">
        <v>1.724252061075783E-4</v>
      </c>
      <c r="AQ93" s="190">
        <v>1.5120269069355101E-4</v>
      </c>
      <c r="AR93" s="190">
        <v>7.4811757630584625E-5</v>
      </c>
      <c r="AS93" s="170">
        <v>8.263087675235324E-5</v>
      </c>
      <c r="AU93" s="216">
        <v>95.00361629703059</v>
      </c>
      <c r="AV93" s="217">
        <v>94.906675670293794</v>
      </c>
      <c r="AW93" s="217">
        <v>87.914082626685641</v>
      </c>
      <c r="AX93" s="217">
        <v>87.976577491172122</v>
      </c>
      <c r="AY93" s="217"/>
      <c r="AZ93" s="218">
        <v>0</v>
      </c>
      <c r="BA93" s="8"/>
      <c r="BB93" s="219"/>
      <c r="BC93" s="220"/>
    </row>
    <row r="94" spans="2:55" x14ac:dyDescent="0.25">
      <c r="B94" s="174" t="s">
        <v>120</v>
      </c>
      <c r="C94" s="201"/>
      <c r="E94" s="176" t="e">
        <f>C94*$C$28/$AL$448</f>
        <v>#DIV/0!</v>
      </c>
      <c r="F94" s="177" t="e">
        <f>C94*$C$29/$AL$448</f>
        <v>#DIV/0!</v>
      </c>
      <c r="G94" s="177" t="e">
        <f>C94*$C$30/$AL$448</f>
        <v>#DIV/0!</v>
      </c>
      <c r="O94" s="195">
        <v>2430</v>
      </c>
      <c r="P94" s="202">
        <f t="shared" si="2"/>
        <v>0</v>
      </c>
      <c r="Q94" s="203">
        <f t="shared" si="2"/>
        <v>0</v>
      </c>
      <c r="R94" s="157">
        <f ca="1"/>
        <v>94.991504939830861</v>
      </c>
      <c r="T94" s="204">
        <v>0</v>
      </c>
      <c r="U94" s="206">
        <v>0</v>
      </c>
      <c r="V94" s="206">
        <v>0</v>
      </c>
      <c r="W94" s="206">
        <v>0</v>
      </c>
      <c r="X94" s="206">
        <f t="array" ref="X94">IF(X$78&gt;" ",(X$628:X$1078),"")</f>
        <v>0</v>
      </c>
      <c r="Y94" s="206">
        <f t="array" ref="Y94">IF(Y$78&gt;" ",(Y$628:Y$1078),"")</f>
        <v>0</v>
      </c>
      <c r="Z94" s="206">
        <f t="array" ref="Z94">IF(Z$78&gt;" ",(Z$628:Z$1078),"")</f>
        <v>0</v>
      </c>
      <c r="AA94" s="206">
        <f t="array" ref="AA94">IF(AA$78&gt;" ",(AA$628:AA$1078),"")</f>
        <v>0</v>
      </c>
      <c r="AB94" s="210">
        <v>0</v>
      </c>
      <c r="AC94" s="204">
        <f t="shared" si="4"/>
        <v>0</v>
      </c>
      <c r="AD94" s="206">
        <f t="shared" si="5"/>
        <v>0</v>
      </c>
      <c r="AE94" s="206">
        <f t="shared" si="6"/>
        <v>0</v>
      </c>
      <c r="AF94" s="206">
        <f t="shared" si="7"/>
        <v>0</v>
      </c>
      <c r="AG94" s="206">
        <f t="shared" si="8"/>
        <v>0</v>
      </c>
      <c r="AH94" s="206">
        <f t="shared" si="9"/>
        <v>0</v>
      </c>
      <c r="AI94" s="206">
        <f t="shared" si="10"/>
        <v>0</v>
      </c>
      <c r="AJ94" s="206">
        <f t="shared" si="11"/>
        <v>0</v>
      </c>
      <c r="AK94" s="206">
        <f t="shared" si="12"/>
        <v>0</v>
      </c>
      <c r="AL94" s="206">
        <f t="shared" si="13"/>
        <v>0</v>
      </c>
      <c r="AM94" s="214">
        <f t="shared" si="14"/>
        <v>0</v>
      </c>
      <c r="AN94" s="4"/>
      <c r="AO94" s="167">
        <v>2430</v>
      </c>
      <c r="AP94" s="215">
        <v>1.8629849855301563E-4</v>
      </c>
      <c r="AQ94" s="190">
        <v>1.615176496100501E-4</v>
      </c>
      <c r="AR94" s="190">
        <v>2.267734545894432E-4</v>
      </c>
      <c r="AS94" s="170">
        <v>2.502990831526582E-4</v>
      </c>
      <c r="AU94" s="216">
        <v>95.058333158479357</v>
      </c>
      <c r="AV94" s="217">
        <v>94.991504939830861</v>
      </c>
      <c r="AW94" s="217">
        <v>88.066079070908629</v>
      </c>
      <c r="AX94" s="217">
        <v>88.147644847196091</v>
      </c>
      <c r="AY94" s="217"/>
      <c r="AZ94" s="218">
        <v>0</v>
      </c>
      <c r="BA94" s="8"/>
      <c r="BB94" s="219"/>
      <c r="BC94" s="220"/>
    </row>
    <row r="95" spans="2:55" x14ac:dyDescent="0.25">
      <c r="B95" s="221" t="s">
        <v>121</v>
      </c>
      <c r="C95" s="222"/>
      <c r="E95" s="176" t="e">
        <f>C95*$C$28/$AL$448</f>
        <v>#DIV/0!</v>
      </c>
      <c r="F95" s="177" t="e">
        <f>C95*$C$29/$AL$448</f>
        <v>#DIV/0!</v>
      </c>
      <c r="G95" s="177" t="e">
        <f>C95*$C$30/$AL$448</f>
        <v>#DIV/0!</v>
      </c>
      <c r="O95" s="195">
        <v>2425</v>
      </c>
      <c r="P95" s="202">
        <f t="shared" si="2"/>
        <v>0</v>
      </c>
      <c r="Q95" s="203">
        <f t="shared" si="2"/>
        <v>0</v>
      </c>
      <c r="R95" s="157">
        <f ca="1"/>
        <v>95.034578700468884</v>
      </c>
      <c r="T95" s="204">
        <v>0</v>
      </c>
      <c r="U95" s="206">
        <v>0</v>
      </c>
      <c r="V95" s="206">
        <v>0</v>
      </c>
      <c r="W95" s="206">
        <v>0</v>
      </c>
      <c r="X95" s="206">
        <f t="array" ref="X95">IF(X$78&gt;" ",(X$628:X$1078),"")</f>
        <v>0</v>
      </c>
      <c r="Y95" s="206">
        <f t="array" ref="Y95">IF(Y$78&gt;" ",(Y$628:Y$1078),"")</f>
        <v>0</v>
      </c>
      <c r="Z95" s="206">
        <f t="array" ref="Z95">IF(Z$78&gt;" ",(Z$628:Z$1078),"")</f>
        <v>0</v>
      </c>
      <c r="AA95" s="206">
        <f t="array" ref="AA95">IF(AA$78&gt;" ",(AA$628:AA$1078),"")</f>
        <v>0</v>
      </c>
      <c r="AB95" s="210">
        <v>0</v>
      </c>
      <c r="AC95" s="204">
        <f t="shared" si="4"/>
        <v>0</v>
      </c>
      <c r="AD95" s="206">
        <f t="shared" si="5"/>
        <v>0</v>
      </c>
      <c r="AE95" s="206">
        <f t="shared" si="6"/>
        <v>0</v>
      </c>
      <c r="AF95" s="206">
        <f t="shared" si="7"/>
        <v>0</v>
      </c>
      <c r="AG95" s="206">
        <f t="shared" si="8"/>
        <v>0</v>
      </c>
      <c r="AH95" s="206">
        <f t="shared" si="9"/>
        <v>0</v>
      </c>
      <c r="AI95" s="206">
        <f t="shared" si="10"/>
        <v>0</v>
      </c>
      <c r="AJ95" s="206">
        <f t="shared" si="11"/>
        <v>0</v>
      </c>
      <c r="AK95" s="206">
        <f t="shared" si="12"/>
        <v>0</v>
      </c>
      <c r="AL95" s="206">
        <f t="shared" si="13"/>
        <v>0</v>
      </c>
      <c r="AM95" s="214">
        <f t="shared" si="14"/>
        <v>0</v>
      </c>
      <c r="AN95" s="4"/>
      <c r="AO95" s="167">
        <v>2425</v>
      </c>
      <c r="AP95" s="215">
        <v>2.0017179099845295E-4</v>
      </c>
      <c r="AQ95" s="190">
        <v>1.7183260852654926E-4</v>
      </c>
      <c r="AR95" s="190">
        <v>1.6632768644337132E-4</v>
      </c>
      <c r="AS95" s="170">
        <v>1.8357318111958623E-4</v>
      </c>
      <c r="AU95" s="216">
        <v>95.117597241315238</v>
      </c>
      <c r="AV95" s="217">
        <v>95.034578700468884</v>
      </c>
      <c r="AW95" s="217">
        <v>88.251755015630309</v>
      </c>
      <c r="AX95" s="217">
        <v>88.324184655124611</v>
      </c>
      <c r="AY95" s="217"/>
      <c r="AZ95" s="218">
        <v>0</v>
      </c>
      <c r="BA95" s="8"/>
      <c r="BB95" s="219"/>
      <c r="BC95" s="220"/>
    </row>
    <row r="96" spans="2:55" x14ac:dyDescent="0.25">
      <c r="D96" s="2" t="s">
        <v>122</v>
      </c>
      <c r="E96" s="224" t="e">
        <f>AVERAGE(E91:E95)</f>
        <v>#DIV/0!</v>
      </c>
      <c r="F96" s="225" t="e">
        <f>AVERAGE(F91:F95)</f>
        <v>#DIV/0!</v>
      </c>
      <c r="G96" s="225" t="e">
        <f>AVERAGE(G91:G95)</f>
        <v>#DIV/0!</v>
      </c>
      <c r="O96" s="195">
        <v>2420</v>
      </c>
      <c r="P96" s="202">
        <f t="shared" ref="P96:Q111" si="18">P644</f>
        <v>0</v>
      </c>
      <c r="Q96" s="203">
        <f t="shared" si="18"/>
        <v>0</v>
      </c>
      <c r="R96" s="157">
        <f ca="1"/>
        <v>95.1049712203544</v>
      </c>
      <c r="T96" s="204">
        <v>0</v>
      </c>
      <c r="U96" s="206">
        <v>0</v>
      </c>
      <c r="V96" s="206">
        <v>0</v>
      </c>
      <c r="W96" s="206">
        <v>0</v>
      </c>
      <c r="X96" s="206">
        <f t="array" ref="X96">IF(X$78&gt;" ",(X$628:X$1078),"")</f>
        <v>0</v>
      </c>
      <c r="Y96" s="206">
        <f t="array" ref="Y96">IF(Y$78&gt;" ",(Y$628:Y$1078),"")</f>
        <v>0</v>
      </c>
      <c r="Z96" s="206">
        <f t="array" ref="Z96">IF(Z$78&gt;" ",(Z$628:Z$1078),"")</f>
        <v>0</v>
      </c>
      <c r="AA96" s="206">
        <f t="array" ref="AA96">IF(AA$78&gt;" ",(AA$628:AA$1078),"")</f>
        <v>0</v>
      </c>
      <c r="AB96" s="210">
        <v>0</v>
      </c>
      <c r="AC96" s="204">
        <f t="shared" si="4"/>
        <v>0</v>
      </c>
      <c r="AD96" s="206">
        <f t="shared" si="5"/>
        <v>0</v>
      </c>
      <c r="AE96" s="206">
        <f t="shared" si="6"/>
        <v>0</v>
      </c>
      <c r="AF96" s="206">
        <f t="shared" si="7"/>
        <v>0</v>
      </c>
      <c r="AG96" s="206">
        <f t="shared" si="8"/>
        <v>0</v>
      </c>
      <c r="AH96" s="206">
        <f t="shared" si="9"/>
        <v>0</v>
      </c>
      <c r="AI96" s="206">
        <f t="shared" si="10"/>
        <v>0</v>
      </c>
      <c r="AJ96" s="206">
        <f t="shared" si="11"/>
        <v>0</v>
      </c>
      <c r="AK96" s="206">
        <f t="shared" si="12"/>
        <v>0</v>
      </c>
      <c r="AL96" s="206">
        <f t="shared" si="13"/>
        <v>0</v>
      </c>
      <c r="AM96" s="214">
        <f t="shared" si="14"/>
        <v>0</v>
      </c>
      <c r="AN96" s="4"/>
      <c r="AO96" s="167">
        <v>2420</v>
      </c>
      <c r="AP96" s="215">
        <v>2.1404508344389028E-4</v>
      </c>
      <c r="AQ96" s="190">
        <v>1.8214756744304835E-4</v>
      </c>
      <c r="AR96" s="190">
        <v>1.3370376632593393E-4</v>
      </c>
      <c r="AS96" s="170">
        <v>1.4750996609810542E-4</v>
      </c>
      <c r="AU96" s="216">
        <v>95.184872341549678</v>
      </c>
      <c r="AV96" s="217">
        <v>95.1049712203544</v>
      </c>
      <c r="AW96" s="217">
        <v>88.427994448634124</v>
      </c>
      <c r="AX96" s="217">
        <v>88.50746575184678</v>
      </c>
      <c r="AY96" s="217"/>
      <c r="AZ96" s="218">
        <v>0</v>
      </c>
      <c r="BA96" s="8"/>
      <c r="BB96" s="219"/>
      <c r="BC96" s="220"/>
    </row>
    <row r="97" spans="2:55" x14ac:dyDescent="0.25">
      <c r="O97" s="195">
        <v>2415</v>
      </c>
      <c r="P97" s="202">
        <f t="shared" si="18"/>
        <v>0</v>
      </c>
      <c r="Q97" s="203">
        <f t="shared" si="18"/>
        <v>0</v>
      </c>
      <c r="R97" s="157">
        <f ca="1"/>
        <v>95.16439315194377</v>
      </c>
      <c r="T97" s="204">
        <v>0</v>
      </c>
      <c r="U97" s="206">
        <v>0</v>
      </c>
      <c r="V97" s="206">
        <v>0</v>
      </c>
      <c r="W97" s="206">
        <v>0</v>
      </c>
      <c r="X97" s="206">
        <f t="array" ref="X97">IF(X$78&gt;" ",(X$628:X$1078),"")</f>
        <v>0</v>
      </c>
      <c r="Y97" s="206">
        <f t="array" ref="Y97">IF(Y$78&gt;" ",(Y$628:Y$1078),"")</f>
        <v>0</v>
      </c>
      <c r="Z97" s="206">
        <f t="array" ref="Z97">IF(Z$78&gt;" ",(Z$628:Z$1078),"")</f>
        <v>0</v>
      </c>
      <c r="AA97" s="206">
        <f t="array" ref="AA97">IF(AA$78&gt;" ",(AA$628:AA$1078),"")</f>
        <v>0</v>
      </c>
      <c r="AB97" s="210">
        <v>0</v>
      </c>
      <c r="AC97" s="204">
        <f t="shared" si="4"/>
        <v>0</v>
      </c>
      <c r="AD97" s="206">
        <f t="shared" si="5"/>
        <v>0</v>
      </c>
      <c r="AE97" s="206">
        <f t="shared" si="6"/>
        <v>0</v>
      </c>
      <c r="AF97" s="206">
        <f t="shared" si="7"/>
        <v>0</v>
      </c>
      <c r="AG97" s="206">
        <f t="shared" si="8"/>
        <v>0</v>
      </c>
      <c r="AH97" s="206">
        <f t="shared" si="9"/>
        <v>0</v>
      </c>
      <c r="AI97" s="206">
        <f t="shared" si="10"/>
        <v>0</v>
      </c>
      <c r="AJ97" s="206">
        <f t="shared" si="11"/>
        <v>0</v>
      </c>
      <c r="AK97" s="206">
        <f t="shared" si="12"/>
        <v>0</v>
      </c>
      <c r="AL97" s="206">
        <f t="shared" si="13"/>
        <v>0</v>
      </c>
      <c r="AM97" s="214">
        <f t="shared" si="14"/>
        <v>0</v>
      </c>
      <c r="AN97" s="4"/>
      <c r="AO97" s="167">
        <v>2415</v>
      </c>
      <c r="AP97" s="215">
        <v>2.2791837588932763E-4</v>
      </c>
      <c r="AQ97" s="190">
        <v>1.9246252635954749E-4</v>
      </c>
      <c r="AR97" s="190">
        <v>1.3727389321918003E-4</v>
      </c>
      <c r="AS97" s="170">
        <v>1.5142744755605649E-4</v>
      </c>
      <c r="AU97" s="216">
        <v>95.238995952351388</v>
      </c>
      <c r="AV97" s="217">
        <v>95.16439315194377</v>
      </c>
      <c r="AW97" s="217">
        <v>88.555564013401849</v>
      </c>
      <c r="AX97" s="217">
        <v>88.636476953353721</v>
      </c>
      <c r="AY97" s="217"/>
      <c r="AZ97" s="218">
        <v>0</v>
      </c>
      <c r="BA97" s="8"/>
      <c r="BB97" s="219"/>
      <c r="BC97" s="220"/>
    </row>
    <row r="98" spans="2:55" ht="13" hidden="1" x14ac:dyDescent="0.3">
      <c r="B98" s="228" t="s">
        <v>125</v>
      </c>
      <c r="C98" s="99"/>
      <c r="O98" s="195">
        <v>2410</v>
      </c>
      <c r="P98" s="202">
        <f t="shared" si="18"/>
        <v>0</v>
      </c>
      <c r="Q98" s="203">
        <f t="shared" si="18"/>
        <v>0</v>
      </c>
      <c r="R98" s="157">
        <f ca="1"/>
        <v>95.218276743453671</v>
      </c>
      <c r="T98" s="204">
        <v>0</v>
      </c>
      <c r="U98" s="206">
        <v>0</v>
      </c>
      <c r="V98" s="206">
        <v>0</v>
      </c>
      <c r="W98" s="206">
        <v>0</v>
      </c>
      <c r="X98" s="206">
        <f t="array" ref="X98">IF(X$78&gt;" ",(X$628:X$1078),"")</f>
        <v>0</v>
      </c>
      <c r="Y98" s="206">
        <f t="array" ref="Y98">IF(Y$78&gt;" ",(Y$628:Y$1078),"")</f>
        <v>0</v>
      </c>
      <c r="Z98" s="206">
        <f t="array" ref="Z98">IF(Z$78&gt;" ",(Z$628:Z$1078),"")</f>
        <v>0</v>
      </c>
      <c r="AA98" s="206">
        <f t="array" ref="AA98">IF(AA$78&gt;" ",(AA$628:AA$1078),"")</f>
        <v>0</v>
      </c>
      <c r="AB98" s="210">
        <v>0</v>
      </c>
      <c r="AC98" s="204">
        <f t="shared" si="4"/>
        <v>0</v>
      </c>
      <c r="AD98" s="206">
        <f t="shared" si="5"/>
        <v>0</v>
      </c>
      <c r="AE98" s="206">
        <f t="shared" si="6"/>
        <v>0</v>
      </c>
      <c r="AF98" s="206">
        <f t="shared" si="7"/>
        <v>0</v>
      </c>
      <c r="AG98" s="206">
        <f t="shared" si="8"/>
        <v>0</v>
      </c>
      <c r="AH98" s="206">
        <f t="shared" si="9"/>
        <v>0</v>
      </c>
      <c r="AI98" s="206">
        <f t="shared" si="10"/>
        <v>0</v>
      </c>
      <c r="AJ98" s="206">
        <f t="shared" si="11"/>
        <v>0</v>
      </c>
      <c r="AK98" s="206">
        <f t="shared" si="12"/>
        <v>0</v>
      </c>
      <c r="AL98" s="206">
        <f t="shared" si="13"/>
        <v>0</v>
      </c>
      <c r="AM98" s="214">
        <f t="shared" si="14"/>
        <v>0</v>
      </c>
      <c r="AN98" s="4"/>
      <c r="AO98" s="167">
        <v>2410</v>
      </c>
      <c r="AP98" s="215">
        <v>2.4179166833476496E-4</v>
      </c>
      <c r="AQ98" s="190">
        <v>2.0277748527604657E-4</v>
      </c>
      <c r="AR98" s="190">
        <v>1.7002352203004156E-4</v>
      </c>
      <c r="AS98" s="170">
        <v>1.8750185538170288E-4</v>
      </c>
      <c r="AU98" s="216">
        <v>95.267449447373778</v>
      </c>
      <c r="AV98" s="217">
        <v>95.218276743453671</v>
      </c>
      <c r="AW98" s="217">
        <v>88.720882809170533</v>
      </c>
      <c r="AX98" s="217">
        <v>88.790799345116781</v>
      </c>
      <c r="AY98" s="217"/>
      <c r="AZ98" s="218">
        <v>0</v>
      </c>
      <c r="BA98" s="8"/>
      <c r="BB98" s="219"/>
      <c r="BC98" s="220"/>
    </row>
    <row r="99" spans="2:55" hidden="1" x14ac:dyDescent="0.25">
      <c r="B99" s="108" t="s">
        <v>126</v>
      </c>
      <c r="C99" s="118"/>
      <c r="O99" s="195">
        <v>2405</v>
      </c>
      <c r="P99" s="202">
        <f t="shared" si="18"/>
        <v>0</v>
      </c>
      <c r="Q99" s="203">
        <f t="shared" si="18"/>
        <v>0</v>
      </c>
      <c r="R99" s="157">
        <f ca="1"/>
        <v>95.264421708686015</v>
      </c>
      <c r="T99" s="204">
        <v>0</v>
      </c>
      <c r="U99" s="206">
        <v>0</v>
      </c>
      <c r="V99" s="206">
        <v>0</v>
      </c>
      <c r="W99" s="206">
        <v>0</v>
      </c>
      <c r="X99" s="206">
        <f t="array" ref="X99">IF(X$78&gt;" ",(X$628:X$1078),"")</f>
        <v>0</v>
      </c>
      <c r="Y99" s="206">
        <f t="array" ref="Y99">IF(Y$78&gt;" ",(Y$628:Y$1078),"")</f>
        <v>0</v>
      </c>
      <c r="Z99" s="206">
        <f t="array" ref="Z99">IF(Z$78&gt;" ",(Z$628:Z$1078),"")</f>
        <v>0</v>
      </c>
      <c r="AA99" s="206">
        <f t="array" ref="AA99">IF(AA$78&gt;" ",(AA$628:AA$1078),"")</f>
        <v>0</v>
      </c>
      <c r="AB99" s="210">
        <v>0</v>
      </c>
      <c r="AC99" s="204">
        <f t="shared" si="4"/>
        <v>0</v>
      </c>
      <c r="AD99" s="206">
        <f t="shared" si="5"/>
        <v>0</v>
      </c>
      <c r="AE99" s="206">
        <f t="shared" si="6"/>
        <v>0</v>
      </c>
      <c r="AF99" s="206">
        <f t="shared" si="7"/>
        <v>0</v>
      </c>
      <c r="AG99" s="206">
        <f t="shared" si="8"/>
        <v>0</v>
      </c>
      <c r="AH99" s="206">
        <f t="shared" si="9"/>
        <v>0</v>
      </c>
      <c r="AI99" s="206">
        <f t="shared" si="10"/>
        <v>0</v>
      </c>
      <c r="AJ99" s="206">
        <f t="shared" si="11"/>
        <v>0</v>
      </c>
      <c r="AK99" s="206">
        <f t="shared" si="12"/>
        <v>0</v>
      </c>
      <c r="AL99" s="206">
        <f t="shared" si="13"/>
        <v>0</v>
      </c>
      <c r="AM99" s="214">
        <f t="shared" si="14"/>
        <v>0</v>
      </c>
      <c r="AN99" s="4"/>
      <c r="AO99" s="167">
        <v>2405</v>
      </c>
      <c r="AP99" s="215">
        <v>2.5566496078020232E-4</v>
      </c>
      <c r="AQ99" s="190">
        <v>2.1309244419254574E-4</v>
      </c>
      <c r="AR99" s="190">
        <v>1.6894745561433074E-4</v>
      </c>
      <c r="AS99" s="170">
        <v>1.8628183972765528E-4</v>
      </c>
      <c r="AU99" s="216">
        <v>95.306526299019808</v>
      </c>
      <c r="AV99" s="217">
        <v>95.264421708686015</v>
      </c>
      <c r="AW99" s="217">
        <v>88.822795871770396</v>
      </c>
      <c r="AX99" s="217">
        <v>88.903056720724507</v>
      </c>
      <c r="AY99" s="217"/>
      <c r="AZ99" s="218">
        <v>0</v>
      </c>
      <c r="BA99" s="8"/>
      <c r="BB99" s="219"/>
      <c r="BC99" s="220"/>
    </row>
    <row r="100" spans="2:55" hidden="1" x14ac:dyDescent="0.25">
      <c r="B100" s="174" t="s">
        <v>109</v>
      </c>
      <c r="C100" s="201"/>
      <c r="O100" s="195">
        <v>2400</v>
      </c>
      <c r="P100" s="202">
        <f t="shared" si="18"/>
        <v>0</v>
      </c>
      <c r="Q100" s="203">
        <f t="shared" si="18"/>
        <v>0</v>
      </c>
      <c r="R100" s="157">
        <f ca="1"/>
        <v>95.294692685541136</v>
      </c>
      <c r="T100" s="204">
        <v>0</v>
      </c>
      <c r="U100" s="206">
        <v>0</v>
      </c>
      <c r="V100" s="206">
        <v>0</v>
      </c>
      <c r="W100" s="206">
        <v>0</v>
      </c>
      <c r="X100" s="206">
        <f t="array" ref="X100">IF(X$78&gt;" ",(X$628:X$1078),"")</f>
        <v>0</v>
      </c>
      <c r="Y100" s="206">
        <f t="array" ref="Y100">IF(Y$78&gt;" ",(Y$628:Y$1078),"")</f>
        <v>0</v>
      </c>
      <c r="Z100" s="206">
        <f t="array" ref="Z100">IF(Z$78&gt;" ",(Z$628:Z$1078),"")</f>
        <v>0</v>
      </c>
      <c r="AA100" s="206">
        <f t="array" ref="AA100">IF(AA$78&gt;" ",(AA$628:AA$1078),"")</f>
        <v>0</v>
      </c>
      <c r="AB100" s="210">
        <v>0</v>
      </c>
      <c r="AC100" s="204">
        <f t="shared" si="4"/>
        <v>0</v>
      </c>
      <c r="AD100" s="206">
        <f t="shared" si="5"/>
        <v>0</v>
      </c>
      <c r="AE100" s="206">
        <f t="shared" si="6"/>
        <v>0</v>
      </c>
      <c r="AF100" s="206">
        <f t="shared" si="7"/>
        <v>0</v>
      </c>
      <c r="AG100" s="206">
        <f t="shared" si="8"/>
        <v>0</v>
      </c>
      <c r="AH100" s="206">
        <f t="shared" si="9"/>
        <v>0</v>
      </c>
      <c r="AI100" s="206">
        <f t="shared" si="10"/>
        <v>0</v>
      </c>
      <c r="AJ100" s="206">
        <f t="shared" si="11"/>
        <v>0</v>
      </c>
      <c r="AK100" s="206">
        <f t="shared" si="12"/>
        <v>0</v>
      </c>
      <c r="AL100" s="206">
        <f t="shared" si="13"/>
        <v>0</v>
      </c>
      <c r="AM100" s="214">
        <f t="shared" si="14"/>
        <v>0</v>
      </c>
      <c r="AN100" s="4"/>
      <c r="AO100" s="167">
        <v>2400</v>
      </c>
      <c r="AP100" s="215">
        <v>2.6953825322563961E-4</v>
      </c>
      <c r="AQ100" s="190">
        <v>2.2340740310904483E-4</v>
      </c>
      <c r="AR100" s="190">
        <v>2.220015525870622E-4</v>
      </c>
      <c r="AS100" s="170">
        <v>2.4470827747195378E-4</v>
      </c>
      <c r="AU100" s="216">
        <v>95.356002886447911</v>
      </c>
      <c r="AV100" s="217">
        <v>95.294692685541136</v>
      </c>
      <c r="AW100" s="217">
        <v>88.951212150106628</v>
      </c>
      <c r="AX100" s="217">
        <v>89.032200937896405</v>
      </c>
      <c r="AY100" s="217"/>
      <c r="AZ100" s="218">
        <v>0</v>
      </c>
      <c r="BA100" s="8"/>
      <c r="BB100" s="219"/>
      <c r="BC100" s="220"/>
    </row>
    <row r="101" spans="2:55" hidden="1" x14ac:dyDescent="0.25">
      <c r="B101" s="174" t="s">
        <v>113</v>
      </c>
      <c r="C101" s="201"/>
      <c r="O101" s="195">
        <v>2395</v>
      </c>
      <c r="P101" s="202">
        <f t="shared" si="18"/>
        <v>0</v>
      </c>
      <c r="Q101" s="203">
        <f t="shared" si="18"/>
        <v>0</v>
      </c>
      <c r="R101" s="157">
        <f ca="1"/>
        <v>95.322731450166046</v>
      </c>
      <c r="T101" s="204">
        <v>0</v>
      </c>
      <c r="U101" s="206">
        <v>0</v>
      </c>
      <c r="V101" s="206">
        <v>0</v>
      </c>
      <c r="W101" s="206">
        <v>0</v>
      </c>
      <c r="X101" s="206">
        <f t="array" ref="X101">IF(X$78&gt;" ",(X$628:X$1078),"")</f>
        <v>0</v>
      </c>
      <c r="Y101" s="206">
        <f t="array" ref="Y101">IF(Y$78&gt;" ",(Y$628:Y$1078),"")</f>
        <v>0</v>
      </c>
      <c r="Z101" s="206">
        <f t="array" ref="Z101">IF(Z$78&gt;" ",(Z$628:Z$1078),"")</f>
        <v>0</v>
      </c>
      <c r="AA101" s="206">
        <f t="array" ref="AA101">IF(AA$78&gt;" ",(AA$628:AA$1078),"")</f>
        <v>0</v>
      </c>
      <c r="AB101" s="210">
        <v>0</v>
      </c>
      <c r="AC101" s="204">
        <f t="shared" si="4"/>
        <v>0</v>
      </c>
      <c r="AD101" s="206">
        <f t="shared" si="5"/>
        <v>0</v>
      </c>
      <c r="AE101" s="206">
        <f t="shared" si="6"/>
        <v>0</v>
      </c>
      <c r="AF101" s="206">
        <f t="shared" si="7"/>
        <v>0</v>
      </c>
      <c r="AG101" s="206">
        <f t="shared" si="8"/>
        <v>0</v>
      </c>
      <c r="AH101" s="206">
        <f t="shared" si="9"/>
        <v>0</v>
      </c>
      <c r="AI101" s="206">
        <f t="shared" si="10"/>
        <v>0</v>
      </c>
      <c r="AJ101" s="206">
        <f t="shared" si="11"/>
        <v>0</v>
      </c>
      <c r="AK101" s="206">
        <f t="shared" si="12"/>
        <v>0</v>
      </c>
      <c r="AL101" s="206">
        <f t="shared" si="13"/>
        <v>0</v>
      </c>
      <c r="AM101" s="214">
        <f t="shared" si="14"/>
        <v>0</v>
      </c>
      <c r="AN101" s="4"/>
      <c r="AO101" s="167">
        <v>2395</v>
      </c>
      <c r="AP101" s="215">
        <v>2.8341154567107697E-4</v>
      </c>
      <c r="AQ101" s="190">
        <v>2.3271187623449989E-4</v>
      </c>
      <c r="AR101" s="190">
        <v>2.0412074803441001E-4</v>
      </c>
      <c r="AS101" s="170">
        <v>2.2496976732596329E-4</v>
      </c>
      <c r="AU101" s="216">
        <v>95.384975784005448</v>
      </c>
      <c r="AV101" s="217">
        <v>95.322731450166046</v>
      </c>
      <c r="AW101" s="217">
        <v>89.041793449033989</v>
      </c>
      <c r="AX101" s="217">
        <v>89.114541398767869</v>
      </c>
      <c r="AY101" s="217"/>
      <c r="AZ101" s="218">
        <v>0</v>
      </c>
      <c r="BA101" s="8"/>
      <c r="BB101" s="219"/>
      <c r="BC101" s="220"/>
    </row>
    <row r="102" spans="2:55" hidden="1" x14ac:dyDescent="0.25">
      <c r="B102" s="174" t="s">
        <v>119</v>
      </c>
      <c r="C102" s="201"/>
      <c r="O102" s="195">
        <v>2390</v>
      </c>
      <c r="P102" s="202">
        <f t="shared" si="18"/>
        <v>0</v>
      </c>
      <c r="Q102" s="203">
        <f t="shared" si="18"/>
        <v>0</v>
      </c>
      <c r="R102" s="157">
        <f ca="1"/>
        <v>95.370939841955916</v>
      </c>
      <c r="T102" s="204">
        <v>0</v>
      </c>
      <c r="U102" s="206">
        <v>0</v>
      </c>
      <c r="V102" s="206">
        <v>0</v>
      </c>
      <c r="W102" s="206">
        <v>0</v>
      </c>
      <c r="X102" s="206">
        <f t="array" ref="X102">IF(X$78&gt;" ",(X$628:X$1078),"")</f>
        <v>0</v>
      </c>
      <c r="Y102" s="206">
        <f t="array" ref="Y102">IF(Y$78&gt;" ",(Y$628:Y$1078),"")</f>
        <v>0</v>
      </c>
      <c r="Z102" s="206">
        <f t="array" ref="Z102">IF(Z$78&gt;" ",(Z$628:Z$1078),"")</f>
        <v>0</v>
      </c>
      <c r="AA102" s="206">
        <f t="array" ref="AA102">IF(AA$78&gt;" ",(AA$628:AA$1078),"")</f>
        <v>0</v>
      </c>
      <c r="AB102" s="210">
        <v>0</v>
      </c>
      <c r="AC102" s="204">
        <f t="shared" si="4"/>
        <v>0</v>
      </c>
      <c r="AD102" s="206">
        <f t="shared" si="5"/>
        <v>0</v>
      </c>
      <c r="AE102" s="206">
        <f t="shared" si="6"/>
        <v>0</v>
      </c>
      <c r="AF102" s="206">
        <f t="shared" si="7"/>
        <v>0</v>
      </c>
      <c r="AG102" s="206">
        <f t="shared" si="8"/>
        <v>0</v>
      </c>
      <c r="AH102" s="206">
        <f t="shared" si="9"/>
        <v>0</v>
      </c>
      <c r="AI102" s="206">
        <f t="shared" si="10"/>
        <v>0</v>
      </c>
      <c r="AJ102" s="206">
        <f t="shared" si="11"/>
        <v>0</v>
      </c>
      <c r="AK102" s="206">
        <f t="shared" si="12"/>
        <v>0</v>
      </c>
      <c r="AL102" s="206">
        <f t="shared" si="13"/>
        <v>0</v>
      </c>
      <c r="AM102" s="214">
        <f t="shared" si="14"/>
        <v>0</v>
      </c>
      <c r="AN102" s="4"/>
      <c r="AO102" s="167">
        <v>2390</v>
      </c>
      <c r="AP102" s="215">
        <v>2.9728483811651427E-4</v>
      </c>
      <c r="AQ102" s="190">
        <v>2.4201634935995495E-4</v>
      </c>
      <c r="AR102" s="190">
        <v>1.8659695617108247E-4</v>
      </c>
      <c r="AS102" s="170">
        <v>2.0565658373826462E-4</v>
      </c>
      <c r="AU102" s="216">
        <v>95.405520468401718</v>
      </c>
      <c r="AV102" s="217">
        <v>95.370939841955916</v>
      </c>
      <c r="AW102" s="217">
        <v>89.147068770735473</v>
      </c>
      <c r="AX102" s="217">
        <v>89.227694894222068</v>
      </c>
      <c r="AY102" s="217"/>
      <c r="AZ102" s="218">
        <v>0</v>
      </c>
      <c r="BA102" s="8"/>
      <c r="BB102" s="219"/>
      <c r="BC102" s="220"/>
    </row>
    <row r="103" spans="2:55" hidden="1" x14ac:dyDescent="0.25">
      <c r="B103" s="221" t="s">
        <v>120</v>
      </c>
      <c r="C103" s="222"/>
      <c r="O103" s="195">
        <v>2385</v>
      </c>
      <c r="P103" s="202">
        <f t="shared" si="18"/>
        <v>0</v>
      </c>
      <c r="Q103" s="203">
        <f t="shared" si="18"/>
        <v>0</v>
      </c>
      <c r="R103" s="157">
        <f ca="1"/>
        <v>95.411721477979157</v>
      </c>
      <c r="T103" s="204">
        <v>0</v>
      </c>
      <c r="U103" s="206">
        <v>0</v>
      </c>
      <c r="V103" s="206">
        <v>0</v>
      </c>
      <c r="W103" s="206">
        <v>0</v>
      </c>
      <c r="X103" s="206">
        <f t="array" ref="X103">IF(X$78&gt;" ",(X$628:X$1078),"")</f>
        <v>0</v>
      </c>
      <c r="Y103" s="206">
        <f t="array" ref="Y103">IF(Y$78&gt;" ",(Y$628:Y$1078),"")</f>
        <v>0</v>
      </c>
      <c r="Z103" s="206">
        <f t="array" ref="Z103">IF(Z$78&gt;" ",(Z$628:Z$1078),"")</f>
        <v>0</v>
      </c>
      <c r="AA103" s="206">
        <f t="array" ref="AA103">IF(AA$78&gt;" ",(AA$628:AA$1078),"")</f>
        <v>0</v>
      </c>
      <c r="AB103" s="210">
        <v>0</v>
      </c>
      <c r="AC103" s="204">
        <f t="shared" si="4"/>
        <v>0</v>
      </c>
      <c r="AD103" s="206">
        <f t="shared" si="5"/>
        <v>0</v>
      </c>
      <c r="AE103" s="206">
        <f t="shared" si="6"/>
        <v>0</v>
      </c>
      <c r="AF103" s="206">
        <f t="shared" si="7"/>
        <v>0</v>
      </c>
      <c r="AG103" s="206">
        <f t="shared" si="8"/>
        <v>0</v>
      </c>
      <c r="AH103" s="206">
        <f t="shared" si="9"/>
        <v>0</v>
      </c>
      <c r="AI103" s="206">
        <f t="shared" si="10"/>
        <v>0</v>
      </c>
      <c r="AJ103" s="206">
        <f t="shared" si="11"/>
        <v>0</v>
      </c>
      <c r="AK103" s="206">
        <f t="shared" si="12"/>
        <v>0</v>
      </c>
      <c r="AL103" s="206">
        <f t="shared" si="13"/>
        <v>0</v>
      </c>
      <c r="AM103" s="214">
        <f t="shared" si="14"/>
        <v>0</v>
      </c>
      <c r="AN103" s="4"/>
      <c r="AO103" s="167">
        <v>2385</v>
      </c>
      <c r="AP103" s="215">
        <v>3.1115813056195162E-4</v>
      </c>
      <c r="AQ103" s="190">
        <v>2.5132082248541005E-4</v>
      </c>
      <c r="AR103" s="190">
        <v>1.550038473397232E-4</v>
      </c>
      <c r="AS103" s="170">
        <v>1.7083017357707975E-4</v>
      </c>
      <c r="AU103" s="216">
        <v>95.480519830092518</v>
      </c>
      <c r="AV103" s="217">
        <v>95.411721477979157</v>
      </c>
      <c r="AW103" s="217">
        <v>89.274712645855743</v>
      </c>
      <c r="AX103" s="217">
        <v>89.358377067814828</v>
      </c>
      <c r="AY103" s="217"/>
      <c r="AZ103" s="218">
        <v>0</v>
      </c>
      <c r="BA103" s="8"/>
      <c r="BB103" s="219"/>
      <c r="BC103" s="220"/>
    </row>
    <row r="104" spans="2:55" hidden="1" x14ac:dyDescent="0.25">
      <c r="B104" s="8"/>
      <c r="C104" s="229"/>
      <c r="O104" s="195">
        <v>2380</v>
      </c>
      <c r="P104" s="202">
        <f t="shared" si="18"/>
        <v>0</v>
      </c>
      <c r="Q104" s="203">
        <f t="shared" si="18"/>
        <v>0</v>
      </c>
      <c r="R104" s="157">
        <f ca="1"/>
        <v>95.468765096151785</v>
      </c>
      <c r="T104" s="204">
        <v>0</v>
      </c>
      <c r="U104" s="206">
        <v>0</v>
      </c>
      <c r="V104" s="206">
        <v>0</v>
      </c>
      <c r="W104" s="206">
        <v>0</v>
      </c>
      <c r="X104" s="206">
        <f t="array" ref="X104">IF(X$78&gt;" ",(X$628:X$1078),"")</f>
        <v>0</v>
      </c>
      <c r="Y104" s="206">
        <f t="array" ref="Y104">IF(Y$78&gt;" ",(Y$628:Y$1078),"")</f>
        <v>0</v>
      </c>
      <c r="Z104" s="206">
        <f t="array" ref="Z104">IF(Z$78&gt;" ",(Z$628:Z$1078),"")</f>
        <v>0</v>
      </c>
      <c r="AA104" s="206">
        <f t="array" ref="AA104">IF(AA$78&gt;" ",(AA$628:AA$1078),"")</f>
        <v>0</v>
      </c>
      <c r="AB104" s="210">
        <v>0</v>
      </c>
      <c r="AC104" s="204">
        <f t="shared" si="4"/>
        <v>0</v>
      </c>
      <c r="AD104" s="206">
        <f t="shared" si="5"/>
        <v>0</v>
      </c>
      <c r="AE104" s="206">
        <f t="shared" si="6"/>
        <v>0</v>
      </c>
      <c r="AF104" s="206">
        <f t="shared" si="7"/>
        <v>0</v>
      </c>
      <c r="AG104" s="206">
        <f t="shared" si="8"/>
        <v>0</v>
      </c>
      <c r="AH104" s="206">
        <f t="shared" si="9"/>
        <v>0</v>
      </c>
      <c r="AI104" s="206">
        <f t="shared" si="10"/>
        <v>0</v>
      </c>
      <c r="AJ104" s="206">
        <f t="shared" si="11"/>
        <v>0</v>
      </c>
      <c r="AK104" s="206">
        <f t="shared" si="12"/>
        <v>0</v>
      </c>
      <c r="AL104" s="206">
        <f t="shared" si="13"/>
        <v>0</v>
      </c>
      <c r="AM104" s="214">
        <f t="shared" si="14"/>
        <v>0</v>
      </c>
      <c r="AN104" s="4"/>
      <c r="AO104" s="167">
        <v>2380</v>
      </c>
      <c r="AP104" s="215">
        <v>3.2503142300738898E-4</v>
      </c>
      <c r="AQ104" s="190">
        <v>2.6062529561086511E-4</v>
      </c>
      <c r="AR104" s="190">
        <v>2.1396625290339005E-4</v>
      </c>
      <c r="AS104" s="170">
        <v>2.3576522694365983E-4</v>
      </c>
      <c r="AU104" s="216">
        <v>95.513767711151559</v>
      </c>
      <c r="AV104" s="217">
        <v>95.468765096151785</v>
      </c>
      <c r="AW104" s="217">
        <v>89.392911921355164</v>
      </c>
      <c r="AX104" s="217">
        <v>89.471992552311789</v>
      </c>
      <c r="AY104" s="217"/>
      <c r="AZ104" s="218">
        <v>0</v>
      </c>
      <c r="BA104" s="8"/>
      <c r="BB104" s="219"/>
      <c r="BC104" s="220"/>
    </row>
    <row r="105" spans="2:55" hidden="1" x14ac:dyDescent="0.25">
      <c r="B105" s="108" t="s">
        <v>127</v>
      </c>
      <c r="C105" s="226"/>
      <c r="O105" s="195">
        <v>2375</v>
      </c>
      <c r="P105" s="202">
        <f t="shared" si="18"/>
        <v>0</v>
      </c>
      <c r="Q105" s="203">
        <f t="shared" si="18"/>
        <v>0</v>
      </c>
      <c r="R105" s="157">
        <f ca="1"/>
        <v>95.503348500852738</v>
      </c>
      <c r="T105" s="204">
        <v>0</v>
      </c>
      <c r="U105" s="206">
        <v>0</v>
      </c>
      <c r="V105" s="206">
        <v>0</v>
      </c>
      <c r="W105" s="206">
        <v>0</v>
      </c>
      <c r="X105" s="206">
        <f t="array" ref="X105">IF(X$78&gt;" ",(X$628:X$1078),"")</f>
        <v>0</v>
      </c>
      <c r="Y105" s="206">
        <f t="array" ref="Y105">IF(Y$78&gt;" ",(Y$628:Y$1078),"")</f>
        <v>0</v>
      </c>
      <c r="Z105" s="206">
        <f t="array" ref="Z105">IF(Z$78&gt;" ",(Z$628:Z$1078),"")</f>
        <v>0</v>
      </c>
      <c r="AA105" s="206">
        <f t="array" ref="AA105">IF(AA$78&gt;" ",(AA$628:AA$1078),"")</f>
        <v>0</v>
      </c>
      <c r="AB105" s="210">
        <v>0</v>
      </c>
      <c r="AC105" s="204">
        <f t="shared" si="4"/>
        <v>0</v>
      </c>
      <c r="AD105" s="206">
        <f t="shared" si="5"/>
        <v>0</v>
      </c>
      <c r="AE105" s="206">
        <f t="shared" si="6"/>
        <v>0</v>
      </c>
      <c r="AF105" s="206">
        <f t="shared" si="7"/>
        <v>0</v>
      </c>
      <c r="AG105" s="206">
        <f t="shared" si="8"/>
        <v>0</v>
      </c>
      <c r="AH105" s="206">
        <f t="shared" si="9"/>
        <v>0</v>
      </c>
      <c r="AI105" s="206">
        <f t="shared" si="10"/>
        <v>0</v>
      </c>
      <c r="AJ105" s="206">
        <f t="shared" si="11"/>
        <v>0</v>
      </c>
      <c r="AK105" s="206">
        <f t="shared" si="12"/>
        <v>0</v>
      </c>
      <c r="AL105" s="206">
        <f t="shared" si="13"/>
        <v>0</v>
      </c>
      <c r="AM105" s="214">
        <f t="shared" si="14"/>
        <v>0</v>
      </c>
      <c r="AN105" s="4"/>
      <c r="AO105" s="167">
        <v>2375</v>
      </c>
      <c r="AP105" s="215">
        <v>3.3890471545282628E-4</v>
      </c>
      <c r="AQ105" s="190">
        <v>2.6992976873632018E-4</v>
      </c>
      <c r="AR105" s="190">
        <v>2.2198646754385129E-4</v>
      </c>
      <c r="AS105" s="170">
        <v>2.4458515662613249E-4</v>
      </c>
      <c r="AU105" s="216">
        <v>95.551213773924488</v>
      </c>
      <c r="AV105" s="217">
        <v>95.503348500852738</v>
      </c>
      <c r="AW105" s="217">
        <v>89.464960521325239</v>
      </c>
      <c r="AX105" s="217">
        <v>89.547944197140893</v>
      </c>
      <c r="AY105" s="217"/>
      <c r="AZ105" s="218">
        <v>0</v>
      </c>
      <c r="BA105" s="8"/>
      <c r="BB105" s="219"/>
      <c r="BC105" s="220"/>
    </row>
    <row r="106" spans="2:55" hidden="1" x14ac:dyDescent="0.25">
      <c r="B106" s="174" t="s">
        <v>109</v>
      </c>
      <c r="C106" s="201"/>
      <c r="O106" s="195">
        <v>2370</v>
      </c>
      <c r="P106" s="202">
        <f t="shared" si="18"/>
        <v>0</v>
      </c>
      <c r="Q106" s="203">
        <f t="shared" si="18"/>
        <v>0</v>
      </c>
      <c r="R106" s="157">
        <f ca="1"/>
        <v>95.512413887416869</v>
      </c>
      <c r="T106" s="204">
        <v>0</v>
      </c>
      <c r="U106" s="206">
        <v>0</v>
      </c>
      <c r="V106" s="206">
        <v>0</v>
      </c>
      <c r="W106" s="206">
        <v>0</v>
      </c>
      <c r="X106" s="206">
        <f t="array" ref="X106">IF(X$78&gt;" ",(X$628:X$1078),"")</f>
        <v>0</v>
      </c>
      <c r="Y106" s="206">
        <f t="array" ref="Y106">IF(Y$78&gt;" ",(Y$628:Y$1078),"")</f>
        <v>0</v>
      </c>
      <c r="Z106" s="206">
        <f t="array" ref="Z106">IF(Z$78&gt;" ",(Z$628:Z$1078),"")</f>
        <v>0</v>
      </c>
      <c r="AA106" s="206">
        <f t="array" ref="AA106">IF(AA$78&gt;" ",(AA$628:AA$1078),"")</f>
        <v>0</v>
      </c>
      <c r="AB106" s="210">
        <v>0</v>
      </c>
      <c r="AC106" s="204">
        <f t="shared" si="4"/>
        <v>0</v>
      </c>
      <c r="AD106" s="206">
        <f t="shared" si="5"/>
        <v>0</v>
      </c>
      <c r="AE106" s="206">
        <f t="shared" si="6"/>
        <v>0</v>
      </c>
      <c r="AF106" s="206">
        <f t="shared" si="7"/>
        <v>0</v>
      </c>
      <c r="AG106" s="206">
        <f t="shared" si="8"/>
        <v>0</v>
      </c>
      <c r="AH106" s="206">
        <f t="shared" si="9"/>
        <v>0</v>
      </c>
      <c r="AI106" s="206">
        <f t="shared" si="10"/>
        <v>0</v>
      </c>
      <c r="AJ106" s="206">
        <f t="shared" si="11"/>
        <v>0</v>
      </c>
      <c r="AK106" s="206">
        <f t="shared" si="12"/>
        <v>0</v>
      </c>
      <c r="AL106" s="206">
        <f t="shared" si="13"/>
        <v>0</v>
      </c>
      <c r="AM106" s="214">
        <f t="shared" si="14"/>
        <v>0</v>
      </c>
      <c r="AN106" s="4"/>
      <c r="AO106" s="167">
        <v>2370</v>
      </c>
      <c r="AP106" s="215">
        <v>3.5277800789826363E-4</v>
      </c>
      <c r="AQ106" s="190">
        <v>2.7923424186177524E-4</v>
      </c>
      <c r="AR106" s="190">
        <v>1.549585922100905E-4</v>
      </c>
      <c r="AS106" s="170">
        <v>1.7076861315416908E-4</v>
      </c>
      <c r="AU106" s="216">
        <v>95.564750226092315</v>
      </c>
      <c r="AV106" s="217">
        <v>95.512413887416869</v>
      </c>
      <c r="AW106" s="217">
        <v>89.51960581238643</v>
      </c>
      <c r="AX106" s="217">
        <v>89.602419318891819</v>
      </c>
      <c r="AY106" s="217"/>
      <c r="AZ106" s="218">
        <v>0</v>
      </c>
      <c r="BA106" s="8"/>
      <c r="BB106" s="219"/>
      <c r="BC106" s="220"/>
    </row>
    <row r="107" spans="2:55" hidden="1" x14ac:dyDescent="0.25">
      <c r="B107" s="174" t="s">
        <v>113</v>
      </c>
      <c r="C107" s="201"/>
      <c r="O107" s="195">
        <v>2365</v>
      </c>
      <c r="P107" s="202">
        <f t="shared" si="18"/>
        <v>0</v>
      </c>
      <c r="Q107" s="203">
        <f t="shared" si="18"/>
        <v>0</v>
      </c>
      <c r="R107" s="157">
        <f ca="1"/>
        <v>95.502961575160043</v>
      </c>
      <c r="T107" s="204">
        <v>0</v>
      </c>
      <c r="U107" s="206">
        <v>0</v>
      </c>
      <c r="V107" s="206">
        <v>0</v>
      </c>
      <c r="W107" s="206">
        <v>0</v>
      </c>
      <c r="X107" s="206">
        <f t="array" ref="X107">IF(X$78&gt;" ",(X$628:X$1078),"")</f>
        <v>0</v>
      </c>
      <c r="Y107" s="206">
        <f t="array" ref="Y107">IF(Y$78&gt;" ",(Y$628:Y$1078),"")</f>
        <v>0</v>
      </c>
      <c r="Z107" s="206">
        <f t="array" ref="Z107">IF(Z$78&gt;" ",(Z$628:Z$1078),"")</f>
        <v>0</v>
      </c>
      <c r="AA107" s="206">
        <f t="array" ref="AA107">IF(AA$78&gt;" ",(AA$628:AA$1078),"")</f>
        <v>0</v>
      </c>
      <c r="AB107" s="210">
        <v>0</v>
      </c>
      <c r="AC107" s="204">
        <f t="shared" si="4"/>
        <v>0</v>
      </c>
      <c r="AD107" s="206">
        <f t="shared" si="5"/>
        <v>0</v>
      </c>
      <c r="AE107" s="206">
        <f t="shared" si="6"/>
        <v>0</v>
      </c>
      <c r="AF107" s="206">
        <f t="shared" si="7"/>
        <v>0</v>
      </c>
      <c r="AG107" s="206">
        <f t="shared" si="8"/>
        <v>0</v>
      </c>
      <c r="AH107" s="206">
        <f t="shared" si="9"/>
        <v>0</v>
      </c>
      <c r="AI107" s="206">
        <f t="shared" si="10"/>
        <v>0</v>
      </c>
      <c r="AJ107" s="206">
        <f t="shared" si="11"/>
        <v>0</v>
      </c>
      <c r="AK107" s="206">
        <f t="shared" si="12"/>
        <v>0</v>
      </c>
      <c r="AL107" s="206">
        <f t="shared" si="13"/>
        <v>0</v>
      </c>
      <c r="AM107" s="214">
        <f t="shared" si="14"/>
        <v>0</v>
      </c>
      <c r="AN107" s="4"/>
      <c r="AO107" s="167">
        <v>2365</v>
      </c>
      <c r="AP107" s="215">
        <v>3.6665130034370093E-4</v>
      </c>
      <c r="AQ107" s="190">
        <v>2.885387149872303E-4</v>
      </c>
      <c r="AR107" s="190">
        <v>2.4844563333576797E-4</v>
      </c>
      <c r="AS107" s="170">
        <v>2.7371442946703994E-4</v>
      </c>
      <c r="AU107" s="216">
        <v>95.539556594058624</v>
      </c>
      <c r="AV107" s="217">
        <v>95.502961575160043</v>
      </c>
      <c r="AW107" s="217">
        <v>89.557060151552207</v>
      </c>
      <c r="AX107" s="217">
        <v>89.643889271446596</v>
      </c>
      <c r="AY107" s="217"/>
      <c r="AZ107" s="218">
        <v>0</v>
      </c>
      <c r="BA107" s="8"/>
      <c r="BB107" s="219"/>
      <c r="BC107" s="220"/>
    </row>
    <row r="108" spans="2:55" hidden="1" x14ac:dyDescent="0.25">
      <c r="B108" s="174" t="s">
        <v>119</v>
      </c>
      <c r="C108" s="201"/>
      <c r="O108" s="195">
        <v>2360</v>
      </c>
      <c r="P108" s="202">
        <f t="shared" si="18"/>
        <v>0</v>
      </c>
      <c r="Q108" s="203">
        <f t="shared" si="18"/>
        <v>0</v>
      </c>
      <c r="R108" s="157">
        <f ca="1"/>
        <v>95.481728483669031</v>
      </c>
      <c r="T108" s="204">
        <v>0</v>
      </c>
      <c r="U108" s="206">
        <v>0</v>
      </c>
      <c r="V108" s="206">
        <v>0</v>
      </c>
      <c r="W108" s="206">
        <v>0</v>
      </c>
      <c r="X108" s="206">
        <f t="array" ref="X108">IF(X$78&gt;" ",(X$628:X$1078),"")</f>
        <v>0</v>
      </c>
      <c r="Y108" s="206">
        <f t="array" ref="Y108">IF(Y$78&gt;" ",(Y$628:Y$1078),"")</f>
        <v>0</v>
      </c>
      <c r="Z108" s="206">
        <f t="array" ref="Z108">IF(Z$78&gt;" ",(Z$628:Z$1078),"")</f>
        <v>0</v>
      </c>
      <c r="AA108" s="206">
        <f t="array" ref="AA108">IF(AA$78&gt;" ",(AA$628:AA$1078),"")</f>
        <v>0</v>
      </c>
      <c r="AB108" s="210">
        <v>0</v>
      </c>
      <c r="AC108" s="204">
        <f t="shared" si="4"/>
        <v>0</v>
      </c>
      <c r="AD108" s="206">
        <f t="shared" si="5"/>
        <v>0</v>
      </c>
      <c r="AE108" s="206">
        <f t="shared" si="6"/>
        <v>0</v>
      </c>
      <c r="AF108" s="206">
        <f t="shared" si="7"/>
        <v>0</v>
      </c>
      <c r="AG108" s="206">
        <f t="shared" si="8"/>
        <v>0</v>
      </c>
      <c r="AH108" s="206">
        <f t="shared" si="9"/>
        <v>0</v>
      </c>
      <c r="AI108" s="206">
        <f t="shared" si="10"/>
        <v>0</v>
      </c>
      <c r="AJ108" s="206">
        <f t="shared" si="11"/>
        <v>0</v>
      </c>
      <c r="AK108" s="206">
        <f t="shared" si="12"/>
        <v>0</v>
      </c>
      <c r="AL108" s="206">
        <f t="shared" si="13"/>
        <v>0</v>
      </c>
      <c r="AM108" s="214">
        <f t="shared" si="14"/>
        <v>0</v>
      </c>
      <c r="AN108" s="4"/>
      <c r="AO108" s="167">
        <v>2360</v>
      </c>
      <c r="AP108" s="215">
        <v>3.8052459278913828E-4</v>
      </c>
      <c r="AQ108" s="190">
        <v>2.9784318811268542E-4</v>
      </c>
      <c r="AR108" s="190">
        <v>2.5260910526197605E-4</v>
      </c>
      <c r="AS108" s="170">
        <v>2.7827549716451152E-4</v>
      </c>
      <c r="AU108" s="216">
        <v>95.53134074895722</v>
      </c>
      <c r="AV108" s="217">
        <v>95.481728483669031</v>
      </c>
      <c r="AW108" s="217">
        <v>89.611066282127169</v>
      </c>
      <c r="AX108" s="217">
        <v>89.697326497909657</v>
      </c>
      <c r="AY108" s="217"/>
      <c r="AZ108" s="218">
        <v>0</v>
      </c>
      <c r="BA108" s="8"/>
      <c r="BB108" s="219"/>
      <c r="BC108" s="220"/>
    </row>
    <row r="109" spans="2:55" hidden="1" x14ac:dyDescent="0.25">
      <c r="B109" s="221" t="s">
        <v>120</v>
      </c>
      <c r="C109" s="222"/>
      <c r="O109" s="195">
        <v>2355</v>
      </c>
      <c r="P109" s="202">
        <f t="shared" si="18"/>
        <v>0</v>
      </c>
      <c r="Q109" s="203">
        <f t="shared" si="18"/>
        <v>0</v>
      </c>
      <c r="R109" s="157">
        <f ca="1"/>
        <v>95.491427091886933</v>
      </c>
      <c r="T109" s="204">
        <v>0</v>
      </c>
      <c r="U109" s="206">
        <v>0</v>
      </c>
      <c r="V109" s="206">
        <v>0</v>
      </c>
      <c r="W109" s="206">
        <v>0</v>
      </c>
      <c r="X109" s="206">
        <f t="array" ref="X109">IF(X$78&gt;" ",(X$628:X$1078),"")</f>
        <v>0</v>
      </c>
      <c r="Y109" s="206">
        <f t="array" ref="Y109">IF(Y$78&gt;" ",(Y$628:Y$1078),"")</f>
        <v>0</v>
      </c>
      <c r="Z109" s="206">
        <f t="array" ref="Z109">IF(Z$78&gt;" ",(Z$628:Z$1078),"")</f>
        <v>0</v>
      </c>
      <c r="AA109" s="206">
        <f t="array" ref="AA109">IF(AA$78&gt;" ",(AA$628:AA$1078),"")</f>
        <v>0</v>
      </c>
      <c r="AB109" s="210">
        <v>0</v>
      </c>
      <c r="AC109" s="204">
        <f t="shared" si="4"/>
        <v>0</v>
      </c>
      <c r="AD109" s="206">
        <f t="shared" si="5"/>
        <v>0</v>
      </c>
      <c r="AE109" s="206">
        <f t="shared" si="6"/>
        <v>0</v>
      </c>
      <c r="AF109" s="206">
        <f t="shared" si="7"/>
        <v>0</v>
      </c>
      <c r="AG109" s="206">
        <f t="shared" si="8"/>
        <v>0</v>
      </c>
      <c r="AH109" s="206">
        <f t="shared" si="9"/>
        <v>0</v>
      </c>
      <c r="AI109" s="206">
        <f t="shared" si="10"/>
        <v>0</v>
      </c>
      <c r="AJ109" s="206">
        <f t="shared" si="11"/>
        <v>0</v>
      </c>
      <c r="AK109" s="206">
        <f t="shared" si="12"/>
        <v>0</v>
      </c>
      <c r="AL109" s="206">
        <f t="shared" si="13"/>
        <v>0</v>
      </c>
      <c r="AM109" s="214">
        <f t="shared" si="14"/>
        <v>0</v>
      </c>
      <c r="AN109" s="4"/>
      <c r="AO109" s="167">
        <v>2355</v>
      </c>
      <c r="AP109" s="215">
        <v>3.8323318798086652E-4</v>
      </c>
      <c r="AQ109" s="190">
        <v>3.0714766123814043E-4</v>
      </c>
      <c r="AR109" s="190">
        <v>2.3871075211700122E-4</v>
      </c>
      <c r="AS109" s="170">
        <v>2.6296374106600572E-4</v>
      </c>
      <c r="AU109" s="216">
        <v>95.545941937517966</v>
      </c>
      <c r="AV109" s="217">
        <v>95.491427091886933</v>
      </c>
      <c r="AW109" s="217">
        <v>89.638179091929658</v>
      </c>
      <c r="AX109" s="217">
        <v>89.723023376687408</v>
      </c>
      <c r="AY109" s="217"/>
      <c r="AZ109" s="218">
        <v>0</v>
      </c>
      <c r="BA109" s="8"/>
      <c r="BB109" s="219"/>
      <c r="BC109" s="220"/>
    </row>
    <row r="110" spans="2:55" hidden="1" x14ac:dyDescent="0.25">
      <c r="B110" s="8"/>
      <c r="C110" s="229"/>
      <c r="O110" s="195">
        <v>2350</v>
      </c>
      <c r="P110" s="202">
        <f t="shared" si="18"/>
        <v>0</v>
      </c>
      <c r="Q110" s="203">
        <f t="shared" si="18"/>
        <v>0</v>
      </c>
      <c r="R110" s="157">
        <f ca="1"/>
        <v>95.511777154715631</v>
      </c>
      <c r="T110" s="204">
        <v>0</v>
      </c>
      <c r="U110" s="206">
        <v>0</v>
      </c>
      <c r="V110" s="206">
        <v>0</v>
      </c>
      <c r="W110" s="206">
        <v>0</v>
      </c>
      <c r="X110" s="206">
        <f t="array" ref="X110">IF(X$78&gt;" ",(X$628:X$1078),"")</f>
        <v>0</v>
      </c>
      <c r="Y110" s="206">
        <f t="array" ref="Y110">IF(Y$78&gt;" ",(Y$628:Y$1078),"")</f>
        <v>0</v>
      </c>
      <c r="Z110" s="206">
        <f t="array" ref="Z110">IF(Z$78&gt;" ",(Z$628:Z$1078),"")</f>
        <v>0</v>
      </c>
      <c r="AA110" s="206">
        <f t="array" ref="AA110">IF(AA$78&gt;" ",(AA$628:AA$1078),"")</f>
        <v>0</v>
      </c>
      <c r="AB110" s="210">
        <v>0</v>
      </c>
      <c r="AC110" s="204">
        <f t="shared" si="4"/>
        <v>0</v>
      </c>
      <c r="AD110" s="206">
        <f t="shared" si="5"/>
        <v>0</v>
      </c>
      <c r="AE110" s="206">
        <f t="shared" si="6"/>
        <v>0</v>
      </c>
      <c r="AF110" s="206">
        <f t="shared" si="7"/>
        <v>0</v>
      </c>
      <c r="AG110" s="206">
        <f t="shared" si="8"/>
        <v>0</v>
      </c>
      <c r="AH110" s="206">
        <f t="shared" si="9"/>
        <v>0</v>
      </c>
      <c r="AI110" s="206">
        <f t="shared" si="10"/>
        <v>0</v>
      </c>
      <c r="AJ110" s="206">
        <f t="shared" si="11"/>
        <v>0</v>
      </c>
      <c r="AK110" s="206">
        <f t="shared" si="12"/>
        <v>0</v>
      </c>
      <c r="AL110" s="206">
        <f t="shared" si="13"/>
        <v>0</v>
      </c>
      <c r="AM110" s="214">
        <f t="shared" si="14"/>
        <v>0</v>
      </c>
      <c r="AN110" s="4"/>
      <c r="AO110" s="167">
        <v>2350</v>
      </c>
      <c r="AP110" s="215">
        <v>3.8594178317259481E-4</v>
      </c>
      <c r="AQ110" s="190">
        <v>3.164521343635955E-4</v>
      </c>
      <c r="AR110" s="190">
        <v>2.0885745160263225E-4</v>
      </c>
      <c r="AS110" s="170">
        <v>2.3009607163379639E-4</v>
      </c>
      <c r="AU110" s="216">
        <v>95.568194615190691</v>
      </c>
      <c r="AV110" s="217">
        <v>95.511777154715631</v>
      </c>
      <c r="AW110" s="217">
        <v>89.681562022299488</v>
      </c>
      <c r="AX110" s="217">
        <v>89.767733806586406</v>
      </c>
      <c r="AY110" s="217"/>
      <c r="AZ110" s="218">
        <v>0</v>
      </c>
      <c r="BA110" s="8"/>
      <c r="BB110" s="219"/>
      <c r="BC110" s="220"/>
    </row>
    <row r="111" spans="2:55" hidden="1" x14ac:dyDescent="0.25">
      <c r="B111" s="108" t="s">
        <v>128</v>
      </c>
      <c r="C111" s="226"/>
      <c r="O111" s="195">
        <v>2345</v>
      </c>
      <c r="P111" s="202">
        <f t="shared" si="18"/>
        <v>0</v>
      </c>
      <c r="Q111" s="203">
        <f t="shared" si="18"/>
        <v>0</v>
      </c>
      <c r="R111" s="157">
        <f ca="1"/>
        <v>95.522627767324295</v>
      </c>
      <c r="T111" s="204">
        <v>0</v>
      </c>
      <c r="U111" s="206">
        <v>0</v>
      </c>
      <c r="V111" s="206">
        <v>0</v>
      </c>
      <c r="W111" s="206">
        <v>0</v>
      </c>
      <c r="X111" s="206">
        <f t="array" ref="X111">IF(X$78&gt;" ",(X$628:X$1078),"")</f>
        <v>0</v>
      </c>
      <c r="Y111" s="206">
        <f t="array" ref="Y111">IF(Y$78&gt;" ",(Y$628:Y$1078),"")</f>
        <v>0</v>
      </c>
      <c r="Z111" s="206">
        <f t="array" ref="Z111">IF(Z$78&gt;" ",(Z$628:Z$1078),"")</f>
        <v>0</v>
      </c>
      <c r="AA111" s="206">
        <f t="array" ref="AA111">IF(AA$78&gt;" ",(AA$628:AA$1078),"")</f>
        <v>0</v>
      </c>
      <c r="AB111" s="210">
        <v>0</v>
      </c>
      <c r="AC111" s="204">
        <f t="shared" si="4"/>
        <v>0</v>
      </c>
      <c r="AD111" s="206">
        <f t="shared" si="5"/>
        <v>0</v>
      </c>
      <c r="AE111" s="206">
        <f t="shared" si="6"/>
        <v>0</v>
      </c>
      <c r="AF111" s="206">
        <f t="shared" si="7"/>
        <v>0</v>
      </c>
      <c r="AG111" s="206">
        <f t="shared" si="8"/>
        <v>0</v>
      </c>
      <c r="AH111" s="206">
        <f t="shared" si="9"/>
        <v>0</v>
      </c>
      <c r="AI111" s="206">
        <f t="shared" si="10"/>
        <v>0</v>
      </c>
      <c r="AJ111" s="206">
        <f t="shared" si="11"/>
        <v>0</v>
      </c>
      <c r="AK111" s="206">
        <f t="shared" si="12"/>
        <v>0</v>
      </c>
      <c r="AL111" s="206">
        <f t="shared" si="13"/>
        <v>0</v>
      </c>
      <c r="AM111" s="214">
        <f t="shared" si="14"/>
        <v>0</v>
      </c>
      <c r="AN111" s="4"/>
      <c r="AO111" s="167">
        <v>2345</v>
      </c>
      <c r="AP111" s="215">
        <v>3.8865037836432299E-4</v>
      </c>
      <c r="AQ111" s="190">
        <v>3.1918344744235819E-4</v>
      </c>
      <c r="AR111" s="190">
        <v>2.5845707368006787E-4</v>
      </c>
      <c r="AS111" s="170">
        <v>2.8468337754930284E-4</v>
      </c>
      <c r="AU111" s="216">
        <v>95.578630331747206</v>
      </c>
      <c r="AV111" s="217">
        <v>95.522627767324295</v>
      </c>
      <c r="AW111" s="217">
        <v>89.649929719258367</v>
      </c>
      <c r="AX111" s="217">
        <v>89.735399140711436</v>
      </c>
      <c r="AY111" s="217"/>
      <c r="AZ111" s="218">
        <v>0</v>
      </c>
      <c r="BA111" s="8"/>
      <c r="BB111" s="219"/>
      <c r="BC111" s="220"/>
    </row>
    <row r="112" spans="2:55" hidden="1" x14ac:dyDescent="0.25">
      <c r="B112" s="174" t="s">
        <v>109</v>
      </c>
      <c r="C112" s="201"/>
      <c r="O112" s="195">
        <v>2340</v>
      </c>
      <c r="P112" s="202">
        <f t="shared" ref="P112:Q127" si="19">P660</f>
        <v>0</v>
      </c>
      <c r="Q112" s="203">
        <f t="shared" si="19"/>
        <v>0</v>
      </c>
      <c r="R112" s="157">
        <f ca="1"/>
        <v>95.522856013028147</v>
      </c>
      <c r="T112" s="204">
        <v>0</v>
      </c>
      <c r="U112" s="206">
        <v>0</v>
      </c>
      <c r="V112" s="206">
        <v>0</v>
      </c>
      <c r="W112" s="206">
        <v>0</v>
      </c>
      <c r="X112" s="206">
        <f t="array" ref="X112">IF(X$78&gt;" ",(X$628:X$1078),"")</f>
        <v>0</v>
      </c>
      <c r="Y112" s="206">
        <f t="array" ref="Y112">IF(Y$78&gt;" ",(Y$628:Y$1078),"")</f>
        <v>0</v>
      </c>
      <c r="Z112" s="206">
        <f t="array" ref="Z112">IF(Z$78&gt;" ",(Z$628:Z$1078),"")</f>
        <v>0</v>
      </c>
      <c r="AA112" s="206">
        <f t="array" ref="AA112">IF(AA$78&gt;" ",(AA$628:AA$1078),"")</f>
        <v>0</v>
      </c>
      <c r="AB112" s="210">
        <v>0</v>
      </c>
      <c r="AC112" s="204">
        <f t="shared" si="4"/>
        <v>0</v>
      </c>
      <c r="AD112" s="206">
        <f t="shared" si="5"/>
        <v>0</v>
      </c>
      <c r="AE112" s="206">
        <f t="shared" si="6"/>
        <v>0</v>
      </c>
      <c r="AF112" s="206">
        <f t="shared" si="7"/>
        <v>0</v>
      </c>
      <c r="AG112" s="206">
        <f t="shared" si="8"/>
        <v>0</v>
      </c>
      <c r="AH112" s="206">
        <f t="shared" si="9"/>
        <v>0</v>
      </c>
      <c r="AI112" s="206">
        <f t="shared" si="10"/>
        <v>0</v>
      </c>
      <c r="AJ112" s="206">
        <f t="shared" si="11"/>
        <v>0</v>
      </c>
      <c r="AK112" s="206">
        <f t="shared" si="12"/>
        <v>0</v>
      </c>
      <c r="AL112" s="206">
        <f t="shared" si="13"/>
        <v>0</v>
      </c>
      <c r="AM112" s="214">
        <f t="shared" si="14"/>
        <v>0</v>
      </c>
      <c r="AN112" s="4"/>
      <c r="AO112" s="167">
        <v>2340</v>
      </c>
      <c r="AP112" s="215">
        <v>3.9135897355605128E-4</v>
      </c>
      <c r="AQ112" s="190">
        <v>3.2191476052112082E-4</v>
      </c>
      <c r="AR112" s="190">
        <v>2.3047934687158738E-4</v>
      </c>
      <c r="AS112" s="170">
        <v>2.5388637688772485E-4</v>
      </c>
      <c r="AU112" s="216">
        <v>95.556848817356737</v>
      </c>
      <c r="AV112" s="217">
        <v>95.522856013028147</v>
      </c>
      <c r="AW112" s="217">
        <v>89.631522035086519</v>
      </c>
      <c r="AX112" s="217">
        <v>89.717681386469962</v>
      </c>
      <c r="AY112" s="217"/>
      <c r="AZ112" s="218">
        <v>0</v>
      </c>
      <c r="BA112" s="8"/>
      <c r="BB112" s="219"/>
      <c r="BC112" s="220"/>
    </row>
    <row r="113" spans="2:55" hidden="1" x14ac:dyDescent="0.25">
      <c r="B113" s="174" t="s">
        <v>113</v>
      </c>
      <c r="C113" s="201"/>
      <c r="O113" s="195">
        <v>2335</v>
      </c>
      <c r="P113" s="202">
        <f t="shared" si="19"/>
        <v>0</v>
      </c>
      <c r="Q113" s="203">
        <f t="shared" si="19"/>
        <v>0</v>
      </c>
      <c r="R113" s="157">
        <f ca="1"/>
        <v>95.515669034401569</v>
      </c>
      <c r="T113" s="204">
        <v>0</v>
      </c>
      <c r="U113" s="206">
        <v>0</v>
      </c>
      <c r="V113" s="206">
        <v>0</v>
      </c>
      <c r="W113" s="206">
        <v>0</v>
      </c>
      <c r="X113" s="206">
        <f t="array" ref="X113">IF(X$78&gt;" ",(X$628:X$1078),"")</f>
        <v>0</v>
      </c>
      <c r="Y113" s="206">
        <f t="array" ref="Y113">IF(Y$78&gt;" ",(Y$628:Y$1078),"")</f>
        <v>0</v>
      </c>
      <c r="Z113" s="206">
        <f t="array" ref="Z113">IF(Z$78&gt;" ",(Z$628:Z$1078),"")</f>
        <v>0</v>
      </c>
      <c r="AA113" s="206">
        <f t="array" ref="AA113">IF(AA$78&gt;" ",(AA$628:AA$1078),"")</f>
        <v>0</v>
      </c>
      <c r="AB113" s="210">
        <v>0</v>
      </c>
      <c r="AC113" s="204">
        <f t="shared" si="4"/>
        <v>0</v>
      </c>
      <c r="AD113" s="206">
        <f t="shared" si="5"/>
        <v>0</v>
      </c>
      <c r="AE113" s="206">
        <f t="shared" si="6"/>
        <v>0</v>
      </c>
      <c r="AF113" s="206">
        <f t="shared" si="7"/>
        <v>0</v>
      </c>
      <c r="AG113" s="206">
        <f t="shared" si="8"/>
        <v>0</v>
      </c>
      <c r="AH113" s="206">
        <f t="shared" si="9"/>
        <v>0</v>
      </c>
      <c r="AI113" s="206">
        <f t="shared" si="10"/>
        <v>0</v>
      </c>
      <c r="AJ113" s="206">
        <f t="shared" si="11"/>
        <v>0</v>
      </c>
      <c r="AK113" s="206">
        <f t="shared" si="12"/>
        <v>0</v>
      </c>
      <c r="AL113" s="206">
        <f t="shared" si="13"/>
        <v>0</v>
      </c>
      <c r="AM113" s="214">
        <f t="shared" si="14"/>
        <v>0</v>
      </c>
      <c r="AN113" s="4"/>
      <c r="AO113" s="167">
        <v>2335</v>
      </c>
      <c r="AP113" s="215">
        <v>3.9413363204513868E-4</v>
      </c>
      <c r="AQ113" s="190">
        <v>3.2464607359988329E-4</v>
      </c>
      <c r="AR113" s="190">
        <v>2.9147823326872553E-4</v>
      </c>
      <c r="AS113" s="170">
        <v>3.2102081627284027E-4</v>
      </c>
      <c r="AU113" s="216">
        <v>95.570532855278103</v>
      </c>
      <c r="AV113" s="217">
        <v>95.515669034401569</v>
      </c>
      <c r="AW113" s="217">
        <v>89.640583084766718</v>
      </c>
      <c r="AX113" s="217">
        <v>89.730665986097392</v>
      </c>
      <c r="AY113" s="217"/>
      <c r="AZ113" s="218">
        <v>0</v>
      </c>
      <c r="BA113" s="8"/>
      <c r="BB113" s="219"/>
      <c r="BC113" s="220"/>
    </row>
    <row r="114" spans="2:55" hidden="1" x14ac:dyDescent="0.25">
      <c r="B114" s="174" t="s">
        <v>119</v>
      </c>
      <c r="C114" s="201"/>
      <c r="O114" s="195">
        <v>2330</v>
      </c>
      <c r="P114" s="202">
        <f t="shared" si="19"/>
        <v>0</v>
      </c>
      <c r="Q114" s="203">
        <f t="shared" si="19"/>
        <v>0</v>
      </c>
      <c r="R114" s="157">
        <f ca="1"/>
        <v>95.518177556741094</v>
      </c>
      <c r="T114" s="204">
        <v>0</v>
      </c>
      <c r="U114" s="206">
        <v>0</v>
      </c>
      <c r="V114" s="206">
        <v>0</v>
      </c>
      <c r="W114" s="206">
        <v>0</v>
      </c>
      <c r="X114" s="206">
        <f t="array" ref="X114">IF(X$78&gt;" ",(X$628:X$1078),"")</f>
        <v>0</v>
      </c>
      <c r="Y114" s="206">
        <f t="array" ref="Y114">IF(Y$78&gt;" ",(Y$628:Y$1078),"")</f>
        <v>0</v>
      </c>
      <c r="Z114" s="206">
        <f t="array" ref="Z114">IF(Z$78&gt;" ",(Z$628:Z$1078),"")</f>
        <v>0</v>
      </c>
      <c r="AA114" s="206">
        <f t="array" ref="AA114">IF(AA$78&gt;" ",(AA$628:AA$1078),"")</f>
        <v>0</v>
      </c>
      <c r="AB114" s="210">
        <v>0</v>
      </c>
      <c r="AC114" s="204">
        <f t="shared" si="4"/>
        <v>0</v>
      </c>
      <c r="AD114" s="206">
        <f t="shared" si="5"/>
        <v>0</v>
      </c>
      <c r="AE114" s="206">
        <f t="shared" si="6"/>
        <v>0</v>
      </c>
      <c r="AF114" s="206">
        <f t="shared" si="7"/>
        <v>0</v>
      </c>
      <c r="AG114" s="206">
        <f t="shared" si="8"/>
        <v>0</v>
      </c>
      <c r="AH114" s="206">
        <f t="shared" si="9"/>
        <v>0</v>
      </c>
      <c r="AI114" s="206">
        <f t="shared" si="10"/>
        <v>0</v>
      </c>
      <c r="AJ114" s="206">
        <f t="shared" si="11"/>
        <v>0</v>
      </c>
      <c r="AK114" s="206">
        <f t="shared" si="12"/>
        <v>0</v>
      </c>
      <c r="AL114" s="206">
        <f t="shared" si="13"/>
        <v>0</v>
      </c>
      <c r="AM114" s="214">
        <f t="shared" si="14"/>
        <v>0</v>
      </c>
      <c r="AN114" s="4"/>
      <c r="AO114" s="167">
        <v>2330</v>
      </c>
      <c r="AP114" s="215">
        <v>3.9684222723686697E-4</v>
      </c>
      <c r="AQ114" s="190">
        <v>3.2737738667864592E-4</v>
      </c>
      <c r="AR114" s="190">
        <v>2.8573083180537311E-4</v>
      </c>
      <c r="AS114" s="170">
        <v>3.1469128551720794E-4</v>
      </c>
      <c r="AU114" s="216">
        <v>95.570701736537671</v>
      </c>
      <c r="AV114" s="217">
        <v>95.518177556741094</v>
      </c>
      <c r="AW114" s="217">
        <v>89.650504006020796</v>
      </c>
      <c r="AX114" s="217">
        <v>89.742183981483663</v>
      </c>
      <c r="AY114" s="217"/>
      <c r="AZ114" s="218">
        <v>0</v>
      </c>
      <c r="BA114" s="8"/>
      <c r="BB114" s="219"/>
      <c r="BC114" s="220"/>
    </row>
    <row r="115" spans="2:55" hidden="1" x14ac:dyDescent="0.25">
      <c r="B115" s="221" t="s">
        <v>120</v>
      </c>
      <c r="C115" s="222"/>
      <c r="O115" s="195">
        <v>2325</v>
      </c>
      <c r="P115" s="202">
        <f t="shared" si="19"/>
        <v>0</v>
      </c>
      <c r="Q115" s="203">
        <f t="shared" si="19"/>
        <v>0</v>
      </c>
      <c r="R115" s="157">
        <f ca="1"/>
        <v>95.517173510818068</v>
      </c>
      <c r="T115" s="204">
        <v>0</v>
      </c>
      <c r="U115" s="206">
        <v>0</v>
      </c>
      <c r="V115" s="206">
        <v>0</v>
      </c>
      <c r="W115" s="206">
        <v>0</v>
      </c>
      <c r="X115" s="206">
        <f t="array" ref="X115">IF(X$78&gt;" ",(X$628:X$1078),"")</f>
        <v>0</v>
      </c>
      <c r="Y115" s="206">
        <f t="array" ref="Y115">IF(Y$78&gt;" ",(Y$628:Y$1078),"")</f>
        <v>0</v>
      </c>
      <c r="Z115" s="206">
        <f t="array" ref="Z115">IF(Z$78&gt;" ",(Z$628:Z$1078),"")</f>
        <v>0</v>
      </c>
      <c r="AA115" s="206">
        <f t="array" ref="AA115">IF(AA$78&gt;" ",(AA$628:AA$1078),"")</f>
        <v>0</v>
      </c>
      <c r="AB115" s="210">
        <v>0</v>
      </c>
      <c r="AC115" s="204">
        <f t="shared" si="4"/>
        <v>0</v>
      </c>
      <c r="AD115" s="206">
        <f t="shared" si="5"/>
        <v>0</v>
      </c>
      <c r="AE115" s="206">
        <f t="shared" si="6"/>
        <v>0</v>
      </c>
      <c r="AF115" s="206">
        <f t="shared" si="7"/>
        <v>0</v>
      </c>
      <c r="AG115" s="206">
        <f t="shared" si="8"/>
        <v>0</v>
      </c>
      <c r="AH115" s="206">
        <f t="shared" si="9"/>
        <v>0</v>
      </c>
      <c r="AI115" s="206">
        <f t="shared" si="10"/>
        <v>0</v>
      </c>
      <c r="AJ115" s="206">
        <f t="shared" si="11"/>
        <v>0</v>
      </c>
      <c r="AK115" s="206">
        <f t="shared" si="12"/>
        <v>0</v>
      </c>
      <c r="AL115" s="206">
        <f t="shared" si="13"/>
        <v>0</v>
      </c>
      <c r="AM115" s="214">
        <f t="shared" si="14"/>
        <v>0</v>
      </c>
      <c r="AN115" s="4"/>
      <c r="AO115" s="167">
        <v>2325</v>
      </c>
      <c r="AP115" s="215">
        <v>3.9955082242859521E-4</v>
      </c>
      <c r="AQ115" s="190">
        <v>3.3010869975740861E-4</v>
      </c>
      <c r="AR115" s="190">
        <v>2.8266856803356059E-4</v>
      </c>
      <c r="AS115" s="170">
        <v>3.1130546225712163E-4</v>
      </c>
      <c r="AU115" s="216">
        <v>95.568030028784861</v>
      </c>
      <c r="AV115" s="217">
        <v>95.517173510818068</v>
      </c>
      <c r="AW115" s="217">
        <v>89.643137362549126</v>
      </c>
      <c r="AX115" s="217">
        <v>89.736475266604657</v>
      </c>
      <c r="AY115" s="217"/>
      <c r="AZ115" s="218">
        <v>0</v>
      </c>
      <c r="BA115" s="8"/>
      <c r="BB115" s="219"/>
      <c r="BC115" s="220"/>
    </row>
    <row r="116" spans="2:55" hidden="1" x14ac:dyDescent="0.25">
      <c r="B116" s="8"/>
      <c r="C116" s="4"/>
      <c r="O116" s="195">
        <v>2320</v>
      </c>
      <c r="P116" s="202">
        <f t="shared" si="19"/>
        <v>0</v>
      </c>
      <c r="Q116" s="203">
        <f t="shared" si="19"/>
        <v>0</v>
      </c>
      <c r="R116" s="157">
        <f ca="1"/>
        <v>95.509550065953576</v>
      </c>
      <c r="T116" s="204">
        <v>0</v>
      </c>
      <c r="U116" s="206">
        <v>0</v>
      </c>
      <c r="V116" s="206">
        <v>0</v>
      </c>
      <c r="W116" s="206">
        <v>0</v>
      </c>
      <c r="X116" s="206">
        <f t="array" ref="X116">IF(X$78&gt;" ",(X$628:X$1078),"")</f>
        <v>0</v>
      </c>
      <c r="Y116" s="206">
        <f t="array" ref="Y116">IF(Y$78&gt;" ",(Y$628:Y$1078),"")</f>
        <v>0</v>
      </c>
      <c r="Z116" s="206">
        <f t="array" ref="Z116">IF(Z$78&gt;" ",(Z$628:Z$1078),"")</f>
        <v>0</v>
      </c>
      <c r="AA116" s="206">
        <f t="array" ref="AA116">IF(AA$78&gt;" ",(AA$628:AA$1078),"")</f>
        <v>0</v>
      </c>
      <c r="AB116" s="210">
        <v>0</v>
      </c>
      <c r="AC116" s="204">
        <f t="shared" si="4"/>
        <v>0</v>
      </c>
      <c r="AD116" s="206">
        <f t="shared" si="5"/>
        <v>0</v>
      </c>
      <c r="AE116" s="206">
        <f t="shared" si="6"/>
        <v>0</v>
      </c>
      <c r="AF116" s="206">
        <f t="shared" si="7"/>
        <v>0</v>
      </c>
      <c r="AG116" s="206">
        <f t="shared" si="8"/>
        <v>0</v>
      </c>
      <c r="AH116" s="206">
        <f t="shared" si="9"/>
        <v>0</v>
      </c>
      <c r="AI116" s="206">
        <f t="shared" si="10"/>
        <v>0</v>
      </c>
      <c r="AJ116" s="206">
        <f t="shared" si="11"/>
        <v>0</v>
      </c>
      <c r="AK116" s="206">
        <f t="shared" si="12"/>
        <v>0</v>
      </c>
      <c r="AL116" s="206">
        <f t="shared" si="13"/>
        <v>0</v>
      </c>
      <c r="AM116" s="214">
        <f t="shared" si="14"/>
        <v>0</v>
      </c>
      <c r="AN116" s="4"/>
      <c r="AO116" s="167">
        <v>2320</v>
      </c>
      <c r="AP116" s="215">
        <v>4.0225941762032344E-4</v>
      </c>
      <c r="AQ116" s="190">
        <v>3.3284001283617124E-4</v>
      </c>
      <c r="AR116" s="190">
        <v>2.6162996110209362E-4</v>
      </c>
      <c r="AS116" s="170">
        <v>2.8815314684063099E-4</v>
      </c>
      <c r="AU116" s="216">
        <v>95.565132666741718</v>
      </c>
      <c r="AV116" s="217">
        <v>95.509550065953576</v>
      </c>
      <c r="AW116" s="217">
        <v>89.647034292290002</v>
      </c>
      <c r="AX116" s="217">
        <v>89.736192635212888</v>
      </c>
      <c r="AY116" s="217"/>
      <c r="AZ116" s="218">
        <v>0</v>
      </c>
      <c r="BA116" s="8"/>
      <c r="BB116" s="219"/>
      <c r="BC116" s="220"/>
    </row>
    <row r="117" spans="2:55" hidden="1" x14ac:dyDescent="0.25">
      <c r="B117" s="108" t="s">
        <v>129</v>
      </c>
      <c r="C117" s="108"/>
      <c r="O117" s="195">
        <v>2315</v>
      </c>
      <c r="P117" s="202">
        <f t="shared" si="19"/>
        <v>0</v>
      </c>
      <c r="Q117" s="203">
        <f t="shared" si="19"/>
        <v>0</v>
      </c>
      <c r="R117" s="157">
        <f ca="1"/>
        <v>95.496305875961596</v>
      </c>
      <c r="T117" s="204">
        <v>0</v>
      </c>
      <c r="U117" s="206">
        <v>0</v>
      </c>
      <c r="V117" s="206">
        <v>0</v>
      </c>
      <c r="W117" s="206">
        <v>0</v>
      </c>
      <c r="X117" s="206">
        <f t="array" ref="X117">IF(X$78&gt;" ",(X$628:X$1078),"")</f>
        <v>0</v>
      </c>
      <c r="Y117" s="206">
        <f t="array" ref="Y117">IF(Y$78&gt;" ",(Y$628:Y$1078),"")</f>
        <v>0</v>
      </c>
      <c r="Z117" s="206">
        <f t="array" ref="Z117">IF(Z$78&gt;" ",(Z$628:Z$1078),"")</f>
        <v>0</v>
      </c>
      <c r="AA117" s="206">
        <f t="array" ref="AA117">IF(AA$78&gt;" ",(AA$628:AA$1078),"")</f>
        <v>0</v>
      </c>
      <c r="AB117" s="210">
        <v>0</v>
      </c>
      <c r="AC117" s="204">
        <f t="shared" si="4"/>
        <v>0</v>
      </c>
      <c r="AD117" s="206">
        <f t="shared" si="5"/>
        <v>0</v>
      </c>
      <c r="AE117" s="206">
        <f t="shared" si="6"/>
        <v>0</v>
      </c>
      <c r="AF117" s="206">
        <f t="shared" si="7"/>
        <v>0</v>
      </c>
      <c r="AG117" s="206">
        <f t="shared" si="8"/>
        <v>0</v>
      </c>
      <c r="AH117" s="206">
        <f t="shared" si="9"/>
        <v>0</v>
      </c>
      <c r="AI117" s="206">
        <f t="shared" si="10"/>
        <v>0</v>
      </c>
      <c r="AJ117" s="206">
        <f t="shared" si="11"/>
        <v>0</v>
      </c>
      <c r="AK117" s="206">
        <f t="shared" si="12"/>
        <v>0</v>
      </c>
      <c r="AL117" s="206">
        <f t="shared" si="13"/>
        <v>0</v>
      </c>
      <c r="AM117" s="214">
        <f t="shared" si="14"/>
        <v>0</v>
      </c>
      <c r="AN117" s="4"/>
      <c r="AO117" s="167">
        <v>2315</v>
      </c>
      <c r="AP117" s="215">
        <v>4.0496801281205167E-4</v>
      </c>
      <c r="AQ117" s="190">
        <v>3.3557132591493382E-4</v>
      </c>
      <c r="AR117" s="190">
        <v>2.923531657749577E-4</v>
      </c>
      <c r="AS117" s="170">
        <v>3.2194981901858296E-4</v>
      </c>
      <c r="AU117" s="216">
        <v>95.549666014338172</v>
      </c>
      <c r="AV117" s="217">
        <v>95.496305875961596</v>
      </c>
      <c r="AW117" s="217">
        <v>89.645487740984024</v>
      </c>
      <c r="AX117" s="217">
        <v>89.733605984439421</v>
      </c>
      <c r="AY117" s="217"/>
      <c r="AZ117" s="218">
        <v>0</v>
      </c>
      <c r="BA117" s="8"/>
      <c r="BB117" s="219"/>
      <c r="BC117" s="220"/>
    </row>
    <row r="118" spans="2:55" hidden="1" x14ac:dyDescent="0.25">
      <c r="B118" s="111" t="s">
        <v>130</v>
      </c>
      <c r="C118" s="230">
        <v>0.3</v>
      </c>
      <c r="O118" s="195">
        <v>2310</v>
      </c>
      <c r="P118" s="202">
        <f t="shared" si="19"/>
        <v>0</v>
      </c>
      <c r="Q118" s="203">
        <f t="shared" si="19"/>
        <v>0</v>
      </c>
      <c r="R118" s="157">
        <f ca="1"/>
        <v>95.490294184574068</v>
      </c>
      <c r="T118" s="204">
        <v>0</v>
      </c>
      <c r="U118" s="206">
        <v>0</v>
      </c>
      <c r="V118" s="206">
        <v>0</v>
      </c>
      <c r="W118" s="206">
        <v>0</v>
      </c>
      <c r="X118" s="206">
        <f t="array" ref="X118">IF(X$78&gt;" ",(X$628:X$1078),"")</f>
        <v>0</v>
      </c>
      <c r="Y118" s="206">
        <f t="array" ref="Y118">IF(Y$78&gt;" ",(Y$628:Y$1078),"")</f>
        <v>0</v>
      </c>
      <c r="Z118" s="206">
        <f t="array" ref="Z118">IF(Z$78&gt;" ",(Z$628:Z$1078),"")</f>
        <v>0</v>
      </c>
      <c r="AA118" s="206">
        <f t="array" ref="AA118">IF(AA$78&gt;" ",(AA$628:AA$1078),"")</f>
        <v>0</v>
      </c>
      <c r="AB118" s="210">
        <v>0</v>
      </c>
      <c r="AC118" s="204">
        <f t="shared" si="4"/>
        <v>0</v>
      </c>
      <c r="AD118" s="206">
        <f t="shared" si="5"/>
        <v>0</v>
      </c>
      <c r="AE118" s="206">
        <f t="shared" si="6"/>
        <v>0</v>
      </c>
      <c r="AF118" s="206">
        <f t="shared" si="7"/>
        <v>0</v>
      </c>
      <c r="AG118" s="206">
        <f t="shared" si="8"/>
        <v>0</v>
      </c>
      <c r="AH118" s="206">
        <f t="shared" si="9"/>
        <v>0</v>
      </c>
      <c r="AI118" s="206">
        <f t="shared" si="10"/>
        <v>0</v>
      </c>
      <c r="AJ118" s="206">
        <f t="shared" si="11"/>
        <v>0</v>
      </c>
      <c r="AK118" s="206">
        <f t="shared" si="12"/>
        <v>0</v>
      </c>
      <c r="AL118" s="206">
        <f t="shared" si="13"/>
        <v>0</v>
      </c>
      <c r="AM118" s="214">
        <f t="shared" si="14"/>
        <v>0</v>
      </c>
      <c r="AN118" s="4"/>
      <c r="AO118" s="167">
        <v>2310</v>
      </c>
      <c r="AP118" s="215">
        <v>4.0767660800377991E-4</v>
      </c>
      <c r="AQ118" s="190">
        <v>3.3830263899369646E-4</v>
      </c>
      <c r="AR118" s="190">
        <v>3.2116056996003763E-4</v>
      </c>
      <c r="AS118" s="170">
        <v>3.536310512092413E-4</v>
      </c>
      <c r="AU118" s="216">
        <v>95.539767957573716</v>
      </c>
      <c r="AV118" s="217">
        <v>95.490294184574068</v>
      </c>
      <c r="AW118" s="217">
        <v>89.634596210168453</v>
      </c>
      <c r="AX118" s="217">
        <v>89.721510466888745</v>
      </c>
      <c r="AY118" s="217"/>
      <c r="AZ118" s="218">
        <v>0</v>
      </c>
      <c r="BA118" s="8"/>
      <c r="BB118" s="219"/>
      <c r="BC118" s="220"/>
    </row>
    <row r="119" spans="2:55" hidden="1" x14ac:dyDescent="0.25">
      <c r="B119" s="111" t="s">
        <v>131</v>
      </c>
      <c r="C119" s="230">
        <v>265</v>
      </c>
      <c r="O119" s="195">
        <v>2305</v>
      </c>
      <c r="P119" s="202">
        <f t="shared" si="19"/>
        <v>0</v>
      </c>
      <c r="Q119" s="203">
        <f t="shared" si="19"/>
        <v>0</v>
      </c>
      <c r="R119" s="157">
        <f ca="1"/>
        <v>95.495760386428302</v>
      </c>
      <c r="T119" s="204">
        <v>0</v>
      </c>
      <c r="U119" s="206">
        <v>0</v>
      </c>
      <c r="V119" s="206">
        <v>0</v>
      </c>
      <c r="W119" s="206">
        <v>0</v>
      </c>
      <c r="X119" s="206">
        <f t="array" ref="X119">IF(X$78&gt;" ",(X$628:X$1078),"")</f>
        <v>0</v>
      </c>
      <c r="Y119" s="206">
        <f t="array" ref="Y119">IF(Y$78&gt;" ",(Y$628:Y$1078),"")</f>
        <v>0</v>
      </c>
      <c r="Z119" s="206">
        <f t="array" ref="Z119">IF(Z$78&gt;" ",(Z$628:Z$1078),"")</f>
        <v>0</v>
      </c>
      <c r="AA119" s="206">
        <f t="array" ref="AA119">IF(AA$78&gt;" ",(AA$628:AA$1078),"")</f>
        <v>0</v>
      </c>
      <c r="AB119" s="210">
        <v>0</v>
      </c>
      <c r="AC119" s="204">
        <f t="shared" si="4"/>
        <v>0</v>
      </c>
      <c r="AD119" s="206">
        <f t="shared" si="5"/>
        <v>0</v>
      </c>
      <c r="AE119" s="206">
        <f t="shared" si="6"/>
        <v>0</v>
      </c>
      <c r="AF119" s="206">
        <f t="shared" si="7"/>
        <v>0</v>
      </c>
      <c r="AG119" s="206">
        <f t="shared" si="8"/>
        <v>0</v>
      </c>
      <c r="AH119" s="206">
        <f t="shared" si="9"/>
        <v>0</v>
      </c>
      <c r="AI119" s="206">
        <f t="shared" si="10"/>
        <v>0</v>
      </c>
      <c r="AJ119" s="206">
        <f t="shared" si="11"/>
        <v>0</v>
      </c>
      <c r="AK119" s="206">
        <f t="shared" si="12"/>
        <v>0</v>
      </c>
      <c r="AL119" s="206">
        <f t="shared" si="13"/>
        <v>0</v>
      </c>
      <c r="AM119" s="214">
        <f t="shared" si="14"/>
        <v>0</v>
      </c>
      <c r="AN119" s="4"/>
      <c r="AO119" s="167">
        <v>2305</v>
      </c>
      <c r="AP119" s="215">
        <v>4.1038520319550814E-4</v>
      </c>
      <c r="AQ119" s="190">
        <v>3.4103395207245909E-4</v>
      </c>
      <c r="AR119" s="190">
        <v>2.9753236394403299E-4</v>
      </c>
      <c r="AS119" s="170">
        <v>3.2763576353469478E-4</v>
      </c>
      <c r="AU119" s="216">
        <v>95.54884645162501</v>
      </c>
      <c r="AV119" s="217">
        <v>95.495760386428302</v>
      </c>
      <c r="AW119" s="217">
        <v>89.631074289470689</v>
      </c>
      <c r="AX119" s="217">
        <v>89.717983735929124</v>
      </c>
      <c r="AY119" s="217"/>
      <c r="AZ119" s="218">
        <v>0</v>
      </c>
      <c r="BA119" s="8"/>
      <c r="BB119" s="219"/>
      <c r="BC119" s="220"/>
    </row>
    <row r="120" spans="2:55" hidden="1" x14ac:dyDescent="0.25">
      <c r="B120" s="111" t="s">
        <v>132</v>
      </c>
      <c r="C120" s="111" t="s">
        <v>72</v>
      </c>
      <c r="O120" s="195">
        <v>2300</v>
      </c>
      <c r="P120" s="202">
        <f t="shared" si="19"/>
        <v>0</v>
      </c>
      <c r="Q120" s="203">
        <f t="shared" si="19"/>
        <v>0</v>
      </c>
      <c r="R120" s="157">
        <f ca="1"/>
        <v>95.502502382370167</v>
      </c>
      <c r="T120" s="204">
        <v>0</v>
      </c>
      <c r="U120" s="206">
        <v>0</v>
      </c>
      <c r="V120" s="206">
        <v>0</v>
      </c>
      <c r="W120" s="206">
        <v>0</v>
      </c>
      <c r="X120" s="206">
        <f t="array" ref="X120">IF(X$78&gt;" ",(X$628:X$1078),"")</f>
        <v>0</v>
      </c>
      <c r="Y120" s="206">
        <f t="array" ref="Y120">IF(Y$78&gt;" ",(Y$628:Y$1078),"")</f>
        <v>0</v>
      </c>
      <c r="Z120" s="206">
        <f t="array" ref="Z120">IF(Z$78&gt;" ",(Z$628:Z$1078),"")</f>
        <v>0</v>
      </c>
      <c r="AA120" s="206">
        <f t="array" ref="AA120">IF(AA$78&gt;" ",(AA$628:AA$1078),"")</f>
        <v>0</v>
      </c>
      <c r="AB120" s="210">
        <v>0</v>
      </c>
      <c r="AC120" s="204">
        <f t="shared" si="4"/>
        <v>0</v>
      </c>
      <c r="AD120" s="206">
        <f t="shared" si="5"/>
        <v>0</v>
      </c>
      <c r="AE120" s="206">
        <f t="shared" si="6"/>
        <v>0</v>
      </c>
      <c r="AF120" s="206">
        <f t="shared" si="7"/>
        <v>0</v>
      </c>
      <c r="AG120" s="206">
        <f t="shared" si="8"/>
        <v>0</v>
      </c>
      <c r="AH120" s="206">
        <f t="shared" si="9"/>
        <v>0</v>
      </c>
      <c r="AI120" s="206">
        <f t="shared" si="10"/>
        <v>0</v>
      </c>
      <c r="AJ120" s="206">
        <f t="shared" si="11"/>
        <v>0</v>
      </c>
      <c r="AK120" s="206">
        <f t="shared" si="12"/>
        <v>0</v>
      </c>
      <c r="AL120" s="206">
        <f t="shared" si="13"/>
        <v>0</v>
      </c>
      <c r="AM120" s="214">
        <f t="shared" si="14"/>
        <v>0</v>
      </c>
      <c r="AN120" s="4"/>
      <c r="AO120" s="167">
        <v>2300</v>
      </c>
      <c r="AP120" s="215">
        <v>4.1309379838723643E-4</v>
      </c>
      <c r="AQ120" s="190">
        <v>3.4376526515122167E-4</v>
      </c>
      <c r="AR120" s="190">
        <v>2.9578752727930571E-4</v>
      </c>
      <c r="AS120" s="170">
        <v>3.256714264036365E-4</v>
      </c>
      <c r="AU120" s="216">
        <v>95.547237626430785</v>
      </c>
      <c r="AV120" s="217">
        <v>95.502502382370167</v>
      </c>
      <c r="AW120" s="217">
        <v>89.613292880312613</v>
      </c>
      <c r="AX120" s="217">
        <v>89.705256161175228</v>
      </c>
      <c r="AY120" s="217"/>
      <c r="AZ120" s="218">
        <v>0</v>
      </c>
      <c r="BA120" s="8"/>
      <c r="BB120" s="219"/>
      <c r="BC120" s="220"/>
    </row>
    <row r="121" spans="2:55" hidden="1" x14ac:dyDescent="0.25">
      <c r="B121" s="111" t="s">
        <v>133</v>
      </c>
      <c r="C121" s="111" t="s">
        <v>72</v>
      </c>
      <c r="O121" s="195">
        <v>2295</v>
      </c>
      <c r="P121" s="202">
        <f t="shared" si="19"/>
        <v>0</v>
      </c>
      <c r="Q121" s="203">
        <f t="shared" si="19"/>
        <v>0</v>
      </c>
      <c r="R121" s="157">
        <f ca="1"/>
        <v>95.470010410222713</v>
      </c>
      <c r="T121" s="204">
        <v>0</v>
      </c>
      <c r="U121" s="206">
        <v>0</v>
      </c>
      <c r="V121" s="206">
        <v>0</v>
      </c>
      <c r="W121" s="206">
        <v>0</v>
      </c>
      <c r="X121" s="206">
        <f t="array" ref="X121">IF(X$78&gt;" ",(X$628:X$1078),"")</f>
        <v>0</v>
      </c>
      <c r="Y121" s="206">
        <f t="array" ref="Y121">IF(Y$78&gt;" ",(Y$628:Y$1078),"")</f>
        <v>0</v>
      </c>
      <c r="Z121" s="206">
        <f t="array" ref="Z121">IF(Z$78&gt;" ",(Z$628:Z$1078),"")</f>
        <v>0</v>
      </c>
      <c r="AA121" s="206">
        <f t="array" ref="AA121">IF(AA$78&gt;" ",(AA$628:AA$1078),"")</f>
        <v>0</v>
      </c>
      <c r="AB121" s="210">
        <v>0</v>
      </c>
      <c r="AC121" s="204">
        <f t="shared" si="4"/>
        <v>0</v>
      </c>
      <c r="AD121" s="206">
        <f t="shared" si="5"/>
        <v>0</v>
      </c>
      <c r="AE121" s="206">
        <f t="shared" si="6"/>
        <v>0</v>
      </c>
      <c r="AF121" s="206">
        <f t="shared" si="7"/>
        <v>0</v>
      </c>
      <c r="AG121" s="206">
        <f t="shared" si="8"/>
        <v>0</v>
      </c>
      <c r="AH121" s="206">
        <f t="shared" si="9"/>
        <v>0</v>
      </c>
      <c r="AI121" s="206">
        <f t="shared" si="10"/>
        <v>0</v>
      </c>
      <c r="AJ121" s="206">
        <f t="shared" si="11"/>
        <v>0</v>
      </c>
      <c r="AK121" s="206">
        <f t="shared" si="12"/>
        <v>0</v>
      </c>
      <c r="AL121" s="206">
        <f t="shared" si="13"/>
        <v>0</v>
      </c>
      <c r="AM121" s="214">
        <f t="shared" si="14"/>
        <v>0</v>
      </c>
      <c r="AN121" s="4"/>
      <c r="AO121" s="167">
        <v>2295</v>
      </c>
      <c r="AP121" s="215">
        <v>4.1580239357896461E-4</v>
      </c>
      <c r="AQ121" s="190">
        <v>3.4532601548194317E-4</v>
      </c>
      <c r="AR121" s="190">
        <v>3.0806172410524044E-4</v>
      </c>
      <c r="AS121" s="170">
        <v>3.391587554231536E-4</v>
      </c>
      <c r="AU121" s="216">
        <v>95.535661003733765</v>
      </c>
      <c r="AV121" s="217">
        <v>95.470010410222713</v>
      </c>
      <c r="AW121" s="217">
        <v>89.593126320053955</v>
      </c>
      <c r="AX121" s="217">
        <v>89.684129223967361</v>
      </c>
      <c r="AY121" s="217"/>
      <c r="AZ121" s="218">
        <v>0</v>
      </c>
      <c r="BA121" s="8"/>
      <c r="BB121" s="219"/>
      <c r="BC121" s="220"/>
    </row>
    <row r="122" spans="2:55" hidden="1" x14ac:dyDescent="0.25">
      <c r="B122" s="116" t="s">
        <v>134</v>
      </c>
      <c r="C122" s="53"/>
      <c r="O122" s="195">
        <v>2290</v>
      </c>
      <c r="P122" s="202">
        <f t="shared" si="19"/>
        <v>0</v>
      </c>
      <c r="Q122" s="203">
        <f t="shared" si="19"/>
        <v>0</v>
      </c>
      <c r="R122" s="157">
        <f ca="1"/>
        <v>95.459002113162683</v>
      </c>
      <c r="T122" s="204">
        <v>0</v>
      </c>
      <c r="U122" s="206">
        <v>0</v>
      </c>
      <c r="V122" s="206">
        <v>0</v>
      </c>
      <c r="W122" s="206">
        <v>0</v>
      </c>
      <c r="X122" s="206">
        <f t="array" ref="X122">IF(X$78&gt;" ",(X$628:X$1078),"")</f>
        <v>0</v>
      </c>
      <c r="Y122" s="206">
        <f t="array" ref="Y122">IF(Y$78&gt;" ",(Y$628:Y$1078),"")</f>
        <v>0</v>
      </c>
      <c r="Z122" s="206">
        <f t="array" ref="Z122">IF(Z$78&gt;" ",(Z$628:Z$1078),"")</f>
        <v>0</v>
      </c>
      <c r="AA122" s="206">
        <f t="array" ref="AA122">IF(AA$78&gt;" ",(AA$628:AA$1078),"")</f>
        <v>0</v>
      </c>
      <c r="AB122" s="210">
        <v>0</v>
      </c>
      <c r="AC122" s="204">
        <f t="shared" si="4"/>
        <v>0</v>
      </c>
      <c r="AD122" s="206">
        <f t="shared" si="5"/>
        <v>0</v>
      </c>
      <c r="AE122" s="206">
        <f t="shared" si="6"/>
        <v>0</v>
      </c>
      <c r="AF122" s="206">
        <f t="shared" si="7"/>
        <v>0</v>
      </c>
      <c r="AG122" s="206">
        <f t="shared" si="8"/>
        <v>0</v>
      </c>
      <c r="AH122" s="206">
        <f t="shared" si="9"/>
        <v>0</v>
      </c>
      <c r="AI122" s="206">
        <f t="shared" si="10"/>
        <v>0</v>
      </c>
      <c r="AJ122" s="206">
        <f t="shared" si="11"/>
        <v>0</v>
      </c>
      <c r="AK122" s="206">
        <f t="shared" si="12"/>
        <v>0</v>
      </c>
      <c r="AL122" s="206">
        <f t="shared" si="13"/>
        <v>0</v>
      </c>
      <c r="AM122" s="214">
        <f t="shared" si="14"/>
        <v>0</v>
      </c>
      <c r="AN122" s="4"/>
      <c r="AO122" s="167">
        <v>2290</v>
      </c>
      <c r="AP122" s="215">
        <v>4.1857705206805213E-4</v>
      </c>
      <c r="AQ122" s="190">
        <v>3.4688676581266466E-4</v>
      </c>
      <c r="AR122" s="190">
        <v>3.1789214393100954E-4</v>
      </c>
      <c r="AS122" s="170">
        <v>3.4996540784501578E-4</v>
      </c>
      <c r="AU122" s="216">
        <v>95.510290809989513</v>
      </c>
      <c r="AV122" s="217">
        <v>95.459002113162683</v>
      </c>
      <c r="AW122" s="217">
        <v>89.578860907170807</v>
      </c>
      <c r="AX122" s="217">
        <v>89.667327822746486</v>
      </c>
      <c r="AY122" s="217"/>
      <c r="AZ122" s="218">
        <v>0</v>
      </c>
      <c r="BA122" s="8"/>
      <c r="BB122" s="219"/>
      <c r="BC122" s="220"/>
    </row>
    <row r="123" spans="2:55" x14ac:dyDescent="0.25">
      <c r="O123" s="195">
        <v>2285</v>
      </c>
      <c r="P123" s="202">
        <f t="shared" si="19"/>
        <v>0</v>
      </c>
      <c r="Q123" s="203">
        <f t="shared" si="19"/>
        <v>0</v>
      </c>
      <c r="R123" s="157">
        <f ca="1"/>
        <v>95.42590884457951</v>
      </c>
      <c r="T123" s="204">
        <v>0</v>
      </c>
      <c r="U123" s="206">
        <v>0</v>
      </c>
      <c r="V123" s="206">
        <v>0</v>
      </c>
      <c r="W123" s="206">
        <v>0</v>
      </c>
      <c r="X123" s="206">
        <f t="array" ref="X123">IF(X$78&gt;" ",(X$628:X$1078),"")</f>
        <v>0</v>
      </c>
      <c r="Y123" s="206">
        <f t="array" ref="Y123">IF(Y$78&gt;" ",(Y$628:Y$1078),"")</f>
        <v>0</v>
      </c>
      <c r="Z123" s="206">
        <f t="array" ref="Z123">IF(Z$78&gt;" ",(Z$628:Z$1078),"")</f>
        <v>0</v>
      </c>
      <c r="AA123" s="206">
        <f t="array" ref="AA123">IF(AA$78&gt;" ",(AA$628:AA$1078),"")</f>
        <v>0</v>
      </c>
      <c r="AB123" s="210">
        <v>0</v>
      </c>
      <c r="AC123" s="204">
        <f t="shared" si="4"/>
        <v>0</v>
      </c>
      <c r="AD123" s="206">
        <f t="shared" si="5"/>
        <v>0</v>
      </c>
      <c r="AE123" s="206">
        <f t="shared" si="6"/>
        <v>0</v>
      </c>
      <c r="AF123" s="206">
        <f t="shared" si="7"/>
        <v>0</v>
      </c>
      <c r="AG123" s="206">
        <f t="shared" si="8"/>
        <v>0</v>
      </c>
      <c r="AH123" s="206">
        <f t="shared" si="9"/>
        <v>0</v>
      </c>
      <c r="AI123" s="206">
        <f t="shared" si="10"/>
        <v>0</v>
      </c>
      <c r="AJ123" s="206">
        <f t="shared" si="11"/>
        <v>0</v>
      </c>
      <c r="AK123" s="206">
        <f t="shared" si="12"/>
        <v>0</v>
      </c>
      <c r="AL123" s="206">
        <f t="shared" si="13"/>
        <v>0</v>
      </c>
      <c r="AM123" s="214">
        <f t="shared" si="14"/>
        <v>0</v>
      </c>
      <c r="AN123" s="4"/>
      <c r="AO123" s="167">
        <v>2285</v>
      </c>
      <c r="AP123" s="215">
        <v>4.2128564725978036E-4</v>
      </c>
      <c r="AQ123" s="190">
        <v>3.4844751614338611E-4</v>
      </c>
      <c r="AR123" s="190">
        <v>3.1718817524783424E-4</v>
      </c>
      <c r="AS123" s="170">
        <v>3.4915392954301157E-4</v>
      </c>
      <c r="AU123" s="216">
        <v>95.491289934821836</v>
      </c>
      <c r="AV123" s="217">
        <v>95.42590884457951</v>
      </c>
      <c r="AW123" s="217">
        <v>89.517896107656952</v>
      </c>
      <c r="AX123" s="217">
        <v>89.614790652627889</v>
      </c>
      <c r="AY123" s="217"/>
      <c r="AZ123" s="218">
        <v>0</v>
      </c>
      <c r="BA123" s="8"/>
      <c r="BB123" s="219"/>
      <c r="BC123" s="220"/>
    </row>
    <row r="124" spans="2:55" x14ac:dyDescent="0.25">
      <c r="O124" s="195">
        <v>2280</v>
      </c>
      <c r="P124" s="202">
        <f t="shared" si="19"/>
        <v>0</v>
      </c>
      <c r="Q124" s="203">
        <f t="shared" si="19"/>
        <v>0</v>
      </c>
      <c r="R124" s="157">
        <f ca="1"/>
        <v>95.402558584023495</v>
      </c>
      <c r="T124" s="204">
        <v>0</v>
      </c>
      <c r="U124" s="206">
        <v>0</v>
      </c>
      <c r="V124" s="206">
        <v>0</v>
      </c>
      <c r="W124" s="206">
        <v>0</v>
      </c>
      <c r="X124" s="206">
        <f t="array" ref="X124">IF(X$78&gt;" ",(X$628:X$1078),"")</f>
        <v>0</v>
      </c>
      <c r="Y124" s="206">
        <f t="array" ref="Y124">IF(Y$78&gt;" ",(Y$628:Y$1078),"")</f>
        <v>0</v>
      </c>
      <c r="Z124" s="206">
        <f t="array" ref="Z124">IF(Z$78&gt;" ",(Z$628:Z$1078),"")</f>
        <v>0</v>
      </c>
      <c r="AA124" s="206">
        <f t="array" ref="AA124">IF(AA$78&gt;" ",(AA$628:AA$1078),"")</f>
        <v>0</v>
      </c>
      <c r="AB124" s="210">
        <v>0</v>
      </c>
      <c r="AC124" s="204">
        <f t="shared" si="4"/>
        <v>0</v>
      </c>
      <c r="AD124" s="206">
        <f t="shared" si="5"/>
        <v>0</v>
      </c>
      <c r="AE124" s="206">
        <f t="shared" si="6"/>
        <v>0</v>
      </c>
      <c r="AF124" s="206">
        <f t="shared" si="7"/>
        <v>0</v>
      </c>
      <c r="AG124" s="206">
        <f t="shared" si="8"/>
        <v>0</v>
      </c>
      <c r="AH124" s="206">
        <f t="shared" si="9"/>
        <v>0</v>
      </c>
      <c r="AI124" s="206">
        <f t="shared" si="10"/>
        <v>0</v>
      </c>
      <c r="AJ124" s="206">
        <f t="shared" si="11"/>
        <v>0</v>
      </c>
      <c r="AK124" s="206">
        <f t="shared" si="12"/>
        <v>0</v>
      </c>
      <c r="AL124" s="206">
        <f t="shared" si="13"/>
        <v>0</v>
      </c>
      <c r="AM124" s="214">
        <f t="shared" si="14"/>
        <v>0</v>
      </c>
      <c r="AN124" s="4"/>
      <c r="AO124" s="167">
        <v>2280</v>
      </c>
      <c r="AP124" s="215">
        <v>4.2399424245150865E-4</v>
      </c>
      <c r="AQ124" s="190">
        <v>3.500082664741076E-4</v>
      </c>
      <c r="AR124" s="190">
        <v>3.3331911478802218E-4</v>
      </c>
      <c r="AS124" s="170">
        <v>3.6684975292878479E-4</v>
      </c>
      <c r="AU124" s="216">
        <v>95.454219683841032</v>
      </c>
      <c r="AV124" s="217">
        <v>95.402558584023495</v>
      </c>
      <c r="AW124" s="217">
        <v>89.471270574665269</v>
      </c>
      <c r="AX124" s="217">
        <v>89.56381767729674</v>
      </c>
      <c r="AY124" s="217"/>
      <c r="AZ124" s="218">
        <v>0</v>
      </c>
      <c r="BA124" s="8"/>
      <c r="BB124" s="219"/>
      <c r="BC124" s="220"/>
    </row>
    <row r="125" spans="2:55" x14ac:dyDescent="0.25">
      <c r="O125" s="195">
        <v>2275</v>
      </c>
      <c r="P125" s="202">
        <f t="shared" si="19"/>
        <v>0</v>
      </c>
      <c r="Q125" s="203">
        <f t="shared" si="19"/>
        <v>0</v>
      </c>
      <c r="R125" s="157">
        <f ca="1"/>
        <v>95.372677891129101</v>
      </c>
      <c r="T125" s="204">
        <v>0</v>
      </c>
      <c r="U125" s="206">
        <v>0</v>
      </c>
      <c r="V125" s="206">
        <v>0</v>
      </c>
      <c r="W125" s="206">
        <v>0</v>
      </c>
      <c r="X125" s="206">
        <f t="array" ref="X125">IF(X$78&gt;" ",(X$628:X$1078),"")</f>
        <v>0</v>
      </c>
      <c r="Y125" s="206">
        <f t="array" ref="Y125">IF(Y$78&gt;" ",(Y$628:Y$1078),"")</f>
        <v>0</v>
      </c>
      <c r="Z125" s="206">
        <f t="array" ref="Z125">IF(Z$78&gt;" ",(Z$628:Z$1078),"")</f>
        <v>0</v>
      </c>
      <c r="AA125" s="206">
        <f t="array" ref="AA125">IF(AA$78&gt;" ",(AA$628:AA$1078),"")</f>
        <v>0</v>
      </c>
      <c r="AB125" s="210">
        <v>0</v>
      </c>
      <c r="AC125" s="204">
        <f t="shared" si="4"/>
        <v>0</v>
      </c>
      <c r="AD125" s="206">
        <f t="shared" si="5"/>
        <v>0</v>
      </c>
      <c r="AE125" s="206">
        <f t="shared" si="6"/>
        <v>0</v>
      </c>
      <c r="AF125" s="206">
        <f t="shared" si="7"/>
        <v>0</v>
      </c>
      <c r="AG125" s="206">
        <f t="shared" si="8"/>
        <v>0</v>
      </c>
      <c r="AH125" s="206">
        <f t="shared" si="9"/>
        <v>0</v>
      </c>
      <c r="AI125" s="206">
        <f t="shared" si="10"/>
        <v>0</v>
      </c>
      <c r="AJ125" s="206">
        <f t="shared" si="11"/>
        <v>0</v>
      </c>
      <c r="AK125" s="206">
        <f t="shared" si="12"/>
        <v>0</v>
      </c>
      <c r="AL125" s="206">
        <f t="shared" si="13"/>
        <v>0</v>
      </c>
      <c r="AM125" s="214">
        <f t="shared" si="14"/>
        <v>0</v>
      </c>
      <c r="AN125" s="4"/>
      <c r="AO125" s="167">
        <v>2275</v>
      </c>
      <c r="AP125" s="215">
        <v>4.2670283764323689E-4</v>
      </c>
      <c r="AQ125" s="190">
        <v>3.5156901680482916E-4</v>
      </c>
      <c r="AR125" s="190">
        <v>3.2191985046831951E-4</v>
      </c>
      <c r="AS125" s="170">
        <v>3.5430261945917582E-4</v>
      </c>
      <c r="AU125" s="216">
        <v>95.435107636022892</v>
      </c>
      <c r="AV125" s="217">
        <v>95.372677891129101</v>
      </c>
      <c r="AW125" s="217">
        <v>89.393681533890103</v>
      </c>
      <c r="AX125" s="217">
        <v>89.488611122808763</v>
      </c>
      <c r="AY125" s="217"/>
      <c r="AZ125" s="218">
        <v>0</v>
      </c>
      <c r="BA125" s="8"/>
      <c r="BB125" s="219"/>
      <c r="BC125" s="220"/>
    </row>
    <row r="126" spans="2:55" x14ac:dyDescent="0.25">
      <c r="O126" s="195">
        <v>2270</v>
      </c>
      <c r="P126" s="202">
        <f t="shared" si="19"/>
        <v>0</v>
      </c>
      <c r="Q126" s="203">
        <f t="shared" si="19"/>
        <v>0</v>
      </c>
      <c r="R126" s="157">
        <f ca="1"/>
        <v>95.352803815097332</v>
      </c>
      <c r="T126" s="204">
        <v>0</v>
      </c>
      <c r="U126" s="206">
        <v>0</v>
      </c>
      <c r="V126" s="206">
        <v>0</v>
      </c>
      <c r="W126" s="206">
        <v>0</v>
      </c>
      <c r="X126" s="206">
        <f t="array" ref="X126">IF(X$78&gt;" ",(X$628:X$1078),"")</f>
        <v>0</v>
      </c>
      <c r="Y126" s="206">
        <f t="array" ref="Y126">IF(Y$78&gt;" ",(Y$628:Y$1078),"")</f>
        <v>0</v>
      </c>
      <c r="Z126" s="206">
        <f t="array" ref="Z126">IF(Z$78&gt;" ",(Z$628:Z$1078),"")</f>
        <v>0</v>
      </c>
      <c r="AA126" s="206">
        <f t="array" ref="AA126">IF(AA$78&gt;" ",(AA$628:AA$1078),"")</f>
        <v>0</v>
      </c>
      <c r="AB126" s="210">
        <v>0</v>
      </c>
      <c r="AC126" s="204">
        <f t="shared" si="4"/>
        <v>0</v>
      </c>
      <c r="AD126" s="206">
        <f t="shared" si="5"/>
        <v>0</v>
      </c>
      <c r="AE126" s="206">
        <f t="shared" si="6"/>
        <v>0</v>
      </c>
      <c r="AF126" s="206">
        <f t="shared" si="7"/>
        <v>0</v>
      </c>
      <c r="AG126" s="206">
        <f t="shared" si="8"/>
        <v>0</v>
      </c>
      <c r="AH126" s="206">
        <f t="shared" si="9"/>
        <v>0</v>
      </c>
      <c r="AI126" s="206">
        <f t="shared" si="10"/>
        <v>0</v>
      </c>
      <c r="AJ126" s="206">
        <f t="shared" si="11"/>
        <v>0</v>
      </c>
      <c r="AK126" s="206">
        <f t="shared" si="12"/>
        <v>0</v>
      </c>
      <c r="AL126" s="206">
        <f t="shared" si="13"/>
        <v>0</v>
      </c>
      <c r="AM126" s="214">
        <f t="shared" si="14"/>
        <v>0</v>
      </c>
      <c r="AN126" s="4"/>
      <c r="AO126" s="167">
        <v>2270</v>
      </c>
      <c r="AP126" s="215">
        <v>4.2941143283496507E-4</v>
      </c>
      <c r="AQ126" s="190">
        <v>3.531297671355506E-4</v>
      </c>
      <c r="AR126" s="190">
        <v>3.26173832653793E-4</v>
      </c>
      <c r="AS126" s="170">
        <v>3.5894203678580645E-4</v>
      </c>
      <c r="AU126" s="216">
        <v>95.418558212152291</v>
      </c>
      <c r="AV126" s="217">
        <v>95.352803815097332</v>
      </c>
      <c r="AW126" s="217">
        <v>89.316325910540158</v>
      </c>
      <c r="AX126" s="217">
        <v>89.411578383341237</v>
      </c>
      <c r="AY126" s="217"/>
      <c r="AZ126" s="218">
        <v>0</v>
      </c>
      <c r="BA126" s="8"/>
      <c r="BB126" s="219"/>
      <c r="BC126" s="220"/>
    </row>
    <row r="127" spans="2:55" x14ac:dyDescent="0.25">
      <c r="O127" s="195">
        <v>2265</v>
      </c>
      <c r="P127" s="202">
        <f t="shared" si="19"/>
        <v>0</v>
      </c>
      <c r="Q127" s="203">
        <f t="shared" si="19"/>
        <v>0</v>
      </c>
      <c r="R127" s="157">
        <f ca="1"/>
        <v>95.327286731882907</v>
      </c>
      <c r="T127" s="204">
        <v>0</v>
      </c>
      <c r="U127" s="206">
        <v>0</v>
      </c>
      <c r="V127" s="206">
        <v>0</v>
      </c>
      <c r="W127" s="206">
        <v>0</v>
      </c>
      <c r="X127" s="206">
        <f t="array" ref="X127">IF(X$78&gt;" ",(X$628:X$1078),"")</f>
        <v>0</v>
      </c>
      <c r="Y127" s="206">
        <f t="array" ref="Y127">IF(Y$78&gt;" ",(Y$628:Y$1078),"")</f>
        <v>0</v>
      </c>
      <c r="Z127" s="206">
        <f t="array" ref="Z127">IF(Z$78&gt;" ",(Z$628:Z$1078),"")</f>
        <v>0</v>
      </c>
      <c r="AA127" s="206">
        <f t="array" ref="AA127">IF(AA$78&gt;" ",(AA$628:AA$1078),"")</f>
        <v>0</v>
      </c>
      <c r="AB127" s="210">
        <v>0</v>
      </c>
      <c r="AC127" s="204">
        <f t="shared" si="4"/>
        <v>0</v>
      </c>
      <c r="AD127" s="206">
        <f t="shared" si="5"/>
        <v>0</v>
      </c>
      <c r="AE127" s="206">
        <f t="shared" si="6"/>
        <v>0</v>
      </c>
      <c r="AF127" s="206">
        <f t="shared" si="7"/>
        <v>0</v>
      </c>
      <c r="AG127" s="206">
        <f t="shared" si="8"/>
        <v>0</v>
      </c>
      <c r="AH127" s="206">
        <f t="shared" si="9"/>
        <v>0</v>
      </c>
      <c r="AI127" s="206">
        <f t="shared" si="10"/>
        <v>0</v>
      </c>
      <c r="AJ127" s="206">
        <f t="shared" si="11"/>
        <v>0</v>
      </c>
      <c r="AK127" s="206">
        <f t="shared" si="12"/>
        <v>0</v>
      </c>
      <c r="AL127" s="206">
        <f t="shared" si="13"/>
        <v>0</v>
      </c>
      <c r="AM127" s="214">
        <f t="shared" si="14"/>
        <v>0</v>
      </c>
      <c r="AN127" s="4"/>
      <c r="AO127" s="167">
        <v>2265</v>
      </c>
      <c r="AP127" s="215">
        <v>4.3007206580855732E-4</v>
      </c>
      <c r="AQ127" s="190">
        <v>3.546905174662721E-4</v>
      </c>
      <c r="AR127" s="190">
        <v>3.4261652975367285E-4</v>
      </c>
      <c r="AS127" s="170">
        <v>3.7694566228613289E-4</v>
      </c>
      <c r="AU127" s="216">
        <v>95.397129434880227</v>
      </c>
      <c r="AV127" s="217">
        <v>95.327286731882907</v>
      </c>
      <c r="AW127" s="217">
        <v>89.229919155896553</v>
      </c>
      <c r="AX127" s="217">
        <v>89.332697431317044</v>
      </c>
      <c r="AY127" s="217"/>
      <c r="AZ127" s="218">
        <v>0</v>
      </c>
      <c r="BA127" s="8"/>
      <c r="BB127" s="219"/>
      <c r="BC127" s="220"/>
    </row>
    <row r="128" spans="2:55" x14ac:dyDescent="0.25">
      <c r="C128" t="s">
        <v>187</v>
      </c>
      <c r="O128" s="195">
        <v>2260</v>
      </c>
      <c r="P128" s="202">
        <f t="shared" ref="P128:Q143" si="20">P676</f>
        <v>0</v>
      </c>
      <c r="Q128" s="203">
        <f t="shared" si="20"/>
        <v>0</v>
      </c>
      <c r="R128" s="157">
        <f ca="1"/>
        <v>95.306498420289472</v>
      </c>
      <c r="T128" s="204">
        <v>0</v>
      </c>
      <c r="U128" s="206">
        <v>0</v>
      </c>
      <c r="V128" s="206">
        <v>0</v>
      </c>
      <c r="W128" s="206">
        <v>0</v>
      </c>
      <c r="X128" s="206">
        <f t="array" ref="X128">IF(X$78&gt;" ",(X$628:X$1078),"")</f>
        <v>0</v>
      </c>
      <c r="Y128" s="206">
        <f t="array" ref="Y128">IF(Y$78&gt;" ",(Y$628:Y$1078),"")</f>
        <v>0</v>
      </c>
      <c r="Z128" s="206">
        <f t="array" ref="Z128">IF(Z$78&gt;" ",(Z$628:Z$1078),"")</f>
        <v>0</v>
      </c>
      <c r="AA128" s="206">
        <f t="array" ref="AA128">IF(AA$78&gt;" ",(AA$628:AA$1078),"")</f>
        <v>0</v>
      </c>
      <c r="AB128" s="210">
        <v>0</v>
      </c>
      <c r="AC128" s="204">
        <f t="shared" si="4"/>
        <v>0</v>
      </c>
      <c r="AD128" s="206">
        <f t="shared" si="5"/>
        <v>0</v>
      </c>
      <c r="AE128" s="206">
        <f t="shared" si="6"/>
        <v>0</v>
      </c>
      <c r="AF128" s="206">
        <f t="shared" si="7"/>
        <v>0</v>
      </c>
      <c r="AG128" s="206">
        <f t="shared" si="8"/>
        <v>0</v>
      </c>
      <c r="AH128" s="206">
        <f t="shared" si="9"/>
        <v>0</v>
      </c>
      <c r="AI128" s="206">
        <f t="shared" si="10"/>
        <v>0</v>
      </c>
      <c r="AJ128" s="206">
        <f t="shared" si="11"/>
        <v>0</v>
      </c>
      <c r="AK128" s="206">
        <f t="shared" si="12"/>
        <v>0</v>
      </c>
      <c r="AL128" s="206">
        <f t="shared" si="13"/>
        <v>0</v>
      </c>
      <c r="AM128" s="214">
        <f t="shared" si="14"/>
        <v>0</v>
      </c>
      <c r="AN128" s="4"/>
      <c r="AO128" s="167">
        <v>2260</v>
      </c>
      <c r="AP128" s="215">
        <v>4.3066663548479035E-4</v>
      </c>
      <c r="AQ128" s="190">
        <v>3.5625126779699359E-4</v>
      </c>
      <c r="AR128" s="190">
        <v>3.3654228568741757E-4</v>
      </c>
      <c r="AS128" s="170">
        <v>3.7016282296179479E-4</v>
      </c>
      <c r="AU128" s="216">
        <v>95.366586360185337</v>
      </c>
      <c r="AV128" s="217">
        <v>95.306498420289472</v>
      </c>
      <c r="AW128" s="217">
        <v>89.141125344612178</v>
      </c>
      <c r="AX128" s="217">
        <v>89.24541632380425</v>
      </c>
      <c r="AY128" s="217"/>
      <c r="AZ128" s="218">
        <v>0</v>
      </c>
      <c r="BA128" s="8"/>
      <c r="BB128" s="219"/>
      <c r="BC128" s="220"/>
    </row>
    <row r="129" spans="15:55" x14ac:dyDescent="0.25">
      <c r="O129" s="195">
        <v>2255</v>
      </c>
      <c r="P129" s="202">
        <f t="shared" si="20"/>
        <v>0</v>
      </c>
      <c r="Q129" s="203">
        <f t="shared" si="20"/>
        <v>0</v>
      </c>
      <c r="R129" s="157">
        <f ca="1"/>
        <v>95.273026058802273</v>
      </c>
      <c r="T129" s="204">
        <v>0</v>
      </c>
      <c r="U129" s="206">
        <v>0</v>
      </c>
      <c r="V129" s="206">
        <v>0</v>
      </c>
      <c r="W129" s="206">
        <v>0</v>
      </c>
      <c r="X129" s="206">
        <f t="array" ref="X129">IF(X$78&gt;" ",(X$628:X$1078),"")</f>
        <v>0</v>
      </c>
      <c r="Y129" s="206">
        <f t="array" ref="Y129">IF(Y$78&gt;" ",(Y$628:Y$1078),"")</f>
        <v>0</v>
      </c>
      <c r="Z129" s="206">
        <f t="array" ref="Z129">IF(Z$78&gt;" ",(Z$628:Z$1078),"")</f>
        <v>0</v>
      </c>
      <c r="AA129" s="206">
        <f t="array" ref="AA129">IF(AA$78&gt;" ",(AA$628:AA$1078),"")</f>
        <v>0</v>
      </c>
      <c r="AB129" s="210">
        <v>0</v>
      </c>
      <c r="AC129" s="204">
        <f t="shared" si="4"/>
        <v>0</v>
      </c>
      <c r="AD129" s="206">
        <f t="shared" si="5"/>
        <v>0</v>
      </c>
      <c r="AE129" s="206">
        <f t="shared" si="6"/>
        <v>0</v>
      </c>
      <c r="AF129" s="206">
        <f t="shared" si="7"/>
        <v>0</v>
      </c>
      <c r="AG129" s="206">
        <f t="shared" si="8"/>
        <v>0</v>
      </c>
      <c r="AH129" s="206">
        <f t="shared" si="9"/>
        <v>0</v>
      </c>
      <c r="AI129" s="206">
        <f t="shared" si="10"/>
        <v>0</v>
      </c>
      <c r="AJ129" s="206">
        <f t="shared" si="11"/>
        <v>0</v>
      </c>
      <c r="AK129" s="206">
        <f t="shared" si="12"/>
        <v>0</v>
      </c>
      <c r="AL129" s="206">
        <f t="shared" si="13"/>
        <v>0</v>
      </c>
      <c r="AM129" s="214">
        <f t="shared" si="14"/>
        <v>0</v>
      </c>
      <c r="AN129" s="4"/>
      <c r="AO129" s="167">
        <v>2255</v>
      </c>
      <c r="AP129" s="215">
        <v>4.3132726845838265E-4</v>
      </c>
      <c r="AQ129" s="190">
        <v>3.5781201812771514E-4</v>
      </c>
      <c r="AR129" s="190">
        <v>3.4036885831524892E-4</v>
      </c>
      <c r="AS129" s="170">
        <v>3.7420342526556715E-4</v>
      </c>
      <c r="AU129" s="216">
        <v>95.350575842552416</v>
      </c>
      <c r="AV129" s="217">
        <v>95.273026058802273</v>
      </c>
      <c r="AW129" s="217">
        <v>89.074128464886186</v>
      </c>
      <c r="AX129" s="217">
        <v>89.179452338861054</v>
      </c>
      <c r="AY129" s="217"/>
      <c r="AZ129" s="218">
        <v>0</v>
      </c>
      <c r="BA129" s="8"/>
      <c r="BB129" s="219"/>
      <c r="BC129" s="220"/>
    </row>
    <row r="130" spans="15:55" x14ac:dyDescent="0.25">
      <c r="O130" s="195">
        <v>2250</v>
      </c>
      <c r="P130" s="202">
        <f t="shared" si="20"/>
        <v>0</v>
      </c>
      <c r="Q130" s="203">
        <f t="shared" si="20"/>
        <v>0</v>
      </c>
      <c r="R130" s="157">
        <f ca="1"/>
        <v>95.240546999880294</v>
      </c>
      <c r="T130" s="204">
        <v>0</v>
      </c>
      <c r="U130" s="206">
        <v>0</v>
      </c>
      <c r="V130" s="206">
        <v>0</v>
      </c>
      <c r="W130" s="206">
        <v>0</v>
      </c>
      <c r="X130" s="206">
        <f t="array" ref="X130">IF(X$78&gt;" ",(X$628:X$1078),"")</f>
        <v>0</v>
      </c>
      <c r="Y130" s="206">
        <f t="array" ref="Y130">IF(Y$78&gt;" ",(Y$628:Y$1078),"")</f>
        <v>0</v>
      </c>
      <c r="Z130" s="206">
        <f t="array" ref="Z130">IF(Z$78&gt;" ",(Z$628:Z$1078),"")</f>
        <v>0</v>
      </c>
      <c r="AA130" s="206">
        <f t="array" ref="AA130">IF(AA$78&gt;" ",(AA$628:AA$1078),"")</f>
        <v>0</v>
      </c>
      <c r="AB130" s="210">
        <v>0</v>
      </c>
      <c r="AC130" s="204">
        <f t="shared" si="4"/>
        <v>0</v>
      </c>
      <c r="AD130" s="206">
        <f t="shared" si="5"/>
        <v>0</v>
      </c>
      <c r="AE130" s="206">
        <f t="shared" si="6"/>
        <v>0</v>
      </c>
      <c r="AF130" s="206">
        <f t="shared" si="7"/>
        <v>0</v>
      </c>
      <c r="AG130" s="206">
        <f t="shared" si="8"/>
        <v>0</v>
      </c>
      <c r="AH130" s="206">
        <f t="shared" si="9"/>
        <v>0</v>
      </c>
      <c r="AI130" s="206">
        <f t="shared" si="10"/>
        <v>0</v>
      </c>
      <c r="AJ130" s="206">
        <f t="shared" si="11"/>
        <v>0</v>
      </c>
      <c r="AK130" s="206">
        <f t="shared" si="12"/>
        <v>0</v>
      </c>
      <c r="AL130" s="206">
        <f t="shared" si="13"/>
        <v>0</v>
      </c>
      <c r="AM130" s="214">
        <f t="shared" si="14"/>
        <v>0</v>
      </c>
      <c r="AN130" s="4"/>
      <c r="AO130" s="167">
        <v>2250</v>
      </c>
      <c r="AP130" s="215">
        <v>4.319879014319749E-4</v>
      </c>
      <c r="AQ130" s="190">
        <v>3.5937276845843659E-4</v>
      </c>
      <c r="AR130" s="190">
        <v>3.617242511541448E-4</v>
      </c>
      <c r="AS130" s="170">
        <v>3.9753482554870704E-4</v>
      </c>
      <c r="AU130" s="216">
        <v>95.311422376281328</v>
      </c>
      <c r="AV130" s="217">
        <v>95.240546999880294</v>
      </c>
      <c r="AW130" s="217">
        <v>89.018489286974429</v>
      </c>
      <c r="AX130" s="217">
        <v>89.115283828008913</v>
      </c>
      <c r="AY130" s="217"/>
      <c r="AZ130" s="218">
        <v>0</v>
      </c>
      <c r="BA130" s="8"/>
      <c r="BB130" s="219"/>
      <c r="BC130" s="220"/>
    </row>
    <row r="131" spans="15:55" x14ac:dyDescent="0.25">
      <c r="O131" s="195">
        <v>2245</v>
      </c>
      <c r="P131" s="202">
        <f t="shared" si="20"/>
        <v>0</v>
      </c>
      <c r="Q131" s="203">
        <f t="shared" si="20"/>
        <v>0</v>
      </c>
      <c r="R131" s="157">
        <f ca="1"/>
        <v>95.217531100016302</v>
      </c>
      <c r="T131" s="204">
        <v>0</v>
      </c>
      <c r="U131" s="206">
        <v>0</v>
      </c>
      <c r="V131" s="206">
        <v>0</v>
      </c>
      <c r="W131" s="206">
        <v>0</v>
      </c>
      <c r="X131" s="206">
        <f t="array" ref="X131">IF(X$78&gt;" ",(X$628:X$1078),"")</f>
        <v>0</v>
      </c>
      <c r="Y131" s="206">
        <f t="array" ref="Y131">IF(Y$78&gt;" ",(Y$628:Y$1078),"")</f>
        <v>0</v>
      </c>
      <c r="Z131" s="206">
        <f t="array" ref="Z131">IF(Z$78&gt;" ",(Z$628:Z$1078),"")</f>
        <v>0</v>
      </c>
      <c r="AA131" s="206">
        <f t="array" ref="AA131">IF(AA$78&gt;" ",(AA$628:AA$1078),"")</f>
        <v>0</v>
      </c>
      <c r="AB131" s="210">
        <v>0</v>
      </c>
      <c r="AC131" s="204">
        <f t="shared" si="4"/>
        <v>0</v>
      </c>
      <c r="AD131" s="206">
        <f t="shared" si="5"/>
        <v>0</v>
      </c>
      <c r="AE131" s="206">
        <f t="shared" si="6"/>
        <v>0</v>
      </c>
      <c r="AF131" s="206">
        <f t="shared" si="7"/>
        <v>0</v>
      </c>
      <c r="AG131" s="206">
        <f t="shared" si="8"/>
        <v>0</v>
      </c>
      <c r="AH131" s="206">
        <f t="shared" si="9"/>
        <v>0</v>
      </c>
      <c r="AI131" s="206">
        <f t="shared" si="10"/>
        <v>0</v>
      </c>
      <c r="AJ131" s="206">
        <f t="shared" si="11"/>
        <v>0</v>
      </c>
      <c r="AK131" s="206">
        <f t="shared" si="12"/>
        <v>0</v>
      </c>
      <c r="AL131" s="206">
        <f t="shared" si="13"/>
        <v>0</v>
      </c>
      <c r="AM131" s="214">
        <f t="shared" si="14"/>
        <v>0</v>
      </c>
      <c r="AN131" s="4"/>
      <c r="AO131" s="167">
        <v>2245</v>
      </c>
      <c r="AP131" s="215">
        <v>4.326485344055671E-4</v>
      </c>
      <c r="AQ131" s="190">
        <v>3.603532398200437E-4</v>
      </c>
      <c r="AR131" s="190">
        <v>3.5619809699121883E-4</v>
      </c>
      <c r="AS131" s="170">
        <v>3.9125006600973706E-4</v>
      </c>
      <c r="AU131" s="216">
        <v>95.288275188905459</v>
      </c>
      <c r="AV131" s="217">
        <v>95.217531100016302</v>
      </c>
      <c r="AW131" s="217">
        <v>88.952193472367853</v>
      </c>
      <c r="AX131" s="217">
        <v>89.041977421018728</v>
      </c>
      <c r="AY131" s="217"/>
      <c r="AZ131" s="218">
        <v>0</v>
      </c>
      <c r="BA131" s="8"/>
      <c r="BB131" s="219"/>
      <c r="BC131" s="220"/>
    </row>
    <row r="132" spans="15:55" x14ac:dyDescent="0.25">
      <c r="O132" s="195">
        <v>2240</v>
      </c>
      <c r="P132" s="202">
        <f t="shared" si="20"/>
        <v>0</v>
      </c>
      <c r="Q132" s="203">
        <f t="shared" si="20"/>
        <v>0</v>
      </c>
      <c r="R132" s="157">
        <f ca="1"/>
        <v>95.183051317941946</v>
      </c>
      <c r="T132" s="204">
        <v>0</v>
      </c>
      <c r="U132" s="206">
        <v>0</v>
      </c>
      <c r="V132" s="206">
        <v>0</v>
      </c>
      <c r="W132" s="206">
        <v>0</v>
      </c>
      <c r="X132" s="206">
        <f t="array" ref="X132">IF(X$78&gt;" ",(X$628:X$1078),"")</f>
        <v>0</v>
      </c>
      <c r="Y132" s="206">
        <f t="array" ref="Y132">IF(Y$78&gt;" ",(Y$628:Y$1078),"")</f>
        <v>0</v>
      </c>
      <c r="Z132" s="206">
        <f t="array" ref="Z132">IF(Z$78&gt;" ",(Z$628:Z$1078),"")</f>
        <v>0</v>
      </c>
      <c r="AA132" s="206">
        <f t="array" ref="AA132">IF(AA$78&gt;" ",(AA$628:AA$1078),"")</f>
        <v>0</v>
      </c>
      <c r="AB132" s="210">
        <v>0</v>
      </c>
      <c r="AC132" s="204">
        <f t="shared" si="4"/>
        <v>0</v>
      </c>
      <c r="AD132" s="206">
        <f t="shared" si="5"/>
        <v>0</v>
      </c>
      <c r="AE132" s="206">
        <f t="shared" si="6"/>
        <v>0</v>
      </c>
      <c r="AF132" s="206">
        <f t="shared" si="7"/>
        <v>0</v>
      </c>
      <c r="AG132" s="206">
        <f t="shared" si="8"/>
        <v>0</v>
      </c>
      <c r="AH132" s="206">
        <f t="shared" si="9"/>
        <v>0</v>
      </c>
      <c r="AI132" s="206">
        <f t="shared" si="10"/>
        <v>0</v>
      </c>
      <c r="AJ132" s="206">
        <f t="shared" si="11"/>
        <v>0</v>
      </c>
      <c r="AK132" s="206">
        <f t="shared" si="12"/>
        <v>0</v>
      </c>
      <c r="AL132" s="206">
        <f t="shared" si="13"/>
        <v>0</v>
      </c>
      <c r="AM132" s="214">
        <f t="shared" si="14"/>
        <v>0</v>
      </c>
      <c r="AN132" s="4"/>
      <c r="AO132" s="167">
        <v>2240</v>
      </c>
      <c r="AP132" s="215">
        <v>4.3324310408180013E-4</v>
      </c>
      <c r="AQ132" s="190">
        <v>3.6133371118165082E-4</v>
      </c>
      <c r="AR132" s="190">
        <v>3.6766272983150203E-4</v>
      </c>
      <c r="AS132" s="170">
        <v>4.0372444625226967E-4</v>
      </c>
      <c r="AU132" s="216">
        <v>95.265002210915341</v>
      </c>
      <c r="AV132" s="217">
        <v>95.183051317941946</v>
      </c>
      <c r="AW132" s="217">
        <v>88.880168652547567</v>
      </c>
      <c r="AX132" s="217">
        <v>88.977631315609187</v>
      </c>
      <c r="AY132" s="217"/>
      <c r="AZ132" s="218">
        <v>0</v>
      </c>
      <c r="BA132" s="8"/>
      <c r="BB132" s="219"/>
      <c r="BC132" s="220"/>
    </row>
    <row r="133" spans="15:55" x14ac:dyDescent="0.25">
      <c r="O133" s="195">
        <v>2235</v>
      </c>
      <c r="P133" s="202">
        <f t="shared" si="20"/>
        <v>0</v>
      </c>
      <c r="Q133" s="203">
        <f t="shared" si="20"/>
        <v>0</v>
      </c>
      <c r="R133" s="157">
        <f ca="1"/>
        <v>95.167899809051775</v>
      </c>
      <c r="T133" s="204">
        <v>0</v>
      </c>
      <c r="U133" s="206">
        <v>0</v>
      </c>
      <c r="V133" s="206">
        <v>0</v>
      </c>
      <c r="W133" s="206">
        <v>0</v>
      </c>
      <c r="X133" s="206">
        <f t="array" ref="X133">IF(X$78&gt;" ",(X$628:X$1078),"")</f>
        <v>0</v>
      </c>
      <c r="Y133" s="206">
        <f t="array" ref="Y133">IF(Y$78&gt;" ",(Y$628:Y$1078),"")</f>
        <v>0</v>
      </c>
      <c r="Z133" s="206">
        <f t="array" ref="Z133">IF(Z$78&gt;" ",(Z$628:Z$1078),"")</f>
        <v>0</v>
      </c>
      <c r="AA133" s="206">
        <f t="array" ref="AA133">IF(AA$78&gt;" ",(AA$628:AA$1078),"")</f>
        <v>0</v>
      </c>
      <c r="AB133" s="210">
        <v>0</v>
      </c>
      <c r="AC133" s="204">
        <f t="shared" si="4"/>
        <v>0</v>
      </c>
      <c r="AD133" s="206">
        <f t="shared" si="5"/>
        <v>0</v>
      </c>
      <c r="AE133" s="206">
        <f t="shared" si="6"/>
        <v>0</v>
      </c>
      <c r="AF133" s="206">
        <f t="shared" si="7"/>
        <v>0</v>
      </c>
      <c r="AG133" s="206">
        <f t="shared" si="8"/>
        <v>0</v>
      </c>
      <c r="AH133" s="206">
        <f t="shared" si="9"/>
        <v>0</v>
      </c>
      <c r="AI133" s="206">
        <f t="shared" si="10"/>
        <v>0</v>
      </c>
      <c r="AJ133" s="206">
        <f t="shared" si="11"/>
        <v>0</v>
      </c>
      <c r="AK133" s="206">
        <f t="shared" si="12"/>
        <v>0</v>
      </c>
      <c r="AL133" s="206">
        <f t="shared" si="13"/>
        <v>0</v>
      </c>
      <c r="AM133" s="214">
        <f t="shared" si="14"/>
        <v>0</v>
      </c>
      <c r="AN133" s="4"/>
      <c r="AO133" s="167">
        <v>2235</v>
      </c>
      <c r="AP133" s="215">
        <v>4.3390373705539244E-4</v>
      </c>
      <c r="AQ133" s="190">
        <v>3.6231418254325783E-4</v>
      </c>
      <c r="AR133" s="190">
        <v>3.736012085088592E-4</v>
      </c>
      <c r="AS133" s="170">
        <v>4.10160308647475E-4</v>
      </c>
      <c r="AU133" s="216">
        <v>95.232656037874349</v>
      </c>
      <c r="AV133" s="217">
        <v>95.167899809051775</v>
      </c>
      <c r="AW133" s="217">
        <v>88.852951377847603</v>
      </c>
      <c r="AX133" s="217">
        <v>88.952137226653178</v>
      </c>
      <c r="AY133" s="217"/>
      <c r="AZ133" s="218">
        <v>0</v>
      </c>
      <c r="BA133" s="8"/>
      <c r="BB133" s="219"/>
      <c r="BC133" s="220"/>
    </row>
    <row r="134" spans="15:55" x14ac:dyDescent="0.25">
      <c r="O134" s="195">
        <v>2230</v>
      </c>
      <c r="P134" s="202">
        <f t="shared" si="20"/>
        <v>0</v>
      </c>
      <c r="Q134" s="203">
        <f t="shared" si="20"/>
        <v>0</v>
      </c>
      <c r="R134" s="157">
        <f ca="1"/>
        <v>95.152720800029542</v>
      </c>
      <c r="T134" s="204">
        <v>0</v>
      </c>
      <c r="U134" s="206">
        <v>0</v>
      </c>
      <c r="V134" s="206">
        <v>0</v>
      </c>
      <c r="W134" s="206">
        <v>0</v>
      </c>
      <c r="X134" s="206">
        <f t="array" ref="X134">IF(X$78&gt;" ",(X$628:X$1078),"")</f>
        <v>0</v>
      </c>
      <c r="Y134" s="206">
        <f t="array" ref="Y134">IF(Y$78&gt;" ",(Y$628:Y$1078),"")</f>
        <v>0</v>
      </c>
      <c r="Z134" s="206">
        <f t="array" ref="Z134">IF(Z$78&gt;" ",(Z$628:Z$1078),"")</f>
        <v>0</v>
      </c>
      <c r="AA134" s="206">
        <f t="array" ref="AA134">IF(AA$78&gt;" ",(AA$628:AA$1078),"")</f>
        <v>0</v>
      </c>
      <c r="AB134" s="210">
        <v>0</v>
      </c>
      <c r="AC134" s="204">
        <f t="shared" si="4"/>
        <v>0</v>
      </c>
      <c r="AD134" s="206">
        <f t="shared" si="5"/>
        <v>0</v>
      </c>
      <c r="AE134" s="206">
        <f t="shared" si="6"/>
        <v>0</v>
      </c>
      <c r="AF134" s="206">
        <f t="shared" si="7"/>
        <v>0</v>
      </c>
      <c r="AG134" s="206">
        <f t="shared" si="8"/>
        <v>0</v>
      </c>
      <c r="AH134" s="206">
        <f t="shared" si="9"/>
        <v>0</v>
      </c>
      <c r="AI134" s="206">
        <f t="shared" si="10"/>
        <v>0</v>
      </c>
      <c r="AJ134" s="206">
        <f t="shared" si="11"/>
        <v>0</v>
      </c>
      <c r="AK134" s="206">
        <f t="shared" si="12"/>
        <v>0</v>
      </c>
      <c r="AL134" s="206">
        <f t="shared" si="13"/>
        <v>0</v>
      </c>
      <c r="AM134" s="214">
        <f t="shared" si="14"/>
        <v>0</v>
      </c>
      <c r="AN134" s="4"/>
      <c r="AO134" s="167">
        <v>2230</v>
      </c>
      <c r="AP134" s="215">
        <v>4.3456437002898469E-4</v>
      </c>
      <c r="AQ134" s="190">
        <v>3.6329465390486494E-4</v>
      </c>
      <c r="AR134" s="190">
        <v>3.810129930731475E-4</v>
      </c>
      <c r="AS134" s="170">
        <v>4.1820233844044028E-4</v>
      </c>
      <c r="AU134" s="216">
        <v>95.221563700702518</v>
      </c>
      <c r="AV134" s="217">
        <v>95.152720800029542</v>
      </c>
      <c r="AW134" s="217">
        <v>88.820880360387264</v>
      </c>
      <c r="AX134" s="217">
        <v>88.912583320077445</v>
      </c>
      <c r="AY134" s="217"/>
      <c r="AZ134" s="218">
        <v>0</v>
      </c>
      <c r="BA134" s="8"/>
      <c r="BB134" s="219"/>
      <c r="BC134" s="220"/>
    </row>
    <row r="135" spans="15:55" x14ac:dyDescent="0.25">
      <c r="O135" s="195">
        <v>2225</v>
      </c>
      <c r="P135" s="202">
        <f t="shared" si="20"/>
        <v>0</v>
      </c>
      <c r="Q135" s="203">
        <f t="shared" si="20"/>
        <v>0</v>
      </c>
      <c r="R135" s="157">
        <f ca="1"/>
        <v>95.157939358729735</v>
      </c>
      <c r="T135" s="204">
        <v>0</v>
      </c>
      <c r="U135" s="206">
        <v>0</v>
      </c>
      <c r="V135" s="206">
        <v>0</v>
      </c>
      <c r="W135" s="206">
        <v>0</v>
      </c>
      <c r="X135" s="206">
        <f t="array" ref="X135">IF(X$78&gt;" ",(X$628:X$1078),"")</f>
        <v>0</v>
      </c>
      <c r="Y135" s="206">
        <f t="array" ref="Y135">IF(Y$78&gt;" ",(Y$628:Y$1078),"")</f>
        <v>0</v>
      </c>
      <c r="Z135" s="206">
        <f t="array" ref="Z135">IF(Z$78&gt;" ",(Z$628:Z$1078),"")</f>
        <v>0</v>
      </c>
      <c r="AA135" s="206">
        <f t="array" ref="AA135">IF(AA$78&gt;" ",(AA$628:AA$1078),"")</f>
        <v>0</v>
      </c>
      <c r="AB135" s="210">
        <v>0</v>
      </c>
      <c r="AC135" s="204">
        <f t="shared" si="4"/>
        <v>0</v>
      </c>
      <c r="AD135" s="206">
        <f t="shared" si="5"/>
        <v>0</v>
      </c>
      <c r="AE135" s="206">
        <f t="shared" si="6"/>
        <v>0</v>
      </c>
      <c r="AF135" s="206">
        <f t="shared" si="7"/>
        <v>0</v>
      </c>
      <c r="AG135" s="206">
        <f t="shared" si="8"/>
        <v>0</v>
      </c>
      <c r="AH135" s="206">
        <f t="shared" si="9"/>
        <v>0</v>
      </c>
      <c r="AI135" s="206">
        <f t="shared" si="10"/>
        <v>0</v>
      </c>
      <c r="AJ135" s="206">
        <f t="shared" si="11"/>
        <v>0</v>
      </c>
      <c r="AK135" s="206">
        <f t="shared" si="12"/>
        <v>0</v>
      </c>
      <c r="AL135" s="206">
        <f t="shared" si="13"/>
        <v>0</v>
      </c>
      <c r="AM135" s="214">
        <f t="shared" si="14"/>
        <v>0</v>
      </c>
      <c r="AN135" s="4"/>
      <c r="AO135" s="167">
        <v>2225</v>
      </c>
      <c r="AP135" s="215">
        <v>4.3522500300257689E-4</v>
      </c>
      <c r="AQ135" s="190">
        <v>3.6427512526647206E-4</v>
      </c>
      <c r="AR135" s="190">
        <v>3.7940392179731833E-4</v>
      </c>
      <c r="AS135" s="170">
        <v>4.1637231495936884E-4</v>
      </c>
      <c r="AU135" s="216">
        <v>95.226315506077</v>
      </c>
      <c r="AV135" s="217">
        <v>95.157939358729735</v>
      </c>
      <c r="AW135" s="217">
        <v>88.847884708397601</v>
      </c>
      <c r="AX135" s="217">
        <v>88.941620163640138</v>
      </c>
      <c r="AY135" s="217"/>
      <c r="AZ135" s="218">
        <v>0</v>
      </c>
      <c r="BA135" s="8"/>
      <c r="BB135" s="219"/>
      <c r="BC135" s="220"/>
    </row>
    <row r="136" spans="15:55" x14ac:dyDescent="0.25">
      <c r="O136" s="195">
        <v>2220</v>
      </c>
      <c r="P136" s="202">
        <f t="shared" si="20"/>
        <v>0</v>
      </c>
      <c r="Q136" s="203">
        <f t="shared" si="20"/>
        <v>0</v>
      </c>
      <c r="R136" s="157">
        <f ca="1"/>
        <v>95.16255528974834</v>
      </c>
      <c r="T136" s="204">
        <v>0</v>
      </c>
      <c r="U136" s="206">
        <v>0</v>
      </c>
      <c r="V136" s="206">
        <v>0</v>
      </c>
      <c r="W136" s="206">
        <v>0</v>
      </c>
      <c r="X136" s="206">
        <f t="array" ref="X136">IF(X$78&gt;" ",(X$628:X$1078),"")</f>
        <v>0</v>
      </c>
      <c r="Y136" s="206">
        <f t="array" ref="Y136">IF(Y$78&gt;" ",(Y$628:Y$1078),"")</f>
        <v>0</v>
      </c>
      <c r="Z136" s="206">
        <f t="array" ref="Z136">IF(Z$78&gt;" ",(Z$628:Z$1078),"")</f>
        <v>0</v>
      </c>
      <c r="AA136" s="206">
        <f t="array" ref="AA136">IF(AA$78&gt;" ",(AA$628:AA$1078),"")</f>
        <v>0</v>
      </c>
      <c r="AB136" s="210">
        <v>0</v>
      </c>
      <c r="AC136" s="204">
        <f t="shared" si="4"/>
        <v>0</v>
      </c>
      <c r="AD136" s="206">
        <f t="shared" si="5"/>
        <v>0</v>
      </c>
      <c r="AE136" s="206">
        <f t="shared" si="6"/>
        <v>0</v>
      </c>
      <c r="AF136" s="206">
        <f t="shared" si="7"/>
        <v>0</v>
      </c>
      <c r="AG136" s="206">
        <f t="shared" si="8"/>
        <v>0</v>
      </c>
      <c r="AH136" s="206">
        <f t="shared" si="9"/>
        <v>0</v>
      </c>
      <c r="AI136" s="206">
        <f t="shared" si="10"/>
        <v>0</v>
      </c>
      <c r="AJ136" s="206">
        <f t="shared" si="11"/>
        <v>0</v>
      </c>
      <c r="AK136" s="206">
        <f t="shared" si="12"/>
        <v>0</v>
      </c>
      <c r="AL136" s="206">
        <f t="shared" si="13"/>
        <v>0</v>
      </c>
      <c r="AM136" s="214">
        <f t="shared" si="14"/>
        <v>0</v>
      </c>
      <c r="AN136" s="4"/>
      <c r="AO136" s="167">
        <v>2220</v>
      </c>
      <c r="AP136" s="215">
        <v>4.3581957267880991E-4</v>
      </c>
      <c r="AQ136" s="190">
        <v>3.6525559662807912E-4</v>
      </c>
      <c r="AR136" s="190">
        <v>3.9085346959439053E-4</v>
      </c>
      <c r="AS136" s="170">
        <v>4.2885788800606716E-4</v>
      </c>
      <c r="AU136" s="216">
        <v>95.241189400310418</v>
      </c>
      <c r="AV136" s="217">
        <v>95.16255528974834</v>
      </c>
      <c r="AW136" s="217">
        <v>88.873106088155509</v>
      </c>
      <c r="AX136" s="217">
        <v>88.970547625902171</v>
      </c>
      <c r="AY136" s="217"/>
      <c r="AZ136" s="218">
        <v>0</v>
      </c>
      <c r="BA136" s="8"/>
      <c r="BB136" s="219"/>
      <c r="BC136" s="220"/>
    </row>
    <row r="137" spans="15:55" x14ac:dyDescent="0.25">
      <c r="O137" s="195">
        <v>2215</v>
      </c>
      <c r="P137" s="202">
        <f t="shared" si="20"/>
        <v>0</v>
      </c>
      <c r="Q137" s="203">
        <f t="shared" si="20"/>
        <v>0</v>
      </c>
      <c r="R137" s="157">
        <f ca="1"/>
        <v>95.203710594933071</v>
      </c>
      <c r="T137" s="204">
        <v>0</v>
      </c>
      <c r="U137" s="206">
        <v>0</v>
      </c>
      <c r="V137" s="206">
        <v>0</v>
      </c>
      <c r="W137" s="206">
        <v>0</v>
      </c>
      <c r="X137" s="206">
        <f t="array" ref="X137">IF(X$78&gt;" ",(X$628:X$1078),"")</f>
        <v>0</v>
      </c>
      <c r="Y137" s="206">
        <f t="array" ref="Y137">IF(Y$78&gt;" ",(Y$628:Y$1078),"")</f>
        <v>0</v>
      </c>
      <c r="Z137" s="206">
        <f t="array" ref="Z137">IF(Z$78&gt;" ",(Z$628:Z$1078),"")</f>
        <v>0</v>
      </c>
      <c r="AA137" s="206">
        <f t="array" ref="AA137">IF(AA$78&gt;" ",(AA$628:AA$1078),"")</f>
        <v>0</v>
      </c>
      <c r="AB137" s="210">
        <v>0</v>
      </c>
      <c r="AC137" s="204">
        <f t="shared" si="4"/>
        <v>0</v>
      </c>
      <c r="AD137" s="206">
        <f t="shared" si="5"/>
        <v>0</v>
      </c>
      <c r="AE137" s="206">
        <f t="shared" si="6"/>
        <v>0</v>
      </c>
      <c r="AF137" s="206">
        <f t="shared" si="7"/>
        <v>0</v>
      </c>
      <c r="AG137" s="206">
        <f t="shared" si="8"/>
        <v>0</v>
      </c>
      <c r="AH137" s="206">
        <f t="shared" si="9"/>
        <v>0</v>
      </c>
      <c r="AI137" s="206">
        <f t="shared" si="10"/>
        <v>0</v>
      </c>
      <c r="AJ137" s="206">
        <f t="shared" si="11"/>
        <v>0</v>
      </c>
      <c r="AK137" s="206">
        <f t="shared" si="12"/>
        <v>0</v>
      </c>
      <c r="AL137" s="206">
        <f t="shared" si="13"/>
        <v>0</v>
      </c>
      <c r="AM137" s="214">
        <f t="shared" si="14"/>
        <v>0</v>
      </c>
      <c r="AN137" s="4"/>
      <c r="AO137" s="167">
        <v>2215</v>
      </c>
      <c r="AP137" s="215">
        <v>4.3648020565240217E-4</v>
      </c>
      <c r="AQ137" s="190">
        <v>3.6623606798968624E-4</v>
      </c>
      <c r="AR137" s="190">
        <v>3.8352716694163065E-4</v>
      </c>
      <c r="AS137" s="170">
        <v>4.2078787620268804E-4</v>
      </c>
      <c r="AU137" s="216">
        <v>95.280102561300779</v>
      </c>
      <c r="AV137" s="217">
        <v>95.203710594933071</v>
      </c>
      <c r="AW137" s="217">
        <v>89.000742226012378</v>
      </c>
      <c r="AX137" s="217">
        <v>89.095657009927663</v>
      </c>
      <c r="AY137" s="217"/>
      <c r="AZ137" s="218">
        <v>0</v>
      </c>
      <c r="BA137" s="8"/>
      <c r="BB137" s="219"/>
      <c r="BC137" s="220"/>
    </row>
    <row r="138" spans="15:55" x14ac:dyDescent="0.25">
      <c r="O138" s="195">
        <v>2210</v>
      </c>
      <c r="P138" s="202">
        <f t="shared" si="20"/>
        <v>0</v>
      </c>
      <c r="Q138" s="203">
        <f t="shared" si="20"/>
        <v>0</v>
      </c>
      <c r="R138" s="157">
        <f ca="1"/>
        <v>95.244265940404375</v>
      </c>
      <c r="T138" s="204">
        <v>0</v>
      </c>
      <c r="U138" s="206">
        <v>0</v>
      </c>
      <c r="V138" s="206">
        <v>0</v>
      </c>
      <c r="W138" s="206">
        <v>0</v>
      </c>
      <c r="X138" s="206">
        <f t="array" ref="X138">IF(X$78&gt;" ",(X$628:X$1078),"")</f>
        <v>0</v>
      </c>
      <c r="Y138" s="206">
        <f t="array" ref="Y138">IF(Y$78&gt;" ",(Y$628:Y$1078),"")</f>
        <v>0</v>
      </c>
      <c r="Z138" s="206">
        <f t="array" ref="Z138">IF(Z$78&gt;" ",(Z$628:Z$1078),"")</f>
        <v>0</v>
      </c>
      <c r="AA138" s="206">
        <f t="array" ref="AA138">IF(AA$78&gt;" ",(AA$628:AA$1078),"")</f>
        <v>0</v>
      </c>
      <c r="AB138" s="210">
        <v>0</v>
      </c>
      <c r="AC138" s="204">
        <f t="shared" si="4"/>
        <v>0</v>
      </c>
      <c r="AD138" s="206">
        <f t="shared" si="5"/>
        <v>0</v>
      </c>
      <c r="AE138" s="206">
        <f t="shared" si="6"/>
        <v>0</v>
      </c>
      <c r="AF138" s="206">
        <f t="shared" si="7"/>
        <v>0</v>
      </c>
      <c r="AG138" s="206">
        <f t="shared" si="8"/>
        <v>0</v>
      </c>
      <c r="AH138" s="206">
        <f t="shared" si="9"/>
        <v>0</v>
      </c>
      <c r="AI138" s="206">
        <f t="shared" si="10"/>
        <v>0</v>
      </c>
      <c r="AJ138" s="206">
        <f t="shared" si="11"/>
        <v>0</v>
      </c>
      <c r="AK138" s="206">
        <f t="shared" si="12"/>
        <v>0</v>
      </c>
      <c r="AL138" s="206">
        <f t="shared" si="13"/>
        <v>0</v>
      </c>
      <c r="AM138" s="214">
        <f t="shared" si="14"/>
        <v>0</v>
      </c>
      <c r="AN138" s="4"/>
      <c r="AO138" s="167">
        <v>2210</v>
      </c>
      <c r="AP138" s="215">
        <v>4.3714083862599447E-4</v>
      </c>
      <c r="AQ138" s="190">
        <v>3.6721653935129341E-4</v>
      </c>
      <c r="AR138" s="190">
        <v>3.9882340075748213E-4</v>
      </c>
      <c r="AS138" s="170">
        <v>4.374931364198078E-4</v>
      </c>
      <c r="AU138" s="216">
        <v>95.310076764951646</v>
      </c>
      <c r="AV138" s="217">
        <v>95.244265940404375</v>
      </c>
      <c r="AW138" s="217">
        <v>89.111091830199825</v>
      </c>
      <c r="AX138" s="217">
        <v>89.205136004221927</v>
      </c>
      <c r="AY138" s="217"/>
      <c r="AZ138" s="218">
        <v>0</v>
      </c>
      <c r="BA138" s="8"/>
      <c r="BB138" s="219"/>
      <c r="BC138" s="220"/>
    </row>
    <row r="139" spans="15:55" x14ac:dyDescent="0.25">
      <c r="O139" s="195">
        <v>2205</v>
      </c>
      <c r="P139" s="202">
        <f t="shared" si="20"/>
        <v>0</v>
      </c>
      <c r="Q139" s="203">
        <f t="shared" si="20"/>
        <v>0</v>
      </c>
      <c r="R139" s="157">
        <f ca="1"/>
        <v>95.326838764736308</v>
      </c>
      <c r="T139" s="204">
        <v>0</v>
      </c>
      <c r="U139" s="206">
        <v>0</v>
      </c>
      <c r="V139" s="206">
        <v>0</v>
      </c>
      <c r="W139" s="206">
        <v>0</v>
      </c>
      <c r="X139" s="206">
        <f t="array" ref="X139">IF(X$78&gt;" ",(X$628:X$1078),"")</f>
        <v>0</v>
      </c>
      <c r="Y139" s="206">
        <f t="array" ref="Y139">IF(Y$78&gt;" ",(Y$628:Y$1078),"")</f>
        <v>0</v>
      </c>
      <c r="Z139" s="206">
        <f t="array" ref="Z139">IF(Z$78&gt;" ",(Z$628:Z$1078),"")</f>
        <v>0</v>
      </c>
      <c r="AA139" s="206">
        <f t="array" ref="AA139">IF(AA$78&gt;" ",(AA$628:AA$1078),"")</f>
        <v>0</v>
      </c>
      <c r="AB139" s="210">
        <v>0</v>
      </c>
      <c r="AC139" s="204">
        <f t="shared" si="4"/>
        <v>0</v>
      </c>
      <c r="AD139" s="206">
        <f t="shared" si="5"/>
        <v>0</v>
      </c>
      <c r="AE139" s="206">
        <f t="shared" si="6"/>
        <v>0</v>
      </c>
      <c r="AF139" s="206">
        <f t="shared" si="7"/>
        <v>0</v>
      </c>
      <c r="AG139" s="206">
        <f t="shared" si="8"/>
        <v>0</v>
      </c>
      <c r="AH139" s="206">
        <f t="shared" si="9"/>
        <v>0</v>
      </c>
      <c r="AI139" s="206">
        <f t="shared" si="10"/>
        <v>0</v>
      </c>
      <c r="AJ139" s="206">
        <f t="shared" si="11"/>
        <v>0</v>
      </c>
      <c r="AK139" s="206">
        <f t="shared" si="12"/>
        <v>0</v>
      </c>
      <c r="AL139" s="206">
        <f t="shared" si="13"/>
        <v>0</v>
      </c>
      <c r="AM139" s="214">
        <f t="shared" si="14"/>
        <v>0</v>
      </c>
      <c r="AN139" s="4"/>
      <c r="AO139" s="167">
        <v>2205</v>
      </c>
      <c r="AP139" s="215">
        <v>4.377354083022275E-4</v>
      </c>
      <c r="AQ139" s="190">
        <v>3.6819701071290041E-4</v>
      </c>
      <c r="AR139" s="190">
        <v>3.7214801601287596E-4</v>
      </c>
      <c r="AS139" s="170">
        <v>4.0824074273307901E-4</v>
      </c>
      <c r="AU139" s="216">
        <v>95.385279345514391</v>
      </c>
      <c r="AV139" s="217">
        <v>95.326838764736308</v>
      </c>
      <c r="AW139" s="217">
        <v>89.330537981788552</v>
      </c>
      <c r="AX139" s="217">
        <v>89.425379333465528</v>
      </c>
      <c r="AY139" s="217"/>
      <c r="AZ139" s="218">
        <v>0</v>
      </c>
      <c r="BA139" s="8"/>
      <c r="BB139" s="219"/>
      <c r="BC139" s="220"/>
    </row>
    <row r="140" spans="15:55" x14ac:dyDescent="0.25">
      <c r="O140" s="195">
        <v>2200</v>
      </c>
      <c r="P140" s="202">
        <f t="shared" si="20"/>
        <v>0</v>
      </c>
      <c r="Q140" s="203">
        <f t="shared" si="20"/>
        <v>0</v>
      </c>
      <c r="R140" s="157">
        <f ca="1"/>
        <v>95.402483707948704</v>
      </c>
      <c r="T140" s="204">
        <v>0</v>
      </c>
      <c r="U140" s="206">
        <v>0</v>
      </c>
      <c r="V140" s="206">
        <v>0</v>
      </c>
      <c r="W140" s="206">
        <v>0</v>
      </c>
      <c r="X140" s="206">
        <f t="array" ref="X140">IF(X$78&gt;" ",(X$628:X$1078),"")</f>
        <v>0</v>
      </c>
      <c r="Y140" s="206">
        <f t="array" ref="Y140">IF(Y$78&gt;" ",(Y$628:Y$1078),"")</f>
        <v>0</v>
      </c>
      <c r="Z140" s="206">
        <f t="array" ref="Z140">IF(Z$78&gt;" ",(Z$628:Z$1078),"")</f>
        <v>0</v>
      </c>
      <c r="AA140" s="206">
        <f t="array" ref="AA140">IF(AA$78&gt;" ",(AA$628:AA$1078),"")</f>
        <v>0</v>
      </c>
      <c r="AB140" s="210">
        <v>0</v>
      </c>
      <c r="AC140" s="204">
        <f t="shared" si="4"/>
        <v>0</v>
      </c>
      <c r="AD140" s="206">
        <f t="shared" si="5"/>
        <v>0</v>
      </c>
      <c r="AE140" s="206">
        <f t="shared" si="6"/>
        <v>0</v>
      </c>
      <c r="AF140" s="206">
        <f t="shared" si="7"/>
        <v>0</v>
      </c>
      <c r="AG140" s="206">
        <f t="shared" si="8"/>
        <v>0</v>
      </c>
      <c r="AH140" s="206">
        <f t="shared" si="9"/>
        <v>0</v>
      </c>
      <c r="AI140" s="206">
        <f t="shared" si="10"/>
        <v>0</v>
      </c>
      <c r="AJ140" s="206">
        <f t="shared" si="11"/>
        <v>0</v>
      </c>
      <c r="AK140" s="206">
        <f t="shared" si="12"/>
        <v>0</v>
      </c>
      <c r="AL140" s="206">
        <f t="shared" si="13"/>
        <v>0</v>
      </c>
      <c r="AM140" s="214">
        <f t="shared" si="14"/>
        <v>0</v>
      </c>
      <c r="AN140" s="4"/>
      <c r="AO140" s="167">
        <v>2200</v>
      </c>
      <c r="AP140" s="215">
        <v>4.3839604127581975E-4</v>
      </c>
      <c r="AQ140" s="190">
        <v>3.6917748207450753E-4</v>
      </c>
      <c r="AR140" s="190">
        <v>3.5802841556747456E-4</v>
      </c>
      <c r="AS140" s="170">
        <v>3.9272751615959287E-4</v>
      </c>
      <c r="AU140" s="216">
        <v>95.467026465642107</v>
      </c>
      <c r="AV140" s="217">
        <v>95.402483707948704</v>
      </c>
      <c r="AW140" s="217">
        <v>89.541141691501466</v>
      </c>
      <c r="AX140" s="217">
        <v>89.638282701881579</v>
      </c>
      <c r="AY140" s="217"/>
      <c r="AZ140" s="218">
        <v>0</v>
      </c>
      <c r="BA140" s="8"/>
      <c r="BB140" s="219"/>
      <c r="BC140" s="220"/>
    </row>
    <row r="141" spans="15:55" x14ac:dyDescent="0.25">
      <c r="O141" s="195">
        <v>2195</v>
      </c>
      <c r="P141" s="202">
        <f t="shared" si="20"/>
        <v>0</v>
      </c>
      <c r="Q141" s="203">
        <f t="shared" si="20"/>
        <v>0</v>
      </c>
      <c r="R141" s="157">
        <f ca="1"/>
        <v>95.520729188729618</v>
      </c>
      <c r="T141" s="204">
        <v>0</v>
      </c>
      <c r="U141" s="206">
        <v>0</v>
      </c>
      <c r="V141" s="206">
        <v>0</v>
      </c>
      <c r="W141" s="206">
        <v>0</v>
      </c>
      <c r="X141" s="206">
        <f t="array" ref="X141">IF(X$78&gt;" ",(X$628:X$1078),"")</f>
        <v>0</v>
      </c>
      <c r="Y141" s="206">
        <f t="array" ref="Y141">IF(Y$78&gt;" ",(Y$628:Y$1078),"")</f>
        <v>0</v>
      </c>
      <c r="Z141" s="206">
        <f t="array" ref="Z141">IF(Z$78&gt;" ",(Z$628:Z$1078),"")</f>
        <v>0</v>
      </c>
      <c r="AA141" s="206">
        <f t="array" ref="AA141">IF(AA$78&gt;" ",(AA$628:AA$1078),"")</f>
        <v>0</v>
      </c>
      <c r="AB141" s="210">
        <v>0</v>
      </c>
      <c r="AC141" s="204">
        <f t="shared" si="4"/>
        <v>0</v>
      </c>
      <c r="AD141" s="206">
        <f t="shared" si="5"/>
        <v>0</v>
      </c>
      <c r="AE141" s="206">
        <f t="shared" si="6"/>
        <v>0</v>
      </c>
      <c r="AF141" s="206">
        <f t="shared" si="7"/>
        <v>0</v>
      </c>
      <c r="AG141" s="206">
        <f t="shared" si="8"/>
        <v>0</v>
      </c>
      <c r="AH141" s="206">
        <f t="shared" si="9"/>
        <v>0</v>
      </c>
      <c r="AI141" s="206">
        <f t="shared" si="10"/>
        <v>0</v>
      </c>
      <c r="AJ141" s="206">
        <f t="shared" si="11"/>
        <v>0</v>
      </c>
      <c r="AK141" s="206">
        <f t="shared" si="12"/>
        <v>0</v>
      </c>
      <c r="AL141" s="206">
        <f t="shared" si="13"/>
        <v>0</v>
      </c>
      <c r="AM141" s="214">
        <f t="shared" si="14"/>
        <v>0</v>
      </c>
      <c r="AN141" s="4"/>
      <c r="AO141" s="167">
        <v>2195</v>
      </c>
      <c r="AP141" s="215">
        <v>4.4255802900945089E-4</v>
      </c>
      <c r="AQ141" s="190">
        <v>3.7369965610967496E-4</v>
      </c>
      <c r="AR141" s="190">
        <v>3.9719924443844208E-4</v>
      </c>
      <c r="AS141" s="170">
        <v>4.3558476330957737E-4</v>
      </c>
      <c r="AU141" s="216">
        <v>95.583372360189188</v>
      </c>
      <c r="AV141" s="217">
        <v>95.520729188729618</v>
      </c>
      <c r="AW141" s="217">
        <v>89.872434141374995</v>
      </c>
      <c r="AX141" s="217">
        <v>89.976864552475988</v>
      </c>
      <c r="AY141" s="217"/>
      <c r="AZ141" s="218">
        <v>0</v>
      </c>
      <c r="BA141" s="8"/>
      <c r="BB141" s="219"/>
      <c r="BC141" s="220"/>
    </row>
    <row r="142" spans="15:55" x14ac:dyDescent="0.25">
      <c r="O142" s="195">
        <v>2190</v>
      </c>
      <c r="P142" s="202">
        <f t="shared" si="20"/>
        <v>0</v>
      </c>
      <c r="Q142" s="203">
        <f t="shared" si="20"/>
        <v>0</v>
      </c>
      <c r="R142" s="157">
        <f ca="1"/>
        <v>95.632843645230125</v>
      </c>
      <c r="T142" s="204">
        <v>0</v>
      </c>
      <c r="U142" s="206">
        <v>0</v>
      </c>
      <c r="V142" s="206">
        <v>0</v>
      </c>
      <c r="W142" s="206">
        <v>0</v>
      </c>
      <c r="X142" s="206">
        <f t="array" ref="X142">IF(X$78&gt;" ",(X$628:X$1078),"")</f>
        <v>0</v>
      </c>
      <c r="Y142" s="206">
        <f t="array" ref="Y142">IF(Y$78&gt;" ",(Y$628:Y$1078),"")</f>
        <v>0</v>
      </c>
      <c r="Z142" s="206">
        <f t="array" ref="Z142">IF(Z$78&gt;" ",(Z$628:Z$1078),"")</f>
        <v>0</v>
      </c>
      <c r="AA142" s="206">
        <f t="array" ref="AA142">IF(AA$78&gt;" ",(AA$628:AA$1078),"")</f>
        <v>0</v>
      </c>
      <c r="AB142" s="210">
        <v>0</v>
      </c>
      <c r="AC142" s="204">
        <f t="shared" si="4"/>
        <v>0</v>
      </c>
      <c r="AD142" s="206">
        <f t="shared" si="5"/>
        <v>0</v>
      </c>
      <c r="AE142" s="206">
        <f t="shared" si="6"/>
        <v>0</v>
      </c>
      <c r="AF142" s="206">
        <f t="shared" si="7"/>
        <v>0</v>
      </c>
      <c r="AG142" s="206">
        <f t="shared" si="8"/>
        <v>0</v>
      </c>
      <c r="AH142" s="206">
        <f t="shared" si="9"/>
        <v>0</v>
      </c>
      <c r="AI142" s="206">
        <f t="shared" si="10"/>
        <v>0</v>
      </c>
      <c r="AJ142" s="206">
        <f t="shared" si="11"/>
        <v>0</v>
      </c>
      <c r="AK142" s="206">
        <f t="shared" si="12"/>
        <v>0</v>
      </c>
      <c r="AL142" s="206">
        <f t="shared" si="13"/>
        <v>0</v>
      </c>
      <c r="AM142" s="214">
        <f t="shared" si="14"/>
        <v>0</v>
      </c>
      <c r="AN142" s="4"/>
      <c r="AO142" s="167">
        <v>2190</v>
      </c>
      <c r="AP142" s="215">
        <v>4.4903223215065502E-4</v>
      </c>
      <c r="AQ142" s="190">
        <v>3.7822183014484239E-4</v>
      </c>
      <c r="AR142" s="190">
        <v>3.9758139886645146E-4</v>
      </c>
      <c r="AS142" s="170">
        <v>4.3598770425953804E-4</v>
      </c>
      <c r="AU142" s="216">
        <v>95.692387166883989</v>
      </c>
      <c r="AV142" s="217">
        <v>95.632843645230125</v>
      </c>
      <c r="AW142" s="217">
        <v>90.191694063099433</v>
      </c>
      <c r="AX142" s="217">
        <v>90.290791257575094</v>
      </c>
      <c r="AY142" s="217"/>
      <c r="AZ142" s="218">
        <v>0</v>
      </c>
      <c r="BA142" s="8"/>
      <c r="BB142" s="219"/>
      <c r="BC142" s="220"/>
    </row>
    <row r="143" spans="15:55" x14ac:dyDescent="0.25">
      <c r="O143" s="195">
        <v>2185</v>
      </c>
      <c r="P143" s="202">
        <f t="shared" si="20"/>
        <v>0</v>
      </c>
      <c r="Q143" s="203">
        <f t="shared" si="20"/>
        <v>0</v>
      </c>
      <c r="R143" s="157">
        <f ca="1"/>
        <v>95.760735967393842</v>
      </c>
      <c r="T143" s="204">
        <v>0</v>
      </c>
      <c r="U143" s="206">
        <v>0</v>
      </c>
      <c r="V143" s="206">
        <v>0</v>
      </c>
      <c r="W143" s="206">
        <v>0</v>
      </c>
      <c r="X143" s="206">
        <f t="array" ref="X143">IF(X$78&gt;" ",(X$628:X$1078),"")</f>
        <v>0</v>
      </c>
      <c r="Y143" s="206">
        <f t="array" ref="Y143">IF(Y$78&gt;" ",(Y$628:Y$1078),"")</f>
        <v>0</v>
      </c>
      <c r="Z143" s="206">
        <f t="array" ref="Z143">IF(Z$78&gt;" ",(Z$628:Z$1078),"")</f>
        <v>0</v>
      </c>
      <c r="AA143" s="206">
        <f t="array" ref="AA143">IF(AA$78&gt;" ",(AA$628:AA$1078),"")</f>
        <v>0</v>
      </c>
      <c r="AB143" s="210">
        <v>0</v>
      </c>
      <c r="AC143" s="204">
        <f t="shared" si="4"/>
        <v>0</v>
      </c>
      <c r="AD143" s="206">
        <f t="shared" si="5"/>
        <v>0</v>
      </c>
      <c r="AE143" s="206">
        <f t="shared" si="6"/>
        <v>0</v>
      </c>
      <c r="AF143" s="206">
        <f t="shared" si="7"/>
        <v>0</v>
      </c>
      <c r="AG143" s="206">
        <f t="shared" si="8"/>
        <v>0</v>
      </c>
      <c r="AH143" s="206">
        <f t="shared" si="9"/>
        <v>0</v>
      </c>
      <c r="AI143" s="206">
        <f t="shared" si="10"/>
        <v>0</v>
      </c>
      <c r="AJ143" s="206">
        <f t="shared" si="11"/>
        <v>0</v>
      </c>
      <c r="AK143" s="206">
        <f t="shared" si="12"/>
        <v>0</v>
      </c>
      <c r="AL143" s="206">
        <f t="shared" si="13"/>
        <v>0</v>
      </c>
      <c r="AM143" s="214">
        <f t="shared" si="14"/>
        <v>0</v>
      </c>
      <c r="AN143" s="4"/>
      <c r="AO143" s="167">
        <v>2185</v>
      </c>
      <c r="AP143" s="215">
        <v>4.5550643529185914E-4</v>
      </c>
      <c r="AQ143" s="190">
        <v>3.8274400418000971E-4</v>
      </c>
      <c r="AR143" s="190">
        <v>3.7486332379083775E-4</v>
      </c>
      <c r="AS143" s="170">
        <v>4.111005041973833E-4</v>
      </c>
      <c r="AU143" s="216">
        <v>95.815011406219313</v>
      </c>
      <c r="AV143" s="217">
        <v>95.760735967393842</v>
      </c>
      <c r="AW143" s="217">
        <v>90.53447911721544</v>
      </c>
      <c r="AX143" s="217">
        <v>90.63346250337338</v>
      </c>
      <c r="AY143" s="217"/>
      <c r="AZ143" s="218">
        <v>0</v>
      </c>
      <c r="BA143" s="8"/>
      <c r="BB143" s="219"/>
      <c r="BC143" s="220"/>
    </row>
    <row r="144" spans="15:55" x14ac:dyDescent="0.25">
      <c r="O144" s="195">
        <v>2180</v>
      </c>
      <c r="P144" s="202">
        <f t="shared" ref="P144:Q159" si="21">P692</f>
        <v>0</v>
      </c>
      <c r="Q144" s="203">
        <f t="shared" si="21"/>
        <v>0</v>
      </c>
      <c r="R144" s="157">
        <f ca="1"/>
        <v>95.903079509427585</v>
      </c>
      <c r="T144" s="204">
        <v>0</v>
      </c>
      <c r="U144" s="206">
        <v>0</v>
      </c>
      <c r="V144" s="206">
        <v>0</v>
      </c>
      <c r="W144" s="206">
        <v>0</v>
      </c>
      <c r="X144" s="206">
        <f t="array" ref="X144">IF(X$78&gt;" ",(X$628:X$1078),"")</f>
        <v>0</v>
      </c>
      <c r="Y144" s="206">
        <f t="array" ref="Y144">IF(Y$78&gt;" ",(Y$628:Y$1078),"")</f>
        <v>0</v>
      </c>
      <c r="Z144" s="206">
        <f t="array" ref="Z144">IF(Z$78&gt;" ",(Z$628:Z$1078),"")</f>
        <v>0</v>
      </c>
      <c r="AA144" s="206">
        <f t="array" ref="AA144">IF(AA$78&gt;" ",(AA$628:AA$1078),"")</f>
        <v>0</v>
      </c>
      <c r="AB144" s="210">
        <v>0</v>
      </c>
      <c r="AC144" s="204">
        <f t="shared" si="4"/>
        <v>0</v>
      </c>
      <c r="AD144" s="206">
        <f t="shared" si="5"/>
        <v>0</v>
      </c>
      <c r="AE144" s="206">
        <f t="shared" si="6"/>
        <v>0</v>
      </c>
      <c r="AF144" s="206">
        <f t="shared" si="7"/>
        <v>0</v>
      </c>
      <c r="AG144" s="206">
        <f t="shared" si="8"/>
        <v>0</v>
      </c>
      <c r="AH144" s="206">
        <f t="shared" si="9"/>
        <v>0</v>
      </c>
      <c r="AI144" s="206">
        <f t="shared" si="10"/>
        <v>0</v>
      </c>
      <c r="AJ144" s="206">
        <f t="shared" si="11"/>
        <v>0</v>
      </c>
      <c r="AK144" s="206">
        <f t="shared" si="12"/>
        <v>0</v>
      </c>
      <c r="AL144" s="206">
        <f t="shared" si="13"/>
        <v>0</v>
      </c>
      <c r="AM144" s="214">
        <f t="shared" si="14"/>
        <v>0</v>
      </c>
      <c r="AN144" s="4"/>
      <c r="AO144" s="167">
        <v>2180</v>
      </c>
      <c r="AP144" s="215">
        <v>4.6198063843306327E-4</v>
      </c>
      <c r="AQ144" s="190">
        <v>3.8726617821517709E-4</v>
      </c>
      <c r="AR144" s="190">
        <v>4.1135907166573918E-4</v>
      </c>
      <c r="AS144" s="170">
        <v>4.5105321866640121E-4</v>
      </c>
      <c r="AU144" s="216">
        <v>95.938847618609159</v>
      </c>
      <c r="AV144" s="217">
        <v>95.903079509427585</v>
      </c>
      <c r="AW144" s="217">
        <v>90.890411184397024</v>
      </c>
      <c r="AX144" s="217">
        <v>90.995197325785696</v>
      </c>
      <c r="AY144" s="217"/>
      <c r="AZ144" s="218">
        <v>0</v>
      </c>
      <c r="BA144" s="8"/>
      <c r="BB144" s="219"/>
      <c r="BC144" s="220"/>
    </row>
    <row r="145" spans="15:55" x14ac:dyDescent="0.25">
      <c r="O145" s="195">
        <v>2175</v>
      </c>
      <c r="P145" s="202">
        <f t="shared" si="21"/>
        <v>0</v>
      </c>
      <c r="Q145" s="203">
        <f t="shared" si="21"/>
        <v>0</v>
      </c>
      <c r="R145" s="157">
        <f ca="1"/>
        <v>96.013430734719194</v>
      </c>
      <c r="T145" s="204">
        <v>0</v>
      </c>
      <c r="U145" s="206">
        <v>0</v>
      </c>
      <c r="V145" s="206">
        <v>0</v>
      </c>
      <c r="W145" s="206">
        <v>0</v>
      </c>
      <c r="X145" s="206">
        <f t="array" ref="X145">IF(X$78&gt;" ",(X$628:X$1078),"")</f>
        <v>0</v>
      </c>
      <c r="Y145" s="206">
        <f t="array" ref="Y145">IF(Y$78&gt;" ",(Y$628:Y$1078),"")</f>
        <v>0</v>
      </c>
      <c r="Z145" s="206">
        <f t="array" ref="Z145">IF(Z$78&gt;" ",(Z$628:Z$1078),"")</f>
        <v>0</v>
      </c>
      <c r="AA145" s="206">
        <f t="array" ref="AA145">IF(AA$78&gt;" ",(AA$628:AA$1078),"")</f>
        <v>0</v>
      </c>
      <c r="AB145" s="210">
        <v>0</v>
      </c>
      <c r="AC145" s="204">
        <f t="shared" ref="AC145:AC208" si="22">T145</f>
        <v>0</v>
      </c>
      <c r="AD145" s="206">
        <f t="shared" ref="AD145:AD208" si="23">U145</f>
        <v>0</v>
      </c>
      <c r="AE145" s="206">
        <f t="shared" ref="AE145:AE208" si="24">V145</f>
        <v>0</v>
      </c>
      <c r="AF145" s="206">
        <f t="shared" ref="AF145:AF208" si="25">W145</f>
        <v>0</v>
      </c>
      <c r="AG145" s="206">
        <f t="shared" ref="AG145:AG208" si="26">X145</f>
        <v>0</v>
      </c>
      <c r="AH145" s="206">
        <f t="shared" ref="AH145:AH208" si="27">Y145</f>
        <v>0</v>
      </c>
      <c r="AI145" s="206">
        <f t="shared" ref="AI145:AI208" si="28">Z145</f>
        <v>0</v>
      </c>
      <c r="AJ145" s="206">
        <f t="shared" ref="AJ145:AJ208" si="29">AA145</f>
        <v>0</v>
      </c>
      <c r="AK145" s="206">
        <f t="shared" ref="AK145:AK208" si="30">AB145</f>
        <v>0</v>
      </c>
      <c r="AL145" s="206">
        <f t="shared" ref="AL145:AL208" si="31">AVERAGE(AC145:AK145)</f>
        <v>0</v>
      </c>
      <c r="AM145" s="214">
        <f t="shared" ref="AM145:AM208" si="32">AL145/100</f>
        <v>0</v>
      </c>
      <c r="AN145" s="4"/>
      <c r="AO145" s="167">
        <v>2175</v>
      </c>
      <c r="AP145" s="215">
        <v>4.6845484157426729E-4</v>
      </c>
      <c r="AQ145" s="190">
        <v>3.9178835225034457E-4</v>
      </c>
      <c r="AR145" s="190">
        <v>4.0452051874346502E-4</v>
      </c>
      <c r="AS145" s="170">
        <v>4.4355403987546635E-4</v>
      </c>
      <c r="AU145" s="216">
        <v>96.045367557211463</v>
      </c>
      <c r="AV145" s="217">
        <v>96.013430734719194</v>
      </c>
      <c r="AW145" s="217">
        <v>91.177934288113036</v>
      </c>
      <c r="AX145" s="217">
        <v>91.282517271920668</v>
      </c>
      <c r="AY145" s="217"/>
      <c r="AZ145" s="218">
        <v>0</v>
      </c>
      <c r="BA145" s="8"/>
      <c r="BB145" s="219"/>
      <c r="BC145" s="220"/>
    </row>
    <row r="146" spans="15:55" x14ac:dyDescent="0.25">
      <c r="O146" s="195">
        <v>2170</v>
      </c>
      <c r="P146" s="202">
        <f t="shared" si="21"/>
        <v>0</v>
      </c>
      <c r="Q146" s="203">
        <f t="shared" si="21"/>
        <v>0</v>
      </c>
      <c r="R146" s="157">
        <f ca="1"/>
        <v>96.11542393620158</v>
      </c>
      <c r="T146" s="204">
        <v>0</v>
      </c>
      <c r="U146" s="206">
        <v>0</v>
      </c>
      <c r="V146" s="206">
        <v>0</v>
      </c>
      <c r="W146" s="206">
        <v>0</v>
      </c>
      <c r="X146" s="206">
        <f t="array" ref="X146">IF(X$78&gt;" ",(X$628:X$1078),"")</f>
        <v>0</v>
      </c>
      <c r="Y146" s="206">
        <f t="array" ref="Y146">IF(Y$78&gt;" ",(Y$628:Y$1078),"")</f>
        <v>0</v>
      </c>
      <c r="Z146" s="206">
        <f t="array" ref="Z146">IF(Z$78&gt;" ",(Z$628:Z$1078),"")</f>
        <v>0</v>
      </c>
      <c r="AA146" s="206">
        <f t="array" ref="AA146">IF(AA$78&gt;" ",(AA$628:AA$1078),"")</f>
        <v>0</v>
      </c>
      <c r="AB146" s="210">
        <v>0</v>
      </c>
      <c r="AC146" s="204">
        <f t="shared" si="22"/>
        <v>0</v>
      </c>
      <c r="AD146" s="206">
        <f t="shared" si="23"/>
        <v>0</v>
      </c>
      <c r="AE146" s="206">
        <f t="shared" si="24"/>
        <v>0</v>
      </c>
      <c r="AF146" s="206">
        <f t="shared" si="25"/>
        <v>0</v>
      </c>
      <c r="AG146" s="206">
        <f t="shared" si="26"/>
        <v>0</v>
      </c>
      <c r="AH146" s="206">
        <f t="shared" si="27"/>
        <v>0</v>
      </c>
      <c r="AI146" s="206">
        <f t="shared" si="28"/>
        <v>0</v>
      </c>
      <c r="AJ146" s="206">
        <f t="shared" si="29"/>
        <v>0</v>
      </c>
      <c r="AK146" s="206">
        <f t="shared" si="30"/>
        <v>0</v>
      </c>
      <c r="AL146" s="206">
        <f t="shared" si="31"/>
        <v>0</v>
      </c>
      <c r="AM146" s="214">
        <f t="shared" si="32"/>
        <v>0</v>
      </c>
      <c r="AN146" s="4"/>
      <c r="AO146" s="167">
        <v>2170</v>
      </c>
      <c r="AP146" s="215">
        <v>4.7492904471547136E-4</v>
      </c>
      <c r="AQ146" s="190">
        <v>3.9631052628551189E-4</v>
      </c>
      <c r="AR146" s="190">
        <v>4.1230440104028882E-4</v>
      </c>
      <c r="AS146" s="170">
        <v>4.5205497463922015E-4</v>
      </c>
      <c r="AU146" s="216">
        <v>96.145579309414487</v>
      </c>
      <c r="AV146" s="217">
        <v>96.11542393620158</v>
      </c>
      <c r="AW146" s="217">
        <v>91.466100204617007</v>
      </c>
      <c r="AX146" s="217">
        <v>91.570265763903464</v>
      </c>
      <c r="AY146" s="217"/>
      <c r="AZ146" s="218">
        <v>0</v>
      </c>
      <c r="BA146" s="8"/>
      <c r="BB146" s="219"/>
      <c r="BC146" s="220"/>
    </row>
    <row r="147" spans="15:55" x14ac:dyDescent="0.25">
      <c r="O147" s="195">
        <v>2165</v>
      </c>
      <c r="P147" s="202">
        <f t="shared" si="21"/>
        <v>0</v>
      </c>
      <c r="Q147" s="203">
        <f t="shared" si="21"/>
        <v>0</v>
      </c>
      <c r="R147" s="157">
        <f ca="1"/>
        <v>96.186872954477835</v>
      </c>
      <c r="T147" s="204">
        <v>0</v>
      </c>
      <c r="U147" s="206">
        <v>0</v>
      </c>
      <c r="V147" s="206">
        <v>0</v>
      </c>
      <c r="W147" s="206">
        <v>0</v>
      </c>
      <c r="X147" s="206">
        <f t="array" ref="X147">IF(X$78&gt;" ",(X$628:X$1078),"")</f>
        <v>0</v>
      </c>
      <c r="Y147" s="206">
        <f t="array" ref="Y147">IF(Y$78&gt;" ",(Y$628:Y$1078),"")</f>
        <v>0</v>
      </c>
      <c r="Z147" s="206">
        <f t="array" ref="Z147">IF(Z$78&gt;" ",(Z$628:Z$1078),"")</f>
        <v>0</v>
      </c>
      <c r="AA147" s="206">
        <f t="array" ref="AA147">IF(AA$78&gt;" ",(AA$628:AA$1078),"")</f>
        <v>0</v>
      </c>
      <c r="AB147" s="210">
        <v>0</v>
      </c>
      <c r="AC147" s="204">
        <f t="shared" si="22"/>
        <v>0</v>
      </c>
      <c r="AD147" s="206">
        <f t="shared" si="23"/>
        <v>0</v>
      </c>
      <c r="AE147" s="206">
        <f t="shared" si="24"/>
        <v>0</v>
      </c>
      <c r="AF147" s="206">
        <f t="shared" si="25"/>
        <v>0</v>
      </c>
      <c r="AG147" s="206">
        <f t="shared" si="26"/>
        <v>0</v>
      </c>
      <c r="AH147" s="206">
        <f t="shared" si="27"/>
        <v>0</v>
      </c>
      <c r="AI147" s="206">
        <f t="shared" si="28"/>
        <v>0</v>
      </c>
      <c r="AJ147" s="206">
        <f t="shared" si="29"/>
        <v>0</v>
      </c>
      <c r="AK147" s="206">
        <f t="shared" si="30"/>
        <v>0</v>
      </c>
      <c r="AL147" s="206">
        <f t="shared" si="31"/>
        <v>0</v>
      </c>
      <c r="AM147" s="214">
        <f t="shared" si="32"/>
        <v>0</v>
      </c>
      <c r="AN147" s="4"/>
      <c r="AO147" s="167">
        <v>2165</v>
      </c>
      <c r="AP147" s="215">
        <v>4.8140324785667549E-4</v>
      </c>
      <c r="AQ147" s="190">
        <v>4.0083270032067927E-4</v>
      </c>
      <c r="AR147" s="190">
        <v>3.8371321580789845E-4</v>
      </c>
      <c r="AS147" s="170">
        <v>4.2070952657352893E-4</v>
      </c>
      <c r="AU147" s="216">
        <v>96.218543789508502</v>
      </c>
      <c r="AV147" s="217">
        <v>96.186872954477835</v>
      </c>
      <c r="AW147" s="217">
        <v>91.672319551425332</v>
      </c>
      <c r="AX147" s="217">
        <v>91.773191135263758</v>
      </c>
      <c r="AY147" s="217"/>
      <c r="AZ147" s="218">
        <v>0</v>
      </c>
      <c r="BA147" s="8"/>
      <c r="BB147" s="219"/>
      <c r="BC147" s="220"/>
    </row>
    <row r="148" spans="15:55" x14ac:dyDescent="0.25">
      <c r="O148" s="195">
        <v>2160</v>
      </c>
      <c r="P148" s="202">
        <f t="shared" si="21"/>
        <v>0</v>
      </c>
      <c r="Q148" s="203">
        <f t="shared" si="21"/>
        <v>0</v>
      </c>
      <c r="R148" s="157">
        <f ca="1"/>
        <v>96.263023164969738</v>
      </c>
      <c r="T148" s="204">
        <v>0</v>
      </c>
      <c r="U148" s="206">
        <v>0</v>
      </c>
      <c r="V148" s="206">
        <v>0</v>
      </c>
      <c r="W148" s="206">
        <v>0</v>
      </c>
      <c r="X148" s="206">
        <f t="array" ref="X148">IF(X$78&gt;" ",(X$628:X$1078),"")</f>
        <v>0</v>
      </c>
      <c r="Y148" s="206">
        <f t="array" ref="Y148">IF(Y$78&gt;" ",(Y$628:Y$1078),"")</f>
        <v>0</v>
      </c>
      <c r="Z148" s="206">
        <f t="array" ref="Z148">IF(Z$78&gt;" ",(Z$628:Z$1078),"")</f>
        <v>0</v>
      </c>
      <c r="AA148" s="206">
        <f t="array" ref="AA148">IF(AA$78&gt;" ",(AA$628:AA$1078),"")</f>
        <v>0</v>
      </c>
      <c r="AB148" s="210">
        <v>0</v>
      </c>
      <c r="AC148" s="204">
        <f t="shared" si="22"/>
        <v>0</v>
      </c>
      <c r="AD148" s="206">
        <f t="shared" si="23"/>
        <v>0</v>
      </c>
      <c r="AE148" s="206">
        <f t="shared" si="24"/>
        <v>0</v>
      </c>
      <c r="AF148" s="206">
        <f t="shared" si="25"/>
        <v>0</v>
      </c>
      <c r="AG148" s="206">
        <f t="shared" si="26"/>
        <v>0</v>
      </c>
      <c r="AH148" s="206">
        <f t="shared" si="27"/>
        <v>0</v>
      </c>
      <c r="AI148" s="206">
        <f t="shared" si="28"/>
        <v>0</v>
      </c>
      <c r="AJ148" s="206">
        <f t="shared" si="29"/>
        <v>0</v>
      </c>
      <c r="AK148" s="206">
        <f t="shared" si="30"/>
        <v>0</v>
      </c>
      <c r="AL148" s="206">
        <f t="shared" si="31"/>
        <v>0</v>
      </c>
      <c r="AM148" s="214">
        <f t="shared" si="32"/>
        <v>0</v>
      </c>
      <c r="AN148" s="4"/>
      <c r="AO148" s="167">
        <v>2160</v>
      </c>
      <c r="AP148" s="215">
        <v>4.8787745099787951E-4</v>
      </c>
      <c r="AQ148" s="190">
        <v>4.0535487435584675E-4</v>
      </c>
      <c r="AR148" s="190">
        <v>4.2323602902045353E-4</v>
      </c>
      <c r="AS148" s="170">
        <v>4.6400888948805365E-4</v>
      </c>
      <c r="AU148" s="216">
        <v>96.28208270875173</v>
      </c>
      <c r="AV148" s="217">
        <v>96.263023164969738</v>
      </c>
      <c r="AW148" s="217">
        <v>91.883290407143591</v>
      </c>
      <c r="AX148" s="217">
        <v>91.985252179782961</v>
      </c>
      <c r="AY148" s="217"/>
      <c r="AZ148" s="218">
        <v>0</v>
      </c>
      <c r="BA148" s="8"/>
      <c r="BB148" s="219"/>
      <c r="BC148" s="220"/>
    </row>
    <row r="149" spans="15:55" x14ac:dyDescent="0.25">
      <c r="O149" s="195">
        <v>2155</v>
      </c>
      <c r="P149" s="202">
        <f t="shared" si="21"/>
        <v>0</v>
      </c>
      <c r="Q149" s="203">
        <f t="shared" si="21"/>
        <v>0</v>
      </c>
      <c r="R149" s="157">
        <f ca="1"/>
        <v>96.31556631238584</v>
      </c>
      <c r="T149" s="204">
        <v>0</v>
      </c>
      <c r="U149" s="206">
        <v>0</v>
      </c>
      <c r="V149" s="206">
        <v>0</v>
      </c>
      <c r="W149" s="206">
        <v>0</v>
      </c>
      <c r="X149" s="206">
        <f t="array" ref="X149">IF(X$78&gt;" ",(X$628:X$1078),"")</f>
        <v>0</v>
      </c>
      <c r="Y149" s="206">
        <f t="array" ref="Y149">IF(Y$78&gt;" ",(Y$628:Y$1078),"")</f>
        <v>0</v>
      </c>
      <c r="Z149" s="206">
        <f t="array" ref="Z149">IF(Z$78&gt;" ",(Z$628:Z$1078),"")</f>
        <v>0</v>
      </c>
      <c r="AA149" s="206">
        <f t="array" ref="AA149">IF(AA$78&gt;" ",(AA$628:AA$1078),"")</f>
        <v>0</v>
      </c>
      <c r="AB149" s="210">
        <v>0</v>
      </c>
      <c r="AC149" s="204">
        <f t="shared" si="22"/>
        <v>0</v>
      </c>
      <c r="AD149" s="206">
        <f t="shared" si="23"/>
        <v>0</v>
      </c>
      <c r="AE149" s="206">
        <f t="shared" si="24"/>
        <v>0</v>
      </c>
      <c r="AF149" s="206">
        <f t="shared" si="25"/>
        <v>0</v>
      </c>
      <c r="AG149" s="206">
        <f t="shared" si="26"/>
        <v>0</v>
      </c>
      <c r="AH149" s="206">
        <f t="shared" si="27"/>
        <v>0</v>
      </c>
      <c r="AI149" s="206">
        <f t="shared" si="28"/>
        <v>0</v>
      </c>
      <c r="AJ149" s="206">
        <f t="shared" si="29"/>
        <v>0</v>
      </c>
      <c r="AK149" s="206">
        <f t="shared" si="30"/>
        <v>0</v>
      </c>
      <c r="AL149" s="206">
        <f t="shared" si="31"/>
        <v>0</v>
      </c>
      <c r="AM149" s="214">
        <f t="shared" si="32"/>
        <v>0</v>
      </c>
      <c r="AN149" s="4"/>
      <c r="AO149" s="167">
        <v>2155</v>
      </c>
      <c r="AP149" s="215">
        <v>4.9435165413908369E-4</v>
      </c>
      <c r="AQ149" s="190">
        <v>4.0987704839101413E-4</v>
      </c>
      <c r="AR149" s="190">
        <v>4.2660502200422097E-4</v>
      </c>
      <c r="AS149" s="170">
        <v>4.6766893645019649E-4</v>
      </c>
      <c r="AU149" s="216">
        <v>96.327804762855521</v>
      </c>
      <c r="AV149" s="217">
        <v>96.31556631238584</v>
      </c>
      <c r="AW149" s="217">
        <v>92.027219904533368</v>
      </c>
      <c r="AX149" s="217">
        <v>92.128142652198861</v>
      </c>
      <c r="AY149" s="217"/>
      <c r="AZ149" s="218">
        <v>0</v>
      </c>
      <c r="BA149" s="8"/>
      <c r="BB149" s="219"/>
      <c r="BC149" s="220"/>
    </row>
    <row r="150" spans="15:55" x14ac:dyDescent="0.25">
      <c r="O150" s="195">
        <v>2150</v>
      </c>
      <c r="P150" s="202">
        <f t="shared" si="21"/>
        <v>0</v>
      </c>
      <c r="Q150" s="203">
        <f t="shared" si="21"/>
        <v>0</v>
      </c>
      <c r="R150" s="157">
        <f ca="1"/>
        <v>96.369008819190299</v>
      </c>
      <c r="T150" s="204">
        <v>0</v>
      </c>
      <c r="U150" s="206">
        <v>0</v>
      </c>
      <c r="V150" s="206">
        <v>0</v>
      </c>
      <c r="W150" s="206">
        <v>0</v>
      </c>
      <c r="X150" s="206">
        <f t="array" ref="X150">IF(X$78&gt;" ",(X$628:X$1078),"")</f>
        <v>0</v>
      </c>
      <c r="Y150" s="206">
        <f t="array" ref="Y150">IF(Y$78&gt;" ",(Y$628:Y$1078),"")</f>
        <v>0</v>
      </c>
      <c r="Z150" s="206">
        <f t="array" ref="Z150">IF(Z$78&gt;" ",(Z$628:Z$1078),"")</f>
        <v>0</v>
      </c>
      <c r="AA150" s="206">
        <f t="array" ref="AA150">IF(AA$78&gt;" ",(AA$628:AA$1078),"")</f>
        <v>0</v>
      </c>
      <c r="AB150" s="210">
        <v>0</v>
      </c>
      <c r="AC150" s="204">
        <f t="shared" si="22"/>
        <v>0</v>
      </c>
      <c r="AD150" s="206">
        <f t="shared" si="23"/>
        <v>0</v>
      </c>
      <c r="AE150" s="206">
        <f t="shared" si="24"/>
        <v>0</v>
      </c>
      <c r="AF150" s="206">
        <f t="shared" si="25"/>
        <v>0</v>
      </c>
      <c r="AG150" s="206">
        <f t="shared" si="26"/>
        <v>0</v>
      </c>
      <c r="AH150" s="206">
        <f t="shared" si="27"/>
        <v>0</v>
      </c>
      <c r="AI150" s="206">
        <f t="shared" si="28"/>
        <v>0</v>
      </c>
      <c r="AJ150" s="206">
        <f t="shared" si="29"/>
        <v>0</v>
      </c>
      <c r="AK150" s="206">
        <f t="shared" si="30"/>
        <v>0</v>
      </c>
      <c r="AL150" s="206">
        <f t="shared" si="31"/>
        <v>0</v>
      </c>
      <c r="AM150" s="214">
        <f t="shared" si="32"/>
        <v>0</v>
      </c>
      <c r="AN150" s="4"/>
      <c r="AO150" s="167">
        <v>2150</v>
      </c>
      <c r="AP150" s="215">
        <v>5.0082585728028776E-4</v>
      </c>
      <c r="AQ150" s="190">
        <v>4.1439922242618151E-4</v>
      </c>
      <c r="AR150" s="190">
        <v>4.2559432410909075E-4</v>
      </c>
      <c r="AS150" s="170">
        <v>4.665664452398874E-4</v>
      </c>
      <c r="AU150" s="216">
        <v>96.390454809836044</v>
      </c>
      <c r="AV150" s="217">
        <v>96.369008819190299</v>
      </c>
      <c r="AW150" s="217">
        <v>92.157057288497697</v>
      </c>
      <c r="AX150" s="217">
        <v>92.264099086437341</v>
      </c>
      <c r="AY150" s="217"/>
      <c r="AZ150" s="218">
        <v>0</v>
      </c>
      <c r="BA150" s="8"/>
      <c r="BB150" s="219"/>
      <c r="BC150" s="220"/>
    </row>
    <row r="151" spans="15:55" x14ac:dyDescent="0.25">
      <c r="O151" s="195">
        <v>2145</v>
      </c>
      <c r="P151" s="202">
        <f t="shared" si="21"/>
        <v>0</v>
      </c>
      <c r="Q151" s="203">
        <f t="shared" si="21"/>
        <v>0</v>
      </c>
      <c r="R151" s="157">
        <f ca="1"/>
        <v>96.410526559312245</v>
      </c>
      <c r="T151" s="204">
        <v>0</v>
      </c>
      <c r="U151" s="206">
        <v>0</v>
      </c>
      <c r="V151" s="206">
        <v>0</v>
      </c>
      <c r="W151" s="206">
        <v>0</v>
      </c>
      <c r="X151" s="206">
        <f t="array" ref="X151">IF(X$78&gt;" ",(X$628:X$1078),"")</f>
        <v>0</v>
      </c>
      <c r="Y151" s="206">
        <f t="array" ref="Y151">IF(Y$78&gt;" ",(Y$628:Y$1078),"")</f>
        <v>0</v>
      </c>
      <c r="Z151" s="206">
        <f t="array" ref="Z151">IF(Z$78&gt;" ",(Z$628:Z$1078),"")</f>
        <v>0</v>
      </c>
      <c r="AA151" s="206">
        <f t="array" ref="AA151">IF(AA$78&gt;" ",(AA$628:AA$1078),"")</f>
        <v>0</v>
      </c>
      <c r="AB151" s="210">
        <v>0</v>
      </c>
      <c r="AC151" s="204">
        <f t="shared" si="22"/>
        <v>0</v>
      </c>
      <c r="AD151" s="206">
        <f t="shared" si="23"/>
        <v>0</v>
      </c>
      <c r="AE151" s="206">
        <f t="shared" si="24"/>
        <v>0</v>
      </c>
      <c r="AF151" s="206">
        <f t="shared" si="25"/>
        <v>0</v>
      </c>
      <c r="AG151" s="206">
        <f t="shared" si="26"/>
        <v>0</v>
      </c>
      <c r="AH151" s="206">
        <f t="shared" si="27"/>
        <v>0</v>
      </c>
      <c r="AI151" s="206">
        <f t="shared" si="28"/>
        <v>0</v>
      </c>
      <c r="AJ151" s="206">
        <f t="shared" si="29"/>
        <v>0</v>
      </c>
      <c r="AK151" s="206">
        <f t="shared" si="30"/>
        <v>0</v>
      </c>
      <c r="AL151" s="206">
        <f t="shared" si="31"/>
        <v>0</v>
      </c>
      <c r="AM151" s="214">
        <f t="shared" si="32"/>
        <v>0</v>
      </c>
      <c r="AN151" s="4"/>
      <c r="AO151" s="167">
        <v>2145</v>
      </c>
      <c r="AP151" s="215">
        <v>5.0611092106902578E-4</v>
      </c>
      <c r="AQ151" s="190">
        <v>4.152696408798531E-4</v>
      </c>
      <c r="AR151" s="190">
        <v>4.499667255901664E-4</v>
      </c>
      <c r="AS151" s="170">
        <v>4.9322210836020295E-4</v>
      </c>
      <c r="AU151" s="216">
        <v>96.431400430619206</v>
      </c>
      <c r="AV151" s="217">
        <v>96.410526559312245</v>
      </c>
      <c r="AW151" s="217">
        <v>92.274180702480976</v>
      </c>
      <c r="AX151" s="217">
        <v>92.383766639888847</v>
      </c>
      <c r="AY151" s="217"/>
      <c r="AZ151" s="218">
        <v>0</v>
      </c>
      <c r="BA151" s="8"/>
      <c r="BB151" s="219"/>
      <c r="BC151" s="220"/>
    </row>
    <row r="152" spans="15:55" x14ac:dyDescent="0.25">
      <c r="O152" s="195">
        <v>2140</v>
      </c>
      <c r="P152" s="202">
        <f t="shared" si="21"/>
        <v>0</v>
      </c>
      <c r="Q152" s="203">
        <f t="shared" si="21"/>
        <v>0</v>
      </c>
      <c r="R152" s="157">
        <f ca="1"/>
        <v>96.443131674389988</v>
      </c>
      <c r="T152" s="204">
        <v>0</v>
      </c>
      <c r="U152" s="206">
        <v>0</v>
      </c>
      <c r="V152" s="206">
        <v>0</v>
      </c>
      <c r="W152" s="206">
        <v>0</v>
      </c>
      <c r="X152" s="206">
        <f t="array" ref="X152">IF(X$78&gt;" ",(X$628:X$1078),"")</f>
        <v>0</v>
      </c>
      <c r="Y152" s="206">
        <f t="array" ref="Y152">IF(Y$78&gt;" ",(Y$628:Y$1078),"")</f>
        <v>0</v>
      </c>
      <c r="Z152" s="206">
        <f t="array" ref="Z152">IF(Z$78&gt;" ",(Z$628:Z$1078),"")</f>
        <v>0</v>
      </c>
      <c r="AA152" s="206">
        <f t="array" ref="AA152">IF(AA$78&gt;" ",(AA$628:AA$1078),"")</f>
        <v>0</v>
      </c>
      <c r="AB152" s="210">
        <v>0</v>
      </c>
      <c r="AC152" s="204">
        <f t="shared" si="22"/>
        <v>0</v>
      </c>
      <c r="AD152" s="206">
        <f t="shared" si="23"/>
        <v>0</v>
      </c>
      <c r="AE152" s="206">
        <f t="shared" si="24"/>
        <v>0</v>
      </c>
      <c r="AF152" s="206">
        <f t="shared" si="25"/>
        <v>0</v>
      </c>
      <c r="AG152" s="206">
        <f t="shared" si="26"/>
        <v>0</v>
      </c>
      <c r="AH152" s="206">
        <f t="shared" si="27"/>
        <v>0</v>
      </c>
      <c r="AI152" s="206">
        <f t="shared" si="28"/>
        <v>0</v>
      </c>
      <c r="AJ152" s="206">
        <f t="shared" si="29"/>
        <v>0</v>
      </c>
      <c r="AK152" s="206">
        <f t="shared" si="30"/>
        <v>0</v>
      </c>
      <c r="AL152" s="206">
        <f t="shared" si="31"/>
        <v>0</v>
      </c>
      <c r="AM152" s="214">
        <f t="shared" si="32"/>
        <v>0</v>
      </c>
      <c r="AN152" s="4"/>
      <c r="AO152" s="167">
        <v>2140</v>
      </c>
      <c r="AP152" s="215">
        <v>5.1053716199209393E-4</v>
      </c>
      <c r="AQ152" s="190">
        <v>4.1614005933352476E-4</v>
      </c>
      <c r="AR152" s="190">
        <v>4.5640803904122023E-4</v>
      </c>
      <c r="AS152" s="170">
        <v>5.0026238218034912E-4</v>
      </c>
      <c r="AU152" s="216">
        <v>96.465481217718022</v>
      </c>
      <c r="AV152" s="217">
        <v>96.443131674389988</v>
      </c>
      <c r="AW152" s="217">
        <v>92.390906934362206</v>
      </c>
      <c r="AX152" s="217">
        <v>92.500063205583402</v>
      </c>
      <c r="AY152" s="217"/>
      <c r="AZ152" s="218">
        <v>0</v>
      </c>
      <c r="BA152" s="8"/>
      <c r="BB152" s="219"/>
      <c r="BC152" s="220"/>
    </row>
    <row r="153" spans="15:55" x14ac:dyDescent="0.25">
      <c r="O153" s="195">
        <v>2135</v>
      </c>
      <c r="P153" s="202">
        <f t="shared" si="21"/>
        <v>0</v>
      </c>
      <c r="Q153" s="203">
        <f t="shared" si="21"/>
        <v>0</v>
      </c>
      <c r="R153" s="157">
        <f ca="1"/>
        <v>96.480847129614048</v>
      </c>
      <c r="T153" s="204">
        <v>0</v>
      </c>
      <c r="U153" s="206">
        <v>0</v>
      </c>
      <c r="V153" s="206">
        <v>0</v>
      </c>
      <c r="W153" s="206">
        <v>0</v>
      </c>
      <c r="X153" s="206">
        <f t="array" ref="X153">IF(X$78&gt;" ",(X$628:X$1078),"")</f>
        <v>0</v>
      </c>
      <c r="Y153" s="206">
        <f t="array" ref="Y153">IF(Y$78&gt;" ",(Y$628:Y$1078),"")</f>
        <v>0</v>
      </c>
      <c r="Z153" s="206">
        <f t="array" ref="Z153">IF(Z$78&gt;" ",(Z$628:Z$1078),"")</f>
        <v>0</v>
      </c>
      <c r="AA153" s="206">
        <f t="array" ref="AA153">IF(AA$78&gt;" ",(AA$628:AA$1078),"")</f>
        <v>0</v>
      </c>
      <c r="AB153" s="210">
        <v>0</v>
      </c>
      <c r="AC153" s="204">
        <f t="shared" si="22"/>
        <v>0</v>
      </c>
      <c r="AD153" s="206">
        <f t="shared" si="23"/>
        <v>0</v>
      </c>
      <c r="AE153" s="206">
        <f t="shared" si="24"/>
        <v>0</v>
      </c>
      <c r="AF153" s="206">
        <f t="shared" si="25"/>
        <v>0</v>
      </c>
      <c r="AG153" s="206">
        <f t="shared" si="26"/>
        <v>0</v>
      </c>
      <c r="AH153" s="206">
        <f t="shared" si="27"/>
        <v>0</v>
      </c>
      <c r="AI153" s="206">
        <f t="shared" si="28"/>
        <v>0</v>
      </c>
      <c r="AJ153" s="206">
        <f t="shared" si="29"/>
        <v>0</v>
      </c>
      <c r="AK153" s="206">
        <f t="shared" si="30"/>
        <v>0</v>
      </c>
      <c r="AL153" s="206">
        <f t="shared" si="31"/>
        <v>0</v>
      </c>
      <c r="AM153" s="214">
        <f t="shared" si="32"/>
        <v>0</v>
      </c>
      <c r="AN153" s="4"/>
      <c r="AO153" s="167">
        <v>2135</v>
      </c>
      <c r="AP153" s="215">
        <v>5.1502946621252114E-4</v>
      </c>
      <c r="AQ153" s="190">
        <v>4.1701047778719636E-4</v>
      </c>
      <c r="AR153" s="190">
        <v>4.5277254362739358E-4</v>
      </c>
      <c r="AS153" s="170">
        <v>4.9628334029948751E-4</v>
      </c>
      <c r="AU153" s="216">
        <v>96.495339596669041</v>
      </c>
      <c r="AV153" s="217">
        <v>96.480847129614048</v>
      </c>
      <c r="AW153" s="217">
        <v>92.483507539964748</v>
      </c>
      <c r="AX153" s="217">
        <v>92.59367294821152</v>
      </c>
      <c r="AY153" s="217"/>
      <c r="AZ153" s="218">
        <v>0</v>
      </c>
      <c r="BA153" s="8"/>
      <c r="BB153" s="219"/>
      <c r="BC153" s="220"/>
    </row>
    <row r="154" spans="15:55" x14ac:dyDescent="0.25">
      <c r="O154" s="195">
        <v>2130</v>
      </c>
      <c r="P154" s="202">
        <f t="shared" si="21"/>
        <v>0</v>
      </c>
      <c r="Q154" s="203">
        <f t="shared" si="21"/>
        <v>0</v>
      </c>
      <c r="R154" s="157">
        <f ca="1"/>
        <v>96.509458813097467</v>
      </c>
      <c r="T154" s="204">
        <v>0</v>
      </c>
      <c r="U154" s="206">
        <v>0</v>
      </c>
      <c r="V154" s="206">
        <v>0</v>
      </c>
      <c r="W154" s="206">
        <v>0</v>
      </c>
      <c r="X154" s="206">
        <f t="array" ref="X154">IF(X$78&gt;" ",(X$628:X$1078),"")</f>
        <v>0</v>
      </c>
      <c r="Y154" s="206">
        <f t="array" ref="Y154">IF(Y$78&gt;" ",(Y$628:Y$1078),"")</f>
        <v>0</v>
      </c>
      <c r="Z154" s="206">
        <f t="array" ref="Z154">IF(Z$78&gt;" ",(Z$628:Z$1078),"")</f>
        <v>0</v>
      </c>
      <c r="AA154" s="206">
        <f t="array" ref="AA154">IF(AA$78&gt;" ",(AA$628:AA$1078),"")</f>
        <v>0</v>
      </c>
      <c r="AB154" s="210">
        <v>0</v>
      </c>
      <c r="AC154" s="204">
        <f t="shared" si="22"/>
        <v>0</v>
      </c>
      <c r="AD154" s="206">
        <f t="shared" si="23"/>
        <v>0</v>
      </c>
      <c r="AE154" s="206">
        <f t="shared" si="24"/>
        <v>0</v>
      </c>
      <c r="AF154" s="206">
        <f t="shared" si="25"/>
        <v>0</v>
      </c>
      <c r="AG154" s="206">
        <f t="shared" si="26"/>
        <v>0</v>
      </c>
      <c r="AH154" s="206">
        <f t="shared" si="27"/>
        <v>0</v>
      </c>
      <c r="AI154" s="206">
        <f t="shared" si="28"/>
        <v>0</v>
      </c>
      <c r="AJ154" s="206">
        <f t="shared" si="29"/>
        <v>0</v>
      </c>
      <c r="AK154" s="206">
        <f t="shared" si="30"/>
        <v>0</v>
      </c>
      <c r="AL154" s="206">
        <f t="shared" si="31"/>
        <v>0</v>
      </c>
      <c r="AM154" s="214">
        <f t="shared" si="32"/>
        <v>0</v>
      </c>
      <c r="AN154" s="4"/>
      <c r="AO154" s="167">
        <v>2130</v>
      </c>
      <c r="AP154" s="215">
        <v>5.1952177043294856E-4</v>
      </c>
      <c r="AQ154" s="190">
        <v>4.1788089624086801E-4</v>
      </c>
      <c r="AR154" s="190">
        <v>4.5141488973841275E-4</v>
      </c>
      <c r="AS154" s="170">
        <v>4.9484506496421125E-4</v>
      </c>
      <c r="AU154" s="216">
        <v>96.511439966296777</v>
      </c>
      <c r="AV154" s="217">
        <v>96.509458813097467</v>
      </c>
      <c r="AW154" s="217">
        <v>92.573721605029789</v>
      </c>
      <c r="AX154" s="217">
        <v>92.673634379928103</v>
      </c>
      <c r="AY154" s="217"/>
      <c r="AZ154" s="218">
        <v>0</v>
      </c>
      <c r="BA154" s="8"/>
      <c r="BB154" s="219"/>
      <c r="BC154" s="220"/>
    </row>
    <row r="155" spans="15:55" x14ac:dyDescent="0.25">
      <c r="O155" s="195">
        <v>2125</v>
      </c>
      <c r="P155" s="202">
        <f t="shared" si="21"/>
        <v>0</v>
      </c>
      <c r="Q155" s="203">
        <f t="shared" si="21"/>
        <v>0</v>
      </c>
      <c r="R155" s="157">
        <f ca="1"/>
        <v>96.530296698562097</v>
      </c>
      <c r="T155" s="204">
        <v>0</v>
      </c>
      <c r="U155" s="206">
        <v>0</v>
      </c>
      <c r="V155" s="206">
        <v>0</v>
      </c>
      <c r="W155" s="206">
        <v>0</v>
      </c>
      <c r="X155" s="206">
        <f t="array" ref="X155">IF(X$78&gt;" ",(X$628:X$1078),"")</f>
        <v>0</v>
      </c>
      <c r="Y155" s="206">
        <f t="array" ref="Y155">IF(Y$78&gt;" ",(Y$628:Y$1078),"")</f>
        <v>0</v>
      </c>
      <c r="Z155" s="206">
        <f t="array" ref="Z155">IF(Z$78&gt;" ",(Z$628:Z$1078),"")</f>
        <v>0</v>
      </c>
      <c r="AA155" s="206">
        <f t="array" ref="AA155">IF(AA$78&gt;" ",(AA$628:AA$1078),"")</f>
        <v>0</v>
      </c>
      <c r="AB155" s="210">
        <v>0</v>
      </c>
      <c r="AC155" s="204">
        <f t="shared" si="22"/>
        <v>0</v>
      </c>
      <c r="AD155" s="206">
        <f t="shared" si="23"/>
        <v>0</v>
      </c>
      <c r="AE155" s="206">
        <f t="shared" si="24"/>
        <v>0</v>
      </c>
      <c r="AF155" s="206">
        <f t="shared" si="25"/>
        <v>0</v>
      </c>
      <c r="AG155" s="206">
        <f t="shared" si="26"/>
        <v>0</v>
      </c>
      <c r="AH155" s="206">
        <f t="shared" si="27"/>
        <v>0</v>
      </c>
      <c r="AI155" s="206">
        <f t="shared" si="28"/>
        <v>0</v>
      </c>
      <c r="AJ155" s="206">
        <f t="shared" si="29"/>
        <v>0</v>
      </c>
      <c r="AK155" s="206">
        <f t="shared" si="30"/>
        <v>0</v>
      </c>
      <c r="AL155" s="206">
        <f t="shared" si="31"/>
        <v>0</v>
      </c>
      <c r="AM155" s="214">
        <f t="shared" si="32"/>
        <v>0</v>
      </c>
      <c r="AN155" s="4"/>
      <c r="AO155" s="167">
        <v>2125</v>
      </c>
      <c r="AP155" s="215">
        <v>5.239480113560166E-4</v>
      </c>
      <c r="AQ155" s="190">
        <v>4.1875131469453961E-4</v>
      </c>
      <c r="AR155" s="190">
        <v>4.4567251662279721E-4</v>
      </c>
      <c r="AS155" s="170">
        <v>4.8858269103357237E-4</v>
      </c>
      <c r="AU155" s="216">
        <v>96.544747712358401</v>
      </c>
      <c r="AV155" s="217">
        <v>96.530296698562097</v>
      </c>
      <c r="AW155" s="217">
        <v>92.650248789763793</v>
      </c>
      <c r="AX155" s="217">
        <v>92.751200122421835</v>
      </c>
      <c r="AY155" s="217"/>
      <c r="AZ155" s="218">
        <v>0</v>
      </c>
      <c r="BA155" s="8"/>
      <c r="BB155" s="219"/>
      <c r="BC155" s="220"/>
    </row>
    <row r="156" spans="15:55" x14ac:dyDescent="0.25">
      <c r="O156" s="195">
        <v>2120</v>
      </c>
      <c r="P156" s="202">
        <f t="shared" si="21"/>
        <v>0</v>
      </c>
      <c r="Q156" s="203">
        <f t="shared" si="21"/>
        <v>0</v>
      </c>
      <c r="R156" s="157">
        <f ca="1"/>
        <v>96.55392250481755</v>
      </c>
      <c r="T156" s="204">
        <v>0</v>
      </c>
      <c r="U156" s="206">
        <v>0</v>
      </c>
      <c r="V156" s="206">
        <v>0</v>
      </c>
      <c r="W156" s="206">
        <v>0</v>
      </c>
      <c r="X156" s="206">
        <f t="array" ref="X156">IF(X$78&gt;" ",(X$628:X$1078),"")</f>
        <v>0</v>
      </c>
      <c r="Y156" s="206">
        <f t="array" ref="Y156">IF(Y$78&gt;" ",(Y$628:Y$1078),"")</f>
        <v>0</v>
      </c>
      <c r="Z156" s="206">
        <f t="array" ref="Z156">IF(Z$78&gt;" ",(Z$628:Z$1078),"")</f>
        <v>0</v>
      </c>
      <c r="AA156" s="206">
        <f t="array" ref="AA156">IF(AA$78&gt;" ",(AA$628:AA$1078),"")</f>
        <v>0</v>
      </c>
      <c r="AB156" s="210">
        <v>0</v>
      </c>
      <c r="AC156" s="204">
        <f t="shared" si="22"/>
        <v>0</v>
      </c>
      <c r="AD156" s="206">
        <f t="shared" si="23"/>
        <v>0</v>
      </c>
      <c r="AE156" s="206">
        <f t="shared" si="24"/>
        <v>0</v>
      </c>
      <c r="AF156" s="206">
        <f t="shared" si="25"/>
        <v>0</v>
      </c>
      <c r="AG156" s="206">
        <f t="shared" si="26"/>
        <v>0</v>
      </c>
      <c r="AH156" s="206">
        <f t="shared" si="27"/>
        <v>0</v>
      </c>
      <c r="AI156" s="206">
        <f t="shared" si="28"/>
        <v>0</v>
      </c>
      <c r="AJ156" s="206">
        <f t="shared" si="29"/>
        <v>0</v>
      </c>
      <c r="AK156" s="206">
        <f t="shared" si="30"/>
        <v>0</v>
      </c>
      <c r="AL156" s="206">
        <f t="shared" si="31"/>
        <v>0</v>
      </c>
      <c r="AM156" s="214">
        <f t="shared" si="32"/>
        <v>0</v>
      </c>
      <c r="AN156" s="4"/>
      <c r="AO156" s="167">
        <v>2120</v>
      </c>
      <c r="AP156" s="215">
        <v>5.2844031557644391E-4</v>
      </c>
      <c r="AQ156" s="190">
        <v>4.1962173314821115E-4</v>
      </c>
      <c r="AR156" s="190">
        <v>4.4042292158540439E-4</v>
      </c>
      <c r="AS156" s="170">
        <v>4.8286316810496375E-4</v>
      </c>
      <c r="AU156" s="216">
        <v>96.557215884016401</v>
      </c>
      <c r="AV156" s="217">
        <v>96.55392250481755</v>
      </c>
      <c r="AW156" s="217">
        <v>92.72791838495084</v>
      </c>
      <c r="AX156" s="217">
        <v>92.835074095572736</v>
      </c>
      <c r="AY156" s="217"/>
      <c r="AZ156" s="218">
        <v>0</v>
      </c>
      <c r="BA156" s="8"/>
      <c r="BB156" s="219"/>
      <c r="BC156" s="220"/>
    </row>
    <row r="157" spans="15:55" x14ac:dyDescent="0.25">
      <c r="O157" s="195">
        <v>2115</v>
      </c>
      <c r="P157" s="202">
        <f t="shared" si="21"/>
        <v>0</v>
      </c>
      <c r="Q157" s="203">
        <f t="shared" si="21"/>
        <v>0</v>
      </c>
      <c r="R157" s="157">
        <f ca="1"/>
        <v>96.578513443403963</v>
      </c>
      <c r="T157" s="204">
        <v>0</v>
      </c>
      <c r="U157" s="206">
        <v>0</v>
      </c>
      <c r="V157" s="206">
        <v>0</v>
      </c>
      <c r="W157" s="206">
        <v>0</v>
      </c>
      <c r="X157" s="206">
        <f t="array" ref="X157">IF(X$78&gt;" ",(X$628:X$1078),"")</f>
        <v>0</v>
      </c>
      <c r="Y157" s="206">
        <f t="array" ref="Y157">IF(Y$78&gt;" ",(Y$628:Y$1078),"")</f>
        <v>0</v>
      </c>
      <c r="Z157" s="206">
        <f t="array" ref="Z157">IF(Z$78&gt;" ",(Z$628:Z$1078),"")</f>
        <v>0</v>
      </c>
      <c r="AA157" s="206">
        <f t="array" ref="AA157">IF(AA$78&gt;" ",(AA$628:AA$1078),"")</f>
        <v>0</v>
      </c>
      <c r="AB157" s="210">
        <v>0</v>
      </c>
      <c r="AC157" s="204">
        <f t="shared" si="22"/>
        <v>0</v>
      </c>
      <c r="AD157" s="206">
        <f t="shared" si="23"/>
        <v>0</v>
      </c>
      <c r="AE157" s="206">
        <f t="shared" si="24"/>
        <v>0</v>
      </c>
      <c r="AF157" s="206">
        <f t="shared" si="25"/>
        <v>0</v>
      </c>
      <c r="AG157" s="206">
        <f t="shared" si="26"/>
        <v>0</v>
      </c>
      <c r="AH157" s="206">
        <f t="shared" si="27"/>
        <v>0</v>
      </c>
      <c r="AI157" s="206">
        <f t="shared" si="28"/>
        <v>0</v>
      </c>
      <c r="AJ157" s="206">
        <f t="shared" si="29"/>
        <v>0</v>
      </c>
      <c r="AK157" s="206">
        <f t="shared" si="30"/>
        <v>0</v>
      </c>
      <c r="AL157" s="206">
        <f t="shared" si="31"/>
        <v>0</v>
      </c>
      <c r="AM157" s="214">
        <f t="shared" si="32"/>
        <v>0</v>
      </c>
      <c r="AN157" s="4"/>
      <c r="AO157" s="167">
        <v>2115</v>
      </c>
      <c r="AP157" s="215">
        <v>5.3293261979687134E-4</v>
      </c>
      <c r="AQ157" s="190">
        <v>4.2049215160188281E-4</v>
      </c>
      <c r="AR157" s="190">
        <v>4.6096372209091175E-4</v>
      </c>
      <c r="AS157" s="170">
        <v>5.0539987929234793E-4</v>
      </c>
      <c r="AU157" s="216">
        <v>96.590044845486531</v>
      </c>
      <c r="AV157" s="217">
        <v>96.578513443403963</v>
      </c>
      <c r="AW157" s="217">
        <v>92.789089277364454</v>
      </c>
      <c r="AX157" s="217">
        <v>92.893561940903041</v>
      </c>
      <c r="AY157" s="217"/>
      <c r="AZ157" s="218">
        <v>0</v>
      </c>
      <c r="BA157" s="8"/>
      <c r="BB157" s="219"/>
      <c r="BC157" s="220"/>
    </row>
    <row r="158" spans="15:55" x14ac:dyDescent="0.25">
      <c r="O158" s="195">
        <v>2110</v>
      </c>
      <c r="P158" s="202">
        <f t="shared" si="21"/>
        <v>0</v>
      </c>
      <c r="Q158" s="203">
        <f t="shared" si="21"/>
        <v>0</v>
      </c>
      <c r="R158" s="157">
        <f ca="1"/>
        <v>96.595961850996503</v>
      </c>
      <c r="T158" s="204">
        <v>0</v>
      </c>
      <c r="U158" s="206">
        <v>0</v>
      </c>
      <c r="V158" s="206">
        <v>0</v>
      </c>
      <c r="W158" s="206">
        <v>0</v>
      </c>
      <c r="X158" s="206">
        <f t="array" ref="X158">IF(X$78&gt;" ",(X$628:X$1078),"")</f>
        <v>0</v>
      </c>
      <c r="Y158" s="206">
        <f t="array" ref="Y158">IF(Y$78&gt;" ",(Y$628:Y$1078),"")</f>
        <v>0</v>
      </c>
      <c r="Z158" s="206">
        <f t="array" ref="Z158">IF(Z$78&gt;" ",(Z$628:Z$1078),"")</f>
        <v>0</v>
      </c>
      <c r="AA158" s="206">
        <f t="array" ref="AA158">IF(AA$78&gt;" ",(AA$628:AA$1078),"")</f>
        <v>0</v>
      </c>
      <c r="AB158" s="210">
        <v>0</v>
      </c>
      <c r="AC158" s="204">
        <f t="shared" si="22"/>
        <v>0</v>
      </c>
      <c r="AD158" s="206">
        <f t="shared" si="23"/>
        <v>0</v>
      </c>
      <c r="AE158" s="206">
        <f t="shared" si="24"/>
        <v>0</v>
      </c>
      <c r="AF158" s="206">
        <f t="shared" si="25"/>
        <v>0</v>
      </c>
      <c r="AG158" s="206">
        <f t="shared" si="26"/>
        <v>0</v>
      </c>
      <c r="AH158" s="206">
        <f t="shared" si="27"/>
        <v>0</v>
      </c>
      <c r="AI158" s="206">
        <f t="shared" si="28"/>
        <v>0</v>
      </c>
      <c r="AJ158" s="206">
        <f t="shared" si="29"/>
        <v>0</v>
      </c>
      <c r="AK158" s="206">
        <f t="shared" si="30"/>
        <v>0</v>
      </c>
      <c r="AL158" s="206">
        <f t="shared" si="31"/>
        <v>0</v>
      </c>
      <c r="AM158" s="214">
        <f t="shared" si="32"/>
        <v>0</v>
      </c>
      <c r="AN158" s="4"/>
      <c r="AO158" s="167">
        <v>2110</v>
      </c>
      <c r="AP158" s="215">
        <v>5.3742492401729854E-4</v>
      </c>
      <c r="AQ158" s="190">
        <v>4.2136257005555446E-4</v>
      </c>
      <c r="AR158" s="190">
        <v>4.5081148800997674E-4</v>
      </c>
      <c r="AS158" s="170">
        <v>4.9427423195176688E-4</v>
      </c>
      <c r="AU158" s="216">
        <v>96.6098920487903</v>
      </c>
      <c r="AV158" s="217">
        <v>96.595961850996503</v>
      </c>
      <c r="AW158" s="217">
        <v>92.857136533740956</v>
      </c>
      <c r="AX158" s="217">
        <v>92.963226394411677</v>
      </c>
      <c r="AY158" s="217"/>
      <c r="AZ158" s="218">
        <v>0</v>
      </c>
      <c r="BA158" s="8"/>
      <c r="BB158" s="219"/>
      <c r="BC158" s="220"/>
    </row>
    <row r="159" spans="15:55" x14ac:dyDescent="0.25">
      <c r="O159" s="195">
        <v>2105</v>
      </c>
      <c r="P159" s="202">
        <f t="shared" si="21"/>
        <v>0</v>
      </c>
      <c r="Q159" s="203">
        <f t="shared" si="21"/>
        <v>0</v>
      </c>
      <c r="R159" s="157">
        <f ca="1"/>
        <v>96.615676880064527</v>
      </c>
      <c r="T159" s="204">
        <v>0</v>
      </c>
      <c r="U159" s="206">
        <v>0</v>
      </c>
      <c r="V159" s="206">
        <v>0</v>
      </c>
      <c r="W159" s="206">
        <v>0</v>
      </c>
      <c r="X159" s="206">
        <f t="array" ref="X159">IF(X$78&gt;" ",(X$628:X$1078),"")</f>
        <v>0</v>
      </c>
      <c r="Y159" s="206">
        <f t="array" ref="Y159">IF(Y$78&gt;" ",(Y$628:Y$1078),"")</f>
        <v>0</v>
      </c>
      <c r="Z159" s="206">
        <f t="array" ref="Z159">IF(Z$78&gt;" ",(Z$628:Z$1078),"")</f>
        <v>0</v>
      </c>
      <c r="AA159" s="206">
        <f t="array" ref="AA159">IF(AA$78&gt;" ",(AA$628:AA$1078),"")</f>
        <v>0</v>
      </c>
      <c r="AB159" s="210">
        <v>0</v>
      </c>
      <c r="AC159" s="204">
        <f t="shared" si="22"/>
        <v>0</v>
      </c>
      <c r="AD159" s="206">
        <f t="shared" si="23"/>
        <v>0</v>
      </c>
      <c r="AE159" s="206">
        <f t="shared" si="24"/>
        <v>0</v>
      </c>
      <c r="AF159" s="206">
        <f t="shared" si="25"/>
        <v>0</v>
      </c>
      <c r="AG159" s="206">
        <f t="shared" si="26"/>
        <v>0</v>
      </c>
      <c r="AH159" s="206">
        <f t="shared" si="27"/>
        <v>0</v>
      </c>
      <c r="AI159" s="206">
        <f t="shared" si="28"/>
        <v>0</v>
      </c>
      <c r="AJ159" s="206">
        <f t="shared" si="29"/>
        <v>0</v>
      </c>
      <c r="AK159" s="206">
        <f t="shared" si="30"/>
        <v>0</v>
      </c>
      <c r="AL159" s="206">
        <f t="shared" si="31"/>
        <v>0</v>
      </c>
      <c r="AM159" s="214">
        <f t="shared" si="32"/>
        <v>0</v>
      </c>
      <c r="AN159" s="4"/>
      <c r="AO159" s="167">
        <v>2105</v>
      </c>
      <c r="AP159" s="215">
        <v>5.4185116494036669E-4</v>
      </c>
      <c r="AQ159" s="190">
        <v>4.2223298850922606E-4</v>
      </c>
      <c r="AR159" s="190">
        <v>4.6840567674162186E-4</v>
      </c>
      <c r="AS159" s="170">
        <v>5.135874155394656E-4</v>
      </c>
      <c r="AU159" s="216">
        <v>96.631815033147191</v>
      </c>
      <c r="AV159" s="217">
        <v>96.615676880064527</v>
      </c>
      <c r="AW159" s="217">
        <v>92.903457903111601</v>
      </c>
      <c r="AX159" s="217">
        <v>93.014029200556408</v>
      </c>
      <c r="AY159" s="217"/>
      <c r="AZ159" s="218">
        <v>0</v>
      </c>
      <c r="BA159" s="8"/>
      <c r="BB159" s="219"/>
      <c r="BC159" s="220"/>
    </row>
    <row r="160" spans="15:55" x14ac:dyDescent="0.25">
      <c r="O160" s="195">
        <v>2100</v>
      </c>
      <c r="P160" s="202">
        <f t="shared" ref="P160:Q175" si="33">P708</f>
        <v>0</v>
      </c>
      <c r="Q160" s="203">
        <f t="shared" si="33"/>
        <v>0</v>
      </c>
      <c r="R160" s="157">
        <f ca="1"/>
        <v>96.624475758418882</v>
      </c>
      <c r="T160" s="204">
        <v>0</v>
      </c>
      <c r="U160" s="206">
        <v>0</v>
      </c>
      <c r="V160" s="206">
        <v>0</v>
      </c>
      <c r="W160" s="206">
        <v>0</v>
      </c>
      <c r="X160" s="206">
        <f t="array" ref="X160">IF(X$78&gt;" ",(X$628:X$1078),"")</f>
        <v>0</v>
      </c>
      <c r="Y160" s="206">
        <f t="array" ref="Y160">IF(Y$78&gt;" ",(Y$628:Y$1078),"")</f>
        <v>0</v>
      </c>
      <c r="Z160" s="206">
        <f t="array" ref="Z160">IF(Z$78&gt;" ",(Z$628:Z$1078),"")</f>
        <v>0</v>
      </c>
      <c r="AA160" s="206">
        <f t="array" ref="AA160">IF(AA$78&gt;" ",(AA$628:AA$1078),"")</f>
        <v>0</v>
      </c>
      <c r="AB160" s="210">
        <v>0</v>
      </c>
      <c r="AC160" s="204">
        <f t="shared" si="22"/>
        <v>0</v>
      </c>
      <c r="AD160" s="206">
        <f t="shared" si="23"/>
        <v>0</v>
      </c>
      <c r="AE160" s="206">
        <f t="shared" si="24"/>
        <v>0</v>
      </c>
      <c r="AF160" s="206">
        <f t="shared" si="25"/>
        <v>0</v>
      </c>
      <c r="AG160" s="206">
        <f t="shared" si="26"/>
        <v>0</v>
      </c>
      <c r="AH160" s="206">
        <f t="shared" si="27"/>
        <v>0</v>
      </c>
      <c r="AI160" s="206">
        <f t="shared" si="28"/>
        <v>0</v>
      </c>
      <c r="AJ160" s="206">
        <f t="shared" si="29"/>
        <v>0</v>
      </c>
      <c r="AK160" s="206">
        <f t="shared" si="30"/>
        <v>0</v>
      </c>
      <c r="AL160" s="206">
        <f t="shared" si="31"/>
        <v>0</v>
      </c>
      <c r="AM160" s="214">
        <f t="shared" si="32"/>
        <v>0</v>
      </c>
      <c r="AN160" s="4"/>
      <c r="AO160" s="167">
        <v>2100</v>
      </c>
      <c r="AP160" s="215">
        <v>5.4634346916079401E-4</v>
      </c>
      <c r="AQ160" s="190">
        <v>4.2310340696289766E-4</v>
      </c>
      <c r="AR160" s="190">
        <v>4.3310667562811839E-4</v>
      </c>
      <c r="AS160" s="170">
        <v>4.7496104836406821E-4</v>
      </c>
      <c r="AU160" s="216">
        <v>96.644126789406712</v>
      </c>
      <c r="AV160" s="217">
        <v>96.624475758418882</v>
      </c>
      <c r="AW160" s="217">
        <v>92.950318574301733</v>
      </c>
      <c r="AX160" s="217">
        <v>93.061756475978768</v>
      </c>
      <c r="AY160" s="217"/>
      <c r="AZ160" s="218">
        <v>0</v>
      </c>
      <c r="BA160" s="8"/>
      <c r="BB160" s="219"/>
      <c r="BC160" s="220"/>
    </row>
    <row r="161" spans="15:55" x14ac:dyDescent="0.25">
      <c r="O161" s="195">
        <v>2095</v>
      </c>
      <c r="P161" s="202">
        <f t="shared" si="33"/>
        <v>0</v>
      </c>
      <c r="Q161" s="203">
        <f t="shared" si="33"/>
        <v>0</v>
      </c>
      <c r="R161" s="157">
        <f ca="1"/>
        <v>96.639956779443295</v>
      </c>
      <c r="T161" s="204">
        <v>0</v>
      </c>
      <c r="U161" s="206">
        <v>0</v>
      </c>
      <c r="V161" s="206">
        <v>0</v>
      </c>
      <c r="W161" s="206">
        <v>0</v>
      </c>
      <c r="X161" s="206">
        <f t="array" ref="X161">IF(X$78&gt;" ",(X$628:X$1078),"")</f>
        <v>0</v>
      </c>
      <c r="Y161" s="206">
        <f t="array" ref="Y161">IF(Y$78&gt;" ",(Y$628:Y$1078),"")</f>
        <v>0</v>
      </c>
      <c r="Z161" s="206">
        <f t="array" ref="Z161">IF(Z$78&gt;" ",(Z$628:Z$1078),"")</f>
        <v>0</v>
      </c>
      <c r="AA161" s="206">
        <f t="array" ref="AA161">IF(AA$78&gt;" ",(AA$628:AA$1078),"")</f>
        <v>0</v>
      </c>
      <c r="AB161" s="210">
        <v>0</v>
      </c>
      <c r="AC161" s="204">
        <f t="shared" si="22"/>
        <v>0</v>
      </c>
      <c r="AD161" s="206">
        <f t="shared" si="23"/>
        <v>0</v>
      </c>
      <c r="AE161" s="206">
        <f t="shared" si="24"/>
        <v>0</v>
      </c>
      <c r="AF161" s="206">
        <f t="shared" si="25"/>
        <v>0</v>
      </c>
      <c r="AG161" s="206">
        <f t="shared" si="26"/>
        <v>0</v>
      </c>
      <c r="AH161" s="206">
        <f t="shared" si="27"/>
        <v>0</v>
      </c>
      <c r="AI161" s="206">
        <f t="shared" si="28"/>
        <v>0</v>
      </c>
      <c r="AJ161" s="206">
        <f t="shared" si="29"/>
        <v>0</v>
      </c>
      <c r="AK161" s="206">
        <f t="shared" si="30"/>
        <v>0</v>
      </c>
      <c r="AL161" s="206">
        <f t="shared" si="31"/>
        <v>0</v>
      </c>
      <c r="AM161" s="214">
        <f t="shared" si="32"/>
        <v>0</v>
      </c>
      <c r="AN161" s="4"/>
      <c r="AO161" s="167">
        <v>2095</v>
      </c>
      <c r="AP161" s="215">
        <v>5.2143760605636615E-4</v>
      </c>
      <c r="AQ161" s="190">
        <v>4.206922477981292E-4</v>
      </c>
      <c r="AR161" s="190">
        <v>4.5127912434951459E-4</v>
      </c>
      <c r="AS161" s="170">
        <v>4.948394685621284E-4</v>
      </c>
      <c r="AU161" s="216">
        <v>96.650895012781731</v>
      </c>
      <c r="AV161" s="217">
        <v>96.639956779443295</v>
      </c>
      <c r="AW161" s="217">
        <v>92.993988465506405</v>
      </c>
      <c r="AX161" s="217">
        <v>93.104186085147674</v>
      </c>
      <c r="AY161" s="217"/>
      <c r="AZ161" s="218">
        <v>0</v>
      </c>
      <c r="BA161" s="8"/>
      <c r="BB161" s="219"/>
      <c r="BC161" s="220"/>
    </row>
    <row r="162" spans="15:55" x14ac:dyDescent="0.25">
      <c r="O162" s="195">
        <v>2090</v>
      </c>
      <c r="P162" s="202">
        <f t="shared" si="33"/>
        <v>0</v>
      </c>
      <c r="Q162" s="203">
        <f t="shared" si="33"/>
        <v>0</v>
      </c>
      <c r="R162" s="157">
        <f ca="1"/>
        <v>96.65991309403006</v>
      </c>
      <c r="T162" s="204">
        <v>0</v>
      </c>
      <c r="U162" s="206">
        <v>0</v>
      </c>
      <c r="V162" s="206">
        <v>0</v>
      </c>
      <c r="W162" s="206">
        <v>0</v>
      </c>
      <c r="X162" s="206">
        <f t="array" ref="X162">IF(X$78&gt;" ",(X$628:X$1078),"")</f>
        <v>0</v>
      </c>
      <c r="Y162" s="206">
        <f t="array" ref="Y162">IF(Y$78&gt;" ",(Y$628:Y$1078),"")</f>
        <v>0</v>
      </c>
      <c r="Z162" s="206">
        <f t="array" ref="Z162">IF(Z$78&gt;" ",(Z$628:Z$1078),"")</f>
        <v>0</v>
      </c>
      <c r="AA162" s="206">
        <f t="array" ref="AA162">IF(AA$78&gt;" ",(AA$628:AA$1078),"")</f>
        <v>0</v>
      </c>
      <c r="AB162" s="210">
        <v>0</v>
      </c>
      <c r="AC162" s="204">
        <f t="shared" si="22"/>
        <v>0</v>
      </c>
      <c r="AD162" s="206">
        <f t="shared" si="23"/>
        <v>0</v>
      </c>
      <c r="AE162" s="206">
        <f t="shared" si="24"/>
        <v>0</v>
      </c>
      <c r="AF162" s="206">
        <f t="shared" si="25"/>
        <v>0</v>
      </c>
      <c r="AG162" s="206">
        <f t="shared" si="26"/>
        <v>0</v>
      </c>
      <c r="AH162" s="206">
        <f t="shared" si="27"/>
        <v>0</v>
      </c>
      <c r="AI162" s="206">
        <f t="shared" si="28"/>
        <v>0</v>
      </c>
      <c r="AJ162" s="206">
        <f t="shared" si="29"/>
        <v>0</v>
      </c>
      <c r="AK162" s="206">
        <f t="shared" si="30"/>
        <v>0</v>
      </c>
      <c r="AL162" s="206">
        <f t="shared" si="31"/>
        <v>0</v>
      </c>
      <c r="AM162" s="214">
        <f t="shared" si="32"/>
        <v>0</v>
      </c>
      <c r="AN162" s="4"/>
      <c r="AO162" s="167">
        <v>2090</v>
      </c>
      <c r="AP162" s="215">
        <v>4.9653174295193807E-4</v>
      </c>
      <c r="AQ162" s="190">
        <v>4.1828108863336074E-4</v>
      </c>
      <c r="AR162" s="190">
        <v>4.4802578336369743E-4</v>
      </c>
      <c r="AS162" s="170">
        <v>4.9124657842497901E-4</v>
      </c>
      <c r="AU162" s="216">
        <v>96.671876387585101</v>
      </c>
      <c r="AV162" s="217">
        <v>96.65991309403006</v>
      </c>
      <c r="AW162" s="217">
        <v>93.042760853563493</v>
      </c>
      <c r="AX162" s="217">
        <v>93.1436163648399</v>
      </c>
      <c r="AY162" s="217"/>
      <c r="AZ162" s="218">
        <v>0</v>
      </c>
      <c r="BA162" s="8"/>
      <c r="BB162" s="219"/>
      <c r="BC162" s="220"/>
    </row>
    <row r="163" spans="15:55" x14ac:dyDescent="0.25">
      <c r="O163" s="195">
        <v>2085</v>
      </c>
      <c r="P163" s="202">
        <f t="shared" si="33"/>
        <v>0</v>
      </c>
      <c r="Q163" s="203">
        <f t="shared" si="33"/>
        <v>0</v>
      </c>
      <c r="R163" s="157">
        <f ca="1"/>
        <v>96.678505520146246</v>
      </c>
      <c r="T163" s="204">
        <v>0</v>
      </c>
      <c r="U163" s="206">
        <v>0</v>
      </c>
      <c r="V163" s="206">
        <v>0</v>
      </c>
      <c r="W163" s="206">
        <v>0</v>
      </c>
      <c r="X163" s="206">
        <f t="array" ref="X163">IF(X$78&gt;" ",(X$628:X$1078),"")</f>
        <v>0</v>
      </c>
      <c r="Y163" s="206">
        <f t="array" ref="Y163">IF(Y$78&gt;" ",(Y$628:Y$1078),"")</f>
        <v>0</v>
      </c>
      <c r="Z163" s="206">
        <f t="array" ref="Z163">IF(Z$78&gt;" ",(Z$628:Z$1078),"")</f>
        <v>0</v>
      </c>
      <c r="AA163" s="206">
        <f t="array" ref="AA163">IF(AA$78&gt;" ",(AA$628:AA$1078),"")</f>
        <v>0</v>
      </c>
      <c r="AB163" s="210">
        <v>0</v>
      </c>
      <c r="AC163" s="204">
        <f t="shared" si="22"/>
        <v>0</v>
      </c>
      <c r="AD163" s="206">
        <f t="shared" si="23"/>
        <v>0</v>
      </c>
      <c r="AE163" s="206">
        <f t="shared" si="24"/>
        <v>0</v>
      </c>
      <c r="AF163" s="206">
        <f t="shared" si="25"/>
        <v>0</v>
      </c>
      <c r="AG163" s="206">
        <f t="shared" si="26"/>
        <v>0</v>
      </c>
      <c r="AH163" s="206">
        <f t="shared" si="27"/>
        <v>0</v>
      </c>
      <c r="AI163" s="206">
        <f t="shared" si="28"/>
        <v>0</v>
      </c>
      <c r="AJ163" s="206">
        <f t="shared" si="29"/>
        <v>0</v>
      </c>
      <c r="AK163" s="206">
        <f t="shared" si="30"/>
        <v>0</v>
      </c>
      <c r="AL163" s="206">
        <f t="shared" si="31"/>
        <v>0</v>
      </c>
      <c r="AM163" s="214">
        <f t="shared" si="32"/>
        <v>0</v>
      </c>
      <c r="AN163" s="4"/>
      <c r="AO163" s="167">
        <v>2085</v>
      </c>
      <c r="AP163" s="215">
        <v>4.716258798475101E-4</v>
      </c>
      <c r="AQ163" s="190">
        <v>4.1586992946859223E-4</v>
      </c>
      <c r="AR163" s="190">
        <v>4.2792244911130616E-4</v>
      </c>
      <c r="AS163" s="170">
        <v>4.692415254354597E-4</v>
      </c>
      <c r="AU163" s="216">
        <v>96.682722440450377</v>
      </c>
      <c r="AV163" s="217">
        <v>96.678505520146246</v>
      </c>
      <c r="AW163" s="217">
        <v>93.088706681982046</v>
      </c>
      <c r="AX163" s="217">
        <v>93.198495171159593</v>
      </c>
      <c r="AY163" s="217"/>
      <c r="AZ163" s="218">
        <v>0</v>
      </c>
      <c r="BA163" s="8"/>
      <c r="BB163" s="219"/>
      <c r="BC163" s="220"/>
    </row>
    <row r="164" spans="15:55" x14ac:dyDescent="0.25">
      <c r="O164" s="195">
        <v>2080</v>
      </c>
      <c r="P164" s="202">
        <f t="shared" si="33"/>
        <v>0</v>
      </c>
      <c r="Q164" s="203">
        <f t="shared" si="33"/>
        <v>0</v>
      </c>
      <c r="R164" s="157">
        <f ca="1"/>
        <v>96.687374168582053</v>
      </c>
      <c r="T164" s="204">
        <v>0</v>
      </c>
      <c r="U164" s="206">
        <v>0</v>
      </c>
      <c r="V164" s="206">
        <v>0</v>
      </c>
      <c r="W164" s="206">
        <v>0</v>
      </c>
      <c r="X164" s="206">
        <f t="array" ref="X164">IF(X$78&gt;" ",(X$628:X$1078),"")</f>
        <v>0</v>
      </c>
      <c r="Y164" s="206">
        <f t="array" ref="Y164">IF(Y$78&gt;" ",(Y$628:Y$1078),"")</f>
        <v>0</v>
      </c>
      <c r="Z164" s="206">
        <f t="array" ref="Z164">IF(Z$78&gt;" ",(Z$628:Z$1078),"")</f>
        <v>0</v>
      </c>
      <c r="AA164" s="206">
        <f t="array" ref="AA164">IF(AA$78&gt;" ",(AA$628:AA$1078),"")</f>
        <v>0</v>
      </c>
      <c r="AB164" s="210">
        <v>0</v>
      </c>
      <c r="AC164" s="204">
        <f t="shared" si="22"/>
        <v>0</v>
      </c>
      <c r="AD164" s="206">
        <f t="shared" si="23"/>
        <v>0</v>
      </c>
      <c r="AE164" s="206">
        <f t="shared" si="24"/>
        <v>0</v>
      </c>
      <c r="AF164" s="206">
        <f t="shared" si="25"/>
        <v>0</v>
      </c>
      <c r="AG164" s="206">
        <f t="shared" si="26"/>
        <v>0</v>
      </c>
      <c r="AH164" s="206">
        <f t="shared" si="27"/>
        <v>0</v>
      </c>
      <c r="AI164" s="206">
        <f t="shared" si="28"/>
        <v>0</v>
      </c>
      <c r="AJ164" s="206">
        <f t="shared" si="29"/>
        <v>0</v>
      </c>
      <c r="AK164" s="206">
        <f t="shared" si="30"/>
        <v>0</v>
      </c>
      <c r="AL164" s="206">
        <f t="shared" si="31"/>
        <v>0</v>
      </c>
      <c r="AM164" s="214">
        <f t="shared" si="32"/>
        <v>0</v>
      </c>
      <c r="AN164" s="4"/>
      <c r="AO164" s="167">
        <v>2080</v>
      </c>
      <c r="AP164" s="215">
        <v>4.4665395344572291E-4</v>
      </c>
      <c r="AQ164" s="190">
        <v>4.1345877030382378E-4</v>
      </c>
      <c r="AR164" s="190">
        <v>4.3652092374151853E-4</v>
      </c>
      <c r="AS164" s="170">
        <v>4.78649077336625E-4</v>
      </c>
      <c r="AU164" s="216">
        <v>96.698657029477317</v>
      </c>
      <c r="AV164" s="217">
        <v>96.687374168582053</v>
      </c>
      <c r="AW164" s="217">
        <v>93.125951895439883</v>
      </c>
      <c r="AX164" s="217">
        <v>93.232738946194573</v>
      </c>
      <c r="AY164" s="217"/>
      <c r="AZ164" s="218">
        <v>0</v>
      </c>
      <c r="BA164" s="8"/>
      <c r="BB164" s="219"/>
      <c r="BC164" s="220"/>
    </row>
    <row r="165" spans="15:55" x14ac:dyDescent="0.25">
      <c r="O165" s="195">
        <v>2075</v>
      </c>
      <c r="P165" s="202">
        <f t="shared" si="33"/>
        <v>0</v>
      </c>
      <c r="Q165" s="203">
        <f t="shared" si="33"/>
        <v>0</v>
      </c>
      <c r="R165" s="157">
        <f ca="1"/>
        <v>96.692698961999483</v>
      </c>
      <c r="T165" s="204">
        <v>0</v>
      </c>
      <c r="U165" s="206">
        <v>0</v>
      </c>
      <c r="V165" s="206">
        <v>0</v>
      </c>
      <c r="W165" s="206">
        <v>0</v>
      </c>
      <c r="X165" s="206">
        <f t="array" ref="X165">IF(X$78&gt;" ",(X$628:X$1078),"")</f>
        <v>0</v>
      </c>
      <c r="Y165" s="206">
        <f t="array" ref="Y165">IF(Y$78&gt;" ",(Y$628:Y$1078),"")</f>
        <v>0</v>
      </c>
      <c r="Z165" s="206">
        <f t="array" ref="Z165">IF(Z$78&gt;" ",(Z$628:Z$1078),"")</f>
        <v>0</v>
      </c>
      <c r="AA165" s="206">
        <f t="array" ref="AA165">IF(AA$78&gt;" ",(AA$628:AA$1078),"")</f>
        <v>0</v>
      </c>
      <c r="AB165" s="210">
        <v>0</v>
      </c>
      <c r="AC165" s="204">
        <f t="shared" si="22"/>
        <v>0</v>
      </c>
      <c r="AD165" s="206">
        <f t="shared" si="23"/>
        <v>0</v>
      </c>
      <c r="AE165" s="206">
        <f t="shared" si="24"/>
        <v>0</v>
      </c>
      <c r="AF165" s="206">
        <f t="shared" si="25"/>
        <v>0</v>
      </c>
      <c r="AG165" s="206">
        <f t="shared" si="26"/>
        <v>0</v>
      </c>
      <c r="AH165" s="206">
        <f t="shared" si="27"/>
        <v>0</v>
      </c>
      <c r="AI165" s="206">
        <f t="shared" si="28"/>
        <v>0</v>
      </c>
      <c r="AJ165" s="206">
        <f t="shared" si="29"/>
        <v>0</v>
      </c>
      <c r="AK165" s="206">
        <f t="shared" si="30"/>
        <v>0</v>
      </c>
      <c r="AL165" s="206">
        <f t="shared" si="31"/>
        <v>0</v>
      </c>
      <c r="AM165" s="214">
        <f t="shared" si="32"/>
        <v>0</v>
      </c>
      <c r="AN165" s="4"/>
      <c r="AO165" s="167">
        <v>2075</v>
      </c>
      <c r="AP165" s="215">
        <v>4.2174809034129494E-4</v>
      </c>
      <c r="AQ165" s="190">
        <v>4.1104761113905537E-4</v>
      </c>
      <c r="AR165" s="190">
        <v>3.8941033379388123E-4</v>
      </c>
      <c r="AS165" s="170">
        <v>4.2703346092707852E-4</v>
      </c>
      <c r="AU165" s="216">
        <v>96.704776898508101</v>
      </c>
      <c r="AV165" s="217">
        <v>96.692698961999483</v>
      </c>
      <c r="AW165" s="217">
        <v>93.15246322961768</v>
      </c>
      <c r="AX165" s="217">
        <v>93.258614708837911</v>
      </c>
      <c r="AY165" s="217"/>
      <c r="AZ165" s="218">
        <v>0</v>
      </c>
      <c r="BA165" s="8"/>
      <c r="BB165" s="219"/>
      <c r="BC165" s="220"/>
    </row>
    <row r="166" spans="15:55" x14ac:dyDescent="0.25">
      <c r="O166" s="195">
        <v>2070</v>
      </c>
      <c r="P166" s="202">
        <f t="shared" si="33"/>
        <v>0</v>
      </c>
      <c r="Q166" s="203">
        <f t="shared" si="33"/>
        <v>0</v>
      </c>
      <c r="R166" s="157">
        <f ca="1"/>
        <v>96.701379254958411</v>
      </c>
      <c r="T166" s="204">
        <v>0</v>
      </c>
      <c r="U166" s="206">
        <v>0</v>
      </c>
      <c r="V166" s="206">
        <v>0</v>
      </c>
      <c r="W166" s="206">
        <v>0</v>
      </c>
      <c r="X166" s="206">
        <f t="array" ref="X166">IF(X$78&gt;" ",(X$628:X$1078),"")</f>
        <v>0</v>
      </c>
      <c r="Y166" s="206">
        <f t="array" ref="Y166">IF(Y$78&gt;" ",(Y$628:Y$1078),"")</f>
        <v>0</v>
      </c>
      <c r="Z166" s="206">
        <f t="array" ref="Z166">IF(Z$78&gt;" ",(Z$628:Z$1078),"")</f>
        <v>0</v>
      </c>
      <c r="AA166" s="206">
        <f t="array" ref="AA166">IF(AA$78&gt;" ",(AA$628:AA$1078),"")</f>
        <v>0</v>
      </c>
      <c r="AB166" s="210">
        <v>0</v>
      </c>
      <c r="AC166" s="204">
        <f t="shared" si="22"/>
        <v>0</v>
      </c>
      <c r="AD166" s="206">
        <f t="shared" si="23"/>
        <v>0</v>
      </c>
      <c r="AE166" s="206">
        <f t="shared" si="24"/>
        <v>0</v>
      </c>
      <c r="AF166" s="206">
        <f t="shared" si="25"/>
        <v>0</v>
      </c>
      <c r="AG166" s="206">
        <f t="shared" si="26"/>
        <v>0</v>
      </c>
      <c r="AH166" s="206">
        <f t="shared" si="27"/>
        <v>0</v>
      </c>
      <c r="AI166" s="206">
        <f t="shared" si="28"/>
        <v>0</v>
      </c>
      <c r="AJ166" s="206">
        <f t="shared" si="29"/>
        <v>0</v>
      </c>
      <c r="AK166" s="206">
        <f t="shared" si="30"/>
        <v>0</v>
      </c>
      <c r="AL166" s="206">
        <f t="shared" si="31"/>
        <v>0</v>
      </c>
      <c r="AM166" s="214">
        <f t="shared" si="32"/>
        <v>0</v>
      </c>
      <c r="AN166" s="4"/>
      <c r="AO166" s="167">
        <v>2070</v>
      </c>
      <c r="AP166" s="215">
        <v>3.9684222723686697E-4</v>
      </c>
      <c r="AQ166" s="190">
        <v>4.0863645197428692E-4</v>
      </c>
      <c r="AR166" s="190">
        <v>3.3024176597299879E-4</v>
      </c>
      <c r="AS166" s="170">
        <v>3.6217116078757461E-4</v>
      </c>
      <c r="AU166" s="216">
        <v>96.706484117222274</v>
      </c>
      <c r="AV166" s="217">
        <v>96.701379254958411</v>
      </c>
      <c r="AW166" s="217">
        <v>93.185311794628475</v>
      </c>
      <c r="AX166" s="217">
        <v>93.300912205026464</v>
      </c>
      <c r="AY166" s="217"/>
      <c r="AZ166" s="218">
        <v>0</v>
      </c>
      <c r="BA166" s="8"/>
      <c r="BB166" s="219"/>
      <c r="BC166" s="220"/>
    </row>
    <row r="167" spans="15:55" x14ac:dyDescent="0.25">
      <c r="O167" s="195">
        <v>2065</v>
      </c>
      <c r="P167" s="202">
        <f t="shared" si="33"/>
        <v>0</v>
      </c>
      <c r="Q167" s="203">
        <f t="shared" si="33"/>
        <v>0</v>
      </c>
      <c r="R167" s="157">
        <f ca="1"/>
        <v>96.710799406453489</v>
      </c>
      <c r="T167" s="204">
        <v>0</v>
      </c>
      <c r="U167" s="206">
        <v>0</v>
      </c>
      <c r="V167" s="206">
        <v>0</v>
      </c>
      <c r="W167" s="206">
        <v>0</v>
      </c>
      <c r="X167" s="206">
        <f t="array" ref="X167">IF(X$78&gt;" ",(X$628:X$1078),"")</f>
        <v>0</v>
      </c>
      <c r="Y167" s="206">
        <f t="array" ref="Y167">IF(Y$78&gt;" ",(Y$628:Y$1078),"")</f>
        <v>0</v>
      </c>
      <c r="Z167" s="206">
        <f t="array" ref="Z167">IF(Z$78&gt;" ",(Z$628:Z$1078),"")</f>
        <v>0</v>
      </c>
      <c r="AA167" s="206">
        <f t="array" ref="AA167">IF(AA$78&gt;" ",(AA$628:AA$1078),"")</f>
        <v>0</v>
      </c>
      <c r="AB167" s="210">
        <v>0</v>
      </c>
      <c r="AC167" s="204">
        <f t="shared" si="22"/>
        <v>0</v>
      </c>
      <c r="AD167" s="206">
        <f t="shared" si="23"/>
        <v>0</v>
      </c>
      <c r="AE167" s="206">
        <f t="shared" si="24"/>
        <v>0</v>
      </c>
      <c r="AF167" s="206">
        <f t="shared" si="25"/>
        <v>0</v>
      </c>
      <c r="AG167" s="206">
        <f t="shared" si="26"/>
        <v>0</v>
      </c>
      <c r="AH167" s="206">
        <f t="shared" si="27"/>
        <v>0</v>
      </c>
      <c r="AI167" s="206">
        <f t="shared" si="28"/>
        <v>0</v>
      </c>
      <c r="AJ167" s="206">
        <f t="shared" si="29"/>
        <v>0</v>
      </c>
      <c r="AK167" s="206">
        <f t="shared" si="30"/>
        <v>0</v>
      </c>
      <c r="AL167" s="206">
        <f t="shared" si="31"/>
        <v>0</v>
      </c>
      <c r="AM167" s="214">
        <f t="shared" si="32"/>
        <v>0</v>
      </c>
      <c r="AN167" s="4"/>
      <c r="AO167" s="167">
        <v>2065</v>
      </c>
      <c r="AP167" s="215">
        <v>3.7193636413243895E-4</v>
      </c>
      <c r="AQ167" s="190">
        <v>4.0622529280951841E-4</v>
      </c>
      <c r="AR167" s="190">
        <v>3.1112901622478984E-4</v>
      </c>
      <c r="AS167" s="170">
        <v>3.4116786377087424E-4</v>
      </c>
      <c r="AU167" s="216">
        <v>96.728980256168896</v>
      </c>
      <c r="AV167" s="217">
        <v>96.710799406453489</v>
      </c>
      <c r="AW167" s="217">
        <v>93.204711671424931</v>
      </c>
      <c r="AX167" s="217">
        <v>93.319436473643449</v>
      </c>
      <c r="AY167" s="217"/>
      <c r="AZ167" s="218">
        <v>0</v>
      </c>
      <c r="BA167" s="8"/>
      <c r="BB167" s="219"/>
      <c r="BC167" s="220"/>
    </row>
    <row r="168" spans="15:55" x14ac:dyDescent="0.25">
      <c r="O168" s="195">
        <v>2060</v>
      </c>
      <c r="P168" s="202">
        <f t="shared" si="33"/>
        <v>0</v>
      </c>
      <c r="Q168" s="203">
        <f t="shared" si="33"/>
        <v>0</v>
      </c>
      <c r="R168" s="157">
        <f ca="1"/>
        <v>96.727503886955219</v>
      </c>
      <c r="T168" s="204">
        <v>0</v>
      </c>
      <c r="U168" s="206">
        <v>0</v>
      </c>
      <c r="V168" s="206">
        <v>0</v>
      </c>
      <c r="W168" s="206">
        <v>0</v>
      </c>
      <c r="X168" s="206">
        <f t="array" ref="X168">IF(X$78&gt;" ",(X$628:X$1078),"")</f>
        <v>0</v>
      </c>
      <c r="Y168" s="206">
        <f t="array" ref="Y168">IF(Y$78&gt;" ",(Y$628:Y$1078),"")</f>
        <v>0</v>
      </c>
      <c r="Z168" s="206">
        <f t="array" ref="Z168">IF(Z$78&gt;" ",(Z$628:Z$1078),"")</f>
        <v>0</v>
      </c>
      <c r="AA168" s="206">
        <f t="array" ref="AA168">IF(AA$78&gt;" ",(AA$628:AA$1078),"")</f>
        <v>0</v>
      </c>
      <c r="AB168" s="210">
        <v>0</v>
      </c>
      <c r="AC168" s="204">
        <f t="shared" si="22"/>
        <v>0</v>
      </c>
      <c r="AD168" s="206">
        <f t="shared" si="23"/>
        <v>0</v>
      </c>
      <c r="AE168" s="206">
        <f t="shared" si="24"/>
        <v>0</v>
      </c>
      <c r="AF168" s="206">
        <f t="shared" si="25"/>
        <v>0</v>
      </c>
      <c r="AG168" s="206">
        <f t="shared" si="26"/>
        <v>0</v>
      </c>
      <c r="AH168" s="206">
        <f t="shared" si="27"/>
        <v>0</v>
      </c>
      <c r="AI168" s="206">
        <f t="shared" si="28"/>
        <v>0</v>
      </c>
      <c r="AJ168" s="206">
        <f t="shared" si="29"/>
        <v>0</v>
      </c>
      <c r="AK168" s="206">
        <f t="shared" si="30"/>
        <v>0</v>
      </c>
      <c r="AL168" s="206">
        <f t="shared" si="31"/>
        <v>0</v>
      </c>
      <c r="AM168" s="214">
        <f t="shared" si="32"/>
        <v>0</v>
      </c>
      <c r="AN168" s="4"/>
      <c r="AO168" s="167">
        <v>2060</v>
      </c>
      <c r="AP168" s="215">
        <v>4.1289560849515876E-4</v>
      </c>
      <c r="AQ168" s="190">
        <v>4.0381413364475E-4</v>
      </c>
      <c r="AR168" s="190">
        <v>3.4792646496390931E-4</v>
      </c>
      <c r="AS168" s="170">
        <v>3.8143397675652823E-4</v>
      </c>
      <c r="AU168" s="216">
        <v>96.732672725469683</v>
      </c>
      <c r="AV168" s="217">
        <v>96.727503886955219</v>
      </c>
      <c r="AW168" s="217">
        <v>93.22843969014265</v>
      </c>
      <c r="AX168" s="217">
        <v>93.342762531860672</v>
      </c>
      <c r="AY168" s="217"/>
      <c r="AZ168" s="218">
        <v>0</v>
      </c>
      <c r="BA168" s="8"/>
      <c r="BB168" s="219"/>
      <c r="BC168" s="220"/>
    </row>
    <row r="169" spans="15:55" x14ac:dyDescent="0.25">
      <c r="O169" s="195">
        <v>2055</v>
      </c>
      <c r="P169" s="202">
        <f t="shared" si="33"/>
        <v>0</v>
      </c>
      <c r="Q169" s="203">
        <f t="shared" si="33"/>
        <v>0</v>
      </c>
      <c r="R169" s="157">
        <f ca="1"/>
        <v>96.732969713604561</v>
      </c>
      <c r="T169" s="204">
        <v>0</v>
      </c>
      <c r="U169" s="206">
        <v>0</v>
      </c>
      <c r="V169" s="206">
        <v>0</v>
      </c>
      <c r="W169" s="206">
        <v>0</v>
      </c>
      <c r="X169" s="206">
        <f t="array" ref="X169">IF(X$78&gt;" ",(X$628:X$1078),"")</f>
        <v>0</v>
      </c>
      <c r="Y169" s="206">
        <f t="array" ref="Y169">IF(Y$78&gt;" ",(Y$628:Y$1078),"")</f>
        <v>0</v>
      </c>
      <c r="Z169" s="206">
        <f t="array" ref="Z169">IF(Z$78&gt;" ",(Z$628:Z$1078),"")</f>
        <v>0</v>
      </c>
      <c r="AA169" s="206">
        <f t="array" ref="AA169">IF(AA$78&gt;" ",(AA$628:AA$1078),"")</f>
        <v>0</v>
      </c>
      <c r="AB169" s="210">
        <v>0</v>
      </c>
      <c r="AC169" s="204">
        <f t="shared" si="22"/>
        <v>0</v>
      </c>
      <c r="AD169" s="206">
        <f t="shared" si="23"/>
        <v>0</v>
      </c>
      <c r="AE169" s="206">
        <f t="shared" si="24"/>
        <v>0</v>
      </c>
      <c r="AF169" s="206">
        <f t="shared" si="25"/>
        <v>0</v>
      </c>
      <c r="AG169" s="206">
        <f t="shared" si="26"/>
        <v>0</v>
      </c>
      <c r="AH169" s="206">
        <f t="shared" si="27"/>
        <v>0</v>
      </c>
      <c r="AI169" s="206">
        <f t="shared" si="28"/>
        <v>0</v>
      </c>
      <c r="AJ169" s="206">
        <f t="shared" si="29"/>
        <v>0</v>
      </c>
      <c r="AK169" s="206">
        <f t="shared" si="30"/>
        <v>0</v>
      </c>
      <c r="AL169" s="206">
        <f t="shared" si="31"/>
        <v>0</v>
      </c>
      <c r="AM169" s="214">
        <f t="shared" si="32"/>
        <v>0</v>
      </c>
      <c r="AN169" s="4"/>
      <c r="AO169" s="167">
        <v>2055</v>
      </c>
      <c r="AP169" s="215">
        <v>4.5385485285787851E-4</v>
      </c>
      <c r="AQ169" s="190">
        <v>4.0140297447998149E-4</v>
      </c>
      <c r="AR169" s="190">
        <v>2.7608646084587176E-4</v>
      </c>
      <c r="AS169" s="170">
        <v>3.0270938865796049E-4</v>
      </c>
      <c r="AU169" s="216">
        <v>96.734302848728063</v>
      </c>
      <c r="AV169" s="217">
        <v>96.732969713604561</v>
      </c>
      <c r="AW169" s="217">
        <v>93.262919084927887</v>
      </c>
      <c r="AX169" s="217">
        <v>93.379345728781345</v>
      </c>
      <c r="AY169" s="217"/>
      <c r="AZ169" s="218">
        <v>0</v>
      </c>
      <c r="BA169" s="8"/>
      <c r="BB169" s="219"/>
      <c r="BC169" s="220"/>
    </row>
    <row r="170" spans="15:55" x14ac:dyDescent="0.25">
      <c r="O170" s="195">
        <v>2050</v>
      </c>
      <c r="P170" s="202">
        <f t="shared" si="33"/>
        <v>0</v>
      </c>
      <c r="Q170" s="203">
        <f t="shared" si="33"/>
        <v>0</v>
      </c>
      <c r="R170" s="157">
        <f ca="1"/>
        <v>96.741252124277366</v>
      </c>
      <c r="T170" s="204">
        <v>0</v>
      </c>
      <c r="U170" s="206">
        <v>0</v>
      </c>
      <c r="V170" s="206">
        <v>0</v>
      </c>
      <c r="W170" s="206">
        <v>0</v>
      </c>
      <c r="X170" s="206">
        <f t="array" ref="X170">IF(X$78&gt;" ",(X$628:X$1078),"")</f>
        <v>0</v>
      </c>
      <c r="Y170" s="206">
        <f t="array" ref="Y170">IF(Y$78&gt;" ",(Y$628:Y$1078),"")</f>
        <v>0</v>
      </c>
      <c r="Z170" s="206">
        <f t="array" ref="Z170">IF(Z$78&gt;" ",(Z$628:Z$1078),"")</f>
        <v>0</v>
      </c>
      <c r="AA170" s="206">
        <f t="array" ref="AA170">IF(AA$78&gt;" ",(AA$628:AA$1078),"")</f>
        <v>0</v>
      </c>
      <c r="AB170" s="210">
        <v>0</v>
      </c>
      <c r="AC170" s="204">
        <f t="shared" si="22"/>
        <v>0</v>
      </c>
      <c r="AD170" s="206">
        <f t="shared" si="23"/>
        <v>0</v>
      </c>
      <c r="AE170" s="206">
        <f t="shared" si="24"/>
        <v>0</v>
      </c>
      <c r="AF170" s="206">
        <f t="shared" si="25"/>
        <v>0</v>
      </c>
      <c r="AG170" s="206">
        <f t="shared" si="26"/>
        <v>0</v>
      </c>
      <c r="AH170" s="206">
        <f t="shared" si="27"/>
        <v>0</v>
      </c>
      <c r="AI170" s="206">
        <f t="shared" si="28"/>
        <v>0</v>
      </c>
      <c r="AJ170" s="206">
        <f t="shared" si="29"/>
        <v>0</v>
      </c>
      <c r="AK170" s="206">
        <f t="shared" si="30"/>
        <v>0</v>
      </c>
      <c r="AL170" s="206">
        <f t="shared" si="31"/>
        <v>0</v>
      </c>
      <c r="AM170" s="214">
        <f t="shared" si="32"/>
        <v>0</v>
      </c>
      <c r="AN170" s="4"/>
      <c r="AO170" s="167">
        <v>2050</v>
      </c>
      <c r="AP170" s="215">
        <v>4.9481409722059821E-4</v>
      </c>
      <c r="AQ170" s="190">
        <v>3.9899181531521304E-4</v>
      </c>
      <c r="AR170" s="190">
        <v>3.4156057672890994E-4</v>
      </c>
      <c r="AS170" s="170">
        <v>3.7435452812180239E-4</v>
      </c>
      <c r="AU170" s="216">
        <v>96.74005989960358</v>
      </c>
      <c r="AV170" s="217">
        <v>96.741252124277366</v>
      </c>
      <c r="AW170" s="217">
        <v>93.285416214335939</v>
      </c>
      <c r="AX170" s="217">
        <v>93.401608468656676</v>
      </c>
      <c r="AY170" s="217"/>
      <c r="AZ170" s="218">
        <v>0</v>
      </c>
      <c r="BA170" s="8"/>
      <c r="BB170" s="219"/>
      <c r="BC170" s="220"/>
    </row>
    <row r="171" spans="15:55" x14ac:dyDescent="0.25">
      <c r="O171" s="195">
        <v>2045</v>
      </c>
      <c r="P171" s="202">
        <f t="shared" si="33"/>
        <v>0</v>
      </c>
      <c r="Q171" s="203">
        <f t="shared" si="33"/>
        <v>0</v>
      </c>
      <c r="R171" s="157">
        <f ca="1"/>
        <v>96.743991541796959</v>
      </c>
      <c r="T171" s="204">
        <v>0</v>
      </c>
      <c r="U171" s="206">
        <v>0</v>
      </c>
      <c r="V171" s="206">
        <v>0</v>
      </c>
      <c r="W171" s="206">
        <v>0</v>
      </c>
      <c r="X171" s="206">
        <f t="array" ref="X171">IF(X$78&gt;" ",(X$628:X$1078),"")</f>
        <v>0</v>
      </c>
      <c r="Y171" s="206">
        <f t="array" ref="Y171">IF(Y$78&gt;" ",(Y$628:Y$1078),"")</f>
        <v>0</v>
      </c>
      <c r="Z171" s="206">
        <f t="array" ref="Z171">IF(Z$78&gt;" ",(Z$628:Z$1078),"")</f>
        <v>0</v>
      </c>
      <c r="AA171" s="206">
        <f t="array" ref="AA171">IF(AA$78&gt;" ",(AA$628:AA$1078),"")</f>
        <v>0</v>
      </c>
      <c r="AB171" s="210">
        <v>0</v>
      </c>
      <c r="AC171" s="204">
        <f t="shared" si="22"/>
        <v>0</v>
      </c>
      <c r="AD171" s="206">
        <f t="shared" si="23"/>
        <v>0</v>
      </c>
      <c r="AE171" s="206">
        <f t="shared" si="24"/>
        <v>0</v>
      </c>
      <c r="AF171" s="206">
        <f t="shared" si="25"/>
        <v>0</v>
      </c>
      <c r="AG171" s="206">
        <f t="shared" si="26"/>
        <v>0</v>
      </c>
      <c r="AH171" s="206">
        <f t="shared" si="27"/>
        <v>0</v>
      </c>
      <c r="AI171" s="206">
        <f t="shared" si="28"/>
        <v>0</v>
      </c>
      <c r="AJ171" s="206">
        <f t="shared" si="29"/>
        <v>0</v>
      </c>
      <c r="AK171" s="206">
        <f t="shared" si="30"/>
        <v>0</v>
      </c>
      <c r="AL171" s="206">
        <f t="shared" si="31"/>
        <v>0</v>
      </c>
      <c r="AM171" s="214">
        <f t="shared" si="32"/>
        <v>0</v>
      </c>
      <c r="AN171" s="4"/>
      <c r="AO171" s="167">
        <v>2045</v>
      </c>
      <c r="AP171" s="215">
        <v>5.357072782859588E-4</v>
      </c>
      <c r="AQ171" s="190">
        <v>3.8934717865613921E-4</v>
      </c>
      <c r="AR171" s="190">
        <v>4.5795174179646893E-4</v>
      </c>
      <c r="AS171" s="170">
        <v>5.0163909709271485E-4</v>
      </c>
      <c r="AU171" s="216">
        <v>96.75631138157901</v>
      </c>
      <c r="AV171" s="217">
        <v>96.743991541796959</v>
      </c>
      <c r="AW171" s="217">
        <v>93.308147480282216</v>
      </c>
      <c r="AX171" s="217">
        <v>93.431464618625384</v>
      </c>
      <c r="AY171" s="217"/>
      <c r="AZ171" s="218">
        <v>0</v>
      </c>
      <c r="BA171" s="8"/>
      <c r="BB171" s="219"/>
      <c r="BC171" s="220"/>
    </row>
    <row r="172" spans="15:55" x14ac:dyDescent="0.25">
      <c r="O172" s="195">
        <v>2040</v>
      </c>
      <c r="P172" s="202">
        <f t="shared" si="33"/>
        <v>0</v>
      </c>
      <c r="Q172" s="203">
        <f t="shared" si="33"/>
        <v>0</v>
      </c>
      <c r="R172" s="157">
        <f ca="1"/>
        <v>96.754075580831412</v>
      </c>
      <c r="T172" s="204">
        <v>0</v>
      </c>
      <c r="U172" s="206">
        <v>0</v>
      </c>
      <c r="V172" s="206">
        <v>0</v>
      </c>
      <c r="W172" s="206">
        <v>0</v>
      </c>
      <c r="X172" s="206">
        <f t="array" ref="X172">IF(X$78&gt;" ",(X$628:X$1078),"")</f>
        <v>0</v>
      </c>
      <c r="Y172" s="206">
        <f t="array" ref="Y172">IF(Y$78&gt;" ",(Y$628:Y$1078),"")</f>
        <v>0</v>
      </c>
      <c r="Z172" s="206">
        <f t="array" ref="Z172">IF(Z$78&gt;" ",(Z$628:Z$1078),"")</f>
        <v>0</v>
      </c>
      <c r="AA172" s="206">
        <f t="array" ref="AA172">IF(AA$78&gt;" ",(AA$628:AA$1078),"")</f>
        <v>0</v>
      </c>
      <c r="AB172" s="210">
        <v>0</v>
      </c>
      <c r="AC172" s="204">
        <f t="shared" si="22"/>
        <v>0</v>
      </c>
      <c r="AD172" s="206">
        <f t="shared" si="23"/>
        <v>0</v>
      </c>
      <c r="AE172" s="206">
        <f t="shared" si="24"/>
        <v>0</v>
      </c>
      <c r="AF172" s="206">
        <f t="shared" si="25"/>
        <v>0</v>
      </c>
      <c r="AG172" s="206">
        <f t="shared" si="26"/>
        <v>0</v>
      </c>
      <c r="AH172" s="206">
        <f t="shared" si="27"/>
        <v>0</v>
      </c>
      <c r="AI172" s="206">
        <f t="shared" si="28"/>
        <v>0</v>
      </c>
      <c r="AJ172" s="206">
        <f t="shared" si="29"/>
        <v>0</v>
      </c>
      <c r="AK172" s="206">
        <f t="shared" si="30"/>
        <v>0</v>
      </c>
      <c r="AL172" s="206">
        <f t="shared" si="31"/>
        <v>0</v>
      </c>
      <c r="AM172" s="214">
        <f t="shared" si="32"/>
        <v>0</v>
      </c>
      <c r="AN172" s="4"/>
      <c r="AO172" s="167">
        <v>2040</v>
      </c>
      <c r="AP172" s="215">
        <v>5.7666652264867855E-4</v>
      </c>
      <c r="AQ172" s="190">
        <v>3.7970254199706538E-4</v>
      </c>
      <c r="AR172" s="190">
        <v>4.5145008817257145E-4</v>
      </c>
      <c r="AS172" s="170">
        <v>4.9440854560175388E-4</v>
      </c>
      <c r="AU172" s="216">
        <v>96.766170147447511</v>
      </c>
      <c r="AV172" s="217">
        <v>96.754075580831412</v>
      </c>
      <c r="AW172" s="217">
        <v>93.331084725665292</v>
      </c>
      <c r="AX172" s="217">
        <v>93.455800081712141</v>
      </c>
      <c r="AY172" s="217"/>
      <c r="AZ172" s="218">
        <v>0</v>
      </c>
      <c r="BA172" s="8"/>
      <c r="BB172" s="219"/>
      <c r="BC172" s="220"/>
    </row>
    <row r="173" spans="15:55" x14ac:dyDescent="0.25">
      <c r="O173" s="195">
        <v>2035</v>
      </c>
      <c r="P173" s="202">
        <f t="shared" si="33"/>
        <v>0</v>
      </c>
      <c r="Q173" s="203">
        <f t="shared" si="33"/>
        <v>0</v>
      </c>
      <c r="R173" s="157">
        <f ca="1"/>
        <v>96.760817665169156</v>
      </c>
      <c r="T173" s="204">
        <v>0</v>
      </c>
      <c r="U173" s="206">
        <v>0</v>
      </c>
      <c r="V173" s="206">
        <v>0</v>
      </c>
      <c r="W173" s="206">
        <v>0</v>
      </c>
      <c r="X173" s="206">
        <f t="array" ref="X173">IF(X$78&gt;" ",(X$628:X$1078),"")</f>
        <v>0</v>
      </c>
      <c r="Y173" s="206">
        <f t="array" ref="Y173">IF(Y$78&gt;" ",(Y$628:Y$1078),"")</f>
        <v>0</v>
      </c>
      <c r="Z173" s="206">
        <f t="array" ref="Z173">IF(Z$78&gt;" ",(Z$628:Z$1078),"")</f>
        <v>0</v>
      </c>
      <c r="AA173" s="206">
        <f t="array" ref="AA173">IF(AA$78&gt;" ",(AA$628:AA$1078),"")</f>
        <v>0</v>
      </c>
      <c r="AB173" s="210">
        <v>0</v>
      </c>
      <c r="AC173" s="204">
        <f t="shared" si="22"/>
        <v>0</v>
      </c>
      <c r="AD173" s="206">
        <f t="shared" si="23"/>
        <v>0</v>
      </c>
      <c r="AE173" s="206">
        <f t="shared" si="24"/>
        <v>0</v>
      </c>
      <c r="AF173" s="206">
        <f t="shared" si="25"/>
        <v>0</v>
      </c>
      <c r="AG173" s="206">
        <f t="shared" si="26"/>
        <v>0</v>
      </c>
      <c r="AH173" s="206">
        <f t="shared" si="27"/>
        <v>0</v>
      </c>
      <c r="AI173" s="206">
        <f t="shared" si="28"/>
        <v>0</v>
      </c>
      <c r="AJ173" s="206">
        <f t="shared" si="29"/>
        <v>0</v>
      </c>
      <c r="AK173" s="206">
        <f t="shared" si="30"/>
        <v>0</v>
      </c>
      <c r="AL173" s="206">
        <f t="shared" si="31"/>
        <v>0</v>
      </c>
      <c r="AM173" s="214">
        <f t="shared" si="32"/>
        <v>0</v>
      </c>
      <c r="AN173" s="4"/>
      <c r="AO173" s="167">
        <v>2035</v>
      </c>
      <c r="AP173" s="215">
        <v>5.9952442353497048E-4</v>
      </c>
      <c r="AQ173" s="190">
        <v>3.700579053379915E-4</v>
      </c>
      <c r="AR173" s="190">
        <v>4.8466232497523386E-4</v>
      </c>
      <c r="AS173" s="170">
        <v>5.3058368866489036E-4</v>
      </c>
      <c r="AU173" s="216">
        <v>96.773577755449523</v>
      </c>
      <c r="AV173" s="217">
        <v>96.760817665169156</v>
      </c>
      <c r="AW173" s="217">
        <v>93.361773113385993</v>
      </c>
      <c r="AX173" s="217">
        <v>93.485527993343865</v>
      </c>
      <c r="AY173" s="217"/>
      <c r="AZ173" s="218">
        <v>0</v>
      </c>
      <c r="BA173" s="8"/>
      <c r="BB173" s="219"/>
      <c r="BC173" s="220"/>
    </row>
    <row r="174" spans="15:55" x14ac:dyDescent="0.25">
      <c r="O174" s="195">
        <v>2030</v>
      </c>
      <c r="P174" s="202">
        <f t="shared" si="33"/>
        <v>0</v>
      </c>
      <c r="Q174" s="203">
        <f t="shared" si="33"/>
        <v>0</v>
      </c>
      <c r="R174" s="157">
        <f ca="1"/>
        <v>96.769377807973441</v>
      </c>
      <c r="T174" s="204">
        <v>0</v>
      </c>
      <c r="U174" s="206">
        <v>0</v>
      </c>
      <c r="V174" s="206">
        <v>0</v>
      </c>
      <c r="W174" s="206">
        <v>0</v>
      </c>
      <c r="X174" s="206">
        <f t="array" ref="X174">IF(X$78&gt;" ",(X$628:X$1078),"")</f>
        <v>0</v>
      </c>
      <c r="Y174" s="206">
        <f t="array" ref="Y174">IF(Y$78&gt;" ",(Y$628:Y$1078),"")</f>
        <v>0</v>
      </c>
      <c r="Z174" s="206">
        <f t="array" ref="Z174">IF(Z$78&gt;" ",(Z$628:Z$1078),"")</f>
        <v>0</v>
      </c>
      <c r="AA174" s="206">
        <f t="array" ref="AA174">IF(AA$78&gt;" ",(AA$628:AA$1078),"")</f>
        <v>0</v>
      </c>
      <c r="AB174" s="210">
        <v>0</v>
      </c>
      <c r="AC174" s="204">
        <f t="shared" si="22"/>
        <v>0</v>
      </c>
      <c r="AD174" s="206">
        <f t="shared" si="23"/>
        <v>0</v>
      </c>
      <c r="AE174" s="206">
        <f t="shared" si="24"/>
        <v>0</v>
      </c>
      <c r="AF174" s="206">
        <f t="shared" si="25"/>
        <v>0</v>
      </c>
      <c r="AG174" s="206">
        <f t="shared" si="26"/>
        <v>0</v>
      </c>
      <c r="AH174" s="206">
        <f t="shared" si="27"/>
        <v>0</v>
      </c>
      <c r="AI174" s="206">
        <f t="shared" si="28"/>
        <v>0</v>
      </c>
      <c r="AJ174" s="206">
        <f t="shared" si="29"/>
        <v>0</v>
      </c>
      <c r="AK174" s="206">
        <f t="shared" si="30"/>
        <v>0</v>
      </c>
      <c r="AL174" s="206">
        <f t="shared" si="31"/>
        <v>0</v>
      </c>
      <c r="AM174" s="214">
        <f t="shared" si="32"/>
        <v>0</v>
      </c>
      <c r="AN174" s="4"/>
      <c r="AO174" s="167">
        <v>2030</v>
      </c>
      <c r="AP174" s="215">
        <v>5.2711904962925952E-4</v>
      </c>
      <c r="AQ174" s="190">
        <v>3.6041326867891757E-4</v>
      </c>
      <c r="AR174" s="190">
        <v>4.2668547556801243E-4</v>
      </c>
      <c r="AS174" s="170">
        <v>4.6707571782942108E-4</v>
      </c>
      <c r="AU174" s="216">
        <v>96.790243924065564</v>
      </c>
      <c r="AV174" s="217">
        <v>96.769377807973441</v>
      </c>
      <c r="AW174" s="217">
        <v>93.38479968906141</v>
      </c>
      <c r="AX174" s="217">
        <v>93.5118072085249</v>
      </c>
      <c r="AY174" s="217"/>
      <c r="AZ174" s="218">
        <v>0</v>
      </c>
      <c r="BA174" s="8"/>
      <c r="BB174" s="219"/>
      <c r="BC174" s="220"/>
    </row>
    <row r="175" spans="15:55" x14ac:dyDescent="0.25">
      <c r="O175" s="195">
        <v>2025</v>
      </c>
      <c r="P175" s="202">
        <f t="shared" si="33"/>
        <v>0</v>
      </c>
      <c r="Q175" s="203">
        <f t="shared" si="33"/>
        <v>0</v>
      </c>
      <c r="R175" s="157">
        <f ca="1"/>
        <v>96.777755041911846</v>
      </c>
      <c r="T175" s="204">
        <v>0</v>
      </c>
      <c r="U175" s="206">
        <v>0</v>
      </c>
      <c r="V175" s="206">
        <v>0</v>
      </c>
      <c r="W175" s="206">
        <v>0</v>
      </c>
      <c r="X175" s="206">
        <f t="array" ref="X175">IF(X$78&gt;" ",(X$628:X$1078),"")</f>
        <v>0</v>
      </c>
      <c r="Y175" s="206">
        <f t="array" ref="Y175">IF(Y$78&gt;" ",(Y$628:Y$1078),"")</f>
        <v>0</v>
      </c>
      <c r="Z175" s="206">
        <f t="array" ref="Z175">IF(Z$78&gt;" ",(Z$628:Z$1078),"")</f>
        <v>0</v>
      </c>
      <c r="AA175" s="206">
        <f t="array" ref="AA175">IF(AA$78&gt;" ",(AA$628:AA$1078),"")</f>
        <v>0</v>
      </c>
      <c r="AB175" s="210">
        <v>0</v>
      </c>
      <c r="AC175" s="204">
        <f t="shared" si="22"/>
        <v>0</v>
      </c>
      <c r="AD175" s="206">
        <f t="shared" si="23"/>
        <v>0</v>
      </c>
      <c r="AE175" s="206">
        <f t="shared" si="24"/>
        <v>0</v>
      </c>
      <c r="AF175" s="206">
        <f t="shared" si="25"/>
        <v>0</v>
      </c>
      <c r="AG175" s="206">
        <f t="shared" si="26"/>
        <v>0</v>
      </c>
      <c r="AH175" s="206">
        <f t="shared" si="27"/>
        <v>0</v>
      </c>
      <c r="AI175" s="206">
        <f t="shared" si="28"/>
        <v>0</v>
      </c>
      <c r="AJ175" s="206">
        <f t="shared" si="29"/>
        <v>0</v>
      </c>
      <c r="AK175" s="206">
        <f t="shared" si="30"/>
        <v>0</v>
      </c>
      <c r="AL175" s="206">
        <f t="shared" si="31"/>
        <v>0</v>
      </c>
      <c r="AM175" s="214">
        <f t="shared" si="32"/>
        <v>0</v>
      </c>
      <c r="AN175" s="4"/>
      <c r="AO175" s="167">
        <v>2025</v>
      </c>
      <c r="AP175" s="215">
        <v>4.5471367572354839E-4</v>
      </c>
      <c r="AQ175" s="190">
        <v>3.5076863201984374E-4</v>
      </c>
      <c r="AR175" s="190">
        <v>3.7214801601287596E-4</v>
      </c>
      <c r="AS175" s="170">
        <v>4.0730054718317072E-4</v>
      </c>
      <c r="AU175" s="216">
        <v>96.797690882418621</v>
      </c>
      <c r="AV175" s="217">
        <v>96.777755041911846</v>
      </c>
      <c r="AW175" s="217">
        <v>93.417273244824798</v>
      </c>
      <c r="AX175" s="217">
        <v>93.538814301781073</v>
      </c>
      <c r="AY175" s="217"/>
      <c r="AZ175" s="218">
        <v>0</v>
      </c>
      <c r="BA175" s="8"/>
      <c r="BB175" s="219"/>
      <c r="BC175" s="220"/>
    </row>
    <row r="176" spans="15:55" x14ac:dyDescent="0.25">
      <c r="O176" s="195">
        <v>2020</v>
      </c>
      <c r="P176" s="202">
        <f t="shared" ref="P176:Q191" si="34">P724</f>
        <v>0</v>
      </c>
      <c r="Q176" s="203">
        <f t="shared" si="34"/>
        <v>0</v>
      </c>
      <c r="R176" s="157">
        <f ca="1"/>
        <v>96.782112039884211</v>
      </c>
      <c r="T176" s="204">
        <v>0</v>
      </c>
      <c r="U176" s="206">
        <v>0</v>
      </c>
      <c r="V176" s="206">
        <v>0</v>
      </c>
      <c r="W176" s="206">
        <v>0</v>
      </c>
      <c r="X176" s="206">
        <f t="array" ref="X176">IF(X$78&gt;" ",(X$628:X$1078),"")</f>
        <v>0</v>
      </c>
      <c r="Y176" s="206">
        <f t="array" ref="Y176">IF(Y$78&gt;" ",(Y$628:Y$1078),"")</f>
        <v>0</v>
      </c>
      <c r="Z176" s="206">
        <f t="array" ref="Z176">IF(Z$78&gt;" ",(Z$628:Z$1078),"")</f>
        <v>0</v>
      </c>
      <c r="AA176" s="206">
        <f t="array" ref="AA176">IF(AA$78&gt;" ",(AA$628:AA$1078),"")</f>
        <v>0</v>
      </c>
      <c r="AB176" s="210">
        <v>0</v>
      </c>
      <c r="AC176" s="204">
        <f t="shared" si="22"/>
        <v>0</v>
      </c>
      <c r="AD176" s="206">
        <f t="shared" si="23"/>
        <v>0</v>
      </c>
      <c r="AE176" s="206">
        <f t="shared" si="24"/>
        <v>0</v>
      </c>
      <c r="AF176" s="206">
        <f t="shared" si="25"/>
        <v>0</v>
      </c>
      <c r="AG176" s="206">
        <f t="shared" si="26"/>
        <v>0</v>
      </c>
      <c r="AH176" s="206">
        <f t="shared" si="27"/>
        <v>0</v>
      </c>
      <c r="AI176" s="206">
        <f t="shared" si="28"/>
        <v>0</v>
      </c>
      <c r="AJ176" s="206">
        <f t="shared" si="29"/>
        <v>0</v>
      </c>
      <c r="AK176" s="206">
        <f t="shared" si="30"/>
        <v>0</v>
      </c>
      <c r="AL176" s="206">
        <f t="shared" si="31"/>
        <v>0</v>
      </c>
      <c r="AM176" s="214">
        <f t="shared" si="32"/>
        <v>0</v>
      </c>
      <c r="AN176" s="4"/>
      <c r="AO176" s="167">
        <v>2020</v>
      </c>
      <c r="AP176" s="215">
        <v>3.8230830181783736E-4</v>
      </c>
      <c r="AQ176" s="190">
        <v>3.4112399536076991E-4</v>
      </c>
      <c r="AR176" s="190">
        <v>2.2618010955648119E-4</v>
      </c>
      <c r="AS176" s="170">
        <v>2.4757923174042367E-4</v>
      </c>
      <c r="AU176" s="216">
        <v>96.805265727646585</v>
      </c>
      <c r="AV176" s="217">
        <v>96.782112039884211</v>
      </c>
      <c r="AW176" s="217">
        <v>93.444197446275965</v>
      </c>
      <c r="AX176" s="217">
        <v>93.568420379720479</v>
      </c>
      <c r="AY176" s="217"/>
      <c r="AZ176" s="218">
        <v>0</v>
      </c>
      <c r="BA176" s="8"/>
      <c r="BB176" s="219"/>
      <c r="BC176" s="220"/>
    </row>
    <row r="177" spans="15:55" x14ac:dyDescent="0.25">
      <c r="O177" s="195">
        <v>2015</v>
      </c>
      <c r="P177" s="202">
        <f t="shared" si="34"/>
        <v>0</v>
      </c>
      <c r="Q177" s="203">
        <f t="shared" si="34"/>
        <v>0</v>
      </c>
      <c r="R177" s="157">
        <f ca="1"/>
        <v>96.793231245831166</v>
      </c>
      <c r="T177" s="204">
        <v>0</v>
      </c>
      <c r="U177" s="206">
        <v>0</v>
      </c>
      <c r="V177" s="206">
        <v>0</v>
      </c>
      <c r="W177" s="206">
        <v>0</v>
      </c>
      <c r="X177" s="206">
        <f t="array" ref="X177">IF(X$78&gt;" ",(X$628:X$1078),"")</f>
        <v>0</v>
      </c>
      <c r="Y177" s="206">
        <f t="array" ref="Y177">IF(Y$78&gt;" ",(Y$628:Y$1078),"")</f>
        <v>0</v>
      </c>
      <c r="Z177" s="206">
        <f t="array" ref="Z177">IF(Z$78&gt;" ",(Z$628:Z$1078),"")</f>
        <v>0</v>
      </c>
      <c r="AA177" s="206">
        <f t="array" ref="AA177">IF(AA$78&gt;" ",(AA$628:AA$1078),"")</f>
        <v>0</v>
      </c>
      <c r="AB177" s="210">
        <v>0</v>
      </c>
      <c r="AC177" s="204">
        <f t="shared" si="22"/>
        <v>0</v>
      </c>
      <c r="AD177" s="206">
        <f t="shared" si="23"/>
        <v>0</v>
      </c>
      <c r="AE177" s="206">
        <f t="shared" si="24"/>
        <v>0</v>
      </c>
      <c r="AF177" s="206">
        <f t="shared" si="25"/>
        <v>0</v>
      </c>
      <c r="AG177" s="206">
        <f t="shared" si="26"/>
        <v>0</v>
      </c>
      <c r="AH177" s="206">
        <f t="shared" si="27"/>
        <v>0</v>
      </c>
      <c r="AI177" s="206">
        <f t="shared" si="28"/>
        <v>0</v>
      </c>
      <c r="AJ177" s="206">
        <f t="shared" si="29"/>
        <v>0</v>
      </c>
      <c r="AK177" s="206">
        <f t="shared" si="30"/>
        <v>0</v>
      </c>
      <c r="AL177" s="206">
        <f t="shared" si="31"/>
        <v>0</v>
      </c>
      <c r="AM177" s="214">
        <f t="shared" si="32"/>
        <v>0</v>
      </c>
      <c r="AN177" s="4"/>
      <c r="AO177" s="167">
        <v>2015</v>
      </c>
      <c r="AP177" s="215">
        <v>3.0996899120948557E-4</v>
      </c>
      <c r="AQ177" s="190">
        <v>3.3147935870169603E-4</v>
      </c>
      <c r="AR177" s="190">
        <v>1.33995410494678E-4</v>
      </c>
      <c r="AS177" s="170">
        <v>1.4667050578568734E-4</v>
      </c>
      <c r="AU177" s="216">
        <v>96.812394313798563</v>
      </c>
      <c r="AV177" s="217">
        <v>96.793231245831166</v>
      </c>
      <c r="AW177" s="217">
        <v>93.46479216609066</v>
      </c>
      <c r="AX177" s="217">
        <v>93.594378283023275</v>
      </c>
      <c r="AY177" s="217"/>
      <c r="AZ177" s="218">
        <v>0</v>
      </c>
      <c r="BA177" s="8"/>
      <c r="BB177" s="219"/>
      <c r="BC177" s="220"/>
    </row>
    <row r="178" spans="15:55" x14ac:dyDescent="0.25">
      <c r="O178" s="195">
        <v>2010</v>
      </c>
      <c r="P178" s="202">
        <f t="shared" si="34"/>
        <v>0</v>
      </c>
      <c r="Q178" s="203">
        <f t="shared" si="34"/>
        <v>0</v>
      </c>
      <c r="R178" s="157">
        <f ca="1"/>
        <v>96.802119080783157</v>
      </c>
      <c r="T178" s="204">
        <v>0</v>
      </c>
      <c r="U178" s="206">
        <v>0</v>
      </c>
      <c r="V178" s="206">
        <v>0</v>
      </c>
      <c r="W178" s="206">
        <v>0</v>
      </c>
      <c r="X178" s="206">
        <f t="array" ref="X178">IF(X$78&gt;" ",(X$628:X$1078),"")</f>
        <v>0</v>
      </c>
      <c r="Y178" s="206">
        <f t="array" ref="Y178">IF(Y$78&gt;" ",(Y$628:Y$1078),"")</f>
        <v>0</v>
      </c>
      <c r="Z178" s="206">
        <f t="array" ref="Z178">IF(Z$78&gt;" ",(Z$628:Z$1078),"")</f>
        <v>0</v>
      </c>
      <c r="AA178" s="206">
        <f t="array" ref="AA178">IF(AA$78&gt;" ",(AA$628:AA$1078),"")</f>
        <v>0</v>
      </c>
      <c r="AB178" s="210">
        <v>0</v>
      </c>
      <c r="AC178" s="204">
        <f t="shared" si="22"/>
        <v>0</v>
      </c>
      <c r="AD178" s="206">
        <f t="shared" si="23"/>
        <v>0</v>
      </c>
      <c r="AE178" s="206">
        <f t="shared" si="24"/>
        <v>0</v>
      </c>
      <c r="AF178" s="206">
        <f t="shared" si="25"/>
        <v>0</v>
      </c>
      <c r="AG178" s="206">
        <f t="shared" si="26"/>
        <v>0</v>
      </c>
      <c r="AH178" s="206">
        <f t="shared" si="27"/>
        <v>0</v>
      </c>
      <c r="AI178" s="206">
        <f t="shared" si="28"/>
        <v>0</v>
      </c>
      <c r="AJ178" s="206">
        <f t="shared" si="29"/>
        <v>0</v>
      </c>
      <c r="AK178" s="206">
        <f t="shared" si="30"/>
        <v>0</v>
      </c>
      <c r="AL178" s="206">
        <f t="shared" si="31"/>
        <v>0</v>
      </c>
      <c r="AM178" s="214">
        <f t="shared" si="32"/>
        <v>0</v>
      </c>
      <c r="AN178" s="4"/>
      <c r="AO178" s="167">
        <v>2010</v>
      </c>
      <c r="AP178" s="215">
        <v>2.3756361730377455E-4</v>
      </c>
      <c r="AQ178" s="190">
        <v>3.2183472204262221E-4</v>
      </c>
      <c r="AR178" s="190">
        <v>1.9986676584893653E-4</v>
      </c>
      <c r="AS178" s="170">
        <v>2.1865702577657931E-4</v>
      </c>
      <c r="AU178" s="216">
        <v>96.809348546680283</v>
      </c>
      <c r="AV178" s="217">
        <v>96.802119080783157</v>
      </c>
      <c r="AW178" s="217">
        <v>93.496157605899498</v>
      </c>
      <c r="AX178" s="217">
        <v>93.623585834333724</v>
      </c>
      <c r="AY178" s="217"/>
      <c r="AZ178" s="218">
        <v>0</v>
      </c>
      <c r="BA178" s="8"/>
      <c r="BB178" s="219"/>
      <c r="BC178" s="220"/>
    </row>
    <row r="179" spans="15:55" x14ac:dyDescent="0.25">
      <c r="O179" s="195">
        <v>2005</v>
      </c>
      <c r="P179" s="202">
        <f t="shared" si="34"/>
        <v>0</v>
      </c>
      <c r="Q179" s="203">
        <f t="shared" si="34"/>
        <v>0</v>
      </c>
      <c r="R179" s="157">
        <f ca="1"/>
        <v>96.810893536906406</v>
      </c>
      <c r="T179" s="204">
        <v>0</v>
      </c>
      <c r="U179" s="206">
        <v>0</v>
      </c>
      <c r="V179" s="206">
        <v>0</v>
      </c>
      <c r="W179" s="206">
        <v>0</v>
      </c>
      <c r="X179" s="206">
        <f t="array" ref="X179">IF(X$78&gt;" ",(X$628:X$1078),"")</f>
        <v>0</v>
      </c>
      <c r="Y179" s="206">
        <f t="array" ref="Y179">IF(Y$78&gt;" ",(Y$628:Y$1078),"")</f>
        <v>0</v>
      </c>
      <c r="Z179" s="206">
        <f t="array" ref="Z179">IF(Z$78&gt;" ",(Z$628:Z$1078),"")</f>
        <v>0</v>
      </c>
      <c r="AA179" s="206">
        <f t="array" ref="AA179">IF(AA$78&gt;" ",(AA$628:AA$1078),"")</f>
        <v>0</v>
      </c>
      <c r="AB179" s="210">
        <v>0</v>
      </c>
      <c r="AC179" s="204">
        <f t="shared" si="22"/>
        <v>0</v>
      </c>
      <c r="AD179" s="206">
        <f t="shared" si="23"/>
        <v>0</v>
      </c>
      <c r="AE179" s="206">
        <f t="shared" si="24"/>
        <v>0</v>
      </c>
      <c r="AF179" s="206">
        <f t="shared" si="25"/>
        <v>0</v>
      </c>
      <c r="AG179" s="206">
        <f t="shared" si="26"/>
        <v>0</v>
      </c>
      <c r="AH179" s="206">
        <f t="shared" si="27"/>
        <v>0</v>
      </c>
      <c r="AI179" s="206">
        <f t="shared" si="28"/>
        <v>0</v>
      </c>
      <c r="AJ179" s="206">
        <f t="shared" si="29"/>
        <v>0</v>
      </c>
      <c r="AK179" s="206">
        <f t="shared" si="30"/>
        <v>0</v>
      </c>
      <c r="AL179" s="206">
        <f t="shared" si="31"/>
        <v>0</v>
      </c>
      <c r="AM179" s="214">
        <f t="shared" si="32"/>
        <v>0</v>
      </c>
      <c r="AN179" s="4"/>
      <c r="AO179" s="167">
        <v>2005</v>
      </c>
      <c r="AP179" s="215">
        <v>1.651582433980635E-4</v>
      </c>
      <c r="AQ179" s="190">
        <v>3.1219008538354833E-4</v>
      </c>
      <c r="AR179" s="190">
        <v>7.5430244402231486E-5</v>
      </c>
      <c r="AS179" s="170">
        <v>8.2530141514863071E-5</v>
      </c>
      <c r="AU179" s="216">
        <v>96.822074533609168</v>
      </c>
      <c r="AV179" s="217">
        <v>96.810893536906406</v>
      </c>
      <c r="AW179" s="217">
        <v>93.522448536246188</v>
      </c>
      <c r="AX179" s="217">
        <v>93.656803195944974</v>
      </c>
      <c r="AY179" s="217"/>
      <c r="AZ179" s="218">
        <v>0</v>
      </c>
      <c r="BA179" s="8"/>
      <c r="BB179" s="219"/>
      <c r="BC179" s="220"/>
    </row>
    <row r="180" spans="15:55" x14ac:dyDescent="0.25">
      <c r="O180" s="195">
        <v>2000</v>
      </c>
      <c r="P180" s="202">
        <f t="shared" si="34"/>
        <v>0</v>
      </c>
      <c r="Q180" s="203">
        <f t="shared" si="34"/>
        <v>0</v>
      </c>
      <c r="R180" s="157">
        <f ca="1"/>
        <v>96.814030824305519</v>
      </c>
      <c r="T180" s="204">
        <v>0</v>
      </c>
      <c r="U180" s="206">
        <v>0</v>
      </c>
      <c r="V180" s="206">
        <v>0</v>
      </c>
      <c r="W180" s="206">
        <v>0</v>
      </c>
      <c r="X180" s="206">
        <f t="array" ref="X180">IF(X$78&gt;" ",(X$628:X$1078),"")</f>
        <v>0</v>
      </c>
      <c r="Y180" s="206">
        <f t="array" ref="Y180">IF(Y$78&gt;" ",(Y$628:Y$1078),"")</f>
        <v>0</v>
      </c>
      <c r="Z180" s="206">
        <f t="array" ref="Z180">IF(Z$78&gt;" ",(Z$628:Z$1078),"")</f>
        <v>0</v>
      </c>
      <c r="AA180" s="206">
        <f t="array" ref="AA180">IF(AA$78&gt;" ",(AA$628:AA$1078),"")</f>
        <v>0</v>
      </c>
      <c r="AB180" s="210">
        <v>0</v>
      </c>
      <c r="AC180" s="204">
        <f t="shared" si="22"/>
        <v>0</v>
      </c>
      <c r="AD180" s="206">
        <f t="shared" si="23"/>
        <v>0</v>
      </c>
      <c r="AE180" s="206">
        <f t="shared" si="24"/>
        <v>0</v>
      </c>
      <c r="AF180" s="206">
        <f t="shared" si="25"/>
        <v>0</v>
      </c>
      <c r="AG180" s="206">
        <f t="shared" si="26"/>
        <v>0</v>
      </c>
      <c r="AH180" s="206">
        <f t="shared" si="27"/>
        <v>0</v>
      </c>
      <c r="AI180" s="206">
        <f t="shared" si="28"/>
        <v>0</v>
      </c>
      <c r="AJ180" s="206">
        <f t="shared" si="29"/>
        <v>0</v>
      </c>
      <c r="AK180" s="206">
        <f t="shared" si="30"/>
        <v>0</v>
      </c>
      <c r="AL180" s="206">
        <f t="shared" si="31"/>
        <v>0</v>
      </c>
      <c r="AM180" s="214">
        <f t="shared" si="32"/>
        <v>0</v>
      </c>
      <c r="AN180" s="4"/>
      <c r="AO180" s="167">
        <v>2000</v>
      </c>
      <c r="AP180" s="215">
        <v>2.6405499954482392E-4</v>
      </c>
      <c r="AQ180" s="190">
        <v>3.0254544872447445E-4</v>
      </c>
      <c r="AR180" s="190">
        <v>1.918616362516862E-4</v>
      </c>
      <c r="AS180" s="170">
        <v>2.098147104857755E-4</v>
      </c>
      <c r="AU180" s="216">
        <v>96.836457767892284</v>
      </c>
      <c r="AV180" s="217">
        <v>96.814030824305519</v>
      </c>
      <c r="AW180" s="217">
        <v>93.557689891906932</v>
      </c>
      <c r="AX180" s="217">
        <v>93.693503168901216</v>
      </c>
      <c r="AY180" s="217"/>
      <c r="AZ180" s="218">
        <v>0</v>
      </c>
      <c r="BA180" s="8"/>
      <c r="BB180" s="219"/>
      <c r="BC180" s="220"/>
    </row>
    <row r="181" spans="15:55" x14ac:dyDescent="0.25">
      <c r="O181" s="195">
        <v>1995</v>
      </c>
      <c r="P181" s="202">
        <f t="shared" si="34"/>
        <v>0</v>
      </c>
      <c r="Q181" s="203">
        <f t="shared" si="34"/>
        <v>0</v>
      </c>
      <c r="R181" s="157">
        <f ca="1"/>
        <v>96.819230664944556</v>
      </c>
      <c r="T181" s="204">
        <v>0</v>
      </c>
      <c r="U181" s="206">
        <v>0</v>
      </c>
      <c r="V181" s="206">
        <v>0</v>
      </c>
      <c r="W181" s="206">
        <v>0</v>
      </c>
      <c r="X181" s="206">
        <f t="array" ref="X181">IF(X$78&gt;" ",(X$628:X$1078),"")</f>
        <v>0</v>
      </c>
      <c r="Y181" s="206">
        <f t="array" ref="Y181">IF(Y$78&gt;" ",(Y$628:Y$1078),"")</f>
        <v>0</v>
      </c>
      <c r="Z181" s="206">
        <f t="array" ref="Z181">IF(Z$78&gt;" ",(Z$628:Z$1078),"")</f>
        <v>0</v>
      </c>
      <c r="AA181" s="206">
        <f t="array" ref="AA181">IF(AA$78&gt;" ",(AA$628:AA$1078),"")</f>
        <v>0</v>
      </c>
      <c r="AB181" s="210">
        <v>0</v>
      </c>
      <c r="AC181" s="204">
        <f t="shared" si="22"/>
        <v>0</v>
      </c>
      <c r="AD181" s="206">
        <f t="shared" si="23"/>
        <v>0</v>
      </c>
      <c r="AE181" s="206">
        <f t="shared" si="24"/>
        <v>0</v>
      </c>
      <c r="AF181" s="206">
        <f t="shared" si="25"/>
        <v>0</v>
      </c>
      <c r="AG181" s="206">
        <f t="shared" si="26"/>
        <v>0</v>
      </c>
      <c r="AH181" s="206">
        <f t="shared" si="27"/>
        <v>0</v>
      </c>
      <c r="AI181" s="206">
        <f t="shared" si="28"/>
        <v>0</v>
      </c>
      <c r="AJ181" s="206">
        <f t="shared" si="29"/>
        <v>0</v>
      </c>
      <c r="AK181" s="206">
        <f t="shared" si="30"/>
        <v>0</v>
      </c>
      <c r="AL181" s="206">
        <f t="shared" si="31"/>
        <v>0</v>
      </c>
      <c r="AM181" s="214">
        <f t="shared" si="32"/>
        <v>0</v>
      </c>
      <c r="AN181" s="4"/>
      <c r="AO181" s="167">
        <v>1995</v>
      </c>
      <c r="AP181" s="215">
        <v>3.630178189889436E-4</v>
      </c>
      <c r="AQ181" s="190">
        <v>2.8316613211801591E-4</v>
      </c>
      <c r="AR181" s="190">
        <v>4.0825155276429396E-4</v>
      </c>
      <c r="AS181" s="170">
        <v>4.4652013297934352E-4</v>
      </c>
      <c r="AU181" s="216">
        <v>96.852771967760376</v>
      </c>
      <c r="AV181" s="217">
        <v>96.819230664944556</v>
      </c>
      <c r="AW181" s="217">
        <v>93.586188190019769</v>
      </c>
      <c r="AX181" s="217">
        <v>93.7164568823179</v>
      </c>
      <c r="AY181" s="217"/>
      <c r="AZ181" s="218">
        <v>0</v>
      </c>
      <c r="BA181" s="8"/>
      <c r="BB181" s="219"/>
      <c r="BC181" s="220"/>
    </row>
    <row r="182" spans="15:55" x14ac:dyDescent="0.25">
      <c r="O182" s="195">
        <v>1990</v>
      </c>
      <c r="P182" s="202">
        <f t="shared" si="34"/>
        <v>0</v>
      </c>
      <c r="Q182" s="203">
        <f t="shared" si="34"/>
        <v>0</v>
      </c>
      <c r="R182" s="157">
        <f ca="1"/>
        <v>96.833730217192169</v>
      </c>
      <c r="T182" s="204">
        <v>0</v>
      </c>
      <c r="U182" s="206">
        <v>0</v>
      </c>
      <c r="V182" s="206">
        <v>0</v>
      </c>
      <c r="W182" s="206">
        <v>0</v>
      </c>
      <c r="X182" s="206">
        <f t="array" ref="X182">IF(X$78&gt;" ",(X$628:X$1078),"")</f>
        <v>0</v>
      </c>
      <c r="Y182" s="206">
        <f t="array" ref="Y182">IF(Y$78&gt;" ",(Y$628:Y$1078),"")</f>
        <v>0</v>
      </c>
      <c r="Z182" s="206">
        <f t="array" ref="Z182">IF(Z$78&gt;" ",(Z$628:Z$1078),"")</f>
        <v>0</v>
      </c>
      <c r="AA182" s="206">
        <f t="array" ref="AA182">IF(AA$78&gt;" ",(AA$628:AA$1078),"")</f>
        <v>0</v>
      </c>
      <c r="AB182" s="210">
        <v>0</v>
      </c>
      <c r="AC182" s="204">
        <f t="shared" si="22"/>
        <v>0</v>
      </c>
      <c r="AD182" s="206">
        <f t="shared" si="23"/>
        <v>0</v>
      </c>
      <c r="AE182" s="206">
        <f t="shared" si="24"/>
        <v>0</v>
      </c>
      <c r="AF182" s="206">
        <f t="shared" si="25"/>
        <v>0</v>
      </c>
      <c r="AG182" s="206">
        <f t="shared" si="26"/>
        <v>0</v>
      </c>
      <c r="AH182" s="206">
        <f t="shared" si="27"/>
        <v>0</v>
      </c>
      <c r="AI182" s="206">
        <f t="shared" si="28"/>
        <v>0</v>
      </c>
      <c r="AJ182" s="206">
        <f t="shared" si="29"/>
        <v>0</v>
      </c>
      <c r="AK182" s="206">
        <f t="shared" si="30"/>
        <v>0</v>
      </c>
      <c r="AL182" s="206">
        <f t="shared" si="31"/>
        <v>0</v>
      </c>
      <c r="AM182" s="214">
        <f t="shared" si="32"/>
        <v>0</v>
      </c>
      <c r="AN182" s="4"/>
      <c r="AO182" s="167">
        <v>1990</v>
      </c>
      <c r="AP182" s="215">
        <v>4.6198063843306327E-4</v>
      </c>
      <c r="AQ182" s="190">
        <v>2.6378681551155733E-4</v>
      </c>
      <c r="AR182" s="190">
        <v>4.3049193480489589E-4</v>
      </c>
      <c r="AS182" s="170">
        <v>4.7079172881239176E-4</v>
      </c>
      <c r="AU182" s="216">
        <v>96.853436795380688</v>
      </c>
      <c r="AV182" s="217">
        <v>96.833730217192169</v>
      </c>
      <c r="AW182" s="217">
        <v>93.618246585189056</v>
      </c>
      <c r="AX182" s="217">
        <v>93.747713461319165</v>
      </c>
      <c r="AY182" s="217"/>
      <c r="AZ182" s="218">
        <v>0</v>
      </c>
      <c r="BA182" s="8"/>
      <c r="BB182" s="219"/>
      <c r="BC182" s="220"/>
    </row>
    <row r="183" spans="15:55" x14ac:dyDescent="0.25">
      <c r="O183" s="195">
        <v>1985</v>
      </c>
      <c r="P183" s="202">
        <f t="shared" si="34"/>
        <v>0</v>
      </c>
      <c r="Q183" s="203">
        <f t="shared" si="34"/>
        <v>0</v>
      </c>
      <c r="R183" s="157">
        <f ca="1"/>
        <v>96.852950298259756</v>
      </c>
      <c r="T183" s="204">
        <v>0</v>
      </c>
      <c r="U183" s="206">
        <v>0</v>
      </c>
      <c r="V183" s="206">
        <v>0</v>
      </c>
      <c r="W183" s="206">
        <v>0</v>
      </c>
      <c r="X183" s="206">
        <f t="array" ref="X183">IF(X$78&gt;" ",(X$628:X$1078),"")</f>
        <v>0</v>
      </c>
      <c r="Y183" s="206">
        <f t="array" ref="Y183">IF(Y$78&gt;" ",(Y$628:Y$1078),"")</f>
        <v>0</v>
      </c>
      <c r="Z183" s="206">
        <f t="array" ref="Z183">IF(Z$78&gt;" ",(Z$628:Z$1078),"")</f>
        <v>0</v>
      </c>
      <c r="AA183" s="206">
        <f t="array" ref="AA183">IF(AA$78&gt;" ",(AA$628:AA$1078),"")</f>
        <v>0</v>
      </c>
      <c r="AB183" s="210">
        <v>0</v>
      </c>
      <c r="AC183" s="204">
        <f t="shared" si="22"/>
        <v>0</v>
      </c>
      <c r="AD183" s="206">
        <f t="shared" si="23"/>
        <v>0</v>
      </c>
      <c r="AE183" s="206">
        <f t="shared" si="24"/>
        <v>0</v>
      </c>
      <c r="AF183" s="206">
        <f t="shared" si="25"/>
        <v>0</v>
      </c>
      <c r="AG183" s="206">
        <f t="shared" si="26"/>
        <v>0</v>
      </c>
      <c r="AH183" s="206">
        <f t="shared" si="27"/>
        <v>0</v>
      </c>
      <c r="AI183" s="206">
        <f t="shared" si="28"/>
        <v>0</v>
      </c>
      <c r="AJ183" s="206">
        <f t="shared" si="29"/>
        <v>0</v>
      </c>
      <c r="AK183" s="206">
        <f t="shared" si="30"/>
        <v>0</v>
      </c>
      <c r="AL183" s="206">
        <f t="shared" si="31"/>
        <v>0</v>
      </c>
      <c r="AM183" s="214">
        <f t="shared" si="32"/>
        <v>0</v>
      </c>
      <c r="AN183" s="4"/>
      <c r="AO183" s="167">
        <v>1985</v>
      </c>
      <c r="AP183" s="215">
        <v>5.6087739457982367E-4</v>
      </c>
      <c r="AQ183" s="190">
        <v>2.4440749890509875E-4</v>
      </c>
      <c r="AR183" s="190">
        <v>4.1766964807563186E-4</v>
      </c>
      <c r="AS183" s="170">
        <v>4.5680632000750653E-4</v>
      </c>
      <c r="AU183" s="216">
        <v>96.863581392091135</v>
      </c>
      <c r="AV183" s="217">
        <v>96.852950298259756</v>
      </c>
      <c r="AW183" s="217">
        <v>93.661588346244727</v>
      </c>
      <c r="AX183" s="217">
        <v>93.794620060533546</v>
      </c>
      <c r="AY183" s="217"/>
      <c r="AZ183" s="218">
        <v>0</v>
      </c>
      <c r="BA183" s="8"/>
      <c r="BB183" s="219"/>
      <c r="BC183" s="220"/>
    </row>
    <row r="184" spans="15:55" x14ac:dyDescent="0.25">
      <c r="O184" s="195">
        <v>1980</v>
      </c>
      <c r="P184" s="202">
        <f t="shared" si="34"/>
        <v>0</v>
      </c>
      <c r="Q184" s="203">
        <f t="shared" si="34"/>
        <v>0</v>
      </c>
      <c r="R184" s="157">
        <f ca="1"/>
        <v>96.867361747812879</v>
      </c>
      <c r="T184" s="204">
        <v>0</v>
      </c>
      <c r="U184" s="206">
        <v>0</v>
      </c>
      <c r="V184" s="206">
        <v>0</v>
      </c>
      <c r="W184" s="206">
        <v>0</v>
      </c>
      <c r="X184" s="206">
        <f t="array" ref="X184">IF(X$78&gt;" ",(X$628:X$1078),"")</f>
        <v>0</v>
      </c>
      <c r="Y184" s="206">
        <f t="array" ref="Y184">IF(Y$78&gt;" ",(Y$628:Y$1078),"")</f>
        <v>0</v>
      </c>
      <c r="Z184" s="206">
        <f t="array" ref="Z184">IF(Z$78&gt;" ",(Z$628:Z$1078),"")</f>
        <v>0</v>
      </c>
      <c r="AA184" s="206">
        <f t="array" ref="AA184">IF(AA$78&gt;" ",(AA$628:AA$1078),"")</f>
        <v>0</v>
      </c>
      <c r="AB184" s="210">
        <v>0</v>
      </c>
      <c r="AC184" s="204">
        <f t="shared" si="22"/>
        <v>0</v>
      </c>
      <c r="AD184" s="206">
        <f t="shared" si="23"/>
        <v>0</v>
      </c>
      <c r="AE184" s="206">
        <f t="shared" si="24"/>
        <v>0</v>
      </c>
      <c r="AF184" s="206">
        <f t="shared" si="25"/>
        <v>0</v>
      </c>
      <c r="AG184" s="206">
        <f t="shared" si="26"/>
        <v>0</v>
      </c>
      <c r="AH184" s="206">
        <f t="shared" si="27"/>
        <v>0</v>
      </c>
      <c r="AI184" s="206">
        <f t="shared" si="28"/>
        <v>0</v>
      </c>
      <c r="AJ184" s="206">
        <f t="shared" si="29"/>
        <v>0</v>
      </c>
      <c r="AK184" s="206">
        <f t="shared" si="30"/>
        <v>0</v>
      </c>
      <c r="AL184" s="206">
        <f t="shared" si="31"/>
        <v>0</v>
      </c>
      <c r="AM184" s="214">
        <f t="shared" si="32"/>
        <v>0</v>
      </c>
      <c r="AN184" s="4"/>
      <c r="AO184" s="167">
        <v>1980</v>
      </c>
      <c r="AP184" s="215">
        <v>4.7189013303694706E-4</v>
      </c>
      <c r="AQ184" s="190">
        <v>2.2502818229864021E-4</v>
      </c>
      <c r="AR184" s="190">
        <v>3.797005943137993E-4</v>
      </c>
      <c r="AS184" s="170">
        <v>4.1544331221362614E-4</v>
      </c>
      <c r="AU184" s="216">
        <v>96.869933627882219</v>
      </c>
      <c r="AV184" s="217">
        <v>96.867361747812879</v>
      </c>
      <c r="AW184" s="217">
        <v>93.688747119259119</v>
      </c>
      <c r="AX184" s="217">
        <v>93.826008742400234</v>
      </c>
      <c r="AY184" s="217"/>
      <c r="AZ184" s="218">
        <v>0</v>
      </c>
      <c r="BA184" s="8"/>
      <c r="BB184" s="219"/>
      <c r="BC184" s="220"/>
    </row>
    <row r="185" spans="15:55" x14ac:dyDescent="0.25">
      <c r="O185" s="195">
        <v>1975</v>
      </c>
      <c r="P185" s="202">
        <f t="shared" si="34"/>
        <v>0</v>
      </c>
      <c r="Q185" s="203">
        <f t="shared" si="34"/>
        <v>0</v>
      </c>
      <c r="R185" s="157">
        <f ca="1"/>
        <v>96.870166239104378</v>
      </c>
      <c r="T185" s="204">
        <v>0</v>
      </c>
      <c r="U185" s="206">
        <v>0</v>
      </c>
      <c r="V185" s="206">
        <v>0</v>
      </c>
      <c r="W185" s="206">
        <v>0</v>
      </c>
      <c r="X185" s="206">
        <f t="array" ref="X185">IF(X$78&gt;" ",(X$628:X$1078),"")</f>
        <v>0</v>
      </c>
      <c r="Y185" s="206">
        <f t="array" ref="Y185">IF(Y$78&gt;" ",(Y$628:Y$1078),"")</f>
        <v>0</v>
      </c>
      <c r="Z185" s="206">
        <f t="array" ref="Z185">IF(Z$78&gt;" ",(Z$628:Z$1078),"")</f>
        <v>0</v>
      </c>
      <c r="AA185" s="206">
        <f t="array" ref="AA185">IF(AA$78&gt;" ",(AA$628:AA$1078),"")</f>
        <v>0</v>
      </c>
      <c r="AB185" s="210">
        <v>0</v>
      </c>
      <c r="AC185" s="204">
        <f t="shared" si="22"/>
        <v>0</v>
      </c>
      <c r="AD185" s="206">
        <f t="shared" si="23"/>
        <v>0</v>
      </c>
      <c r="AE185" s="206">
        <f t="shared" si="24"/>
        <v>0</v>
      </c>
      <c r="AF185" s="206">
        <f t="shared" si="25"/>
        <v>0</v>
      </c>
      <c r="AG185" s="206">
        <f t="shared" si="26"/>
        <v>0</v>
      </c>
      <c r="AH185" s="206">
        <f t="shared" si="27"/>
        <v>0</v>
      </c>
      <c r="AI185" s="206">
        <f t="shared" si="28"/>
        <v>0</v>
      </c>
      <c r="AJ185" s="206">
        <f t="shared" si="29"/>
        <v>0</v>
      </c>
      <c r="AK185" s="206">
        <f t="shared" si="30"/>
        <v>0</v>
      </c>
      <c r="AL185" s="206">
        <f t="shared" si="31"/>
        <v>0</v>
      </c>
      <c r="AM185" s="214">
        <f t="shared" si="32"/>
        <v>0</v>
      </c>
      <c r="AN185" s="4"/>
      <c r="AO185" s="167">
        <v>1975</v>
      </c>
      <c r="AP185" s="215">
        <v>3.8290287149407039E-4</v>
      </c>
      <c r="AQ185" s="190">
        <v>2.0564886569218163E-4</v>
      </c>
      <c r="AR185" s="190">
        <v>3.4120859238732226E-4</v>
      </c>
      <c r="AS185" s="170">
        <v>3.734479109843909E-4</v>
      </c>
      <c r="AU185" s="216">
        <v>96.886519027599846</v>
      </c>
      <c r="AV185" s="217">
        <v>96.870166239104378</v>
      </c>
      <c r="AW185" s="217">
        <v>93.734522628165891</v>
      </c>
      <c r="AX185" s="217">
        <v>93.8721680913158</v>
      </c>
      <c r="AY185" s="217"/>
      <c r="AZ185" s="218">
        <v>0</v>
      </c>
      <c r="BA185" s="8"/>
      <c r="BB185" s="219"/>
      <c r="BC185" s="220"/>
    </row>
    <row r="186" spans="15:55" x14ac:dyDescent="0.25">
      <c r="O186" s="195">
        <v>1970</v>
      </c>
      <c r="P186" s="202">
        <f t="shared" si="34"/>
        <v>0</v>
      </c>
      <c r="Q186" s="203">
        <f t="shared" si="34"/>
        <v>0</v>
      </c>
      <c r="R186" s="157">
        <f ca="1"/>
        <v>96.883213547954526</v>
      </c>
      <c r="T186" s="204">
        <v>0</v>
      </c>
      <c r="U186" s="206">
        <v>0</v>
      </c>
      <c r="V186" s="206">
        <v>0</v>
      </c>
      <c r="W186" s="206">
        <v>0</v>
      </c>
      <c r="X186" s="206">
        <f t="array" ref="X186">IF(X$78&gt;" ",(X$628:X$1078),"")</f>
        <v>0</v>
      </c>
      <c r="Y186" s="206">
        <f t="array" ref="Y186">IF(Y$78&gt;" ",(Y$628:Y$1078),"")</f>
        <v>0</v>
      </c>
      <c r="Z186" s="206">
        <f t="array" ref="Z186">IF(Z$78&gt;" ",(Z$628:Z$1078),"")</f>
        <v>0</v>
      </c>
      <c r="AA186" s="206">
        <f t="array" ref="AA186">IF(AA$78&gt;" ",(AA$628:AA$1078),"")</f>
        <v>0</v>
      </c>
      <c r="AB186" s="210">
        <v>0</v>
      </c>
      <c r="AC186" s="204">
        <f t="shared" si="22"/>
        <v>0</v>
      </c>
      <c r="AD186" s="206">
        <f t="shared" si="23"/>
        <v>0</v>
      </c>
      <c r="AE186" s="206">
        <f t="shared" si="24"/>
        <v>0</v>
      </c>
      <c r="AF186" s="206">
        <f t="shared" si="25"/>
        <v>0</v>
      </c>
      <c r="AG186" s="206">
        <f t="shared" si="26"/>
        <v>0</v>
      </c>
      <c r="AH186" s="206">
        <f t="shared" si="27"/>
        <v>0</v>
      </c>
      <c r="AI186" s="206">
        <f t="shared" si="28"/>
        <v>0</v>
      </c>
      <c r="AJ186" s="206">
        <f t="shared" si="29"/>
        <v>0</v>
      </c>
      <c r="AK186" s="206">
        <f t="shared" si="30"/>
        <v>0</v>
      </c>
      <c r="AL186" s="206">
        <f t="shared" si="31"/>
        <v>0</v>
      </c>
      <c r="AM186" s="214">
        <f t="shared" si="32"/>
        <v>0</v>
      </c>
      <c r="AN186" s="4"/>
      <c r="AO186" s="167">
        <v>1970</v>
      </c>
      <c r="AP186" s="215">
        <v>2.9391560995119378E-4</v>
      </c>
      <c r="AQ186" s="190">
        <v>1.8626954908572304E-4</v>
      </c>
      <c r="AR186" s="190">
        <v>2.456197019075929E-4</v>
      </c>
      <c r="AS186" s="170">
        <v>2.6893510208833961E-4</v>
      </c>
      <c r="AU186" s="216">
        <v>96.896577822429848</v>
      </c>
      <c r="AV186" s="217">
        <v>96.883213547954526</v>
      </c>
      <c r="AW186" s="217">
        <v>93.775715077169693</v>
      </c>
      <c r="AX186" s="217">
        <v>93.910782108191356</v>
      </c>
      <c r="AY186" s="217"/>
      <c r="AZ186" s="218">
        <v>0</v>
      </c>
      <c r="BA186" s="8"/>
      <c r="BB186" s="219"/>
      <c r="BC186" s="220"/>
    </row>
    <row r="187" spans="15:55" x14ac:dyDescent="0.25">
      <c r="O187" s="195">
        <v>1965</v>
      </c>
      <c r="P187" s="202">
        <f t="shared" si="34"/>
        <v>0</v>
      </c>
      <c r="Q187" s="203">
        <f t="shared" si="34"/>
        <v>0</v>
      </c>
      <c r="R187" s="157">
        <f ca="1"/>
        <v>96.895344139439558</v>
      </c>
      <c r="T187" s="204">
        <v>0</v>
      </c>
      <c r="U187" s="206">
        <v>0</v>
      </c>
      <c r="V187" s="206">
        <v>0</v>
      </c>
      <c r="W187" s="206">
        <v>0</v>
      </c>
      <c r="X187" s="206">
        <f t="array" ref="X187">IF(X$78&gt;" ",(X$628:X$1078),"")</f>
        <v>0</v>
      </c>
      <c r="Y187" s="206">
        <f t="array" ref="Y187">IF(Y$78&gt;" ",(Y$628:Y$1078),"")</f>
        <v>0</v>
      </c>
      <c r="Z187" s="206">
        <f t="array" ref="Z187">IF(Z$78&gt;" ",(Z$628:Z$1078),"")</f>
        <v>0</v>
      </c>
      <c r="AA187" s="206">
        <f t="array" ref="AA187">IF(AA$78&gt;" ",(AA$628:AA$1078),"")</f>
        <v>0</v>
      </c>
      <c r="AB187" s="210">
        <v>0</v>
      </c>
      <c r="AC187" s="204">
        <f t="shared" si="22"/>
        <v>0</v>
      </c>
      <c r="AD187" s="206">
        <f t="shared" si="23"/>
        <v>0</v>
      </c>
      <c r="AE187" s="206">
        <f t="shared" si="24"/>
        <v>0</v>
      </c>
      <c r="AF187" s="206">
        <f t="shared" si="25"/>
        <v>0</v>
      </c>
      <c r="AG187" s="206">
        <f t="shared" si="26"/>
        <v>0</v>
      </c>
      <c r="AH187" s="206">
        <f t="shared" si="27"/>
        <v>0</v>
      </c>
      <c r="AI187" s="206">
        <f t="shared" si="28"/>
        <v>0</v>
      </c>
      <c r="AJ187" s="206">
        <f t="shared" si="29"/>
        <v>0</v>
      </c>
      <c r="AK187" s="206">
        <f t="shared" si="30"/>
        <v>0</v>
      </c>
      <c r="AL187" s="206">
        <f t="shared" si="31"/>
        <v>0</v>
      </c>
      <c r="AM187" s="214">
        <f t="shared" si="32"/>
        <v>0</v>
      </c>
      <c r="AN187" s="4"/>
      <c r="AO187" s="167">
        <v>1965</v>
      </c>
      <c r="AP187" s="215">
        <v>2.0492834840831717E-4</v>
      </c>
      <c r="AQ187" s="190">
        <v>1.6689023247926451E-4</v>
      </c>
      <c r="AR187" s="190">
        <v>1.4362469641096846E-4</v>
      </c>
      <c r="AS187" s="170">
        <v>1.5733724815547977E-4</v>
      </c>
      <c r="AU187" s="216">
        <v>96.904149352593365</v>
      </c>
      <c r="AV187" s="217">
        <v>96.895344139439558</v>
      </c>
      <c r="AW187" s="217">
        <v>93.816338390662153</v>
      </c>
      <c r="AX187" s="217">
        <v>93.954184044779467</v>
      </c>
      <c r="AY187" s="217"/>
      <c r="AZ187" s="218">
        <v>0</v>
      </c>
      <c r="BA187" s="8"/>
      <c r="BB187" s="219"/>
      <c r="BC187" s="220"/>
    </row>
    <row r="188" spans="15:55" x14ac:dyDescent="0.25">
      <c r="O188" s="195">
        <v>1960</v>
      </c>
      <c r="P188" s="202">
        <f t="shared" si="34"/>
        <v>0</v>
      </c>
      <c r="Q188" s="203">
        <f t="shared" si="34"/>
        <v>0</v>
      </c>
      <c r="R188" s="157">
        <f ca="1"/>
        <v>96.909033704419173</v>
      </c>
      <c r="T188" s="204">
        <v>0</v>
      </c>
      <c r="U188" s="206">
        <v>0</v>
      </c>
      <c r="V188" s="206">
        <v>0</v>
      </c>
      <c r="W188" s="206">
        <v>0</v>
      </c>
      <c r="X188" s="206">
        <f t="array" ref="X188">IF(X$78&gt;" ",(X$628:X$1078),"")</f>
        <v>0</v>
      </c>
      <c r="Y188" s="206">
        <f t="array" ref="Y188">IF(Y$78&gt;" ",(Y$628:Y$1078),"")</f>
        <v>0</v>
      </c>
      <c r="Z188" s="206">
        <f t="array" ref="Z188">IF(Z$78&gt;" ",(Z$628:Z$1078),"")</f>
        <v>0</v>
      </c>
      <c r="AA188" s="206">
        <f t="array" ref="AA188">IF(AA$78&gt;" ",(AA$628:AA$1078),"")</f>
        <v>0</v>
      </c>
      <c r="AB188" s="210">
        <v>0</v>
      </c>
      <c r="AC188" s="204">
        <f t="shared" si="22"/>
        <v>0</v>
      </c>
      <c r="AD188" s="206">
        <f t="shared" si="23"/>
        <v>0</v>
      </c>
      <c r="AE188" s="206">
        <f t="shared" si="24"/>
        <v>0</v>
      </c>
      <c r="AF188" s="206">
        <f t="shared" si="25"/>
        <v>0</v>
      </c>
      <c r="AG188" s="206">
        <f t="shared" si="26"/>
        <v>0</v>
      </c>
      <c r="AH188" s="206">
        <f t="shared" si="27"/>
        <v>0</v>
      </c>
      <c r="AI188" s="206">
        <f t="shared" si="28"/>
        <v>0</v>
      </c>
      <c r="AJ188" s="206">
        <f t="shared" si="29"/>
        <v>0</v>
      </c>
      <c r="AK188" s="206">
        <f t="shared" si="30"/>
        <v>0</v>
      </c>
      <c r="AL188" s="206">
        <f t="shared" si="31"/>
        <v>0</v>
      </c>
      <c r="AM188" s="214">
        <f t="shared" si="32"/>
        <v>0</v>
      </c>
      <c r="AN188" s="4"/>
      <c r="AO188" s="167">
        <v>1960</v>
      </c>
      <c r="AP188" s="215">
        <v>1.2776641709274191E-4</v>
      </c>
      <c r="AQ188" s="190">
        <v>1.4751091587280593E-4</v>
      </c>
      <c r="AR188" s="190">
        <v>1.1015098552598379E-4</v>
      </c>
      <c r="AS188" s="170">
        <v>1.2070879652363746E-4</v>
      </c>
      <c r="AU188" s="216">
        <v>96.922235035881954</v>
      </c>
      <c r="AV188" s="217">
        <v>96.909033704419173</v>
      </c>
      <c r="AW188" s="217">
        <v>93.849946892887075</v>
      </c>
      <c r="AX188" s="217">
        <v>93.989626247061267</v>
      </c>
      <c r="AY188" s="217"/>
      <c r="AZ188" s="218">
        <v>0</v>
      </c>
      <c r="BA188" s="8"/>
      <c r="BB188" s="219"/>
      <c r="BC188" s="220"/>
    </row>
    <row r="189" spans="15:55" x14ac:dyDescent="0.25">
      <c r="O189" s="195">
        <v>1955</v>
      </c>
      <c r="P189" s="202">
        <f t="shared" si="34"/>
        <v>0</v>
      </c>
      <c r="Q189" s="203">
        <f t="shared" si="34"/>
        <v>0</v>
      </c>
      <c r="R189" s="157">
        <f ca="1"/>
        <v>96.920444638168973</v>
      </c>
      <c r="T189" s="204">
        <v>0</v>
      </c>
      <c r="U189" s="206">
        <v>0</v>
      </c>
      <c r="V189" s="206">
        <v>0</v>
      </c>
      <c r="W189" s="206">
        <v>0</v>
      </c>
      <c r="X189" s="206">
        <f t="array" ref="X189">IF(X$78&gt;" ",(X$628:X$1078),"")</f>
        <v>0</v>
      </c>
      <c r="Y189" s="206">
        <f t="array" ref="Y189">IF(Y$78&gt;" ",(Y$628:Y$1078),"")</f>
        <v>0</v>
      </c>
      <c r="Z189" s="206">
        <f t="array" ref="Z189">IF(Z$78&gt;" ",(Z$628:Z$1078),"")</f>
        <v>0</v>
      </c>
      <c r="AA189" s="206">
        <f t="array" ref="AA189">IF(AA$78&gt;" ",(AA$628:AA$1078),"")</f>
        <v>0</v>
      </c>
      <c r="AB189" s="210">
        <v>0</v>
      </c>
      <c r="AC189" s="204">
        <f t="shared" si="22"/>
        <v>0</v>
      </c>
      <c r="AD189" s="206">
        <f t="shared" si="23"/>
        <v>0</v>
      </c>
      <c r="AE189" s="206">
        <f t="shared" si="24"/>
        <v>0</v>
      </c>
      <c r="AF189" s="206">
        <f t="shared" si="25"/>
        <v>0</v>
      </c>
      <c r="AG189" s="206">
        <f t="shared" si="26"/>
        <v>0</v>
      </c>
      <c r="AH189" s="206">
        <f t="shared" si="27"/>
        <v>0</v>
      </c>
      <c r="AI189" s="206">
        <f t="shared" si="28"/>
        <v>0</v>
      </c>
      <c r="AJ189" s="206">
        <f t="shared" si="29"/>
        <v>0</v>
      </c>
      <c r="AK189" s="206">
        <f t="shared" si="30"/>
        <v>0</v>
      </c>
      <c r="AL189" s="206">
        <f t="shared" si="31"/>
        <v>0</v>
      </c>
      <c r="AM189" s="214">
        <f t="shared" si="32"/>
        <v>0</v>
      </c>
      <c r="AN189" s="4"/>
      <c r="AO189" s="167">
        <v>1955</v>
      </c>
      <c r="AP189" s="215">
        <v>1.1270398529483852E-4</v>
      </c>
      <c r="AQ189" s="190">
        <v>1.2813159926634737E-4</v>
      </c>
      <c r="AR189" s="190">
        <v>5.0464497888193798E-5</v>
      </c>
      <c r="AS189" s="170">
        <v>5.5326030990434413E-5</v>
      </c>
      <c r="AU189" s="216">
        <v>96.944246045657849</v>
      </c>
      <c r="AV189" s="217">
        <v>96.920444638168973</v>
      </c>
      <c r="AW189" s="217">
        <v>93.892216399455492</v>
      </c>
      <c r="AX189" s="217">
        <v>94.025419326099055</v>
      </c>
      <c r="AY189" s="217"/>
      <c r="AZ189" s="218">
        <v>0</v>
      </c>
      <c r="BA189" s="8"/>
      <c r="BB189" s="219"/>
      <c r="BC189" s="220"/>
    </row>
    <row r="190" spans="15:55" x14ac:dyDescent="0.25">
      <c r="O190" s="195">
        <v>1950</v>
      </c>
      <c r="P190" s="202">
        <f t="shared" si="34"/>
        <v>0</v>
      </c>
      <c r="Q190" s="203">
        <f t="shared" si="34"/>
        <v>0</v>
      </c>
      <c r="R190" s="157">
        <f ca="1"/>
        <v>96.93850649623802</v>
      </c>
      <c r="T190" s="204">
        <v>0</v>
      </c>
      <c r="U190" s="206">
        <v>0</v>
      </c>
      <c r="V190" s="206">
        <v>0</v>
      </c>
      <c r="W190" s="206">
        <v>0</v>
      </c>
      <c r="X190" s="206">
        <f t="array" ref="X190">IF(X$78&gt;" ",(X$628:X$1078),"")</f>
        <v>0</v>
      </c>
      <c r="Y190" s="206">
        <f t="array" ref="Y190">IF(Y$78&gt;" ",(Y$628:Y$1078),"")</f>
        <v>0</v>
      </c>
      <c r="Z190" s="206">
        <f t="array" ref="Z190">IF(Z$78&gt;" ",(Z$628:Z$1078),"")</f>
        <v>0</v>
      </c>
      <c r="AA190" s="206">
        <f t="array" ref="AA190">IF(AA$78&gt;" ",(AA$628:AA$1078),"")</f>
        <v>0</v>
      </c>
      <c r="AB190" s="210">
        <v>0</v>
      </c>
      <c r="AC190" s="204">
        <f t="shared" si="22"/>
        <v>0</v>
      </c>
      <c r="AD190" s="206">
        <f t="shared" si="23"/>
        <v>0</v>
      </c>
      <c r="AE190" s="206">
        <f t="shared" si="24"/>
        <v>0</v>
      </c>
      <c r="AF190" s="206">
        <f t="shared" si="25"/>
        <v>0</v>
      </c>
      <c r="AG190" s="206">
        <f t="shared" si="26"/>
        <v>0</v>
      </c>
      <c r="AH190" s="206">
        <f t="shared" si="27"/>
        <v>0</v>
      </c>
      <c r="AI190" s="206">
        <f t="shared" si="28"/>
        <v>0</v>
      </c>
      <c r="AJ190" s="206">
        <f t="shared" si="29"/>
        <v>0</v>
      </c>
      <c r="AK190" s="206">
        <f t="shared" si="30"/>
        <v>0</v>
      </c>
      <c r="AL190" s="206">
        <f t="shared" si="31"/>
        <v>0</v>
      </c>
      <c r="AM190" s="214">
        <f t="shared" si="32"/>
        <v>0</v>
      </c>
      <c r="AN190" s="4"/>
      <c r="AO190" s="167">
        <v>1950</v>
      </c>
      <c r="AP190" s="215">
        <v>9.764155349693513E-5</v>
      </c>
      <c r="AQ190" s="190">
        <v>1.087522826598888E-4</v>
      </c>
      <c r="AR190" s="190">
        <v>8.4109172596235309E-5</v>
      </c>
      <c r="AS190" s="170">
        <v>9.2239899128498891E-5</v>
      </c>
      <c r="AU190" s="216">
        <v>96.959726543209868</v>
      </c>
      <c r="AV190" s="217">
        <v>96.93850649623802</v>
      </c>
      <c r="AW190" s="217">
        <v>93.92957167669266</v>
      </c>
      <c r="AX190" s="217">
        <v>94.069392857323919</v>
      </c>
      <c r="AY190" s="217"/>
      <c r="AZ190" s="218">
        <v>0</v>
      </c>
      <c r="BA190" s="8"/>
      <c r="BB190" s="219"/>
      <c r="BC190" s="220"/>
    </row>
    <row r="191" spans="15:55" x14ac:dyDescent="0.25">
      <c r="O191" s="195">
        <v>1945</v>
      </c>
      <c r="P191" s="202">
        <f t="shared" si="34"/>
        <v>0</v>
      </c>
      <c r="Q191" s="203">
        <f t="shared" si="34"/>
        <v>0</v>
      </c>
      <c r="R191" s="157">
        <f ca="1"/>
        <v>96.957513807763249</v>
      </c>
      <c r="T191" s="204">
        <v>0</v>
      </c>
      <c r="U191" s="206">
        <v>0</v>
      </c>
      <c r="V191" s="206">
        <v>0</v>
      </c>
      <c r="W191" s="206">
        <v>0</v>
      </c>
      <c r="X191" s="206">
        <f t="array" ref="X191">IF(X$78&gt;" ",(X$628:X$1078),"")</f>
        <v>0</v>
      </c>
      <c r="Y191" s="206">
        <f t="array" ref="Y191">IF(Y$78&gt;" ",(Y$628:Y$1078),"")</f>
        <v>0</v>
      </c>
      <c r="Z191" s="206">
        <f t="array" ref="Z191">IF(Z$78&gt;" ",(Z$628:Z$1078),"")</f>
        <v>0</v>
      </c>
      <c r="AA191" s="206">
        <f t="array" ref="AA191">IF(AA$78&gt;" ",(AA$628:AA$1078),"")</f>
        <v>0</v>
      </c>
      <c r="AB191" s="210">
        <v>0</v>
      </c>
      <c r="AC191" s="204">
        <f t="shared" si="22"/>
        <v>0</v>
      </c>
      <c r="AD191" s="206">
        <f t="shared" si="23"/>
        <v>0</v>
      </c>
      <c r="AE191" s="206">
        <f t="shared" si="24"/>
        <v>0</v>
      </c>
      <c r="AF191" s="206">
        <f t="shared" si="25"/>
        <v>0</v>
      </c>
      <c r="AG191" s="206">
        <f t="shared" si="26"/>
        <v>0</v>
      </c>
      <c r="AH191" s="206">
        <f t="shared" si="27"/>
        <v>0</v>
      </c>
      <c r="AI191" s="206">
        <f t="shared" si="28"/>
        <v>0</v>
      </c>
      <c r="AJ191" s="206">
        <f t="shared" si="29"/>
        <v>0</v>
      </c>
      <c r="AK191" s="206">
        <f t="shared" si="30"/>
        <v>0</v>
      </c>
      <c r="AL191" s="206">
        <f t="shared" si="31"/>
        <v>0</v>
      </c>
      <c r="AM191" s="214">
        <f t="shared" si="32"/>
        <v>0</v>
      </c>
      <c r="AN191" s="4"/>
      <c r="AO191" s="167">
        <v>1945</v>
      </c>
      <c r="AP191" s="215">
        <v>8.2579121699031749E-5</v>
      </c>
      <c r="AQ191" s="190">
        <v>9.8697448798509946E-5</v>
      </c>
      <c r="AR191" s="190">
        <v>5.4622941466664922E-5</v>
      </c>
      <c r="AS191" s="170">
        <v>5.9920677100402719E-5</v>
      </c>
      <c r="AU191" s="216">
        <v>96.973136696668817</v>
      </c>
      <c r="AV191" s="217">
        <v>96.957513807763249</v>
      </c>
      <c r="AW191" s="217">
        <v>93.949974498146005</v>
      </c>
      <c r="AX191" s="217">
        <v>94.099009775795139</v>
      </c>
      <c r="AY191" s="217"/>
      <c r="AZ191" s="218">
        <v>0</v>
      </c>
      <c r="BA191" s="8"/>
      <c r="BB191" s="219"/>
      <c r="BC191" s="220"/>
    </row>
    <row r="192" spans="15:55" x14ac:dyDescent="0.25">
      <c r="O192" s="195">
        <v>1940</v>
      </c>
      <c r="P192" s="202">
        <f t="shared" ref="P192:Q207" si="35">P740</f>
        <v>0</v>
      </c>
      <c r="Q192" s="203">
        <f t="shared" si="35"/>
        <v>0</v>
      </c>
      <c r="R192" s="157">
        <f ca="1"/>
        <v>96.963005933229056</v>
      </c>
      <c r="T192" s="204">
        <v>0</v>
      </c>
      <c r="U192" s="206">
        <v>0</v>
      </c>
      <c r="V192" s="206">
        <v>0</v>
      </c>
      <c r="W192" s="206">
        <v>0</v>
      </c>
      <c r="X192" s="206">
        <f t="array" ref="X192">IF(X$78&gt;" ",(X$628:X$1078),"")</f>
        <v>0</v>
      </c>
      <c r="Y192" s="206">
        <f t="array" ref="Y192">IF(Y$78&gt;" ",(Y$628:Y$1078),"")</f>
        <v>0</v>
      </c>
      <c r="Z192" s="206">
        <f t="array" ref="Z192">IF(Z$78&gt;" ",(Z$628:Z$1078),"")</f>
        <v>0</v>
      </c>
      <c r="AA192" s="206">
        <f t="array" ref="AA192">IF(AA$78&gt;" ",(AA$628:AA$1078),"")</f>
        <v>0</v>
      </c>
      <c r="AB192" s="210">
        <v>0</v>
      </c>
      <c r="AC192" s="204">
        <f t="shared" si="22"/>
        <v>0</v>
      </c>
      <c r="AD192" s="206">
        <f t="shared" si="23"/>
        <v>0</v>
      </c>
      <c r="AE192" s="206">
        <f t="shared" si="24"/>
        <v>0</v>
      </c>
      <c r="AF192" s="206">
        <f t="shared" si="25"/>
        <v>0</v>
      </c>
      <c r="AG192" s="206">
        <f t="shared" si="26"/>
        <v>0</v>
      </c>
      <c r="AH192" s="206">
        <f t="shared" si="27"/>
        <v>0</v>
      </c>
      <c r="AI192" s="206">
        <f t="shared" si="28"/>
        <v>0</v>
      </c>
      <c r="AJ192" s="206">
        <f t="shared" si="29"/>
        <v>0</v>
      </c>
      <c r="AK192" s="206">
        <f t="shared" si="30"/>
        <v>0</v>
      </c>
      <c r="AL192" s="206">
        <f t="shared" si="31"/>
        <v>0</v>
      </c>
      <c r="AM192" s="214">
        <f t="shared" si="32"/>
        <v>0</v>
      </c>
      <c r="AN192" s="4"/>
      <c r="AO192" s="167">
        <v>1940</v>
      </c>
      <c r="AP192" s="215">
        <v>6.7516689901128354E-5</v>
      </c>
      <c r="AQ192" s="190">
        <v>8.8642614937131078E-5</v>
      </c>
      <c r="AR192" s="190">
        <v>1.6503540107497095E-5</v>
      </c>
      <c r="AS192" s="170">
        <v>1.8108278219274594E-5</v>
      </c>
      <c r="AU192" s="216">
        <v>96.982694892106522</v>
      </c>
      <c r="AV192" s="217">
        <v>96.963005933229056</v>
      </c>
      <c r="AW192" s="217">
        <v>93.995523439894882</v>
      </c>
      <c r="AX192" s="217">
        <v>94.13474081276307</v>
      </c>
      <c r="AY192" s="217"/>
      <c r="AZ192" s="218">
        <v>0</v>
      </c>
      <c r="BA192" s="8"/>
      <c r="BB192" s="219"/>
      <c r="BC192" s="220"/>
    </row>
    <row r="193" spans="15:55" x14ac:dyDescent="0.25">
      <c r="O193" s="195">
        <v>1935</v>
      </c>
      <c r="P193" s="202">
        <f t="shared" si="35"/>
        <v>0</v>
      </c>
      <c r="Q193" s="203">
        <f t="shared" si="35"/>
        <v>0</v>
      </c>
      <c r="R193" s="157">
        <f ca="1"/>
        <v>96.968461780711323</v>
      </c>
      <c r="T193" s="204">
        <v>0</v>
      </c>
      <c r="U193" s="206">
        <v>0</v>
      </c>
      <c r="V193" s="206">
        <v>0</v>
      </c>
      <c r="W193" s="206">
        <v>0</v>
      </c>
      <c r="X193" s="206">
        <f t="array" ref="X193">IF(X$78&gt;" ",(X$628:X$1078),"")</f>
        <v>0</v>
      </c>
      <c r="Y193" s="206">
        <f t="array" ref="Y193">IF(Y$78&gt;" ",(Y$628:Y$1078),"")</f>
        <v>0</v>
      </c>
      <c r="Z193" s="206">
        <f t="array" ref="Z193">IF(Z$78&gt;" ",(Z$628:Z$1078),"")</f>
        <v>0</v>
      </c>
      <c r="AA193" s="206">
        <f t="array" ref="AA193">IF(AA$78&gt;" ",(AA$628:AA$1078),"")</f>
        <v>0</v>
      </c>
      <c r="AB193" s="210">
        <v>0</v>
      </c>
      <c r="AC193" s="204">
        <f t="shared" si="22"/>
        <v>0</v>
      </c>
      <c r="AD193" s="206">
        <f t="shared" si="23"/>
        <v>0</v>
      </c>
      <c r="AE193" s="206">
        <f t="shared" si="24"/>
        <v>0</v>
      </c>
      <c r="AF193" s="206">
        <f t="shared" si="25"/>
        <v>0</v>
      </c>
      <c r="AG193" s="206">
        <f t="shared" si="26"/>
        <v>0</v>
      </c>
      <c r="AH193" s="206">
        <f t="shared" si="27"/>
        <v>0</v>
      </c>
      <c r="AI193" s="206">
        <f t="shared" si="28"/>
        <v>0</v>
      </c>
      <c r="AJ193" s="206">
        <f t="shared" si="29"/>
        <v>0</v>
      </c>
      <c r="AK193" s="206">
        <f t="shared" si="30"/>
        <v>0</v>
      </c>
      <c r="AL193" s="206">
        <f t="shared" si="31"/>
        <v>0</v>
      </c>
      <c r="AM193" s="214">
        <f t="shared" si="32"/>
        <v>0</v>
      </c>
      <c r="AN193" s="4"/>
      <c r="AO193" s="167">
        <v>1935</v>
      </c>
      <c r="AP193" s="215">
        <v>5.2454258103224966E-5</v>
      </c>
      <c r="AQ193" s="190">
        <v>7.8587781075752197E-5</v>
      </c>
      <c r="AR193" s="190">
        <v>1.8069367592788402E-5</v>
      </c>
      <c r="AS193" s="170">
        <v>1.9826933298898545E-5</v>
      </c>
      <c r="AU193" s="216">
        <v>96.976748170369248</v>
      </c>
      <c r="AV193" s="217">
        <v>96.968461780711323</v>
      </c>
      <c r="AW193" s="217">
        <v>94.041896395224668</v>
      </c>
      <c r="AX193" s="217">
        <v>94.173573923957122</v>
      </c>
      <c r="AY193" s="217"/>
      <c r="AZ193" s="218">
        <v>0</v>
      </c>
      <c r="BA193" s="8"/>
      <c r="BB193" s="219"/>
      <c r="BC193" s="220"/>
    </row>
    <row r="194" spans="15:55" x14ac:dyDescent="0.25">
      <c r="O194" s="195">
        <v>1930</v>
      </c>
      <c r="P194" s="202">
        <f t="shared" si="35"/>
        <v>0</v>
      </c>
      <c r="Q194" s="203">
        <f t="shared" si="35"/>
        <v>0</v>
      </c>
      <c r="R194" s="157">
        <f ca="1"/>
        <v>96.967390108209599</v>
      </c>
      <c r="T194" s="204">
        <v>0</v>
      </c>
      <c r="U194" s="206">
        <v>0</v>
      </c>
      <c r="V194" s="206">
        <v>0</v>
      </c>
      <c r="W194" s="206">
        <v>0</v>
      </c>
      <c r="X194" s="206">
        <f t="array" ref="X194">IF(X$78&gt;" ",(X$628:X$1078),"")</f>
        <v>0</v>
      </c>
      <c r="Y194" s="206">
        <f t="array" ref="Y194">IF(Y$78&gt;" ",(Y$628:Y$1078),"")</f>
        <v>0</v>
      </c>
      <c r="Z194" s="206">
        <f t="array" ref="Z194">IF(Z$78&gt;" ",(Z$628:Z$1078),"")</f>
        <v>0</v>
      </c>
      <c r="AA194" s="206">
        <f t="array" ref="AA194">IF(AA$78&gt;" ",(AA$628:AA$1078),"")</f>
        <v>0</v>
      </c>
      <c r="AB194" s="210">
        <v>0</v>
      </c>
      <c r="AC194" s="204">
        <f t="shared" si="22"/>
        <v>0</v>
      </c>
      <c r="AD194" s="206">
        <f t="shared" si="23"/>
        <v>0</v>
      </c>
      <c r="AE194" s="206">
        <f t="shared" si="24"/>
        <v>0</v>
      </c>
      <c r="AF194" s="206">
        <f t="shared" si="25"/>
        <v>0</v>
      </c>
      <c r="AG194" s="206">
        <f t="shared" si="26"/>
        <v>0</v>
      </c>
      <c r="AH194" s="206">
        <f t="shared" si="27"/>
        <v>0</v>
      </c>
      <c r="AI194" s="206">
        <f t="shared" si="28"/>
        <v>0</v>
      </c>
      <c r="AJ194" s="206">
        <f t="shared" si="29"/>
        <v>0</v>
      </c>
      <c r="AK194" s="206">
        <f t="shared" si="30"/>
        <v>0</v>
      </c>
      <c r="AL194" s="206">
        <f t="shared" si="31"/>
        <v>0</v>
      </c>
      <c r="AM194" s="214">
        <f t="shared" si="32"/>
        <v>0</v>
      </c>
      <c r="AN194" s="4"/>
      <c r="AO194" s="167">
        <v>1930</v>
      </c>
      <c r="AP194" s="215">
        <v>3.7391826305321579E-5</v>
      </c>
      <c r="AQ194" s="190">
        <v>6.8532947214373344E-5</v>
      </c>
      <c r="AR194" s="190">
        <v>2.7777598568549239E-6</v>
      </c>
      <c r="AS194" s="170">
        <v>3.0485840705775079E-6</v>
      </c>
      <c r="AU194" s="216">
        <v>97.00214458865257</v>
      </c>
      <c r="AV194" s="217">
        <v>96.967390108209599</v>
      </c>
      <c r="AW194" s="217">
        <v>94.077930908605254</v>
      </c>
      <c r="AX194" s="217">
        <v>94.211711938419953</v>
      </c>
      <c r="AY194" s="217"/>
      <c r="AZ194" s="218">
        <v>0</v>
      </c>
      <c r="BA194" s="8"/>
      <c r="BB194" s="219"/>
      <c r="BC194" s="220"/>
    </row>
    <row r="195" spans="15:55" x14ac:dyDescent="0.25">
      <c r="O195" s="195">
        <v>1925</v>
      </c>
      <c r="P195" s="202">
        <f t="shared" si="35"/>
        <v>0</v>
      </c>
      <c r="Q195" s="203">
        <f t="shared" si="35"/>
        <v>0</v>
      </c>
      <c r="R195" s="157">
        <f ca="1"/>
        <v>96.986685502832259</v>
      </c>
      <c r="T195" s="204">
        <v>0</v>
      </c>
      <c r="U195" s="206">
        <v>0</v>
      </c>
      <c r="V195" s="206">
        <v>0</v>
      </c>
      <c r="W195" s="206">
        <v>0</v>
      </c>
      <c r="X195" s="206">
        <f t="array" ref="X195">IF(X$78&gt;" ",(X$628:X$1078),"")</f>
        <v>0</v>
      </c>
      <c r="Y195" s="206">
        <f t="array" ref="Y195">IF(Y$78&gt;" ",(Y$628:Y$1078),"")</f>
        <v>0</v>
      </c>
      <c r="Z195" s="206">
        <f t="array" ref="Z195">IF(Z$78&gt;" ",(Z$628:Z$1078),"")</f>
        <v>0</v>
      </c>
      <c r="AA195" s="206">
        <f t="array" ref="AA195">IF(AA$78&gt;" ",(AA$628:AA$1078),"")</f>
        <v>0</v>
      </c>
      <c r="AB195" s="210">
        <v>0</v>
      </c>
      <c r="AC195" s="204">
        <f t="shared" si="22"/>
        <v>0</v>
      </c>
      <c r="AD195" s="206">
        <f t="shared" si="23"/>
        <v>0</v>
      </c>
      <c r="AE195" s="206">
        <f t="shared" si="24"/>
        <v>0</v>
      </c>
      <c r="AF195" s="206">
        <f t="shared" si="25"/>
        <v>0</v>
      </c>
      <c r="AG195" s="206">
        <f t="shared" si="26"/>
        <v>0</v>
      </c>
      <c r="AH195" s="206">
        <f t="shared" si="27"/>
        <v>0</v>
      </c>
      <c r="AI195" s="206">
        <f t="shared" si="28"/>
        <v>0</v>
      </c>
      <c r="AJ195" s="206">
        <f t="shared" si="29"/>
        <v>0</v>
      </c>
      <c r="AK195" s="206">
        <f t="shared" si="30"/>
        <v>0</v>
      </c>
      <c r="AL195" s="206">
        <f t="shared" si="31"/>
        <v>0</v>
      </c>
      <c r="AM195" s="214">
        <f t="shared" si="32"/>
        <v>0</v>
      </c>
      <c r="AN195" s="4"/>
      <c r="AO195" s="167">
        <v>1925</v>
      </c>
      <c r="AP195" s="215">
        <v>2.2329394507418184E-5</v>
      </c>
      <c r="AQ195" s="190">
        <v>5.8478113352994476E-5</v>
      </c>
      <c r="AR195" s="190">
        <v>4.7072877339610022E-6</v>
      </c>
      <c r="AS195" s="170">
        <v>5.1669341869541248E-6</v>
      </c>
      <c r="AU195" s="216">
        <v>97.022415829654008</v>
      </c>
      <c r="AV195" s="217">
        <v>96.986685502832259</v>
      </c>
      <c r="AW195" s="217">
        <v>94.136129496776562</v>
      </c>
      <c r="AX195" s="217">
        <v>94.26765493958203</v>
      </c>
      <c r="AY195" s="217"/>
      <c r="AZ195" s="218">
        <v>0</v>
      </c>
      <c r="BA195" s="8"/>
      <c r="BB195" s="219"/>
      <c r="BC195" s="220"/>
    </row>
    <row r="196" spans="15:55" x14ac:dyDescent="0.25">
      <c r="O196" s="195">
        <v>1920</v>
      </c>
      <c r="P196" s="202">
        <f t="shared" si="35"/>
        <v>0</v>
      </c>
      <c r="Q196" s="203">
        <f t="shared" si="35"/>
        <v>0</v>
      </c>
      <c r="R196" s="157">
        <f ca="1"/>
        <v>96.998168567456972</v>
      </c>
      <c r="T196" s="204">
        <v>0</v>
      </c>
      <c r="U196" s="206">
        <v>0</v>
      </c>
      <c r="V196" s="206">
        <v>0</v>
      </c>
      <c r="W196" s="206">
        <v>0</v>
      </c>
      <c r="X196" s="206">
        <f t="array" ref="X196">IF(X$78&gt;" ",(X$628:X$1078),"")</f>
        <v>0</v>
      </c>
      <c r="Y196" s="206">
        <f t="array" ref="Y196">IF(Y$78&gt;" ",(Y$628:Y$1078),"")</f>
        <v>0</v>
      </c>
      <c r="Z196" s="206">
        <f t="array" ref="Z196">IF(Z$78&gt;" ",(Z$628:Z$1078),"")</f>
        <v>0</v>
      </c>
      <c r="AA196" s="206">
        <f t="array" ref="AA196">IF(AA$78&gt;" ",(AA$628:AA$1078),"")</f>
        <v>0</v>
      </c>
      <c r="AB196" s="210">
        <v>0</v>
      </c>
      <c r="AC196" s="204">
        <f t="shared" si="22"/>
        <v>0</v>
      </c>
      <c r="AD196" s="206">
        <f t="shared" si="23"/>
        <v>0</v>
      </c>
      <c r="AE196" s="206">
        <f t="shared" si="24"/>
        <v>0</v>
      </c>
      <c r="AF196" s="206">
        <f t="shared" si="25"/>
        <v>0</v>
      </c>
      <c r="AG196" s="206">
        <f t="shared" si="26"/>
        <v>0</v>
      </c>
      <c r="AH196" s="206">
        <f t="shared" si="27"/>
        <v>0</v>
      </c>
      <c r="AI196" s="206">
        <f t="shared" si="28"/>
        <v>0</v>
      </c>
      <c r="AJ196" s="206">
        <f t="shared" si="29"/>
        <v>0</v>
      </c>
      <c r="AK196" s="206">
        <f t="shared" si="30"/>
        <v>0</v>
      </c>
      <c r="AL196" s="206">
        <f t="shared" si="31"/>
        <v>0</v>
      </c>
      <c r="AM196" s="214">
        <f t="shared" si="32"/>
        <v>0</v>
      </c>
      <c r="AN196" s="4"/>
      <c r="AO196" s="167">
        <v>1920</v>
      </c>
      <c r="AP196" s="215">
        <v>7.2669627095147946E-6</v>
      </c>
      <c r="AQ196" s="190">
        <v>4.8423279491615629E-5</v>
      </c>
      <c r="AR196" s="190">
        <v>2.2662260415733421E-6</v>
      </c>
      <c r="AS196" s="170">
        <v>2.4876566898197456E-6</v>
      </c>
      <c r="AU196" s="216">
        <v>97.022090748984553</v>
      </c>
      <c r="AV196" s="217">
        <v>96.998168567456972</v>
      </c>
      <c r="AW196" s="217">
        <v>94.173543775352258</v>
      </c>
      <c r="AX196" s="217">
        <v>94.305817274784104</v>
      </c>
      <c r="AY196" s="217"/>
      <c r="AZ196" s="218">
        <v>0</v>
      </c>
      <c r="BA196" s="8"/>
      <c r="BB196" s="219"/>
      <c r="BC196" s="220"/>
    </row>
    <row r="197" spans="15:55" x14ac:dyDescent="0.25">
      <c r="O197" s="195">
        <v>1915</v>
      </c>
      <c r="P197" s="202">
        <f t="shared" si="35"/>
        <v>0</v>
      </c>
      <c r="Q197" s="203">
        <f t="shared" si="35"/>
        <v>0</v>
      </c>
      <c r="R197" s="157">
        <f ca="1"/>
        <v>97.005251059786175</v>
      </c>
      <c r="T197" s="204">
        <v>0</v>
      </c>
      <c r="U197" s="206">
        <v>0</v>
      </c>
      <c r="V197" s="206">
        <v>0</v>
      </c>
      <c r="W197" s="206">
        <v>0</v>
      </c>
      <c r="X197" s="206">
        <f t="array" ref="X197">IF(X$78&gt;" ",(X$628:X$1078),"")</f>
        <v>0</v>
      </c>
      <c r="Y197" s="206">
        <f t="array" ref="Y197">IF(Y$78&gt;" ",(Y$628:Y$1078),"")</f>
        <v>0</v>
      </c>
      <c r="Z197" s="206">
        <f t="array" ref="Z197">IF(Z$78&gt;" ",(Z$628:Z$1078),"")</f>
        <v>0</v>
      </c>
      <c r="AA197" s="206">
        <f t="array" ref="AA197">IF(AA$78&gt;" ",(AA$628:AA$1078),"")</f>
        <v>0</v>
      </c>
      <c r="AB197" s="210">
        <v>0</v>
      </c>
      <c r="AC197" s="204">
        <f t="shared" si="22"/>
        <v>0</v>
      </c>
      <c r="AD197" s="206">
        <f t="shared" si="23"/>
        <v>0</v>
      </c>
      <c r="AE197" s="206">
        <f t="shared" si="24"/>
        <v>0</v>
      </c>
      <c r="AF197" s="206">
        <f t="shared" si="25"/>
        <v>0</v>
      </c>
      <c r="AG197" s="206">
        <f t="shared" si="26"/>
        <v>0</v>
      </c>
      <c r="AH197" s="206">
        <f t="shared" si="27"/>
        <v>0</v>
      </c>
      <c r="AI197" s="206">
        <f t="shared" si="28"/>
        <v>0</v>
      </c>
      <c r="AJ197" s="206">
        <f t="shared" si="29"/>
        <v>0</v>
      </c>
      <c r="AK197" s="206">
        <f t="shared" si="30"/>
        <v>0</v>
      </c>
      <c r="AL197" s="206">
        <f t="shared" si="31"/>
        <v>0</v>
      </c>
      <c r="AM197" s="214">
        <f t="shared" si="32"/>
        <v>0</v>
      </c>
      <c r="AN197" s="4"/>
      <c r="AO197" s="167">
        <v>1915</v>
      </c>
      <c r="AP197" s="215">
        <v>7.6633424936701461E-6</v>
      </c>
      <c r="AQ197" s="190">
        <v>3.8368445630236755E-5</v>
      </c>
      <c r="AR197" s="190">
        <v>1.0030045230926681E-7</v>
      </c>
      <c r="AS197" s="170">
        <v>1.1009801817467288E-7</v>
      </c>
      <c r="AU197" s="216">
        <v>97.031626639714432</v>
      </c>
      <c r="AV197" s="217">
        <v>97.005251059786175</v>
      </c>
      <c r="AW197" s="217">
        <v>94.188966305366151</v>
      </c>
      <c r="AX197" s="217">
        <v>94.321137666377069</v>
      </c>
      <c r="AY197" s="217"/>
      <c r="AZ197" s="218">
        <v>0</v>
      </c>
      <c r="BA197" s="8"/>
      <c r="BB197" s="219"/>
      <c r="BC197" s="220"/>
    </row>
    <row r="198" spans="15:55" x14ac:dyDescent="0.25">
      <c r="O198" s="195">
        <v>1910</v>
      </c>
      <c r="P198" s="202">
        <f t="shared" si="35"/>
        <v>0</v>
      </c>
      <c r="Q198" s="203">
        <f t="shared" si="35"/>
        <v>0</v>
      </c>
      <c r="R198" s="157">
        <f ca="1"/>
        <v>97.028549708972719</v>
      </c>
      <c r="T198" s="204">
        <v>0</v>
      </c>
      <c r="U198" s="206">
        <v>0</v>
      </c>
      <c r="V198" s="206">
        <v>0</v>
      </c>
      <c r="W198" s="206">
        <v>0</v>
      </c>
      <c r="X198" s="206">
        <f t="array" ref="X198">IF(X$78&gt;" ",(X$628:X$1078),"")</f>
        <v>0</v>
      </c>
      <c r="Y198" s="206">
        <f t="array" ref="Y198">IF(Y$78&gt;" ",(Y$628:Y$1078),"")</f>
        <v>0</v>
      </c>
      <c r="Z198" s="206">
        <f t="array" ref="Z198">IF(Z$78&gt;" ",(Z$628:Z$1078),"")</f>
        <v>0</v>
      </c>
      <c r="AA198" s="206">
        <f t="array" ref="AA198">IF(AA$78&gt;" ",(AA$628:AA$1078),"")</f>
        <v>0</v>
      </c>
      <c r="AB198" s="210">
        <v>0</v>
      </c>
      <c r="AC198" s="204">
        <f t="shared" si="22"/>
        <v>0</v>
      </c>
      <c r="AD198" s="206">
        <f t="shared" si="23"/>
        <v>0</v>
      </c>
      <c r="AE198" s="206">
        <f t="shared" si="24"/>
        <v>0</v>
      </c>
      <c r="AF198" s="206">
        <f t="shared" si="25"/>
        <v>0</v>
      </c>
      <c r="AG198" s="206">
        <f t="shared" si="26"/>
        <v>0</v>
      </c>
      <c r="AH198" s="206">
        <f t="shared" si="27"/>
        <v>0</v>
      </c>
      <c r="AI198" s="206">
        <f t="shared" si="28"/>
        <v>0</v>
      </c>
      <c r="AJ198" s="206">
        <f t="shared" si="29"/>
        <v>0</v>
      </c>
      <c r="AK198" s="206">
        <f t="shared" si="30"/>
        <v>0</v>
      </c>
      <c r="AL198" s="206">
        <f t="shared" si="31"/>
        <v>0</v>
      </c>
      <c r="AM198" s="214">
        <f t="shared" si="32"/>
        <v>0</v>
      </c>
      <c r="AN198" s="4"/>
      <c r="AO198" s="167">
        <v>1910</v>
      </c>
      <c r="AP198" s="215">
        <v>8.0597222778254975E-6</v>
      </c>
      <c r="AQ198" s="190">
        <v>2.8313611768857898E-5</v>
      </c>
      <c r="AR198" s="190">
        <v>1.1587827359838841E-7</v>
      </c>
      <c r="AS198" s="170">
        <v>1.2718383373342226E-7</v>
      </c>
      <c r="AU198" s="216">
        <v>97.035990788407616</v>
      </c>
      <c r="AV198" s="217">
        <v>97.028549708972719</v>
      </c>
      <c r="AW198" s="217">
        <v>94.228581892591919</v>
      </c>
      <c r="AX198" s="217">
        <v>94.367508114962519</v>
      </c>
      <c r="AY198" s="217"/>
      <c r="AZ198" s="218">
        <v>0</v>
      </c>
      <c r="BA198" s="8"/>
      <c r="BB198" s="219"/>
      <c r="BC198" s="220"/>
    </row>
    <row r="199" spans="15:55" x14ac:dyDescent="0.25">
      <c r="O199" s="195">
        <v>1905</v>
      </c>
      <c r="P199" s="202">
        <f t="shared" si="35"/>
        <v>0</v>
      </c>
      <c r="Q199" s="203">
        <f t="shared" si="35"/>
        <v>0</v>
      </c>
      <c r="R199" s="157">
        <f ca="1"/>
        <v>97.037184658580074</v>
      </c>
      <c r="T199" s="204">
        <v>0</v>
      </c>
      <c r="U199" s="206">
        <v>0</v>
      </c>
      <c r="V199" s="206">
        <v>0</v>
      </c>
      <c r="W199" s="206">
        <v>0</v>
      </c>
      <c r="X199" s="206">
        <f t="array" ref="X199">IF(X$78&gt;" ",(X$628:X$1078),"")</f>
        <v>0</v>
      </c>
      <c r="Y199" s="206">
        <f t="array" ref="Y199">IF(Y$78&gt;" ",(Y$628:Y$1078),"")</f>
        <v>0</v>
      </c>
      <c r="Z199" s="206">
        <f t="array" ref="Z199">IF(Z$78&gt;" ",(Z$628:Z$1078),"")</f>
        <v>0</v>
      </c>
      <c r="AA199" s="206">
        <f t="array" ref="AA199">IF(AA$78&gt;" ",(AA$628:AA$1078),"")</f>
        <v>0</v>
      </c>
      <c r="AB199" s="210">
        <v>0</v>
      </c>
      <c r="AC199" s="204">
        <f t="shared" si="22"/>
        <v>0</v>
      </c>
      <c r="AD199" s="206">
        <f t="shared" si="23"/>
        <v>0</v>
      </c>
      <c r="AE199" s="206">
        <f t="shared" si="24"/>
        <v>0</v>
      </c>
      <c r="AF199" s="206">
        <f t="shared" si="25"/>
        <v>0</v>
      </c>
      <c r="AG199" s="206">
        <f t="shared" si="26"/>
        <v>0</v>
      </c>
      <c r="AH199" s="206">
        <f t="shared" si="27"/>
        <v>0</v>
      </c>
      <c r="AI199" s="206">
        <f t="shared" si="28"/>
        <v>0</v>
      </c>
      <c r="AJ199" s="206">
        <f t="shared" si="29"/>
        <v>0</v>
      </c>
      <c r="AK199" s="206">
        <f t="shared" si="30"/>
        <v>0</v>
      </c>
      <c r="AL199" s="206">
        <f t="shared" si="31"/>
        <v>0</v>
      </c>
      <c r="AM199" s="214">
        <f t="shared" si="32"/>
        <v>0</v>
      </c>
      <c r="AN199" s="4"/>
      <c r="AO199" s="167">
        <v>1905</v>
      </c>
      <c r="AP199" s="215">
        <v>8.3900387646216253E-6</v>
      </c>
      <c r="AQ199" s="190">
        <v>1.8258777907479034E-5</v>
      </c>
      <c r="AR199" s="190">
        <v>2.849413812106694E-9</v>
      </c>
      <c r="AS199" s="170">
        <v>3.1226804341536104E-9</v>
      </c>
      <c r="AU199" s="216">
        <v>97.03258071209963</v>
      </c>
      <c r="AV199" s="217">
        <v>97.037184658580074</v>
      </c>
      <c r="AW199" s="217">
        <v>94.264188497195434</v>
      </c>
      <c r="AX199" s="217">
        <v>94.399993692166959</v>
      </c>
      <c r="AY199" s="217"/>
      <c r="AZ199" s="218">
        <v>0</v>
      </c>
      <c r="BA199" s="8"/>
      <c r="BB199" s="219"/>
      <c r="BC199" s="220"/>
    </row>
    <row r="200" spans="15:55" x14ac:dyDescent="0.25">
      <c r="O200" s="195">
        <v>1900</v>
      </c>
      <c r="P200" s="202">
        <f t="shared" si="35"/>
        <v>0</v>
      </c>
      <c r="Q200" s="203">
        <f t="shared" si="35"/>
        <v>0</v>
      </c>
      <c r="R200" s="157">
        <f ca="1"/>
        <v>97.04924411601246</v>
      </c>
      <c r="T200" s="204">
        <v>0</v>
      </c>
      <c r="U200" s="206">
        <v>0</v>
      </c>
      <c r="V200" s="206">
        <v>0</v>
      </c>
      <c r="W200" s="206">
        <v>0</v>
      </c>
      <c r="X200" s="206">
        <f t="array" ref="X200">IF(X$78&gt;" ",(X$628:X$1078),"")</f>
        <v>0</v>
      </c>
      <c r="Y200" s="206">
        <f t="array" ref="Y200">IF(Y$78&gt;" ",(Y$628:Y$1078),"")</f>
        <v>0</v>
      </c>
      <c r="Z200" s="206">
        <f t="array" ref="Z200">IF(Z$78&gt;" ",(Z$628:Z$1078),"")</f>
        <v>0</v>
      </c>
      <c r="AA200" s="206">
        <f t="array" ref="AA200">IF(AA$78&gt;" ",(AA$628:AA$1078),"")</f>
        <v>0</v>
      </c>
      <c r="AB200" s="210">
        <v>0</v>
      </c>
      <c r="AC200" s="204">
        <f t="shared" si="22"/>
        <v>0</v>
      </c>
      <c r="AD200" s="206">
        <f t="shared" si="23"/>
        <v>0</v>
      </c>
      <c r="AE200" s="206">
        <f t="shared" si="24"/>
        <v>0</v>
      </c>
      <c r="AF200" s="206">
        <f t="shared" si="25"/>
        <v>0</v>
      </c>
      <c r="AG200" s="206">
        <f t="shared" si="26"/>
        <v>0</v>
      </c>
      <c r="AH200" s="206">
        <f t="shared" si="27"/>
        <v>0</v>
      </c>
      <c r="AI200" s="206">
        <f t="shared" si="28"/>
        <v>0</v>
      </c>
      <c r="AJ200" s="206">
        <f t="shared" si="29"/>
        <v>0</v>
      </c>
      <c r="AK200" s="206">
        <f t="shared" si="30"/>
        <v>0</v>
      </c>
      <c r="AL200" s="206">
        <f t="shared" si="31"/>
        <v>0</v>
      </c>
      <c r="AM200" s="214">
        <f t="shared" si="32"/>
        <v>0</v>
      </c>
      <c r="AN200" s="4"/>
      <c r="AO200" s="167">
        <v>1900</v>
      </c>
      <c r="AP200" s="215">
        <v>8.7864185487769785E-6</v>
      </c>
      <c r="AQ200" s="190">
        <v>8.2039440461001695E-6</v>
      </c>
      <c r="AR200" s="190">
        <v>4.3354917022897145E-9</v>
      </c>
      <c r="AS200" s="170">
        <v>4.7522407926195918E-9</v>
      </c>
      <c r="AU200" s="216">
        <v>97.043907421296737</v>
      </c>
      <c r="AV200" s="217">
        <v>97.04924411601246</v>
      </c>
      <c r="AW200" s="217">
        <v>94.28620386178595</v>
      </c>
      <c r="AX200" s="217">
        <v>94.41934418764076</v>
      </c>
      <c r="AY200" s="217"/>
      <c r="AZ200" s="218">
        <v>0</v>
      </c>
      <c r="BA200" s="8"/>
      <c r="BB200" s="219"/>
      <c r="BC200" s="220"/>
    </row>
    <row r="201" spans="15:55" x14ac:dyDescent="0.25">
      <c r="O201" s="195">
        <v>1895</v>
      </c>
      <c r="P201" s="202">
        <f t="shared" si="35"/>
        <v>0</v>
      </c>
      <c r="Q201" s="203">
        <f t="shared" si="35"/>
        <v>0</v>
      </c>
      <c r="R201" s="157">
        <f ca="1"/>
        <v>97.06155736515359</v>
      </c>
      <c r="T201" s="204">
        <v>0</v>
      </c>
      <c r="U201" s="206">
        <v>0</v>
      </c>
      <c r="V201" s="206">
        <v>0</v>
      </c>
      <c r="W201" s="206">
        <v>0</v>
      </c>
      <c r="X201" s="206">
        <f t="array" ref="X201">IF(X$78&gt;" ",(X$628:X$1078),"")</f>
        <v>0</v>
      </c>
      <c r="Y201" s="206">
        <f t="array" ref="Y201">IF(Y$78&gt;" ",(Y$628:Y$1078),"")</f>
        <v>0</v>
      </c>
      <c r="Z201" s="206">
        <f t="array" ref="Z201">IF(Z$78&gt;" ",(Z$628:Z$1078),"")</f>
        <v>0</v>
      </c>
      <c r="AA201" s="206">
        <f t="array" ref="AA201">IF(AA$78&gt;" ",(AA$628:AA$1078),"")</f>
        <v>0</v>
      </c>
      <c r="AB201" s="210">
        <v>0</v>
      </c>
      <c r="AC201" s="204">
        <f t="shared" si="22"/>
        <v>0</v>
      </c>
      <c r="AD201" s="206">
        <f t="shared" si="23"/>
        <v>0</v>
      </c>
      <c r="AE201" s="206">
        <f t="shared" si="24"/>
        <v>0</v>
      </c>
      <c r="AF201" s="206">
        <f t="shared" si="25"/>
        <v>0</v>
      </c>
      <c r="AG201" s="206">
        <f t="shared" si="26"/>
        <v>0</v>
      </c>
      <c r="AH201" s="206">
        <f t="shared" si="27"/>
        <v>0</v>
      </c>
      <c r="AI201" s="206">
        <f t="shared" si="28"/>
        <v>0</v>
      </c>
      <c r="AJ201" s="206">
        <f t="shared" si="29"/>
        <v>0</v>
      </c>
      <c r="AK201" s="206">
        <f t="shared" si="30"/>
        <v>0</v>
      </c>
      <c r="AL201" s="206">
        <f t="shared" si="31"/>
        <v>0</v>
      </c>
      <c r="AM201" s="214">
        <f t="shared" si="32"/>
        <v>0</v>
      </c>
      <c r="AN201" s="4"/>
      <c r="AO201" s="167">
        <v>1895</v>
      </c>
      <c r="AP201" s="215">
        <v>9.1827983329323299E-6</v>
      </c>
      <c r="AQ201" s="190">
        <v>1.1365463946792429E-5</v>
      </c>
      <c r="AR201" s="190">
        <v>6.5102018150502691E-7</v>
      </c>
      <c r="AS201" s="170">
        <v>7.1314951740957489E-7</v>
      </c>
      <c r="AU201" s="216">
        <v>97.053257316190766</v>
      </c>
      <c r="AV201" s="217">
        <v>97.06155736515359</v>
      </c>
      <c r="AW201" s="217">
        <v>94.328780882975551</v>
      </c>
      <c r="AX201" s="217">
        <v>94.467540677305536</v>
      </c>
      <c r="AY201" s="217"/>
      <c r="AZ201" s="218">
        <v>0</v>
      </c>
      <c r="BA201" s="8"/>
      <c r="BB201" s="219"/>
      <c r="BC201" s="220"/>
    </row>
    <row r="202" spans="15:55" x14ac:dyDescent="0.25">
      <c r="O202" s="195">
        <v>1890</v>
      </c>
      <c r="P202" s="202">
        <f t="shared" si="35"/>
        <v>0</v>
      </c>
      <c r="Q202" s="203">
        <f t="shared" si="35"/>
        <v>0</v>
      </c>
      <c r="R202" s="157">
        <f ca="1"/>
        <v>97.062269446725395</v>
      </c>
      <c r="T202" s="204">
        <v>0</v>
      </c>
      <c r="U202" s="206">
        <v>0</v>
      </c>
      <c r="V202" s="206">
        <v>0</v>
      </c>
      <c r="W202" s="206">
        <v>0</v>
      </c>
      <c r="X202" s="206">
        <f t="array" ref="X202">IF(X$78&gt;" ",(X$628:X$1078),"")</f>
        <v>0</v>
      </c>
      <c r="Y202" s="206">
        <f t="array" ref="Y202">IF(Y$78&gt;" ",(Y$628:Y$1078),"")</f>
        <v>0</v>
      </c>
      <c r="Z202" s="206">
        <f t="array" ref="Z202">IF(Z$78&gt;" ",(Z$628:Z$1078),"")</f>
        <v>0</v>
      </c>
      <c r="AA202" s="206">
        <f t="array" ref="AA202">IF(AA$78&gt;" ",(AA$628:AA$1078),"")</f>
        <v>0</v>
      </c>
      <c r="AB202" s="210">
        <v>0</v>
      </c>
      <c r="AC202" s="204">
        <f t="shared" si="22"/>
        <v>0</v>
      </c>
      <c r="AD202" s="206">
        <f t="shared" si="23"/>
        <v>0</v>
      </c>
      <c r="AE202" s="206">
        <f t="shared" si="24"/>
        <v>0</v>
      </c>
      <c r="AF202" s="206">
        <f t="shared" si="25"/>
        <v>0</v>
      </c>
      <c r="AG202" s="206">
        <f t="shared" si="26"/>
        <v>0</v>
      </c>
      <c r="AH202" s="206">
        <f t="shared" si="27"/>
        <v>0</v>
      </c>
      <c r="AI202" s="206">
        <f t="shared" si="28"/>
        <v>0</v>
      </c>
      <c r="AJ202" s="206">
        <f t="shared" si="29"/>
        <v>0</v>
      </c>
      <c r="AK202" s="206">
        <f t="shared" si="30"/>
        <v>0</v>
      </c>
      <c r="AL202" s="206">
        <f t="shared" si="31"/>
        <v>0</v>
      </c>
      <c r="AM202" s="214">
        <f t="shared" si="32"/>
        <v>0</v>
      </c>
      <c r="AN202" s="4"/>
      <c r="AO202" s="167">
        <v>1890</v>
      </c>
      <c r="AP202" s="215">
        <v>9.579178117087683E-6</v>
      </c>
      <c r="AQ202" s="190">
        <v>1.4526983847484687E-5</v>
      </c>
      <c r="AR202" s="190">
        <v>1.122980900096684E-6</v>
      </c>
      <c r="AS202" s="170">
        <v>1.228746041296761E-6</v>
      </c>
      <c r="AU202" s="216">
        <v>97.058327053395388</v>
      </c>
      <c r="AV202" s="217">
        <v>97.062269446725395</v>
      </c>
      <c r="AW202" s="217">
        <v>94.361447522367669</v>
      </c>
      <c r="AX202" s="217">
        <v>94.508099679353549</v>
      </c>
      <c r="AY202" s="217"/>
      <c r="AZ202" s="218">
        <v>0</v>
      </c>
      <c r="BA202" s="8"/>
      <c r="BB202" s="219"/>
      <c r="BC202" s="220"/>
    </row>
    <row r="203" spans="15:55" x14ac:dyDescent="0.25">
      <c r="O203" s="195">
        <v>1885</v>
      </c>
      <c r="P203" s="202">
        <f t="shared" si="35"/>
        <v>0</v>
      </c>
      <c r="Q203" s="203">
        <f t="shared" si="35"/>
        <v>0</v>
      </c>
      <c r="R203" s="157">
        <f ca="1"/>
        <v>97.069974492882508</v>
      </c>
      <c r="T203" s="204">
        <v>0</v>
      </c>
      <c r="U203" s="206">
        <v>0</v>
      </c>
      <c r="V203" s="206">
        <v>0</v>
      </c>
      <c r="W203" s="206">
        <v>0</v>
      </c>
      <c r="X203" s="206">
        <f t="array" ref="X203">IF(X$78&gt;" ",(X$628:X$1078),"")</f>
        <v>0</v>
      </c>
      <c r="Y203" s="206">
        <f t="array" ref="Y203">IF(Y$78&gt;" ",(Y$628:Y$1078),"")</f>
        <v>0</v>
      </c>
      <c r="Z203" s="206">
        <f t="array" ref="Z203">IF(Z$78&gt;" ",(Z$628:Z$1078),"")</f>
        <v>0</v>
      </c>
      <c r="AA203" s="206">
        <f t="array" ref="AA203">IF(AA$78&gt;" ",(AA$628:AA$1078),"")</f>
        <v>0</v>
      </c>
      <c r="AB203" s="210">
        <v>0</v>
      </c>
      <c r="AC203" s="204">
        <f t="shared" si="22"/>
        <v>0</v>
      </c>
      <c r="AD203" s="206">
        <f t="shared" si="23"/>
        <v>0</v>
      </c>
      <c r="AE203" s="206">
        <f t="shared" si="24"/>
        <v>0</v>
      </c>
      <c r="AF203" s="206">
        <f t="shared" si="25"/>
        <v>0</v>
      </c>
      <c r="AG203" s="206">
        <f t="shared" si="26"/>
        <v>0</v>
      </c>
      <c r="AH203" s="206">
        <f t="shared" si="27"/>
        <v>0</v>
      </c>
      <c r="AI203" s="206">
        <f t="shared" si="28"/>
        <v>0</v>
      </c>
      <c r="AJ203" s="206">
        <f t="shared" si="29"/>
        <v>0</v>
      </c>
      <c r="AK203" s="206">
        <f t="shared" si="30"/>
        <v>0</v>
      </c>
      <c r="AL203" s="206">
        <f t="shared" si="31"/>
        <v>0</v>
      </c>
      <c r="AM203" s="214">
        <f t="shared" si="32"/>
        <v>0</v>
      </c>
      <c r="AN203" s="4"/>
      <c r="AO203" s="167">
        <v>1885</v>
      </c>
      <c r="AP203" s="215">
        <v>9.9755579012430344E-6</v>
      </c>
      <c r="AQ203" s="190">
        <v>1.7688503748176945E-5</v>
      </c>
      <c r="AR203" s="190">
        <v>2.2069418217545097E-7</v>
      </c>
      <c r="AS203" s="170">
        <v>2.4136722542852984E-7</v>
      </c>
      <c r="AU203" s="216">
        <v>97.077184828749637</v>
      </c>
      <c r="AV203" s="217">
        <v>97.069974492882508</v>
      </c>
      <c r="AW203" s="217">
        <v>94.400625363359723</v>
      </c>
      <c r="AX203" s="217">
        <v>94.544258886099442</v>
      </c>
      <c r="AY203" s="217"/>
      <c r="AZ203" s="218">
        <v>0</v>
      </c>
      <c r="BA203" s="8"/>
      <c r="BB203" s="219"/>
      <c r="BC203" s="220"/>
    </row>
    <row r="204" spans="15:55" x14ac:dyDescent="0.25">
      <c r="O204" s="195">
        <v>1880</v>
      </c>
      <c r="P204" s="202">
        <f t="shared" si="35"/>
        <v>0</v>
      </c>
      <c r="Q204" s="203">
        <f t="shared" si="35"/>
        <v>0</v>
      </c>
      <c r="R204" s="157">
        <f ca="1"/>
        <v>97.087693398222939</v>
      </c>
      <c r="T204" s="204">
        <v>0</v>
      </c>
      <c r="U204" s="206">
        <v>0</v>
      </c>
      <c r="V204" s="206">
        <v>0</v>
      </c>
      <c r="W204" s="206">
        <v>0</v>
      </c>
      <c r="X204" s="206">
        <f t="array" ref="X204">IF(X$78&gt;" ",(X$628:X$1078),"")</f>
        <v>0</v>
      </c>
      <c r="Y204" s="206">
        <f t="array" ref="Y204">IF(Y$78&gt;" ",(Y$628:Y$1078),"")</f>
        <v>0</v>
      </c>
      <c r="Z204" s="206">
        <f t="array" ref="Z204">IF(Z$78&gt;" ",(Z$628:Z$1078),"")</f>
        <v>0</v>
      </c>
      <c r="AA204" s="206">
        <f t="array" ref="AA204">IF(AA$78&gt;" ",(AA$628:AA$1078),"")</f>
        <v>0</v>
      </c>
      <c r="AB204" s="210">
        <v>0</v>
      </c>
      <c r="AC204" s="204">
        <f t="shared" si="22"/>
        <v>0</v>
      </c>
      <c r="AD204" s="206">
        <f t="shared" si="23"/>
        <v>0</v>
      </c>
      <c r="AE204" s="206">
        <f t="shared" si="24"/>
        <v>0</v>
      </c>
      <c r="AF204" s="206">
        <f t="shared" si="25"/>
        <v>0</v>
      </c>
      <c r="AG204" s="206">
        <f t="shared" si="26"/>
        <v>0</v>
      </c>
      <c r="AH204" s="206">
        <f t="shared" si="27"/>
        <v>0</v>
      </c>
      <c r="AI204" s="206">
        <f t="shared" si="28"/>
        <v>0</v>
      </c>
      <c r="AJ204" s="206">
        <f t="shared" si="29"/>
        <v>0</v>
      </c>
      <c r="AK204" s="206">
        <f t="shared" si="30"/>
        <v>0</v>
      </c>
      <c r="AL204" s="206">
        <f t="shared" si="31"/>
        <v>0</v>
      </c>
      <c r="AM204" s="214">
        <f t="shared" si="32"/>
        <v>0</v>
      </c>
      <c r="AN204" s="4"/>
      <c r="AO204" s="167">
        <v>1880</v>
      </c>
      <c r="AP204" s="215">
        <v>1.0371937685398388E-5</v>
      </c>
      <c r="AQ204" s="190">
        <v>2.0850023648869208E-5</v>
      </c>
      <c r="AR204" s="190">
        <v>3.8972209135357314E-7</v>
      </c>
      <c r="AS204" s="170">
        <v>4.2601491574801123E-7</v>
      </c>
      <c r="AU204" s="216">
        <v>97.098826255707763</v>
      </c>
      <c r="AV204" s="217">
        <v>97.087693398222939</v>
      </c>
      <c r="AW204" s="217">
        <v>94.433092709705079</v>
      </c>
      <c r="AX204" s="217">
        <v>94.578598539821883</v>
      </c>
      <c r="AY204" s="217"/>
      <c r="AZ204" s="218">
        <v>0</v>
      </c>
      <c r="BA204" s="8"/>
      <c r="BB204" s="219"/>
      <c r="BC204" s="220"/>
    </row>
    <row r="205" spans="15:55" x14ac:dyDescent="0.25">
      <c r="O205" s="195">
        <v>1875</v>
      </c>
      <c r="P205" s="202">
        <f t="shared" si="35"/>
        <v>0</v>
      </c>
      <c r="Q205" s="203">
        <f t="shared" si="35"/>
        <v>0</v>
      </c>
      <c r="R205" s="157">
        <f ca="1"/>
        <v>97.100919946663893</v>
      </c>
      <c r="T205" s="204">
        <v>0</v>
      </c>
      <c r="U205" s="206">
        <v>0</v>
      </c>
      <c r="V205" s="206">
        <v>0</v>
      </c>
      <c r="W205" s="206">
        <v>0</v>
      </c>
      <c r="X205" s="206">
        <f t="array" ref="X205">IF(X$78&gt;" ",(X$628:X$1078),"")</f>
        <v>0</v>
      </c>
      <c r="Y205" s="206">
        <f t="array" ref="Y205">IF(Y$78&gt;" ",(Y$628:Y$1078),"")</f>
        <v>0</v>
      </c>
      <c r="Z205" s="206">
        <f t="array" ref="Z205">IF(Z$78&gt;" ",(Z$628:Z$1078),"")</f>
        <v>0</v>
      </c>
      <c r="AA205" s="206">
        <f t="array" ref="AA205">IF(AA$78&gt;" ",(AA$628:AA$1078),"")</f>
        <v>0</v>
      </c>
      <c r="AB205" s="210">
        <v>0</v>
      </c>
      <c r="AC205" s="204">
        <f t="shared" si="22"/>
        <v>0</v>
      </c>
      <c r="AD205" s="206">
        <f t="shared" si="23"/>
        <v>0</v>
      </c>
      <c r="AE205" s="206">
        <f t="shared" si="24"/>
        <v>0</v>
      </c>
      <c r="AF205" s="206">
        <f t="shared" si="25"/>
        <v>0</v>
      </c>
      <c r="AG205" s="206">
        <f t="shared" si="26"/>
        <v>0</v>
      </c>
      <c r="AH205" s="206">
        <f t="shared" si="27"/>
        <v>0</v>
      </c>
      <c r="AI205" s="206">
        <f t="shared" si="28"/>
        <v>0</v>
      </c>
      <c r="AJ205" s="206">
        <f t="shared" si="29"/>
        <v>0</v>
      </c>
      <c r="AK205" s="206">
        <f t="shared" si="30"/>
        <v>0</v>
      </c>
      <c r="AL205" s="206">
        <f t="shared" si="31"/>
        <v>0</v>
      </c>
      <c r="AM205" s="214">
        <f t="shared" si="32"/>
        <v>0</v>
      </c>
      <c r="AN205" s="4"/>
      <c r="AO205" s="167">
        <v>1875</v>
      </c>
      <c r="AP205" s="215">
        <v>1.0768317469553739E-5</v>
      </c>
      <c r="AQ205" s="190">
        <v>2.4011543549561468E-5</v>
      </c>
      <c r="AR205" s="190">
        <v>2.2692933336928914E-12</v>
      </c>
      <c r="AS205" s="170">
        <v>2.4789822665914252E-12</v>
      </c>
      <c r="AU205" s="216">
        <v>97.121449459972212</v>
      </c>
      <c r="AV205" s="217">
        <v>97.100919946663893</v>
      </c>
      <c r="AW205" s="217">
        <v>94.443851356721268</v>
      </c>
      <c r="AX205" s="217">
        <v>94.595623049940102</v>
      </c>
      <c r="AY205" s="217"/>
      <c r="AZ205" s="218">
        <v>0</v>
      </c>
      <c r="BA205" s="8"/>
      <c r="BB205" s="219"/>
      <c r="BC205" s="220"/>
    </row>
    <row r="206" spans="15:55" x14ac:dyDescent="0.25">
      <c r="O206" s="195">
        <v>1870</v>
      </c>
      <c r="P206" s="202">
        <f t="shared" si="35"/>
        <v>0</v>
      </c>
      <c r="Q206" s="203">
        <f t="shared" si="35"/>
        <v>0</v>
      </c>
      <c r="R206" s="157">
        <f ca="1"/>
        <v>97.115644255872098</v>
      </c>
      <c r="T206" s="204">
        <v>0</v>
      </c>
      <c r="U206" s="206">
        <v>0</v>
      </c>
      <c r="V206" s="206">
        <v>0</v>
      </c>
      <c r="W206" s="206">
        <v>0</v>
      </c>
      <c r="X206" s="206">
        <f t="array" ref="X206">IF(X$78&gt;" ",(X$628:X$1078),"")</f>
        <v>0</v>
      </c>
      <c r="Y206" s="206">
        <f t="array" ref="Y206">IF(Y$78&gt;" ",(Y$628:Y$1078),"")</f>
        <v>0</v>
      </c>
      <c r="Z206" s="206">
        <f t="array" ref="Z206">IF(Z$78&gt;" ",(Z$628:Z$1078),"")</f>
        <v>0</v>
      </c>
      <c r="AA206" s="206">
        <f t="array" ref="AA206">IF(AA$78&gt;" ",(AA$628:AA$1078),"")</f>
        <v>0</v>
      </c>
      <c r="AB206" s="210">
        <v>0</v>
      </c>
      <c r="AC206" s="204">
        <f t="shared" si="22"/>
        <v>0</v>
      </c>
      <c r="AD206" s="206">
        <f t="shared" si="23"/>
        <v>0</v>
      </c>
      <c r="AE206" s="206">
        <f t="shared" si="24"/>
        <v>0</v>
      </c>
      <c r="AF206" s="206">
        <f t="shared" si="25"/>
        <v>0</v>
      </c>
      <c r="AG206" s="206">
        <f t="shared" si="26"/>
        <v>0</v>
      </c>
      <c r="AH206" s="206">
        <f t="shared" si="27"/>
        <v>0</v>
      </c>
      <c r="AI206" s="206">
        <f t="shared" si="28"/>
        <v>0</v>
      </c>
      <c r="AJ206" s="206">
        <f t="shared" si="29"/>
        <v>0</v>
      </c>
      <c r="AK206" s="206">
        <f t="shared" si="30"/>
        <v>0</v>
      </c>
      <c r="AL206" s="206">
        <f t="shared" si="31"/>
        <v>0</v>
      </c>
      <c r="AM206" s="214">
        <f t="shared" si="32"/>
        <v>0</v>
      </c>
      <c r="AN206" s="4"/>
      <c r="AO206" s="167">
        <v>1870</v>
      </c>
      <c r="AP206" s="215">
        <v>1.1098633956349867E-5</v>
      </c>
      <c r="AQ206" s="190">
        <v>2.7173063450253724E-5</v>
      </c>
      <c r="AR206" s="190">
        <v>1.3406580736299552E-12</v>
      </c>
      <c r="AS206" s="170">
        <v>1.4633472166072012E-12</v>
      </c>
      <c r="AU206" s="216">
        <v>97.122860058974311</v>
      </c>
      <c r="AV206" s="217">
        <v>97.115644255872098</v>
      </c>
      <c r="AW206" s="217">
        <v>94.474338632018089</v>
      </c>
      <c r="AX206" s="217">
        <v>94.622112247047525</v>
      </c>
      <c r="AY206" s="217"/>
      <c r="AZ206" s="218">
        <v>0</v>
      </c>
      <c r="BA206" s="8"/>
      <c r="BB206" s="219"/>
      <c r="BC206" s="220"/>
    </row>
    <row r="207" spans="15:55" x14ac:dyDescent="0.25">
      <c r="O207" s="195">
        <v>1865</v>
      </c>
      <c r="P207" s="202">
        <f t="shared" si="35"/>
        <v>0</v>
      </c>
      <c r="Q207" s="203">
        <f t="shared" si="35"/>
        <v>0</v>
      </c>
      <c r="R207" s="157">
        <f ca="1"/>
        <v>97.114950449551515</v>
      </c>
      <c r="T207" s="204">
        <v>0</v>
      </c>
      <c r="U207" s="206">
        <v>0</v>
      </c>
      <c r="V207" s="206">
        <v>0</v>
      </c>
      <c r="W207" s="206">
        <v>0</v>
      </c>
      <c r="X207" s="206">
        <f t="array" ref="X207">IF(X$78&gt;" ",(X$628:X$1078),"")</f>
        <v>0</v>
      </c>
      <c r="Y207" s="206">
        <f t="array" ref="Y207">IF(Y$78&gt;" ",(Y$628:Y$1078),"")</f>
        <v>0</v>
      </c>
      <c r="Z207" s="206">
        <f t="array" ref="Z207">IF(Z$78&gt;" ",(Z$628:Z$1078),"")</f>
        <v>0</v>
      </c>
      <c r="AA207" s="206">
        <f t="array" ref="AA207">IF(AA$78&gt;" ",(AA$628:AA$1078),"")</f>
        <v>0</v>
      </c>
      <c r="AB207" s="210">
        <v>0</v>
      </c>
      <c r="AC207" s="204">
        <f t="shared" si="22"/>
        <v>0</v>
      </c>
      <c r="AD207" s="206">
        <f t="shared" si="23"/>
        <v>0</v>
      </c>
      <c r="AE207" s="206">
        <f t="shared" si="24"/>
        <v>0</v>
      </c>
      <c r="AF207" s="206">
        <f t="shared" si="25"/>
        <v>0</v>
      </c>
      <c r="AG207" s="206">
        <f t="shared" si="26"/>
        <v>0</v>
      </c>
      <c r="AH207" s="206">
        <f t="shared" si="27"/>
        <v>0</v>
      </c>
      <c r="AI207" s="206">
        <f t="shared" si="28"/>
        <v>0</v>
      </c>
      <c r="AJ207" s="206">
        <f t="shared" si="29"/>
        <v>0</v>
      </c>
      <c r="AK207" s="206">
        <f t="shared" si="30"/>
        <v>0</v>
      </c>
      <c r="AL207" s="206">
        <f t="shared" si="31"/>
        <v>0</v>
      </c>
      <c r="AM207" s="214">
        <f t="shared" si="32"/>
        <v>0</v>
      </c>
      <c r="AN207" s="219">
        <f>$AL$206+((($AL$209-$AL$206)/($O$209-$O$206))*(O207-$O$206))</f>
        <v>0</v>
      </c>
      <c r="AO207" s="167">
        <v>1865</v>
      </c>
      <c r="AP207" s="215">
        <v>1.149501374050522E-5</v>
      </c>
      <c r="AQ207" s="190">
        <v>3.0334583350945983E-5</v>
      </c>
      <c r="AR207" s="190">
        <v>8.5391401269161725E-8</v>
      </c>
      <c r="AS207" s="170">
        <v>9.3146516265910414E-8</v>
      </c>
      <c r="AU207" s="216">
        <v>97.128499921954969</v>
      </c>
      <c r="AV207" s="217">
        <v>97.114950449551515</v>
      </c>
      <c r="AW207" s="217">
        <v>94.509092991484167</v>
      </c>
      <c r="AX207" s="217">
        <v>94.657280760559871</v>
      </c>
      <c r="AY207" s="217"/>
      <c r="AZ207" s="218">
        <v>0</v>
      </c>
      <c r="BA207" s="8"/>
      <c r="BB207" s="219"/>
      <c r="BC207" s="220"/>
    </row>
    <row r="208" spans="15:55" x14ac:dyDescent="0.25">
      <c r="O208" s="195">
        <v>1860</v>
      </c>
      <c r="P208" s="202">
        <f t="shared" ref="P208:Q223" si="36">P756</f>
        <v>0</v>
      </c>
      <c r="Q208" s="203">
        <f t="shared" si="36"/>
        <v>0</v>
      </c>
      <c r="R208" s="157">
        <f ca="1"/>
        <v>97.114256643230945</v>
      </c>
      <c r="T208" s="204">
        <v>0</v>
      </c>
      <c r="U208" s="206">
        <v>0</v>
      </c>
      <c r="V208" s="206">
        <v>0</v>
      </c>
      <c r="W208" s="206">
        <v>0</v>
      </c>
      <c r="X208" s="206">
        <f t="array" ref="X208">IF(X$78&gt;" ",(X$628:X$1078),"")</f>
        <v>0</v>
      </c>
      <c r="Y208" s="206">
        <f t="array" ref="Y208">IF(Y$78&gt;" ",(Y$628:Y$1078),"")</f>
        <v>0</v>
      </c>
      <c r="Z208" s="206">
        <f t="array" ref="Z208">IF(Z$78&gt;" ",(Z$628:Z$1078),"")</f>
        <v>0</v>
      </c>
      <c r="AA208" s="206">
        <f t="array" ref="AA208">IF(AA$78&gt;" ",(AA$628:AA$1078),"")</f>
        <v>0</v>
      </c>
      <c r="AB208" s="210">
        <v>0</v>
      </c>
      <c r="AC208" s="204">
        <f t="shared" si="22"/>
        <v>0</v>
      </c>
      <c r="AD208" s="206">
        <f t="shared" si="23"/>
        <v>0</v>
      </c>
      <c r="AE208" s="206">
        <f t="shared" si="24"/>
        <v>0</v>
      </c>
      <c r="AF208" s="206">
        <f t="shared" si="25"/>
        <v>0</v>
      </c>
      <c r="AG208" s="206">
        <f t="shared" si="26"/>
        <v>0</v>
      </c>
      <c r="AH208" s="206">
        <f t="shared" si="27"/>
        <v>0</v>
      </c>
      <c r="AI208" s="206">
        <f t="shared" si="28"/>
        <v>0</v>
      </c>
      <c r="AJ208" s="206">
        <f t="shared" si="29"/>
        <v>0</v>
      </c>
      <c r="AK208" s="206">
        <f t="shared" si="30"/>
        <v>0</v>
      </c>
      <c r="AL208" s="206">
        <f t="shared" si="31"/>
        <v>0</v>
      </c>
      <c r="AM208" s="214">
        <f t="shared" si="32"/>
        <v>0</v>
      </c>
      <c r="AN208" s="219">
        <f>$AL$206+((($AL$209-$AL$206)/($O$209-$O$206))*(O208-$O$206))</f>
        <v>0</v>
      </c>
      <c r="AO208" s="167">
        <v>1860</v>
      </c>
      <c r="AP208" s="215">
        <v>1.1891393524660571E-5</v>
      </c>
      <c r="AQ208" s="190">
        <v>3.3496103251638243E-5</v>
      </c>
      <c r="AR208" s="190">
        <v>5.6071105614911228E-8</v>
      </c>
      <c r="AS208" s="170">
        <v>6.1112710744036394E-8</v>
      </c>
      <c r="AU208" s="216">
        <v>97.134139784935613</v>
      </c>
      <c r="AV208" s="217">
        <v>97.114256643230945</v>
      </c>
      <c r="AW208" s="217">
        <v>94.54384735095023</v>
      </c>
      <c r="AX208" s="217">
        <v>94.692449274072217</v>
      </c>
      <c r="AY208" s="217"/>
      <c r="AZ208" s="218">
        <v>0</v>
      </c>
      <c r="BA208" s="8"/>
      <c r="BB208" s="219"/>
      <c r="BC208" s="220"/>
    </row>
    <row r="209" spans="15:55" x14ac:dyDescent="0.25">
      <c r="O209" s="195">
        <v>1855</v>
      </c>
      <c r="P209" s="202">
        <f t="shared" si="36"/>
        <v>0</v>
      </c>
      <c r="Q209" s="203">
        <f t="shared" si="36"/>
        <v>0</v>
      </c>
      <c r="R209" s="157">
        <f ca="1"/>
        <v>97.113562836910361</v>
      </c>
      <c r="T209" s="204">
        <v>0</v>
      </c>
      <c r="U209" s="206">
        <v>0</v>
      </c>
      <c r="V209" s="206">
        <v>0</v>
      </c>
      <c r="W209" s="206">
        <v>0</v>
      </c>
      <c r="X209" s="206">
        <f t="array" ref="X209">IF(X$78&gt;" ",(X$628:X$1078),"")</f>
        <v>0</v>
      </c>
      <c r="Y209" s="206">
        <f t="array" ref="Y209">IF(Y$78&gt;" ",(Y$628:Y$1078),"")</f>
        <v>0</v>
      </c>
      <c r="Z209" s="206">
        <f t="array" ref="Z209">IF(Z$78&gt;" ",(Z$628:Z$1078),"")</f>
        <v>0</v>
      </c>
      <c r="AA209" s="206">
        <f t="array" ref="AA209">IF(AA$78&gt;" ",(AA$628:AA$1078),"")</f>
        <v>0</v>
      </c>
      <c r="AB209" s="210">
        <v>0</v>
      </c>
      <c r="AC209" s="204">
        <f t="shared" ref="AC209:AC272" si="37">T209</f>
        <v>0</v>
      </c>
      <c r="AD209" s="206">
        <f t="shared" ref="AD209:AD272" si="38">U209</f>
        <v>0</v>
      </c>
      <c r="AE209" s="206">
        <f t="shared" ref="AE209:AE272" si="39">V209</f>
        <v>0</v>
      </c>
      <c r="AF209" s="206">
        <f t="shared" ref="AF209:AF272" si="40">W209</f>
        <v>0</v>
      </c>
      <c r="AG209" s="206">
        <f t="shared" ref="AG209:AG272" si="41">X209</f>
        <v>0</v>
      </c>
      <c r="AH209" s="206">
        <f t="shared" ref="AH209:AH272" si="42">Y209</f>
        <v>0</v>
      </c>
      <c r="AI209" s="206">
        <f t="shared" ref="AI209:AI272" si="43">Z209</f>
        <v>0</v>
      </c>
      <c r="AJ209" s="206">
        <f t="shared" ref="AJ209:AJ272" si="44">AA209</f>
        <v>0</v>
      </c>
      <c r="AK209" s="206">
        <f t="shared" ref="AK209:AK272" si="45">AB209</f>
        <v>0</v>
      </c>
      <c r="AL209" s="206">
        <f t="shared" ref="AL209:AL272" si="46">AVERAGE(AC209:AK209)</f>
        <v>0</v>
      </c>
      <c r="AM209" s="214">
        <f t="shared" ref="AM209:AM272" si="47">AL209/100</f>
        <v>0</v>
      </c>
      <c r="AN209" s="219"/>
      <c r="AO209" s="167">
        <v>1855</v>
      </c>
      <c r="AP209" s="215">
        <v>2.6623508835767838E-5</v>
      </c>
      <c r="AQ209" s="190">
        <v>3.6657623152330503E-5</v>
      </c>
      <c r="AR209" s="190">
        <v>1.4278496233889509E-9</v>
      </c>
      <c r="AS209" s="170">
        <v>1.5555199589107066E-9</v>
      </c>
      <c r="AU209" s="216">
        <v>97.139779647916271</v>
      </c>
      <c r="AV209" s="217">
        <v>97.113562836910361</v>
      </c>
      <c r="AW209" s="217">
        <v>94.578601710416308</v>
      </c>
      <c r="AX209" s="217">
        <v>94.727617787584563</v>
      </c>
      <c r="AY209" s="217"/>
      <c r="AZ209" s="218">
        <v>0</v>
      </c>
      <c r="BA209" s="8"/>
      <c r="BB209" s="219"/>
      <c r="BC209" s="220"/>
    </row>
    <row r="210" spans="15:55" x14ac:dyDescent="0.25">
      <c r="O210" s="195">
        <v>1850</v>
      </c>
      <c r="P210" s="202">
        <f t="shared" si="36"/>
        <v>0</v>
      </c>
      <c r="Q210" s="203">
        <f t="shared" si="36"/>
        <v>0</v>
      </c>
      <c r="R210" s="157">
        <f ca="1"/>
        <v>97.127127850552995</v>
      </c>
      <c r="T210" s="204">
        <v>0</v>
      </c>
      <c r="U210" s="206">
        <v>0</v>
      </c>
      <c r="V210" s="206">
        <v>0</v>
      </c>
      <c r="W210" s="206">
        <v>0</v>
      </c>
      <c r="X210" s="206">
        <f t="array" ref="X210">IF(X$78&gt;" ",(X$628:X$1078),"")</f>
        <v>0</v>
      </c>
      <c r="Y210" s="206">
        <f t="array" ref="Y210">IF(Y$78&gt;" ",(Y$628:Y$1078),"")</f>
        <v>0</v>
      </c>
      <c r="Z210" s="206">
        <f t="array" ref="Z210">IF(Z$78&gt;" ",(Z$628:Z$1078),"")</f>
        <v>0</v>
      </c>
      <c r="AA210" s="206">
        <f t="array" ref="AA210">IF(AA$78&gt;" ",(AA$628:AA$1078),"")</f>
        <v>0</v>
      </c>
      <c r="AB210" s="210">
        <v>0</v>
      </c>
      <c r="AC210" s="204">
        <f t="shared" si="37"/>
        <v>0</v>
      </c>
      <c r="AD210" s="206">
        <f t="shared" si="38"/>
        <v>0</v>
      </c>
      <c r="AE210" s="206">
        <f t="shared" si="39"/>
        <v>0</v>
      </c>
      <c r="AF210" s="206">
        <f t="shared" si="40"/>
        <v>0</v>
      </c>
      <c r="AG210" s="206">
        <f t="shared" si="41"/>
        <v>0</v>
      </c>
      <c r="AH210" s="206">
        <f t="shared" si="42"/>
        <v>0</v>
      </c>
      <c r="AI210" s="206">
        <f t="shared" si="43"/>
        <v>0</v>
      </c>
      <c r="AJ210" s="206">
        <f t="shared" si="44"/>
        <v>0</v>
      </c>
      <c r="AK210" s="206">
        <f t="shared" si="45"/>
        <v>0</v>
      </c>
      <c r="AL210" s="206">
        <f t="shared" si="46"/>
        <v>0</v>
      </c>
      <c r="AM210" s="214">
        <f t="shared" si="47"/>
        <v>0</v>
      </c>
      <c r="AN210" s="4"/>
      <c r="AO210" s="167">
        <v>1850</v>
      </c>
      <c r="AP210" s="215">
        <v>4.1421687444234318E-5</v>
      </c>
      <c r="AQ210" s="190">
        <v>3.9819143053022762E-5</v>
      </c>
      <c r="AR210" s="190">
        <v>1.5081523367483026E-8</v>
      </c>
      <c r="AS210" s="170">
        <v>1.6424320832563919E-8</v>
      </c>
      <c r="AU210" s="216">
        <v>97.153811627214267</v>
      </c>
      <c r="AV210" s="217">
        <v>97.127127850552995</v>
      </c>
      <c r="AW210" s="217">
        <v>94.594144354510647</v>
      </c>
      <c r="AX210" s="217">
        <v>94.737459990977527</v>
      </c>
      <c r="AY210" s="217"/>
      <c r="AZ210" s="218">
        <v>0</v>
      </c>
      <c r="BA210" s="8"/>
      <c r="BB210" s="219"/>
      <c r="BC210" s="220"/>
    </row>
    <row r="211" spans="15:55" x14ac:dyDescent="0.25">
      <c r="O211" s="195">
        <v>1845</v>
      </c>
      <c r="P211" s="202">
        <f t="shared" si="36"/>
        <v>0</v>
      </c>
      <c r="Q211" s="203">
        <f t="shared" si="36"/>
        <v>0</v>
      </c>
      <c r="R211" s="157">
        <f ca="1"/>
        <v>97.14630979509532</v>
      </c>
      <c r="T211" s="204">
        <v>0</v>
      </c>
      <c r="U211" s="206">
        <v>0</v>
      </c>
      <c r="V211" s="206">
        <v>0</v>
      </c>
      <c r="W211" s="206">
        <v>0</v>
      </c>
      <c r="X211" s="206">
        <f t="array" ref="X211">IF(X$78&gt;" ",(X$628:X$1078),"")</f>
        <v>0</v>
      </c>
      <c r="Y211" s="206">
        <f t="array" ref="Y211">IF(Y$78&gt;" ",(Y$628:Y$1078),"")</f>
        <v>0</v>
      </c>
      <c r="Z211" s="206">
        <f t="array" ref="Z211">IF(Z$78&gt;" ",(Z$628:Z$1078),"")</f>
        <v>0</v>
      </c>
      <c r="AA211" s="206">
        <f t="array" ref="AA211">IF(AA$78&gt;" ",(AA$628:AA$1078),"")</f>
        <v>0</v>
      </c>
      <c r="AB211" s="210">
        <v>0</v>
      </c>
      <c r="AC211" s="204">
        <f t="shared" si="37"/>
        <v>0</v>
      </c>
      <c r="AD211" s="206">
        <f t="shared" si="38"/>
        <v>0</v>
      </c>
      <c r="AE211" s="206">
        <f t="shared" si="39"/>
        <v>0</v>
      </c>
      <c r="AF211" s="206">
        <f t="shared" si="40"/>
        <v>0</v>
      </c>
      <c r="AG211" s="206">
        <f t="shared" si="41"/>
        <v>0</v>
      </c>
      <c r="AH211" s="206">
        <f t="shared" si="42"/>
        <v>0</v>
      </c>
      <c r="AI211" s="206">
        <f t="shared" si="43"/>
        <v>0</v>
      </c>
      <c r="AJ211" s="206">
        <f t="shared" si="44"/>
        <v>0</v>
      </c>
      <c r="AK211" s="206">
        <f t="shared" si="45"/>
        <v>0</v>
      </c>
      <c r="AL211" s="206">
        <f t="shared" si="46"/>
        <v>0</v>
      </c>
      <c r="AM211" s="214">
        <f t="shared" si="47"/>
        <v>0</v>
      </c>
      <c r="AN211" s="4"/>
      <c r="AO211" s="167">
        <v>1845</v>
      </c>
      <c r="AP211" s="215">
        <v>5.6153802755341586E-5</v>
      </c>
      <c r="AQ211" s="190">
        <v>5.7417603512888857E-5</v>
      </c>
      <c r="AR211" s="190">
        <v>3.1506621250283453E-8</v>
      </c>
      <c r="AS211" s="170">
        <v>3.430482548706908E-8</v>
      </c>
      <c r="AU211" s="216">
        <v>97.143235323695706</v>
      </c>
      <c r="AV211" s="217">
        <v>97.14630979509532</v>
      </c>
      <c r="AW211" s="217">
        <v>94.634809064052419</v>
      </c>
      <c r="AX211" s="217">
        <v>94.7709728365827</v>
      </c>
      <c r="AY211" s="217"/>
      <c r="AZ211" s="218">
        <v>0</v>
      </c>
      <c r="BA211" s="8"/>
      <c r="BB211" s="219"/>
      <c r="BC211" s="220"/>
    </row>
    <row r="212" spans="15:55" x14ac:dyDescent="0.25">
      <c r="O212" s="195">
        <v>1840</v>
      </c>
      <c r="P212" s="202">
        <f t="shared" si="36"/>
        <v>0</v>
      </c>
      <c r="Q212" s="203">
        <f t="shared" si="36"/>
        <v>0</v>
      </c>
      <c r="R212" s="157">
        <f ca="1"/>
        <v>97.140159392256237</v>
      </c>
      <c r="T212" s="204">
        <v>0</v>
      </c>
      <c r="U212" s="206">
        <v>0</v>
      </c>
      <c r="V212" s="206">
        <v>0</v>
      </c>
      <c r="W212" s="206">
        <v>0</v>
      </c>
      <c r="X212" s="206">
        <f t="array" ref="X212">IF(X$78&gt;" ",(X$628:X$1078),"")</f>
        <v>0</v>
      </c>
      <c r="Y212" s="206">
        <f t="array" ref="Y212">IF(Y$78&gt;" ",(Y$628:Y$1078),"")</f>
        <v>0</v>
      </c>
      <c r="Z212" s="206">
        <f t="array" ref="Z212">IF(Z$78&gt;" ",(Z$628:Z$1078),"")</f>
        <v>0</v>
      </c>
      <c r="AA212" s="206">
        <f t="array" ref="AA212">IF(AA$78&gt;" ",(AA$628:AA$1078),"")</f>
        <v>0</v>
      </c>
      <c r="AB212" s="210">
        <v>0</v>
      </c>
      <c r="AC212" s="204">
        <f t="shared" si="37"/>
        <v>0</v>
      </c>
      <c r="AD212" s="206">
        <f t="shared" si="38"/>
        <v>0</v>
      </c>
      <c r="AE212" s="206">
        <f t="shared" si="39"/>
        <v>0</v>
      </c>
      <c r="AF212" s="206">
        <f t="shared" si="40"/>
        <v>0</v>
      </c>
      <c r="AG212" s="206">
        <f t="shared" si="41"/>
        <v>0</v>
      </c>
      <c r="AH212" s="206">
        <f t="shared" si="42"/>
        <v>0</v>
      </c>
      <c r="AI212" s="206">
        <f t="shared" si="43"/>
        <v>0</v>
      </c>
      <c r="AJ212" s="206">
        <f t="shared" si="44"/>
        <v>0</v>
      </c>
      <c r="AK212" s="206">
        <f t="shared" si="45"/>
        <v>0</v>
      </c>
      <c r="AL212" s="206">
        <f t="shared" si="46"/>
        <v>0</v>
      </c>
      <c r="AM212" s="214">
        <f t="shared" si="47"/>
        <v>0</v>
      </c>
      <c r="AN212" s="4"/>
      <c r="AO212" s="167">
        <v>1840</v>
      </c>
      <c r="AP212" s="215">
        <v>7.0885918066448855E-5</v>
      </c>
      <c r="AQ212" s="190">
        <v>7.5016063972754951E-5</v>
      </c>
      <c r="AR212" s="190">
        <v>3.1529248815099799E-10</v>
      </c>
      <c r="AS212" s="170">
        <v>3.4326651455191945E-10</v>
      </c>
      <c r="AU212" s="216">
        <v>97.137491876111937</v>
      </c>
      <c r="AV212" s="217">
        <v>97.140159392256237</v>
      </c>
      <c r="AW212" s="217">
        <v>94.659266273209866</v>
      </c>
      <c r="AX212" s="217">
        <v>94.804583412605169</v>
      </c>
      <c r="AY212" s="217"/>
      <c r="AZ212" s="218">
        <v>0</v>
      </c>
      <c r="BA212" s="8"/>
      <c r="BB212" s="219"/>
      <c r="BC212" s="220"/>
    </row>
    <row r="213" spans="15:55" x14ac:dyDescent="0.25">
      <c r="O213" s="195">
        <v>1835</v>
      </c>
      <c r="P213" s="202">
        <f t="shared" si="36"/>
        <v>0</v>
      </c>
      <c r="Q213" s="203">
        <f t="shared" si="36"/>
        <v>0</v>
      </c>
      <c r="R213" s="157">
        <f ca="1"/>
        <v>97.147885124396808</v>
      </c>
      <c r="T213" s="204">
        <v>0</v>
      </c>
      <c r="U213" s="206">
        <v>0</v>
      </c>
      <c r="V213" s="206">
        <v>0</v>
      </c>
      <c r="W213" s="206">
        <v>0</v>
      </c>
      <c r="X213" s="206">
        <f t="array" ref="X213">IF(X$78&gt;" ",(X$628:X$1078),"")</f>
        <v>0</v>
      </c>
      <c r="Y213" s="206">
        <f t="array" ref="Y213">IF(Y$78&gt;" ",(Y$628:Y$1078),"")</f>
        <v>0</v>
      </c>
      <c r="Z213" s="206">
        <f t="array" ref="Z213">IF(Z$78&gt;" ",(Z$628:Z$1078),"")</f>
        <v>0</v>
      </c>
      <c r="AA213" s="206">
        <f t="array" ref="AA213">IF(AA$78&gt;" ",(AA$628:AA$1078),"")</f>
        <v>0</v>
      </c>
      <c r="AB213" s="210">
        <v>0</v>
      </c>
      <c r="AC213" s="204">
        <f t="shared" si="37"/>
        <v>0</v>
      </c>
      <c r="AD213" s="206">
        <f t="shared" si="38"/>
        <v>0</v>
      </c>
      <c r="AE213" s="206">
        <f t="shared" si="39"/>
        <v>0</v>
      </c>
      <c r="AF213" s="206">
        <f t="shared" si="40"/>
        <v>0</v>
      </c>
      <c r="AG213" s="206">
        <f t="shared" si="41"/>
        <v>0</v>
      </c>
      <c r="AH213" s="206">
        <f t="shared" si="42"/>
        <v>0</v>
      </c>
      <c r="AI213" s="206">
        <f t="shared" si="43"/>
        <v>0</v>
      </c>
      <c r="AJ213" s="206">
        <f t="shared" si="44"/>
        <v>0</v>
      </c>
      <c r="AK213" s="206">
        <f t="shared" si="45"/>
        <v>0</v>
      </c>
      <c r="AL213" s="206">
        <f t="shared" si="46"/>
        <v>0</v>
      </c>
      <c r="AM213" s="214">
        <f t="shared" si="47"/>
        <v>0</v>
      </c>
      <c r="AN213" s="4"/>
      <c r="AO213" s="167">
        <v>1835</v>
      </c>
      <c r="AP213" s="215">
        <v>8.5684096674915348E-5</v>
      </c>
      <c r="AQ213" s="190">
        <v>9.2614524432621032E-5</v>
      </c>
      <c r="AR213" s="190">
        <v>3.2276964123586686E-8</v>
      </c>
      <c r="AS213" s="170">
        <v>3.5136450836571252E-8</v>
      </c>
      <c r="AU213" s="216">
        <v>97.159312099479848</v>
      </c>
      <c r="AV213" s="217">
        <v>97.147885124396808</v>
      </c>
      <c r="AW213" s="217">
        <v>94.671301025705006</v>
      </c>
      <c r="AX213" s="217">
        <v>94.824370029079759</v>
      </c>
      <c r="AY213" s="217"/>
      <c r="AZ213" s="218">
        <v>0</v>
      </c>
      <c r="BA213" s="8"/>
      <c r="BB213" s="219"/>
      <c r="BC213" s="220"/>
    </row>
    <row r="214" spans="15:55" x14ac:dyDescent="0.25">
      <c r="O214" s="195">
        <v>1830</v>
      </c>
      <c r="P214" s="202">
        <f t="shared" si="36"/>
        <v>0</v>
      </c>
      <c r="Q214" s="203">
        <f t="shared" si="36"/>
        <v>0</v>
      </c>
      <c r="R214" s="157">
        <f ca="1"/>
        <v>97.169960994209575</v>
      </c>
      <c r="T214" s="204">
        <v>0</v>
      </c>
      <c r="U214" s="206">
        <v>0</v>
      </c>
      <c r="V214" s="206">
        <v>0</v>
      </c>
      <c r="W214" s="206">
        <v>0</v>
      </c>
      <c r="X214" s="206">
        <f t="array" ref="X214">IF(X$78&gt;" ",(X$628:X$1078),"")</f>
        <v>0</v>
      </c>
      <c r="Y214" s="206">
        <f t="array" ref="Y214">IF(Y$78&gt;" ",(Y$628:Y$1078),"")</f>
        <v>0</v>
      </c>
      <c r="Z214" s="206">
        <f t="array" ref="Z214">IF(Z$78&gt;" ",(Z$628:Z$1078),"")</f>
        <v>0</v>
      </c>
      <c r="AA214" s="206">
        <f t="array" ref="AA214">IF(AA$78&gt;" ",(AA$628:AA$1078),"")</f>
        <v>0</v>
      </c>
      <c r="AB214" s="210">
        <v>0</v>
      </c>
      <c r="AC214" s="204">
        <f t="shared" si="37"/>
        <v>0</v>
      </c>
      <c r="AD214" s="206">
        <f t="shared" si="38"/>
        <v>0</v>
      </c>
      <c r="AE214" s="206">
        <f t="shared" si="39"/>
        <v>0</v>
      </c>
      <c r="AF214" s="206">
        <f t="shared" si="40"/>
        <v>0</v>
      </c>
      <c r="AG214" s="206">
        <f t="shared" si="41"/>
        <v>0</v>
      </c>
      <c r="AH214" s="206">
        <f t="shared" si="42"/>
        <v>0</v>
      </c>
      <c r="AI214" s="206">
        <f t="shared" si="43"/>
        <v>0</v>
      </c>
      <c r="AJ214" s="206">
        <f t="shared" si="44"/>
        <v>0</v>
      </c>
      <c r="AK214" s="206">
        <f t="shared" si="45"/>
        <v>0</v>
      </c>
      <c r="AL214" s="206">
        <f t="shared" si="46"/>
        <v>0</v>
      </c>
      <c r="AM214" s="214">
        <f t="shared" si="47"/>
        <v>0</v>
      </c>
      <c r="AN214" s="4"/>
      <c r="AO214" s="167">
        <v>1830</v>
      </c>
      <c r="AP214" s="215">
        <v>1.004162119860226E-4</v>
      </c>
      <c r="AQ214" s="190">
        <v>1.1021298489248713E-4</v>
      </c>
      <c r="AR214" s="190">
        <v>2.6168024457946326E-8</v>
      </c>
      <c r="AS214" s="170">
        <v>2.8483448040553815E-8</v>
      </c>
      <c r="AU214" s="216">
        <v>97.170223259100496</v>
      </c>
      <c r="AV214" s="217">
        <v>97.169960994209575</v>
      </c>
      <c r="AW214" s="217">
        <v>94.701142858291618</v>
      </c>
      <c r="AX214" s="217">
        <v>94.849364721113488</v>
      </c>
      <c r="AY214" s="217"/>
      <c r="AZ214" s="218">
        <v>0</v>
      </c>
      <c r="BA214" s="8"/>
      <c r="BB214" s="219"/>
      <c r="BC214" s="220"/>
    </row>
    <row r="215" spans="15:55" x14ac:dyDescent="0.25">
      <c r="O215" s="195">
        <v>1825</v>
      </c>
      <c r="P215" s="202">
        <f t="shared" si="36"/>
        <v>0</v>
      </c>
      <c r="Q215" s="203">
        <f t="shared" si="36"/>
        <v>0</v>
      </c>
      <c r="R215" s="157">
        <f ca="1"/>
        <v>97.179036541579876</v>
      </c>
      <c r="T215" s="204">
        <v>0</v>
      </c>
      <c r="U215" s="206">
        <v>0</v>
      </c>
      <c r="V215" s="206">
        <v>0</v>
      </c>
      <c r="W215" s="206">
        <v>0</v>
      </c>
      <c r="X215" s="206">
        <f t="array" ref="X215">IF(X$78&gt;" ",(X$628:X$1078),"")</f>
        <v>0</v>
      </c>
      <c r="Y215" s="206">
        <f t="array" ref="Y215">IF(Y$78&gt;" ",(Y$628:Y$1078),"")</f>
        <v>0</v>
      </c>
      <c r="Z215" s="206">
        <f t="array" ref="Z215">IF(Z$78&gt;" ",(Z$628:Z$1078),"")</f>
        <v>0</v>
      </c>
      <c r="AA215" s="206">
        <f t="array" ref="AA215">IF(AA$78&gt;" ",(AA$628:AA$1078),"")</f>
        <v>0</v>
      </c>
      <c r="AB215" s="210">
        <v>0</v>
      </c>
      <c r="AC215" s="204">
        <f t="shared" si="37"/>
        <v>0</v>
      </c>
      <c r="AD215" s="206">
        <f t="shared" si="38"/>
        <v>0</v>
      </c>
      <c r="AE215" s="206">
        <f t="shared" si="39"/>
        <v>0</v>
      </c>
      <c r="AF215" s="206">
        <f t="shared" si="40"/>
        <v>0</v>
      </c>
      <c r="AG215" s="206">
        <f t="shared" si="41"/>
        <v>0</v>
      </c>
      <c r="AH215" s="206">
        <f t="shared" si="42"/>
        <v>0</v>
      </c>
      <c r="AI215" s="206">
        <f t="shared" si="43"/>
        <v>0</v>
      </c>
      <c r="AJ215" s="206">
        <f t="shared" si="44"/>
        <v>0</v>
      </c>
      <c r="AK215" s="206">
        <f t="shared" si="45"/>
        <v>0</v>
      </c>
      <c r="AL215" s="206">
        <f t="shared" si="46"/>
        <v>0</v>
      </c>
      <c r="AM215" s="214">
        <f t="shared" si="47"/>
        <v>0</v>
      </c>
      <c r="AN215" s="4"/>
      <c r="AO215" s="167">
        <v>1825</v>
      </c>
      <c r="AP215" s="215">
        <v>1.1514832729712987E-4</v>
      </c>
      <c r="AQ215" s="190">
        <v>1.2781144535235322E-4</v>
      </c>
      <c r="AR215" s="190">
        <v>6.4081263559898534E-6</v>
      </c>
      <c r="AS215" s="170">
        <v>6.9747959157777078E-6</v>
      </c>
      <c r="AU215" s="216">
        <v>97.194607917568916</v>
      </c>
      <c r="AV215" s="217">
        <v>97.179036541579876</v>
      </c>
      <c r="AW215" s="217">
        <v>94.748497209151353</v>
      </c>
      <c r="AX215" s="217">
        <v>94.891848940817269</v>
      </c>
      <c r="AY215" s="217"/>
      <c r="AZ215" s="218">
        <v>0</v>
      </c>
      <c r="BA215" s="8"/>
      <c r="BB215" s="219"/>
      <c r="BC215" s="220"/>
    </row>
    <row r="216" spans="15:55" x14ac:dyDescent="0.25">
      <c r="O216" s="195">
        <v>1820</v>
      </c>
      <c r="P216" s="202">
        <f t="shared" si="36"/>
        <v>0</v>
      </c>
      <c r="Q216" s="203">
        <f t="shared" si="36"/>
        <v>0</v>
      </c>
      <c r="R216" s="157">
        <f ca="1"/>
        <v>97.178893383265532</v>
      </c>
      <c r="T216" s="204">
        <v>0</v>
      </c>
      <c r="U216" s="206">
        <v>0</v>
      </c>
      <c r="V216" s="206">
        <v>0</v>
      </c>
      <c r="W216" s="206">
        <v>0</v>
      </c>
      <c r="X216" s="206">
        <f t="array" ref="X216">IF(X$78&gt;" ",(X$628:X$1078),"")</f>
        <v>0</v>
      </c>
      <c r="Y216" s="206">
        <f t="array" ref="Y216">IF(Y$78&gt;" ",(Y$628:Y$1078),"")</f>
        <v>0</v>
      </c>
      <c r="Z216" s="206">
        <f t="array" ref="Z216">IF(Z$78&gt;" ",(Z$628:Z$1078),"")</f>
        <v>0</v>
      </c>
      <c r="AA216" s="206">
        <f t="array" ref="AA216">IF(AA$78&gt;" ",(AA$628:AA$1078),"")</f>
        <v>0</v>
      </c>
      <c r="AB216" s="210">
        <v>0</v>
      </c>
      <c r="AC216" s="204">
        <f t="shared" si="37"/>
        <v>0</v>
      </c>
      <c r="AD216" s="206">
        <f t="shared" si="38"/>
        <v>0</v>
      </c>
      <c r="AE216" s="206">
        <f t="shared" si="39"/>
        <v>0</v>
      </c>
      <c r="AF216" s="206">
        <f t="shared" si="40"/>
        <v>0</v>
      </c>
      <c r="AG216" s="206">
        <f t="shared" si="41"/>
        <v>0</v>
      </c>
      <c r="AH216" s="206">
        <f t="shared" si="42"/>
        <v>0</v>
      </c>
      <c r="AI216" s="206">
        <f t="shared" si="43"/>
        <v>0</v>
      </c>
      <c r="AJ216" s="206">
        <f t="shared" si="44"/>
        <v>0</v>
      </c>
      <c r="AK216" s="206">
        <f t="shared" si="45"/>
        <v>0</v>
      </c>
      <c r="AL216" s="206">
        <f t="shared" si="46"/>
        <v>0</v>
      </c>
      <c r="AM216" s="214">
        <f t="shared" si="47"/>
        <v>0</v>
      </c>
      <c r="AN216" s="4"/>
      <c r="AO216" s="167">
        <v>1820</v>
      </c>
      <c r="AP216" s="215">
        <v>1.2994650590559637E-4</v>
      </c>
      <c r="AQ216" s="190">
        <v>1.4540990581221928E-4</v>
      </c>
      <c r="AR216" s="190">
        <v>4.9657448076410703E-6</v>
      </c>
      <c r="AS216" s="170">
        <v>5.4048932035142368E-6</v>
      </c>
      <c r="AU216" s="216">
        <v>97.198530555266515</v>
      </c>
      <c r="AV216" s="217">
        <v>97.178893383265532</v>
      </c>
      <c r="AW216" s="217">
        <v>94.793101396233297</v>
      </c>
      <c r="AX216" s="217">
        <v>94.939489915014065</v>
      </c>
      <c r="AY216" s="217"/>
      <c r="AZ216" s="218">
        <v>0</v>
      </c>
      <c r="BA216" s="8"/>
      <c r="BB216" s="219"/>
      <c r="BC216" s="220"/>
    </row>
    <row r="217" spans="15:55" x14ac:dyDescent="0.25">
      <c r="O217" s="195">
        <v>1815</v>
      </c>
      <c r="P217" s="202">
        <f t="shared" si="36"/>
        <v>0</v>
      </c>
      <c r="Q217" s="203">
        <f t="shared" si="36"/>
        <v>0</v>
      </c>
      <c r="R217" s="157">
        <f ca="1"/>
        <v>97.189280324322411</v>
      </c>
      <c r="T217" s="204">
        <v>0</v>
      </c>
      <c r="U217" s="206">
        <v>0</v>
      </c>
      <c r="V217" s="206">
        <v>0</v>
      </c>
      <c r="W217" s="206">
        <v>0</v>
      </c>
      <c r="X217" s="206">
        <f t="array" ref="X217">IF(X$78&gt;" ",(X$628:X$1078),"")</f>
        <v>0</v>
      </c>
      <c r="Y217" s="206">
        <f t="array" ref="Y217">IF(Y$78&gt;" ",(Y$628:Y$1078),"")</f>
        <v>0</v>
      </c>
      <c r="Z217" s="206">
        <f t="array" ref="Z217">IF(Z$78&gt;" ",(Z$628:Z$1078),"")</f>
        <v>0</v>
      </c>
      <c r="AA217" s="206">
        <f t="array" ref="AA217">IF(AA$78&gt;" ",(AA$628:AA$1078),"")</f>
        <v>0</v>
      </c>
      <c r="AB217" s="210">
        <v>0</v>
      </c>
      <c r="AC217" s="204">
        <f t="shared" si="37"/>
        <v>0</v>
      </c>
      <c r="AD217" s="206">
        <f t="shared" si="38"/>
        <v>0</v>
      </c>
      <c r="AE217" s="206">
        <f t="shared" si="39"/>
        <v>0</v>
      </c>
      <c r="AF217" s="206">
        <f t="shared" si="40"/>
        <v>0</v>
      </c>
      <c r="AG217" s="206">
        <f t="shared" si="41"/>
        <v>0</v>
      </c>
      <c r="AH217" s="206">
        <f t="shared" si="42"/>
        <v>0</v>
      </c>
      <c r="AI217" s="206">
        <f t="shared" si="43"/>
        <v>0</v>
      </c>
      <c r="AJ217" s="206">
        <f t="shared" si="44"/>
        <v>0</v>
      </c>
      <c r="AK217" s="206">
        <f t="shared" si="45"/>
        <v>0</v>
      </c>
      <c r="AL217" s="206">
        <f t="shared" si="46"/>
        <v>0</v>
      </c>
      <c r="AM217" s="214">
        <f t="shared" si="47"/>
        <v>0</v>
      </c>
      <c r="AN217" s="4"/>
      <c r="AO217" s="167">
        <v>1815</v>
      </c>
      <c r="AP217" s="215">
        <v>1.4467862121670362E-4</v>
      </c>
      <c r="AQ217" s="190">
        <v>1.6300836627208538E-4</v>
      </c>
      <c r="AR217" s="190">
        <v>1.6501025933628614E-5</v>
      </c>
      <c r="AS217" s="170">
        <v>1.7960533204289011E-5</v>
      </c>
      <c r="AU217" s="216">
        <v>97.200954127715534</v>
      </c>
      <c r="AV217" s="217">
        <v>97.189280324322411</v>
      </c>
      <c r="AW217" s="217">
        <v>94.813562621881033</v>
      </c>
      <c r="AX217" s="217">
        <v>94.96329911799036</v>
      </c>
      <c r="AY217" s="217"/>
      <c r="AZ217" s="218">
        <v>0</v>
      </c>
      <c r="BA217" s="8"/>
      <c r="BB217" s="219"/>
      <c r="BC217" s="220"/>
    </row>
    <row r="218" spans="15:55" x14ac:dyDescent="0.25">
      <c r="O218" s="195">
        <v>1810</v>
      </c>
      <c r="P218" s="202">
        <f t="shared" si="36"/>
        <v>0</v>
      </c>
      <c r="Q218" s="203">
        <f t="shared" si="36"/>
        <v>0</v>
      </c>
      <c r="R218" s="157">
        <f ca="1"/>
        <v>97.194185534196492</v>
      </c>
      <c r="T218" s="204">
        <v>0</v>
      </c>
      <c r="U218" s="206">
        <v>0</v>
      </c>
      <c r="V218" s="206">
        <v>0</v>
      </c>
      <c r="W218" s="206">
        <v>0</v>
      </c>
      <c r="X218" s="206">
        <f t="array" ref="X218">IF(X$78&gt;" ",(X$628:X$1078),"")</f>
        <v>0</v>
      </c>
      <c r="Y218" s="206">
        <f t="array" ref="Y218">IF(Y$78&gt;" ",(Y$628:Y$1078),"")</f>
        <v>0</v>
      </c>
      <c r="Z218" s="206">
        <f t="array" ref="Z218">IF(Z$78&gt;" ",(Z$628:Z$1078),"")</f>
        <v>0</v>
      </c>
      <c r="AA218" s="206">
        <f t="array" ref="AA218">IF(AA$78&gt;" ",(AA$628:AA$1078),"")</f>
        <v>0</v>
      </c>
      <c r="AB218" s="210">
        <v>0</v>
      </c>
      <c r="AC218" s="204">
        <f t="shared" si="37"/>
        <v>0</v>
      </c>
      <c r="AD218" s="206">
        <f t="shared" si="38"/>
        <v>0</v>
      </c>
      <c r="AE218" s="206">
        <f t="shared" si="39"/>
        <v>0</v>
      </c>
      <c r="AF218" s="206">
        <f t="shared" si="40"/>
        <v>0</v>
      </c>
      <c r="AG218" s="206">
        <f t="shared" si="41"/>
        <v>0</v>
      </c>
      <c r="AH218" s="206">
        <f t="shared" si="42"/>
        <v>0</v>
      </c>
      <c r="AI218" s="206">
        <f t="shared" si="43"/>
        <v>0</v>
      </c>
      <c r="AJ218" s="206">
        <f t="shared" si="44"/>
        <v>0</v>
      </c>
      <c r="AK218" s="206">
        <f t="shared" si="45"/>
        <v>0</v>
      </c>
      <c r="AL218" s="206">
        <f t="shared" si="46"/>
        <v>0</v>
      </c>
      <c r="AM218" s="214">
        <f t="shared" si="47"/>
        <v>0</v>
      </c>
      <c r="AN218" s="4"/>
      <c r="AO218" s="167">
        <v>1810</v>
      </c>
      <c r="AP218" s="215">
        <v>1.5941073652781087E-4</v>
      </c>
      <c r="AQ218" s="190">
        <v>1.8060682673195149E-4</v>
      </c>
      <c r="AR218" s="190">
        <v>4.8730220753714119E-5</v>
      </c>
      <c r="AS218" s="170">
        <v>5.3032625416908213E-5</v>
      </c>
      <c r="AU218" s="216">
        <v>97.215298053800225</v>
      </c>
      <c r="AV218" s="217">
        <v>97.194185534196492</v>
      </c>
      <c r="AW218" s="217">
        <v>94.840004262358136</v>
      </c>
      <c r="AX218" s="217">
        <v>94.988661888824765</v>
      </c>
      <c r="AY218" s="217"/>
      <c r="AZ218" s="218">
        <v>0</v>
      </c>
      <c r="BA218" s="8"/>
      <c r="BB218" s="219"/>
      <c r="BC218" s="220"/>
    </row>
    <row r="219" spans="15:55" x14ac:dyDescent="0.25">
      <c r="O219" s="195">
        <v>1805</v>
      </c>
      <c r="P219" s="202">
        <f t="shared" si="36"/>
        <v>0</v>
      </c>
      <c r="Q219" s="203">
        <f t="shared" si="36"/>
        <v>0</v>
      </c>
      <c r="R219" s="157">
        <f ca="1"/>
        <v>97.212617543205752</v>
      </c>
      <c r="T219" s="204">
        <v>0</v>
      </c>
      <c r="U219" s="206">
        <v>0</v>
      </c>
      <c r="V219" s="206">
        <v>0</v>
      </c>
      <c r="W219" s="206">
        <v>0</v>
      </c>
      <c r="X219" s="206">
        <f t="array" ref="X219">IF(X$78&gt;" ",(X$628:X$1078),"")</f>
        <v>0</v>
      </c>
      <c r="Y219" s="206">
        <f t="array" ref="Y219">IF(Y$78&gt;" ",(Y$628:Y$1078),"")</f>
        <v>0</v>
      </c>
      <c r="Z219" s="206">
        <f t="array" ref="Z219">IF(Z$78&gt;" ",(Z$628:Z$1078),"")</f>
        <v>0</v>
      </c>
      <c r="AA219" s="206">
        <f t="array" ref="AA219">IF(AA$78&gt;" ",(AA$628:AA$1078),"")</f>
        <v>0</v>
      </c>
      <c r="AB219" s="210">
        <v>0</v>
      </c>
      <c r="AC219" s="204">
        <f t="shared" si="37"/>
        <v>0</v>
      </c>
      <c r="AD219" s="206">
        <f t="shared" si="38"/>
        <v>0</v>
      </c>
      <c r="AE219" s="206">
        <f t="shared" si="39"/>
        <v>0</v>
      </c>
      <c r="AF219" s="206">
        <f t="shared" si="40"/>
        <v>0</v>
      </c>
      <c r="AG219" s="206">
        <f t="shared" si="41"/>
        <v>0</v>
      </c>
      <c r="AH219" s="206">
        <f t="shared" si="42"/>
        <v>0</v>
      </c>
      <c r="AI219" s="206">
        <f t="shared" si="43"/>
        <v>0</v>
      </c>
      <c r="AJ219" s="206">
        <f t="shared" si="44"/>
        <v>0</v>
      </c>
      <c r="AK219" s="206">
        <f t="shared" si="45"/>
        <v>0</v>
      </c>
      <c r="AL219" s="206">
        <f t="shared" si="46"/>
        <v>0</v>
      </c>
      <c r="AM219" s="214">
        <f t="shared" si="47"/>
        <v>0</v>
      </c>
      <c r="AN219" s="4"/>
      <c r="AO219" s="167">
        <v>1805</v>
      </c>
      <c r="AP219" s="215">
        <v>1.7420891513627738E-4</v>
      </c>
      <c r="AQ219" s="190">
        <v>1.9820528719181757E-4</v>
      </c>
      <c r="AR219" s="190">
        <v>7.4494971723155752E-5</v>
      </c>
      <c r="AS219" s="170">
        <v>8.106388416917282E-5</v>
      </c>
      <c r="AU219" s="216">
        <v>97.214024458362061</v>
      </c>
      <c r="AV219" s="217">
        <v>97.212617543205752</v>
      </c>
      <c r="AW219" s="217">
        <v>94.871797609503915</v>
      </c>
      <c r="AX219" s="217">
        <v>95.018987786650669</v>
      </c>
      <c r="AY219" s="217"/>
      <c r="AZ219" s="218">
        <v>0</v>
      </c>
      <c r="BA219" s="8"/>
      <c r="BB219" s="219"/>
      <c r="BC219" s="220"/>
    </row>
    <row r="220" spans="15:55" x14ac:dyDescent="0.25">
      <c r="O220" s="195">
        <v>1800</v>
      </c>
      <c r="P220" s="202">
        <f t="shared" si="36"/>
        <v>0</v>
      </c>
      <c r="Q220" s="203">
        <f t="shared" si="36"/>
        <v>0</v>
      </c>
      <c r="R220" s="157">
        <f ca="1"/>
        <v>97.225054821324363</v>
      </c>
      <c r="T220" s="204">
        <v>0</v>
      </c>
      <c r="U220" s="206">
        <v>0</v>
      </c>
      <c r="V220" s="206">
        <v>0</v>
      </c>
      <c r="W220" s="206">
        <v>0</v>
      </c>
      <c r="X220" s="206">
        <f t="array" ref="X220">IF(X$78&gt;" ",(X$628:X$1078),"")</f>
        <v>0</v>
      </c>
      <c r="Y220" s="206">
        <f t="array" ref="Y220">IF(Y$78&gt;" ",(Y$628:Y$1078),"")</f>
        <v>0</v>
      </c>
      <c r="Z220" s="206">
        <f t="array" ref="Z220">IF(Z$78&gt;" ",(Z$628:Z$1078),"")</f>
        <v>0</v>
      </c>
      <c r="AA220" s="206">
        <f t="array" ref="AA220">IF(AA$78&gt;" ",(AA$628:AA$1078),"")</f>
        <v>0</v>
      </c>
      <c r="AB220" s="210">
        <v>0</v>
      </c>
      <c r="AC220" s="204">
        <f t="shared" si="37"/>
        <v>0</v>
      </c>
      <c r="AD220" s="206">
        <f t="shared" si="38"/>
        <v>0</v>
      </c>
      <c r="AE220" s="206">
        <f t="shared" si="39"/>
        <v>0</v>
      </c>
      <c r="AF220" s="206">
        <f t="shared" si="40"/>
        <v>0</v>
      </c>
      <c r="AG220" s="206">
        <f t="shared" si="41"/>
        <v>0</v>
      </c>
      <c r="AH220" s="206">
        <f t="shared" si="42"/>
        <v>0</v>
      </c>
      <c r="AI220" s="206">
        <f t="shared" si="43"/>
        <v>0</v>
      </c>
      <c r="AJ220" s="206">
        <f t="shared" si="44"/>
        <v>0</v>
      </c>
      <c r="AK220" s="206">
        <f t="shared" si="45"/>
        <v>0</v>
      </c>
      <c r="AL220" s="206">
        <f t="shared" si="46"/>
        <v>0</v>
      </c>
      <c r="AM220" s="214">
        <f t="shared" si="47"/>
        <v>0</v>
      </c>
      <c r="AN220" s="4"/>
      <c r="AO220" s="167">
        <v>1800</v>
      </c>
      <c r="AP220" s="215">
        <v>1.8894103044738464E-4</v>
      </c>
      <c r="AQ220" s="190">
        <v>2.1580374765168365E-4</v>
      </c>
      <c r="AR220" s="190">
        <v>1.6004225177216344E-4</v>
      </c>
      <c r="AS220" s="170">
        <v>1.7411526159967586E-4</v>
      </c>
      <c r="AU220" s="216">
        <v>97.229230933814904</v>
      </c>
      <c r="AV220" s="217">
        <v>97.225054821324363</v>
      </c>
      <c r="AW220" s="217">
        <v>94.905834256692515</v>
      </c>
      <c r="AX220" s="217">
        <v>95.046976286183835</v>
      </c>
      <c r="AY220" s="217"/>
      <c r="AZ220" s="218">
        <v>0</v>
      </c>
      <c r="BA220" s="8"/>
      <c r="BB220" s="219"/>
      <c r="BC220" s="220"/>
    </row>
    <row r="221" spans="15:55" x14ac:dyDescent="0.25">
      <c r="O221" s="195">
        <v>1795</v>
      </c>
      <c r="P221" s="202">
        <f t="shared" si="36"/>
        <v>0</v>
      </c>
      <c r="Q221" s="203">
        <f t="shared" si="36"/>
        <v>0</v>
      </c>
      <c r="R221" s="157">
        <f ca="1"/>
        <v>97.218155366059975</v>
      </c>
      <c r="T221" s="204">
        <v>0</v>
      </c>
      <c r="U221" s="206">
        <v>0</v>
      </c>
      <c r="V221" s="206">
        <v>0</v>
      </c>
      <c r="W221" s="206">
        <v>0</v>
      </c>
      <c r="X221" s="206">
        <f t="array" ref="X221">IF(X$78&gt;" ",(X$628:X$1078),"")</f>
        <v>0</v>
      </c>
      <c r="Y221" s="206">
        <f t="array" ref="Y221">IF(Y$78&gt;" ",(Y$628:Y$1078),"")</f>
        <v>0</v>
      </c>
      <c r="Z221" s="206">
        <f t="array" ref="Z221">IF(Z$78&gt;" ",(Z$628:Z$1078),"")</f>
        <v>0</v>
      </c>
      <c r="AA221" s="206">
        <f t="array" ref="AA221">IF(AA$78&gt;" ",(AA$628:AA$1078),"")</f>
        <v>0</v>
      </c>
      <c r="AB221" s="210">
        <v>0</v>
      </c>
      <c r="AC221" s="204">
        <f t="shared" si="37"/>
        <v>0</v>
      </c>
      <c r="AD221" s="206">
        <f t="shared" si="38"/>
        <v>0</v>
      </c>
      <c r="AE221" s="206">
        <f t="shared" si="39"/>
        <v>0</v>
      </c>
      <c r="AF221" s="206">
        <f t="shared" si="40"/>
        <v>0</v>
      </c>
      <c r="AG221" s="206">
        <f t="shared" si="41"/>
        <v>0</v>
      </c>
      <c r="AH221" s="206">
        <f t="shared" si="42"/>
        <v>0</v>
      </c>
      <c r="AI221" s="206">
        <f t="shared" si="43"/>
        <v>0</v>
      </c>
      <c r="AJ221" s="206">
        <f t="shared" si="44"/>
        <v>0</v>
      </c>
      <c r="AK221" s="206">
        <f t="shared" si="45"/>
        <v>0</v>
      </c>
      <c r="AL221" s="206">
        <f t="shared" si="46"/>
        <v>0</v>
      </c>
      <c r="AM221" s="214">
        <f t="shared" si="47"/>
        <v>0</v>
      </c>
      <c r="AN221" s="4"/>
      <c r="AO221" s="167">
        <v>1795</v>
      </c>
      <c r="AP221" s="215">
        <v>2.6028939159534808E-4</v>
      </c>
      <c r="AQ221" s="190">
        <v>2.6608792176839032E-4</v>
      </c>
      <c r="AR221" s="190">
        <v>2.3598538764356547E-4</v>
      </c>
      <c r="AS221" s="170">
        <v>2.5667338512495288E-4</v>
      </c>
      <c r="AU221" s="216">
        <v>97.239686544752132</v>
      </c>
      <c r="AV221" s="217">
        <v>97.218155366059975</v>
      </c>
      <c r="AW221" s="217">
        <v>94.938329670979627</v>
      </c>
      <c r="AX221" s="217">
        <v>95.085531824884697</v>
      </c>
      <c r="AY221" s="217"/>
      <c r="AZ221" s="218">
        <v>0</v>
      </c>
      <c r="BA221" s="8"/>
      <c r="BB221" s="219"/>
      <c r="BC221" s="220"/>
    </row>
    <row r="222" spans="15:55" x14ac:dyDescent="0.25">
      <c r="O222" s="195">
        <v>1790</v>
      </c>
      <c r="P222" s="202">
        <f t="shared" si="36"/>
        <v>0</v>
      </c>
      <c r="Q222" s="203">
        <f t="shared" si="36"/>
        <v>0</v>
      </c>
      <c r="R222" s="157">
        <f ca="1"/>
        <v>97.228355115162742</v>
      </c>
      <c r="T222" s="204">
        <v>0</v>
      </c>
      <c r="U222" s="206">
        <v>0</v>
      </c>
      <c r="V222" s="206">
        <v>0</v>
      </c>
      <c r="W222" s="206">
        <v>0</v>
      </c>
      <c r="X222" s="206">
        <f t="array" ref="X222">IF(X$78&gt;" ",(X$628:X$1078),"")</f>
        <v>0</v>
      </c>
      <c r="Y222" s="206">
        <f t="array" ref="Y222">IF(Y$78&gt;" ",(Y$628:Y$1078),"")</f>
        <v>0</v>
      </c>
      <c r="Z222" s="206">
        <f t="array" ref="Z222">IF(Z$78&gt;" ",(Z$628:Z$1078),"")</f>
        <v>0</v>
      </c>
      <c r="AA222" s="206">
        <f t="array" ref="AA222">IF(AA$78&gt;" ",(AA$628:AA$1078),"")</f>
        <v>0</v>
      </c>
      <c r="AB222" s="210">
        <v>0</v>
      </c>
      <c r="AC222" s="204">
        <f t="shared" si="37"/>
        <v>0</v>
      </c>
      <c r="AD222" s="206">
        <f t="shared" si="38"/>
        <v>0</v>
      </c>
      <c r="AE222" s="206">
        <f t="shared" si="39"/>
        <v>0</v>
      </c>
      <c r="AF222" s="206">
        <f t="shared" si="40"/>
        <v>0</v>
      </c>
      <c r="AG222" s="206">
        <f t="shared" si="41"/>
        <v>0</v>
      </c>
      <c r="AH222" s="206">
        <f t="shared" si="42"/>
        <v>0</v>
      </c>
      <c r="AI222" s="206">
        <f t="shared" si="43"/>
        <v>0</v>
      </c>
      <c r="AJ222" s="206">
        <f t="shared" si="44"/>
        <v>0</v>
      </c>
      <c r="AK222" s="206">
        <f t="shared" si="45"/>
        <v>0</v>
      </c>
      <c r="AL222" s="206">
        <f t="shared" si="46"/>
        <v>0</v>
      </c>
      <c r="AM222" s="214">
        <f t="shared" si="47"/>
        <v>0</v>
      </c>
      <c r="AN222" s="4"/>
      <c r="AO222" s="167">
        <v>1790</v>
      </c>
      <c r="AP222" s="215">
        <v>3.316377527433115E-4</v>
      </c>
      <c r="AQ222" s="190">
        <v>3.1637209588509699E-4</v>
      </c>
      <c r="AR222" s="190">
        <v>4.4704022720725198E-4</v>
      </c>
      <c r="AS222" s="170">
        <v>4.8594118925049672E-4</v>
      </c>
      <c r="AU222" s="216">
        <v>97.229032153626989</v>
      </c>
      <c r="AV222" s="217">
        <v>97.228355115162742</v>
      </c>
      <c r="AW222" s="217">
        <v>94.9678798274618</v>
      </c>
      <c r="AX222" s="217">
        <v>95.124281000761485</v>
      </c>
      <c r="AY222" s="217"/>
      <c r="AZ222" s="218">
        <v>0</v>
      </c>
      <c r="BA222" s="8"/>
      <c r="BB222" s="219"/>
      <c r="BC222" s="220"/>
    </row>
    <row r="223" spans="15:55" x14ac:dyDescent="0.25">
      <c r="O223" s="195">
        <v>1785</v>
      </c>
      <c r="P223" s="202">
        <f t="shared" si="36"/>
        <v>0</v>
      </c>
      <c r="Q223" s="203">
        <f t="shared" si="36"/>
        <v>0</v>
      </c>
      <c r="R223" s="157">
        <f ca="1"/>
        <v>97.236983235355908</v>
      </c>
      <c r="T223" s="204">
        <v>0</v>
      </c>
      <c r="U223" s="206">
        <v>0</v>
      </c>
      <c r="V223" s="206">
        <v>0</v>
      </c>
      <c r="W223" s="206">
        <v>0</v>
      </c>
      <c r="X223" s="206">
        <f t="array" ref="X223">IF(X$78&gt;" ",(X$628:X$1078),"")</f>
        <v>0</v>
      </c>
      <c r="Y223" s="206">
        <f t="array" ref="Y223">IF(Y$78&gt;" ",(Y$628:Y$1078),"")</f>
        <v>0</v>
      </c>
      <c r="Z223" s="206">
        <f t="array" ref="Z223">IF(Z$78&gt;" ",(Z$628:Z$1078),"")</f>
        <v>0</v>
      </c>
      <c r="AA223" s="206">
        <f t="array" ref="AA223">IF(AA$78&gt;" ",(AA$628:AA$1078),"")</f>
        <v>0</v>
      </c>
      <c r="AB223" s="210">
        <v>0</v>
      </c>
      <c r="AC223" s="204">
        <f t="shared" si="37"/>
        <v>0</v>
      </c>
      <c r="AD223" s="206">
        <f t="shared" si="38"/>
        <v>0</v>
      </c>
      <c r="AE223" s="206">
        <f t="shared" si="39"/>
        <v>0</v>
      </c>
      <c r="AF223" s="206">
        <f t="shared" si="40"/>
        <v>0</v>
      </c>
      <c r="AG223" s="206">
        <f t="shared" si="41"/>
        <v>0</v>
      </c>
      <c r="AH223" s="206">
        <f t="shared" si="42"/>
        <v>0</v>
      </c>
      <c r="AI223" s="206">
        <f t="shared" si="43"/>
        <v>0</v>
      </c>
      <c r="AJ223" s="206">
        <f t="shared" si="44"/>
        <v>0</v>
      </c>
      <c r="AK223" s="206">
        <f t="shared" si="45"/>
        <v>0</v>
      </c>
      <c r="AL223" s="206">
        <f t="shared" si="46"/>
        <v>0</v>
      </c>
      <c r="AM223" s="214">
        <f t="shared" si="47"/>
        <v>0</v>
      </c>
      <c r="AN223" s="4"/>
      <c r="AO223" s="167">
        <v>1785</v>
      </c>
      <c r="AP223" s="215">
        <v>4.0298611389127492E-4</v>
      </c>
      <c r="AQ223" s="190">
        <v>3.6665627000180356E-4</v>
      </c>
      <c r="AR223" s="190">
        <v>3.8708723713940278E-4</v>
      </c>
      <c r="AS223" s="170">
        <v>4.2085503302768143E-4</v>
      </c>
      <c r="AU223" s="216">
        <v>97.250344943840403</v>
      </c>
      <c r="AV223" s="217">
        <v>97.236983235355908</v>
      </c>
      <c r="AW223" s="217">
        <v>94.996427240436219</v>
      </c>
      <c r="AX223" s="217">
        <v>95.148843802131196</v>
      </c>
      <c r="AY223" s="217"/>
      <c r="AZ223" s="218">
        <v>0</v>
      </c>
      <c r="BA223" s="8"/>
      <c r="BB223" s="219"/>
      <c r="BC223" s="220"/>
    </row>
    <row r="224" spans="15:55" x14ac:dyDescent="0.25">
      <c r="O224" s="195">
        <v>1780</v>
      </c>
      <c r="P224" s="202">
        <f t="shared" ref="P224:Q239" si="48">P772</f>
        <v>0</v>
      </c>
      <c r="Q224" s="203">
        <f t="shared" si="48"/>
        <v>0</v>
      </c>
      <c r="R224" s="157">
        <f ca="1"/>
        <v>97.259915404214894</v>
      </c>
      <c r="T224" s="204">
        <v>0</v>
      </c>
      <c r="U224" s="206">
        <v>0</v>
      </c>
      <c r="V224" s="206">
        <v>0</v>
      </c>
      <c r="W224" s="206">
        <v>0</v>
      </c>
      <c r="X224" s="206">
        <f t="array" ref="X224">IF(X$78&gt;" ",(X$628:X$1078),"")</f>
        <v>0</v>
      </c>
      <c r="Y224" s="206">
        <f t="array" ref="Y224">IF(Y$78&gt;" ",(Y$628:Y$1078),"")</f>
        <v>0</v>
      </c>
      <c r="Z224" s="206">
        <f t="array" ref="Z224">IF(Z$78&gt;" ",(Z$628:Z$1078),"")</f>
        <v>0</v>
      </c>
      <c r="AA224" s="206">
        <f t="array" ref="AA224">IF(AA$78&gt;" ",(AA$628:AA$1078),"")</f>
        <v>0</v>
      </c>
      <c r="AB224" s="210">
        <v>0</v>
      </c>
      <c r="AC224" s="204">
        <f t="shared" si="37"/>
        <v>0</v>
      </c>
      <c r="AD224" s="206">
        <f t="shared" si="38"/>
        <v>0</v>
      </c>
      <c r="AE224" s="206">
        <f t="shared" si="39"/>
        <v>0</v>
      </c>
      <c r="AF224" s="206">
        <f t="shared" si="40"/>
        <v>0</v>
      </c>
      <c r="AG224" s="206">
        <f t="shared" si="41"/>
        <v>0</v>
      </c>
      <c r="AH224" s="206">
        <f t="shared" si="42"/>
        <v>0</v>
      </c>
      <c r="AI224" s="206">
        <f t="shared" si="43"/>
        <v>0</v>
      </c>
      <c r="AJ224" s="206">
        <f t="shared" si="44"/>
        <v>0</v>
      </c>
      <c r="AK224" s="206">
        <f t="shared" si="45"/>
        <v>0</v>
      </c>
      <c r="AL224" s="206">
        <f t="shared" si="46"/>
        <v>0</v>
      </c>
      <c r="AM224" s="214">
        <f t="shared" si="47"/>
        <v>0</v>
      </c>
      <c r="AN224" s="4"/>
      <c r="AO224" s="167">
        <v>1780</v>
      </c>
      <c r="AP224" s="215">
        <v>4.7433447503923834E-4</v>
      </c>
      <c r="AQ224" s="190">
        <v>4.1694044411851023E-4</v>
      </c>
      <c r="AR224" s="190">
        <v>5.0534894756511326E-4</v>
      </c>
      <c r="AS224" s="170">
        <v>5.4924768961098572E-4</v>
      </c>
      <c r="AU224" s="216">
        <v>97.269369357883633</v>
      </c>
      <c r="AV224" s="217">
        <v>97.259915404214894</v>
      </c>
      <c r="AW224" s="217">
        <v>95.040912870193083</v>
      </c>
      <c r="AX224" s="217">
        <v>95.186550443879739</v>
      </c>
      <c r="AY224" s="217"/>
      <c r="AZ224" s="218">
        <v>0</v>
      </c>
      <c r="BA224" s="8"/>
      <c r="BB224" s="219"/>
      <c r="BC224" s="220"/>
    </row>
    <row r="225" spans="15:55" x14ac:dyDescent="0.25">
      <c r="O225" s="195">
        <v>1775</v>
      </c>
      <c r="P225" s="202">
        <f t="shared" si="48"/>
        <v>0</v>
      </c>
      <c r="Q225" s="203">
        <f t="shared" si="48"/>
        <v>0</v>
      </c>
      <c r="R225" s="157">
        <f ca="1"/>
        <v>97.278461605312657</v>
      </c>
      <c r="T225" s="204">
        <v>0</v>
      </c>
      <c r="U225" s="206">
        <v>0</v>
      </c>
      <c r="V225" s="206">
        <v>0</v>
      </c>
      <c r="W225" s="206">
        <v>0</v>
      </c>
      <c r="X225" s="206">
        <f t="array" ref="X225">IF(X$78&gt;" ",(X$628:X$1078),"")</f>
        <v>0</v>
      </c>
      <c r="Y225" s="206">
        <f t="array" ref="Y225">IF(Y$78&gt;" ",(Y$628:Y$1078),"")</f>
        <v>0</v>
      </c>
      <c r="Z225" s="206">
        <f t="array" ref="Z225">IF(Z$78&gt;" ",(Z$628:Z$1078),"")</f>
        <v>0</v>
      </c>
      <c r="AA225" s="206">
        <f t="array" ref="AA225">IF(AA$78&gt;" ",(AA$628:AA$1078),"")</f>
        <v>0</v>
      </c>
      <c r="AB225" s="210">
        <v>0</v>
      </c>
      <c r="AC225" s="204">
        <f t="shared" si="37"/>
        <v>0</v>
      </c>
      <c r="AD225" s="206">
        <f t="shared" si="38"/>
        <v>0</v>
      </c>
      <c r="AE225" s="206">
        <f t="shared" si="39"/>
        <v>0</v>
      </c>
      <c r="AF225" s="206">
        <f t="shared" si="40"/>
        <v>0</v>
      </c>
      <c r="AG225" s="206">
        <f t="shared" si="41"/>
        <v>0</v>
      </c>
      <c r="AH225" s="206">
        <f t="shared" si="42"/>
        <v>0</v>
      </c>
      <c r="AI225" s="206">
        <f t="shared" si="43"/>
        <v>0</v>
      </c>
      <c r="AJ225" s="206">
        <f t="shared" si="44"/>
        <v>0</v>
      </c>
      <c r="AK225" s="206">
        <f t="shared" si="45"/>
        <v>0</v>
      </c>
      <c r="AL225" s="206">
        <f t="shared" si="46"/>
        <v>0</v>
      </c>
      <c r="AM225" s="214">
        <f t="shared" si="47"/>
        <v>0</v>
      </c>
      <c r="AN225" s="4"/>
      <c r="AO225" s="167">
        <v>1775</v>
      </c>
      <c r="AP225" s="215">
        <v>5.4568283618720175E-4</v>
      </c>
      <c r="AQ225" s="190">
        <v>4.672246182352169E-4</v>
      </c>
      <c r="AR225" s="190">
        <v>5.7745545411320997E-4</v>
      </c>
      <c r="AS225" s="170">
        <v>6.2752456554293038E-4</v>
      </c>
      <c r="AU225" s="216">
        <v>97.284585646754422</v>
      </c>
      <c r="AV225" s="217">
        <v>97.278461605312657</v>
      </c>
      <c r="AW225" s="217">
        <v>95.088276260054201</v>
      </c>
      <c r="AX225" s="217">
        <v>95.234382521723248</v>
      </c>
      <c r="AY225" s="217"/>
      <c r="AZ225" s="218">
        <v>0</v>
      </c>
      <c r="BA225" s="8"/>
      <c r="BB225" s="219"/>
      <c r="BC225" s="220"/>
    </row>
    <row r="226" spans="15:55" x14ac:dyDescent="0.25">
      <c r="O226" s="195">
        <v>1770</v>
      </c>
      <c r="P226" s="202">
        <f t="shared" si="48"/>
        <v>0</v>
      </c>
      <c r="Q226" s="203">
        <f t="shared" si="48"/>
        <v>0</v>
      </c>
      <c r="R226" s="157">
        <f ca="1"/>
        <v>97.273740396517596</v>
      </c>
      <c r="T226" s="204">
        <v>0</v>
      </c>
      <c r="U226" s="206">
        <v>0</v>
      </c>
      <c r="V226" s="206">
        <v>0</v>
      </c>
      <c r="W226" s="206">
        <v>0</v>
      </c>
      <c r="X226" s="206">
        <f t="array" ref="X226">IF(X$78&gt;" ",(X$628:X$1078),"")</f>
        <v>0</v>
      </c>
      <c r="Y226" s="206">
        <f t="array" ref="Y226">IF(Y$78&gt;" ",(Y$628:Y$1078),"")</f>
        <v>0</v>
      </c>
      <c r="Z226" s="206">
        <f t="array" ref="Z226">IF(Z$78&gt;" ",(Z$628:Z$1078),"")</f>
        <v>0</v>
      </c>
      <c r="AA226" s="206">
        <f t="array" ref="AA226">IF(AA$78&gt;" ",(AA$628:AA$1078),"")</f>
        <v>0</v>
      </c>
      <c r="AB226" s="210">
        <v>0</v>
      </c>
      <c r="AC226" s="204">
        <f t="shared" si="37"/>
        <v>0</v>
      </c>
      <c r="AD226" s="206">
        <f t="shared" si="38"/>
        <v>0</v>
      </c>
      <c r="AE226" s="206">
        <f t="shared" si="39"/>
        <v>0</v>
      </c>
      <c r="AF226" s="206">
        <f t="shared" si="40"/>
        <v>0</v>
      </c>
      <c r="AG226" s="206">
        <f t="shared" si="41"/>
        <v>0</v>
      </c>
      <c r="AH226" s="206">
        <f t="shared" si="42"/>
        <v>0</v>
      </c>
      <c r="AI226" s="206">
        <f t="shared" si="43"/>
        <v>0</v>
      </c>
      <c r="AJ226" s="206">
        <f t="shared" si="44"/>
        <v>0</v>
      </c>
      <c r="AK226" s="206">
        <f t="shared" si="45"/>
        <v>0</v>
      </c>
      <c r="AL226" s="206">
        <f t="shared" si="46"/>
        <v>0</v>
      </c>
      <c r="AM226" s="214">
        <f t="shared" si="47"/>
        <v>0</v>
      </c>
      <c r="AN226" s="4"/>
      <c r="AO226" s="167">
        <v>1770</v>
      </c>
      <c r="AP226" s="215">
        <v>6.1703119733516523E-4</v>
      </c>
      <c r="AQ226" s="190">
        <v>5.1750879235192351E-4</v>
      </c>
      <c r="AR226" s="190">
        <v>7.1261744128286422E-4</v>
      </c>
      <c r="AS226" s="170">
        <v>7.740383720702997E-4</v>
      </c>
      <c r="AU226" s="216">
        <v>97.283986733118738</v>
      </c>
      <c r="AV226" s="217">
        <v>97.273740396517596</v>
      </c>
      <c r="AW226" s="217">
        <v>95.118605006064683</v>
      </c>
      <c r="AX226" s="217">
        <v>95.26213443778596</v>
      </c>
      <c r="AY226" s="217"/>
      <c r="AZ226" s="218">
        <v>0</v>
      </c>
      <c r="BA226" s="8"/>
      <c r="BB226" s="219"/>
      <c r="BC226" s="220"/>
    </row>
    <row r="227" spans="15:55" x14ac:dyDescent="0.25">
      <c r="O227" s="195">
        <v>1765</v>
      </c>
      <c r="P227" s="202">
        <f t="shared" si="48"/>
        <v>0</v>
      </c>
      <c r="Q227" s="203">
        <f t="shared" si="48"/>
        <v>0</v>
      </c>
      <c r="R227" s="157">
        <f ca="1"/>
        <v>97.28854443547101</v>
      </c>
      <c r="T227" s="204">
        <v>0</v>
      </c>
      <c r="U227" s="206">
        <v>0</v>
      </c>
      <c r="V227" s="206">
        <v>0</v>
      </c>
      <c r="W227" s="206">
        <v>0</v>
      </c>
      <c r="X227" s="206">
        <f t="array" ref="X227">IF(X$78&gt;" ",(X$628:X$1078),"")</f>
        <v>0</v>
      </c>
      <c r="Y227" s="206">
        <f t="array" ref="Y227">IF(Y$78&gt;" ",(Y$628:Y$1078),"")</f>
        <v>0</v>
      </c>
      <c r="Z227" s="206">
        <f t="array" ref="Z227">IF(Z$78&gt;" ",(Z$628:Z$1078),"")</f>
        <v>0</v>
      </c>
      <c r="AA227" s="206">
        <f t="array" ref="AA227">IF(AA$78&gt;" ",(AA$628:AA$1078),"")</f>
        <v>0</v>
      </c>
      <c r="AB227" s="210">
        <v>0</v>
      </c>
      <c r="AC227" s="204">
        <f t="shared" si="37"/>
        <v>0</v>
      </c>
      <c r="AD227" s="206">
        <f t="shared" si="38"/>
        <v>0</v>
      </c>
      <c r="AE227" s="206">
        <f t="shared" si="39"/>
        <v>0</v>
      </c>
      <c r="AF227" s="206">
        <f t="shared" si="40"/>
        <v>0</v>
      </c>
      <c r="AG227" s="206">
        <f t="shared" si="41"/>
        <v>0</v>
      </c>
      <c r="AH227" s="206">
        <f t="shared" si="42"/>
        <v>0</v>
      </c>
      <c r="AI227" s="206">
        <f t="shared" si="43"/>
        <v>0</v>
      </c>
      <c r="AJ227" s="206">
        <f t="shared" si="44"/>
        <v>0</v>
      </c>
      <c r="AK227" s="206">
        <f t="shared" si="45"/>
        <v>0</v>
      </c>
      <c r="AL227" s="206">
        <f t="shared" si="46"/>
        <v>0</v>
      </c>
      <c r="AM227" s="214">
        <f t="shared" si="47"/>
        <v>0</v>
      </c>
      <c r="AN227" s="4"/>
      <c r="AO227" s="167">
        <v>1765</v>
      </c>
      <c r="AP227" s="215">
        <v>6.883795584831287E-4</v>
      </c>
      <c r="AQ227" s="190">
        <v>5.6779296646863008E-4</v>
      </c>
      <c r="AR227" s="190">
        <v>6.6796571337860344E-4</v>
      </c>
      <c r="AS227" s="170">
        <v>7.2568545807501824E-4</v>
      </c>
      <c r="AU227" s="216">
        <v>97.280598745461546</v>
      </c>
      <c r="AV227" s="217">
        <v>97.28854443547101</v>
      </c>
      <c r="AW227" s="217">
        <v>95.15886088979947</v>
      </c>
      <c r="AX227" s="217">
        <v>95.298888831087766</v>
      </c>
      <c r="AY227" s="217"/>
      <c r="AZ227" s="218">
        <v>0</v>
      </c>
      <c r="BA227" s="8"/>
      <c r="BB227" s="219"/>
      <c r="BC227" s="220"/>
    </row>
    <row r="228" spans="15:55" x14ac:dyDescent="0.25">
      <c r="O228" s="195">
        <v>1760</v>
      </c>
      <c r="P228" s="202">
        <f t="shared" si="48"/>
        <v>0</v>
      </c>
      <c r="Q228" s="203">
        <f t="shared" si="48"/>
        <v>0</v>
      </c>
      <c r="R228" s="157">
        <f ca="1"/>
        <v>97.299795597062086</v>
      </c>
      <c r="T228" s="204">
        <v>0</v>
      </c>
      <c r="U228" s="206">
        <v>0</v>
      </c>
      <c r="V228" s="206">
        <v>0</v>
      </c>
      <c r="W228" s="206">
        <v>0</v>
      </c>
      <c r="X228" s="206">
        <f t="array" ref="X228">IF(X$78&gt;" ",(X$628:X$1078),"")</f>
        <v>0</v>
      </c>
      <c r="Y228" s="206">
        <f t="array" ref="Y228">IF(Y$78&gt;" ",(Y$628:Y$1078),"")</f>
        <v>0</v>
      </c>
      <c r="Z228" s="206">
        <f t="array" ref="Z228">IF(Z$78&gt;" ",(Z$628:Z$1078),"")</f>
        <v>0</v>
      </c>
      <c r="AA228" s="206">
        <f t="array" ref="AA228">IF(AA$78&gt;" ",(AA$628:AA$1078),"")</f>
        <v>0</v>
      </c>
      <c r="AB228" s="210">
        <v>0</v>
      </c>
      <c r="AC228" s="204">
        <f t="shared" si="37"/>
        <v>0</v>
      </c>
      <c r="AD228" s="206">
        <f t="shared" si="38"/>
        <v>0</v>
      </c>
      <c r="AE228" s="206">
        <f t="shared" si="39"/>
        <v>0</v>
      </c>
      <c r="AF228" s="206">
        <f t="shared" si="40"/>
        <v>0</v>
      </c>
      <c r="AG228" s="206">
        <f t="shared" si="41"/>
        <v>0</v>
      </c>
      <c r="AH228" s="206">
        <f t="shared" si="42"/>
        <v>0</v>
      </c>
      <c r="AI228" s="206">
        <f t="shared" si="43"/>
        <v>0</v>
      </c>
      <c r="AJ228" s="206">
        <f t="shared" si="44"/>
        <v>0</v>
      </c>
      <c r="AK228" s="206">
        <f t="shared" si="45"/>
        <v>0</v>
      </c>
      <c r="AL228" s="206">
        <f t="shared" si="46"/>
        <v>0</v>
      </c>
      <c r="AM228" s="214">
        <f t="shared" si="47"/>
        <v>0</v>
      </c>
      <c r="AN228" s="4"/>
      <c r="AO228" s="167">
        <v>1760</v>
      </c>
      <c r="AP228" s="215">
        <v>7.5972791963109206E-4</v>
      </c>
      <c r="AQ228" s="190">
        <v>6.1807714058533675E-4</v>
      </c>
      <c r="AR228" s="190">
        <v>8.0443507095986889E-4</v>
      </c>
      <c r="AS228" s="170">
        <v>8.734864370814287E-4</v>
      </c>
      <c r="AU228" s="216">
        <v>97.297833533843786</v>
      </c>
      <c r="AV228" s="217">
        <v>97.299795597062086</v>
      </c>
      <c r="AW228" s="217">
        <v>95.189357036426657</v>
      </c>
      <c r="AX228" s="217">
        <v>95.336979935638851</v>
      </c>
      <c r="AY228" s="217"/>
      <c r="AZ228" s="218">
        <v>0</v>
      </c>
      <c r="BA228" s="8"/>
      <c r="BB228" s="219"/>
      <c r="BC228" s="220"/>
    </row>
    <row r="229" spans="15:55" x14ac:dyDescent="0.25">
      <c r="O229" s="195">
        <v>1755</v>
      </c>
      <c r="P229" s="202">
        <f t="shared" si="48"/>
        <v>0</v>
      </c>
      <c r="Q229" s="203">
        <f t="shared" si="48"/>
        <v>0</v>
      </c>
      <c r="R229" s="157">
        <f ca="1"/>
        <v>97.3184965886486</v>
      </c>
      <c r="T229" s="204">
        <v>0</v>
      </c>
      <c r="U229" s="206">
        <v>0</v>
      </c>
      <c r="V229" s="206">
        <v>0</v>
      </c>
      <c r="W229" s="206">
        <v>0</v>
      </c>
      <c r="X229" s="206">
        <f t="array" ref="X229">IF(X$78&gt;" ",(X$628:X$1078),"")</f>
        <v>0</v>
      </c>
      <c r="Y229" s="206">
        <f t="array" ref="Y229">IF(Y$78&gt;" ",(Y$628:Y$1078),"")</f>
        <v>0</v>
      </c>
      <c r="Z229" s="206">
        <f t="array" ref="Z229">IF(Z$78&gt;" ",(Z$628:Z$1078),"")</f>
        <v>0</v>
      </c>
      <c r="AA229" s="206">
        <f t="array" ref="AA229">IF(AA$78&gt;" ",(AA$628:AA$1078),"")</f>
        <v>0</v>
      </c>
      <c r="AB229" s="210">
        <v>0</v>
      </c>
      <c r="AC229" s="204">
        <f t="shared" si="37"/>
        <v>0</v>
      </c>
      <c r="AD229" s="206">
        <f t="shared" si="38"/>
        <v>0</v>
      </c>
      <c r="AE229" s="206">
        <f t="shared" si="39"/>
        <v>0</v>
      </c>
      <c r="AF229" s="206">
        <f t="shared" si="40"/>
        <v>0</v>
      </c>
      <c r="AG229" s="206">
        <f t="shared" si="41"/>
        <v>0</v>
      </c>
      <c r="AH229" s="206">
        <f t="shared" si="42"/>
        <v>0</v>
      </c>
      <c r="AI229" s="206">
        <f t="shared" si="43"/>
        <v>0</v>
      </c>
      <c r="AJ229" s="206">
        <f t="shared" si="44"/>
        <v>0</v>
      </c>
      <c r="AK229" s="206">
        <f t="shared" si="45"/>
        <v>0</v>
      </c>
      <c r="AL229" s="206">
        <f t="shared" si="46"/>
        <v>0</v>
      </c>
      <c r="AM229" s="214">
        <f t="shared" si="47"/>
        <v>0</v>
      </c>
      <c r="AN229" s="4"/>
      <c r="AO229" s="167">
        <v>1755</v>
      </c>
      <c r="AP229" s="215">
        <v>8.3107628077905553E-4</v>
      </c>
      <c r="AQ229" s="190">
        <v>6.6836131470204352E-4</v>
      </c>
      <c r="AR229" s="190">
        <v>7.693874872332138E-4</v>
      </c>
      <c r="AS229" s="170">
        <v>8.3559879498095911E-4</v>
      </c>
      <c r="AU229" s="216">
        <v>97.30871963652568</v>
      </c>
      <c r="AV229" s="217">
        <v>97.3184965886486</v>
      </c>
      <c r="AW229" s="217">
        <v>95.214996967767476</v>
      </c>
      <c r="AX229" s="217">
        <v>95.362985829423295</v>
      </c>
      <c r="AY229" s="217"/>
      <c r="AZ229" s="218">
        <v>0</v>
      </c>
      <c r="BA229" s="8"/>
      <c r="BB229" s="219"/>
      <c r="BC229" s="220"/>
    </row>
    <row r="230" spans="15:55" x14ac:dyDescent="0.25">
      <c r="O230" s="195">
        <v>1750</v>
      </c>
      <c r="P230" s="202">
        <f t="shared" si="48"/>
        <v>0</v>
      </c>
      <c r="Q230" s="203">
        <f t="shared" si="48"/>
        <v>0</v>
      </c>
      <c r="R230" s="157">
        <f ca="1"/>
        <v>97.325557236881863</v>
      </c>
      <c r="T230" s="204">
        <v>0</v>
      </c>
      <c r="U230" s="206">
        <v>0</v>
      </c>
      <c r="V230" s="206">
        <v>0</v>
      </c>
      <c r="W230" s="206">
        <v>0</v>
      </c>
      <c r="X230" s="206">
        <f t="array" ref="X230">IF(X$78&gt;" ",(X$628:X$1078),"")</f>
        <v>0</v>
      </c>
      <c r="Y230" s="206">
        <f t="array" ref="Y230">IF(Y$78&gt;" ",(Y$628:Y$1078),"")</f>
        <v>0</v>
      </c>
      <c r="Z230" s="206">
        <f t="array" ref="Z230">IF(Z$78&gt;" ",(Z$628:Z$1078),"")</f>
        <v>0</v>
      </c>
      <c r="AA230" s="206">
        <f t="array" ref="AA230">IF(AA$78&gt;" ",(AA$628:AA$1078),"")</f>
        <v>0</v>
      </c>
      <c r="AB230" s="210">
        <v>0</v>
      </c>
      <c r="AC230" s="204">
        <f t="shared" si="37"/>
        <v>0</v>
      </c>
      <c r="AD230" s="206">
        <f t="shared" si="38"/>
        <v>0</v>
      </c>
      <c r="AE230" s="206">
        <f t="shared" si="39"/>
        <v>0</v>
      </c>
      <c r="AF230" s="206">
        <f t="shared" si="40"/>
        <v>0</v>
      </c>
      <c r="AG230" s="206">
        <f t="shared" si="41"/>
        <v>0</v>
      </c>
      <c r="AH230" s="206">
        <f t="shared" si="42"/>
        <v>0</v>
      </c>
      <c r="AI230" s="206">
        <f t="shared" si="43"/>
        <v>0</v>
      </c>
      <c r="AJ230" s="206">
        <f t="shared" si="44"/>
        <v>0</v>
      </c>
      <c r="AK230" s="206">
        <f t="shared" si="45"/>
        <v>0</v>
      </c>
      <c r="AL230" s="206">
        <f t="shared" si="46"/>
        <v>0</v>
      </c>
      <c r="AM230" s="214">
        <f t="shared" si="47"/>
        <v>0</v>
      </c>
      <c r="AN230" s="4"/>
      <c r="AO230" s="167">
        <v>1750</v>
      </c>
      <c r="AP230" s="215">
        <v>9.024246419270189E-4</v>
      </c>
      <c r="AQ230" s="190">
        <v>7.1864548881875009E-4</v>
      </c>
      <c r="AR230" s="190">
        <v>8.3299608610583743E-4</v>
      </c>
      <c r="AS230" s="170">
        <v>9.0449050462006989E-4</v>
      </c>
      <c r="AU230" s="216">
        <v>97.323921237603784</v>
      </c>
      <c r="AV230" s="217">
        <v>97.325557236881863</v>
      </c>
      <c r="AW230" s="217">
        <v>95.234730058278771</v>
      </c>
      <c r="AX230" s="217">
        <v>95.383748784818138</v>
      </c>
      <c r="AY230" s="217"/>
      <c r="AZ230" s="218">
        <v>0</v>
      </c>
      <c r="BA230" s="8"/>
      <c r="BB230" s="219"/>
      <c r="BC230" s="220"/>
    </row>
    <row r="231" spans="15:55" x14ac:dyDescent="0.25">
      <c r="O231" s="195">
        <v>1745</v>
      </c>
      <c r="P231" s="202">
        <f t="shared" si="48"/>
        <v>0</v>
      </c>
      <c r="Q231" s="203">
        <f t="shared" si="48"/>
        <v>0</v>
      </c>
      <c r="R231" s="157">
        <f ca="1"/>
        <v>97.326875007346317</v>
      </c>
      <c r="T231" s="204">
        <v>0</v>
      </c>
      <c r="U231" s="206">
        <v>0</v>
      </c>
      <c r="V231" s="206">
        <v>0</v>
      </c>
      <c r="W231" s="206">
        <v>0</v>
      </c>
      <c r="X231" s="206">
        <f t="array" ref="X231">IF(X$78&gt;" ",(X$628:X$1078),"")</f>
        <v>0</v>
      </c>
      <c r="Y231" s="206">
        <f t="array" ref="Y231">IF(Y$78&gt;" ",(Y$628:Y$1078),"")</f>
        <v>0</v>
      </c>
      <c r="Z231" s="206">
        <f t="array" ref="Z231">IF(Z$78&gt;" ",(Z$628:Z$1078),"")</f>
        <v>0</v>
      </c>
      <c r="AA231" s="206">
        <f t="array" ref="AA231">IF(AA$78&gt;" ",(AA$628:AA$1078),"")</f>
        <v>0</v>
      </c>
      <c r="AB231" s="210">
        <v>0</v>
      </c>
      <c r="AC231" s="204">
        <f t="shared" si="37"/>
        <v>0</v>
      </c>
      <c r="AD231" s="206">
        <f t="shared" si="38"/>
        <v>0</v>
      </c>
      <c r="AE231" s="206">
        <f t="shared" si="39"/>
        <v>0</v>
      </c>
      <c r="AF231" s="206">
        <f t="shared" si="40"/>
        <v>0</v>
      </c>
      <c r="AG231" s="206">
        <f t="shared" si="41"/>
        <v>0</v>
      </c>
      <c r="AH231" s="206">
        <f t="shared" si="42"/>
        <v>0</v>
      </c>
      <c r="AI231" s="206">
        <f t="shared" si="43"/>
        <v>0</v>
      </c>
      <c r="AJ231" s="206">
        <f t="shared" si="44"/>
        <v>0</v>
      </c>
      <c r="AK231" s="206">
        <f t="shared" si="45"/>
        <v>0</v>
      </c>
      <c r="AL231" s="206">
        <f t="shared" si="46"/>
        <v>0</v>
      </c>
      <c r="AM231" s="214">
        <f t="shared" si="47"/>
        <v>0</v>
      </c>
      <c r="AN231" s="4"/>
      <c r="AO231" s="167">
        <v>1745</v>
      </c>
      <c r="AP231" s="215">
        <v>9.7377300307498237E-4</v>
      </c>
      <c r="AQ231" s="190">
        <v>7.1937583993504921E-4</v>
      </c>
      <c r="AR231" s="190">
        <v>7.7843851315975308E-4</v>
      </c>
      <c r="AS231" s="170">
        <v>8.4533653460500894E-4</v>
      </c>
      <c r="AU231" s="216">
        <v>97.317698196216256</v>
      </c>
      <c r="AV231" s="217">
        <v>97.326875007346317</v>
      </c>
      <c r="AW231" s="217">
        <v>95.258992964920481</v>
      </c>
      <c r="AX231" s="217">
        <v>95.415630612383509</v>
      </c>
      <c r="AY231" s="217"/>
      <c r="AZ231" s="218">
        <v>0</v>
      </c>
      <c r="BA231" s="8"/>
      <c r="BB231" s="219"/>
      <c r="BC231" s="220"/>
    </row>
    <row r="232" spans="15:55" x14ac:dyDescent="0.25">
      <c r="O232" s="195">
        <v>1740</v>
      </c>
      <c r="P232" s="202">
        <f t="shared" si="48"/>
        <v>0</v>
      </c>
      <c r="Q232" s="203">
        <f t="shared" si="48"/>
        <v>0</v>
      </c>
      <c r="R232" s="157">
        <f ca="1"/>
        <v>97.331750887358396</v>
      </c>
      <c r="T232" s="204">
        <v>0</v>
      </c>
      <c r="U232" s="206">
        <v>0</v>
      </c>
      <c r="V232" s="206">
        <v>0</v>
      </c>
      <c r="W232" s="206">
        <v>0</v>
      </c>
      <c r="X232" s="206">
        <f t="array" ref="X232">IF(X$78&gt;" ",(X$628:X$1078),"")</f>
        <v>0</v>
      </c>
      <c r="Y232" s="206">
        <f t="array" ref="Y232">IF(Y$78&gt;" ",(Y$628:Y$1078),"")</f>
        <v>0</v>
      </c>
      <c r="Z232" s="206">
        <f t="array" ref="Z232">IF(Z$78&gt;" ",(Z$628:Z$1078),"")</f>
        <v>0</v>
      </c>
      <c r="AA232" s="206">
        <f t="array" ref="AA232">IF(AA$78&gt;" ",(AA$628:AA$1078),"")</f>
        <v>0</v>
      </c>
      <c r="AB232" s="210">
        <v>0</v>
      </c>
      <c r="AC232" s="204">
        <f t="shared" si="37"/>
        <v>0</v>
      </c>
      <c r="AD232" s="206">
        <f t="shared" si="38"/>
        <v>0</v>
      </c>
      <c r="AE232" s="206">
        <f t="shared" si="39"/>
        <v>0</v>
      </c>
      <c r="AF232" s="206">
        <f t="shared" si="40"/>
        <v>0</v>
      </c>
      <c r="AG232" s="206">
        <f t="shared" si="41"/>
        <v>0</v>
      </c>
      <c r="AH232" s="206">
        <f t="shared" si="42"/>
        <v>0</v>
      </c>
      <c r="AI232" s="206">
        <f t="shared" si="43"/>
        <v>0</v>
      </c>
      <c r="AJ232" s="206">
        <f t="shared" si="44"/>
        <v>0</v>
      </c>
      <c r="AK232" s="206">
        <f t="shared" si="45"/>
        <v>0</v>
      </c>
      <c r="AL232" s="206">
        <f t="shared" si="46"/>
        <v>0</v>
      </c>
      <c r="AM232" s="214">
        <f t="shared" si="47"/>
        <v>0</v>
      </c>
      <c r="AN232" s="4"/>
      <c r="AO232" s="167">
        <v>1740</v>
      </c>
      <c r="AP232" s="215">
        <v>1.0451213642229456E-3</v>
      </c>
      <c r="AQ232" s="190">
        <v>7.2010619105134844E-4</v>
      </c>
      <c r="AR232" s="190">
        <v>8.4566752240299243E-4</v>
      </c>
      <c r="AS232" s="170">
        <v>9.1808976168124279E-4</v>
      </c>
      <c r="AU232" s="216">
        <v>97.331160412826932</v>
      </c>
      <c r="AV232" s="217">
        <v>97.331750887358396</v>
      </c>
      <c r="AW232" s="217">
        <v>95.293763471675661</v>
      </c>
      <c r="AX232" s="217">
        <v>95.45544511824319</v>
      </c>
      <c r="AY232" s="217"/>
      <c r="AZ232" s="218">
        <v>0</v>
      </c>
      <c r="BA232" s="8"/>
      <c r="BB232" s="219"/>
      <c r="BC232" s="220"/>
    </row>
    <row r="233" spans="15:55" x14ac:dyDescent="0.25">
      <c r="O233" s="195">
        <v>1735</v>
      </c>
      <c r="P233" s="202">
        <f t="shared" si="48"/>
        <v>0</v>
      </c>
      <c r="Q233" s="203">
        <f t="shared" si="48"/>
        <v>0</v>
      </c>
      <c r="R233" s="157">
        <f ca="1"/>
        <v>97.345062708858123</v>
      </c>
      <c r="T233" s="204">
        <v>0</v>
      </c>
      <c r="U233" s="206">
        <v>0</v>
      </c>
      <c r="V233" s="206">
        <v>0</v>
      </c>
      <c r="W233" s="206">
        <v>0</v>
      </c>
      <c r="X233" s="206">
        <f t="array" ref="X233">IF(X$78&gt;" ",(X$628:X$1078),"")</f>
        <v>0</v>
      </c>
      <c r="Y233" s="206">
        <f t="array" ref="Y233">IF(Y$78&gt;" ",(Y$628:Y$1078),"")</f>
        <v>0</v>
      </c>
      <c r="Z233" s="206">
        <f t="array" ref="Z233">IF(Z$78&gt;" ",(Z$628:Z$1078),"")</f>
        <v>0</v>
      </c>
      <c r="AA233" s="206">
        <f t="array" ref="AA233">IF(AA$78&gt;" ",(AA$628:AA$1078),"")</f>
        <v>0</v>
      </c>
      <c r="AB233" s="210">
        <v>0</v>
      </c>
      <c r="AC233" s="204">
        <f t="shared" si="37"/>
        <v>0</v>
      </c>
      <c r="AD233" s="206">
        <f t="shared" si="38"/>
        <v>0</v>
      </c>
      <c r="AE233" s="206">
        <f t="shared" si="39"/>
        <v>0</v>
      </c>
      <c r="AF233" s="206">
        <f t="shared" si="40"/>
        <v>0</v>
      </c>
      <c r="AG233" s="206">
        <f t="shared" si="41"/>
        <v>0</v>
      </c>
      <c r="AH233" s="206">
        <f t="shared" si="42"/>
        <v>0</v>
      </c>
      <c r="AI233" s="206">
        <f t="shared" si="43"/>
        <v>0</v>
      </c>
      <c r="AJ233" s="206">
        <f t="shared" si="44"/>
        <v>0</v>
      </c>
      <c r="AK233" s="206">
        <f t="shared" si="45"/>
        <v>0</v>
      </c>
      <c r="AL233" s="206">
        <f t="shared" si="46"/>
        <v>0</v>
      </c>
      <c r="AM233" s="214">
        <f t="shared" si="47"/>
        <v>0</v>
      </c>
      <c r="AN233" s="4"/>
      <c r="AO233" s="167">
        <v>1735</v>
      </c>
      <c r="AP233" s="215">
        <v>1.0689041512722669E-3</v>
      </c>
      <c r="AQ233" s="190">
        <v>7.2083654216764746E-4</v>
      </c>
      <c r="AR233" s="190">
        <v>8.1227929342953616E-4</v>
      </c>
      <c r="AS233" s="170">
        <v>8.818810402056094E-4</v>
      </c>
      <c r="AU233" s="216">
        <v>97.34654505474515</v>
      </c>
      <c r="AV233" s="217">
        <v>97.345062708858123</v>
      </c>
      <c r="AW233" s="217">
        <v>95.319471600110049</v>
      </c>
      <c r="AX233" s="217">
        <v>95.47150580854283</v>
      </c>
      <c r="AY233" s="217"/>
      <c r="AZ233" s="218">
        <v>0</v>
      </c>
      <c r="BA233" s="8"/>
      <c r="BB233" s="219"/>
      <c r="BC233" s="220"/>
    </row>
    <row r="234" spans="15:55" x14ac:dyDescent="0.25">
      <c r="O234" s="195">
        <v>1730</v>
      </c>
      <c r="P234" s="202">
        <f t="shared" si="48"/>
        <v>0</v>
      </c>
      <c r="Q234" s="203">
        <f t="shared" si="48"/>
        <v>0</v>
      </c>
      <c r="R234" s="157">
        <f ca="1"/>
        <v>97.352272578324758</v>
      </c>
      <c r="T234" s="204">
        <v>0</v>
      </c>
      <c r="U234" s="206">
        <v>0</v>
      </c>
      <c r="V234" s="206">
        <v>0</v>
      </c>
      <c r="W234" s="206">
        <v>0</v>
      </c>
      <c r="X234" s="206">
        <f t="array" ref="X234">IF(X$78&gt;" ",(X$628:X$1078),"")</f>
        <v>0</v>
      </c>
      <c r="Y234" s="206">
        <f t="array" ref="Y234">IF(Y$78&gt;" ",(Y$628:Y$1078),"")</f>
        <v>0</v>
      </c>
      <c r="Z234" s="206">
        <f t="array" ref="Z234">IF(Z$78&gt;" ",(Z$628:Z$1078),"")</f>
        <v>0</v>
      </c>
      <c r="AA234" s="206">
        <f t="array" ref="AA234">IF(AA$78&gt;" ",(AA$628:AA$1078),"")</f>
        <v>0</v>
      </c>
      <c r="AB234" s="210">
        <v>0</v>
      </c>
      <c r="AC234" s="204">
        <f t="shared" si="37"/>
        <v>0</v>
      </c>
      <c r="AD234" s="206">
        <f t="shared" si="38"/>
        <v>0</v>
      </c>
      <c r="AE234" s="206">
        <f t="shared" si="39"/>
        <v>0</v>
      </c>
      <c r="AF234" s="206">
        <f t="shared" si="40"/>
        <v>0</v>
      </c>
      <c r="AG234" s="206">
        <f t="shared" si="41"/>
        <v>0</v>
      </c>
      <c r="AH234" s="206">
        <f t="shared" si="42"/>
        <v>0</v>
      </c>
      <c r="AI234" s="206">
        <f t="shared" si="43"/>
        <v>0</v>
      </c>
      <c r="AJ234" s="206">
        <f t="shared" si="44"/>
        <v>0</v>
      </c>
      <c r="AK234" s="206">
        <f t="shared" si="45"/>
        <v>0</v>
      </c>
      <c r="AL234" s="206">
        <f t="shared" si="46"/>
        <v>0</v>
      </c>
      <c r="AM234" s="214">
        <f t="shared" si="47"/>
        <v>0</v>
      </c>
      <c r="AN234" s="4"/>
      <c r="AO234" s="167">
        <v>1730</v>
      </c>
      <c r="AP234" s="215">
        <v>1.0926208750242287E-3</v>
      </c>
      <c r="AQ234" s="190">
        <v>7.2156689328394669E-4</v>
      </c>
      <c r="AR234" s="190">
        <v>8.7528449057372405E-4</v>
      </c>
      <c r="AS234" s="170">
        <v>9.502131096364413E-4</v>
      </c>
      <c r="AU234" s="216">
        <v>97.348248238922608</v>
      </c>
      <c r="AV234" s="217">
        <v>97.352272578324758</v>
      </c>
      <c r="AW234" s="217">
        <v>95.346158888708146</v>
      </c>
      <c r="AX234" s="217">
        <v>95.500366767095031</v>
      </c>
      <c r="AY234" s="217"/>
      <c r="AZ234" s="218">
        <v>0</v>
      </c>
      <c r="BA234" s="8"/>
      <c r="BB234" s="219"/>
      <c r="BC234" s="220"/>
    </row>
    <row r="235" spans="15:55" x14ac:dyDescent="0.25">
      <c r="O235" s="195">
        <v>1725</v>
      </c>
      <c r="P235" s="202">
        <f t="shared" si="48"/>
        <v>0</v>
      </c>
      <c r="Q235" s="203">
        <f t="shared" si="48"/>
        <v>0</v>
      </c>
      <c r="R235" s="157">
        <f ca="1"/>
        <v>97.378366309333913</v>
      </c>
      <c r="T235" s="204">
        <v>0</v>
      </c>
      <c r="U235" s="206">
        <v>0</v>
      </c>
      <c r="V235" s="206">
        <v>0</v>
      </c>
      <c r="W235" s="206">
        <v>0</v>
      </c>
      <c r="X235" s="206">
        <f t="array" ref="X235">IF(X$78&gt;" ",(X$628:X$1078),"")</f>
        <v>0</v>
      </c>
      <c r="Y235" s="206">
        <f t="array" ref="Y235">IF(Y$78&gt;" ",(Y$628:Y$1078),"")</f>
        <v>0</v>
      </c>
      <c r="Z235" s="206">
        <f t="array" ref="Z235">IF(Z$78&gt;" ",(Z$628:Z$1078),"")</f>
        <v>0</v>
      </c>
      <c r="AA235" s="206">
        <f t="array" ref="AA235">IF(AA$78&gt;" ",(AA$628:AA$1078),"")</f>
        <v>0</v>
      </c>
      <c r="AB235" s="210">
        <v>0</v>
      </c>
      <c r="AC235" s="204">
        <f t="shared" si="37"/>
        <v>0</v>
      </c>
      <c r="AD235" s="206">
        <f t="shared" si="38"/>
        <v>0</v>
      </c>
      <c r="AE235" s="206">
        <f t="shared" si="39"/>
        <v>0</v>
      </c>
      <c r="AF235" s="206">
        <f t="shared" si="40"/>
        <v>0</v>
      </c>
      <c r="AG235" s="206">
        <f t="shared" si="41"/>
        <v>0</v>
      </c>
      <c r="AH235" s="206">
        <f t="shared" si="42"/>
        <v>0</v>
      </c>
      <c r="AI235" s="206">
        <f t="shared" si="43"/>
        <v>0</v>
      </c>
      <c r="AJ235" s="206">
        <f t="shared" si="44"/>
        <v>0</v>
      </c>
      <c r="AK235" s="206">
        <f t="shared" si="45"/>
        <v>0</v>
      </c>
      <c r="AL235" s="206">
        <f t="shared" si="46"/>
        <v>0</v>
      </c>
      <c r="AM235" s="214">
        <f t="shared" si="47"/>
        <v>0</v>
      </c>
      <c r="AN235" s="4"/>
      <c r="AO235" s="167">
        <v>1725</v>
      </c>
      <c r="AP235" s="215">
        <v>1.11640366207355E-3</v>
      </c>
      <c r="AQ235" s="190">
        <v>7.2229724440024592E-4</v>
      </c>
      <c r="AR235" s="190">
        <v>8.954481649989588E-4</v>
      </c>
      <c r="AS235" s="170">
        <v>9.7192714971765573E-4</v>
      </c>
      <c r="AU235" s="216">
        <v>97.362578195027822</v>
      </c>
      <c r="AV235" s="217">
        <v>97.378366309333913</v>
      </c>
      <c r="AW235" s="217">
        <v>95.367731596168767</v>
      </c>
      <c r="AX235" s="217">
        <v>95.532749235193322</v>
      </c>
      <c r="AY235" s="217"/>
      <c r="AZ235" s="218">
        <v>0</v>
      </c>
      <c r="BA235" s="8"/>
      <c r="BB235" s="219"/>
      <c r="BC235" s="220"/>
    </row>
    <row r="236" spans="15:55" x14ac:dyDescent="0.25">
      <c r="O236" s="195">
        <v>1720</v>
      </c>
      <c r="P236" s="202">
        <f t="shared" si="48"/>
        <v>0</v>
      </c>
      <c r="Q236" s="203">
        <f t="shared" si="48"/>
        <v>0</v>
      </c>
      <c r="R236" s="157">
        <f ca="1"/>
        <v>97.389487209863205</v>
      </c>
      <c r="T236" s="204">
        <v>0</v>
      </c>
      <c r="U236" s="206">
        <v>0</v>
      </c>
      <c r="V236" s="206">
        <v>0</v>
      </c>
      <c r="W236" s="206">
        <v>0</v>
      </c>
      <c r="X236" s="206">
        <f t="array" ref="X236">IF(X$78&gt;" ",(X$628:X$1078),"")</f>
        <v>0</v>
      </c>
      <c r="Y236" s="206">
        <f t="array" ref="Y236">IF(Y$78&gt;" ",(Y$628:Y$1078),"")</f>
        <v>0</v>
      </c>
      <c r="Z236" s="206">
        <f t="array" ref="Z236">IF(Z$78&gt;" ",(Z$628:Z$1078),"")</f>
        <v>0</v>
      </c>
      <c r="AA236" s="206">
        <f t="array" ref="AA236">IF(AA$78&gt;" ",(AA$628:AA$1078),"")</f>
        <v>0</v>
      </c>
      <c r="AB236" s="210">
        <v>0</v>
      </c>
      <c r="AC236" s="204">
        <f t="shared" si="37"/>
        <v>0</v>
      </c>
      <c r="AD236" s="206">
        <f t="shared" si="38"/>
        <v>0</v>
      </c>
      <c r="AE236" s="206">
        <f t="shared" si="39"/>
        <v>0</v>
      </c>
      <c r="AF236" s="206">
        <f t="shared" si="40"/>
        <v>0</v>
      </c>
      <c r="AG236" s="206">
        <f t="shared" si="41"/>
        <v>0</v>
      </c>
      <c r="AH236" s="206">
        <f t="shared" si="42"/>
        <v>0</v>
      </c>
      <c r="AI236" s="206">
        <f t="shared" si="43"/>
        <v>0</v>
      </c>
      <c r="AJ236" s="206">
        <f t="shared" si="44"/>
        <v>0</v>
      </c>
      <c r="AK236" s="206">
        <f t="shared" si="45"/>
        <v>0</v>
      </c>
      <c r="AL236" s="206">
        <f t="shared" si="46"/>
        <v>0</v>
      </c>
      <c r="AM236" s="214">
        <f t="shared" si="47"/>
        <v>0</v>
      </c>
      <c r="AN236" s="4"/>
      <c r="AO236" s="167">
        <v>1720</v>
      </c>
      <c r="AP236" s="215">
        <v>1.1401864491228711E-3</v>
      </c>
      <c r="AQ236" s="190">
        <v>7.2302759551654493E-4</v>
      </c>
      <c r="AR236" s="190">
        <v>9.4020045985795898E-4</v>
      </c>
      <c r="AS236" s="170">
        <v>1.0202800637129374E-3</v>
      </c>
      <c r="AU236" s="216">
        <v>97.36899708352189</v>
      </c>
      <c r="AV236" s="217">
        <v>97.389487209863205</v>
      </c>
      <c r="AW236" s="217">
        <v>95.380383890481127</v>
      </c>
      <c r="AX236" s="217">
        <v>95.545688950583667</v>
      </c>
      <c r="AY236" s="217"/>
      <c r="AZ236" s="218">
        <v>0</v>
      </c>
      <c r="BA236" s="8"/>
      <c r="BB236" s="219"/>
      <c r="BC236" s="220"/>
    </row>
    <row r="237" spans="15:55" x14ac:dyDescent="0.25">
      <c r="O237" s="195">
        <v>1715</v>
      </c>
      <c r="P237" s="202">
        <f t="shared" si="48"/>
        <v>0</v>
      </c>
      <c r="Q237" s="203">
        <f t="shared" si="48"/>
        <v>0</v>
      </c>
      <c r="R237" s="157">
        <f ca="1"/>
        <v>97.369886440371104</v>
      </c>
      <c r="T237" s="204">
        <v>0</v>
      </c>
      <c r="U237" s="206">
        <v>0</v>
      </c>
      <c r="V237" s="206">
        <v>0</v>
      </c>
      <c r="W237" s="206">
        <v>0</v>
      </c>
      <c r="X237" s="206">
        <f t="array" ref="X237">IF(X$78&gt;" ",(X$628:X$1078),"")</f>
        <v>0</v>
      </c>
      <c r="Y237" s="206">
        <f t="array" ref="Y237">IF(Y$78&gt;" ",(Y$628:Y$1078),"")</f>
        <v>0</v>
      </c>
      <c r="Z237" s="206">
        <f t="array" ref="Z237">IF(Z$78&gt;" ",(Z$628:Z$1078),"")</f>
        <v>0</v>
      </c>
      <c r="AA237" s="206">
        <f t="array" ref="AA237">IF(AA$78&gt;" ",(AA$628:AA$1078),"")</f>
        <v>0</v>
      </c>
      <c r="AB237" s="210">
        <v>0</v>
      </c>
      <c r="AC237" s="204">
        <f t="shared" si="37"/>
        <v>0</v>
      </c>
      <c r="AD237" s="206">
        <f t="shared" si="38"/>
        <v>0</v>
      </c>
      <c r="AE237" s="206">
        <f t="shared" si="39"/>
        <v>0</v>
      </c>
      <c r="AF237" s="206">
        <f t="shared" si="40"/>
        <v>0</v>
      </c>
      <c r="AG237" s="206">
        <f t="shared" si="41"/>
        <v>0</v>
      </c>
      <c r="AH237" s="206">
        <f t="shared" si="42"/>
        <v>0</v>
      </c>
      <c r="AI237" s="206">
        <f t="shared" si="43"/>
        <v>0</v>
      </c>
      <c r="AJ237" s="206">
        <f t="shared" si="44"/>
        <v>0</v>
      </c>
      <c r="AK237" s="206">
        <f t="shared" si="45"/>
        <v>0</v>
      </c>
      <c r="AL237" s="206">
        <f t="shared" si="46"/>
        <v>0</v>
      </c>
      <c r="AM237" s="214">
        <f t="shared" si="47"/>
        <v>0</v>
      </c>
      <c r="AN237" s="4"/>
      <c r="AO237" s="167">
        <v>1715</v>
      </c>
      <c r="AP237" s="215">
        <v>1.1639031728748331E-3</v>
      </c>
      <c r="AQ237" s="190">
        <v>7.2375794663284416E-4</v>
      </c>
      <c r="AR237" s="190">
        <v>9.5362614831565908E-4</v>
      </c>
      <c r="AS237" s="170">
        <v>1.0347747451073563E-3</v>
      </c>
      <c r="AU237" s="216">
        <v>97.359486680123482</v>
      </c>
      <c r="AV237" s="217">
        <v>97.369886440371104</v>
      </c>
      <c r="AW237" s="217">
        <v>95.406064064878251</v>
      </c>
      <c r="AX237" s="217">
        <v>95.570064750661103</v>
      </c>
      <c r="AY237" s="217"/>
      <c r="AZ237" s="218">
        <v>0</v>
      </c>
      <c r="BA237" s="8"/>
      <c r="BB237" s="219"/>
      <c r="BC237" s="220"/>
    </row>
    <row r="238" spans="15:55" x14ac:dyDescent="0.25">
      <c r="O238" s="195">
        <v>1710</v>
      </c>
      <c r="P238" s="202">
        <f t="shared" si="48"/>
        <v>0</v>
      </c>
      <c r="Q238" s="203">
        <f t="shared" si="48"/>
        <v>0</v>
      </c>
      <c r="R238" s="157">
        <f ca="1"/>
        <v>97.377001884868392</v>
      </c>
      <c r="T238" s="204">
        <v>0</v>
      </c>
      <c r="U238" s="206">
        <v>0</v>
      </c>
      <c r="V238" s="206">
        <v>0</v>
      </c>
      <c r="W238" s="206">
        <v>0</v>
      </c>
      <c r="X238" s="206">
        <f t="array" ref="X238">IF(X$78&gt;" ",(X$628:X$1078),"")</f>
        <v>0</v>
      </c>
      <c r="Y238" s="206">
        <f t="array" ref="Y238">IF(Y$78&gt;" ",(Y$628:Y$1078),"")</f>
        <v>0</v>
      </c>
      <c r="Z238" s="206">
        <f t="array" ref="Z238">IF(Z$78&gt;" ",(Z$628:Z$1078),"")</f>
        <v>0</v>
      </c>
      <c r="AA238" s="206">
        <f t="array" ref="AA238">IF(AA$78&gt;" ",(AA$628:AA$1078),"")</f>
        <v>0</v>
      </c>
      <c r="AB238" s="210">
        <v>0</v>
      </c>
      <c r="AC238" s="204">
        <f t="shared" si="37"/>
        <v>0</v>
      </c>
      <c r="AD238" s="206">
        <f t="shared" si="38"/>
        <v>0</v>
      </c>
      <c r="AE238" s="206">
        <f t="shared" si="39"/>
        <v>0</v>
      </c>
      <c r="AF238" s="206">
        <f t="shared" si="40"/>
        <v>0</v>
      </c>
      <c r="AG238" s="206">
        <f t="shared" si="41"/>
        <v>0</v>
      </c>
      <c r="AH238" s="206">
        <f t="shared" si="42"/>
        <v>0</v>
      </c>
      <c r="AI238" s="206">
        <f t="shared" si="43"/>
        <v>0</v>
      </c>
      <c r="AJ238" s="206">
        <f t="shared" si="44"/>
        <v>0</v>
      </c>
      <c r="AK238" s="206">
        <f t="shared" si="45"/>
        <v>0</v>
      </c>
      <c r="AL238" s="206">
        <f t="shared" si="46"/>
        <v>0</v>
      </c>
      <c r="AM238" s="214">
        <f t="shared" si="47"/>
        <v>0</v>
      </c>
      <c r="AN238" s="4"/>
      <c r="AO238" s="167">
        <v>1710</v>
      </c>
      <c r="AP238" s="215">
        <v>1.1876859599241542E-3</v>
      </c>
      <c r="AQ238" s="190">
        <v>7.2448829774914339E-4</v>
      </c>
      <c r="AR238" s="190">
        <v>9.4482653977596802E-4</v>
      </c>
      <c r="AS238" s="170">
        <v>1.0250370054833064E-3</v>
      </c>
      <c r="AU238" s="216">
        <v>97.364915063559522</v>
      </c>
      <c r="AV238" s="217">
        <v>97.377001884868392</v>
      </c>
      <c r="AW238" s="217">
        <v>95.439452111002822</v>
      </c>
      <c r="AX238" s="217">
        <v>95.605029549321856</v>
      </c>
      <c r="AY238" s="217"/>
      <c r="AZ238" s="218">
        <v>0</v>
      </c>
      <c r="BA238" s="8"/>
      <c r="BB238" s="219"/>
      <c r="BC238" s="220"/>
    </row>
    <row r="239" spans="15:55" x14ac:dyDescent="0.25">
      <c r="O239" s="195">
        <v>1705</v>
      </c>
      <c r="P239" s="202">
        <f t="shared" si="48"/>
        <v>0</v>
      </c>
      <c r="Q239" s="203">
        <f t="shared" si="48"/>
        <v>0</v>
      </c>
      <c r="R239" s="157">
        <f ca="1"/>
        <v>97.385292067213598</v>
      </c>
      <c r="T239" s="204">
        <v>0</v>
      </c>
      <c r="U239" s="206">
        <v>0</v>
      </c>
      <c r="V239" s="206">
        <v>0</v>
      </c>
      <c r="W239" s="206">
        <v>0</v>
      </c>
      <c r="X239" s="206">
        <f t="array" ref="X239">IF(X$78&gt;" ",(X$628:X$1078),"")</f>
        <v>0</v>
      </c>
      <c r="Y239" s="206">
        <f t="array" ref="Y239">IF(Y$78&gt;" ",(Y$628:Y$1078),"")</f>
        <v>0</v>
      </c>
      <c r="Z239" s="206">
        <f t="array" ref="Z239">IF(Z$78&gt;" ",(Z$628:Z$1078),"")</f>
        <v>0</v>
      </c>
      <c r="AA239" s="206">
        <f t="array" ref="AA239">IF(AA$78&gt;" ",(AA$628:AA$1078),"")</f>
        <v>0</v>
      </c>
      <c r="AB239" s="210">
        <v>0</v>
      </c>
      <c r="AC239" s="204">
        <f t="shared" si="37"/>
        <v>0</v>
      </c>
      <c r="AD239" s="206">
        <f t="shared" si="38"/>
        <v>0</v>
      </c>
      <c r="AE239" s="206">
        <f t="shared" si="39"/>
        <v>0</v>
      </c>
      <c r="AF239" s="206">
        <f t="shared" si="40"/>
        <v>0</v>
      </c>
      <c r="AG239" s="206">
        <f t="shared" si="41"/>
        <v>0</v>
      </c>
      <c r="AH239" s="206">
        <f t="shared" si="42"/>
        <v>0</v>
      </c>
      <c r="AI239" s="206">
        <f t="shared" si="43"/>
        <v>0</v>
      </c>
      <c r="AJ239" s="206">
        <f t="shared" si="44"/>
        <v>0</v>
      </c>
      <c r="AK239" s="206">
        <f t="shared" si="45"/>
        <v>0</v>
      </c>
      <c r="AL239" s="206">
        <f t="shared" si="46"/>
        <v>0</v>
      </c>
      <c r="AM239" s="214">
        <f t="shared" si="47"/>
        <v>0</v>
      </c>
      <c r="AN239" s="4"/>
      <c r="AO239" s="167">
        <v>1705</v>
      </c>
      <c r="AP239" s="215">
        <v>1.2114687469734753E-3</v>
      </c>
      <c r="AQ239" s="190">
        <v>7.2521864886544241E-4</v>
      </c>
      <c r="AR239" s="190">
        <v>9.945066154171951E-4</v>
      </c>
      <c r="AS239" s="170">
        <v>1.078706501457236E-3</v>
      </c>
      <c r="AU239" s="216">
        <v>97.385414977685926</v>
      </c>
      <c r="AV239" s="217">
        <v>97.385292067213598</v>
      </c>
      <c r="AW239" s="217">
        <v>95.458745993772581</v>
      </c>
      <c r="AX239" s="217">
        <v>95.625810289699857</v>
      </c>
      <c r="AY239" s="217"/>
      <c r="AZ239" s="218">
        <v>0</v>
      </c>
      <c r="BA239" s="8"/>
      <c r="BB239" s="219"/>
      <c r="BC239" s="220"/>
    </row>
    <row r="240" spans="15:55" x14ac:dyDescent="0.25">
      <c r="O240" s="195">
        <v>1700</v>
      </c>
      <c r="P240" s="202">
        <f t="shared" ref="P240:Q255" si="49">P788</f>
        <v>0</v>
      </c>
      <c r="Q240" s="203">
        <f t="shared" si="49"/>
        <v>0</v>
      </c>
      <c r="R240" s="157">
        <f ca="1"/>
        <v>97.388651421611655</v>
      </c>
      <c r="T240" s="204">
        <v>0</v>
      </c>
      <c r="U240" s="206">
        <v>0</v>
      </c>
      <c r="V240" s="206">
        <v>0</v>
      </c>
      <c r="W240" s="206">
        <v>0</v>
      </c>
      <c r="X240" s="206">
        <f t="array" ref="X240">IF(X$78&gt;" ",(X$628:X$1078),"")</f>
        <v>0</v>
      </c>
      <c r="Y240" s="206">
        <f t="array" ref="Y240">IF(Y$78&gt;" ",(Y$628:Y$1078),"")</f>
        <v>0</v>
      </c>
      <c r="Z240" s="206">
        <f t="array" ref="Z240">IF(Z$78&gt;" ",(Z$628:Z$1078),"")</f>
        <v>0</v>
      </c>
      <c r="AA240" s="206">
        <f t="array" ref="AA240">IF(AA$78&gt;" ",(AA$628:AA$1078),"")</f>
        <v>0</v>
      </c>
      <c r="AB240" s="210">
        <v>0</v>
      </c>
      <c r="AC240" s="204">
        <f t="shared" si="37"/>
        <v>0</v>
      </c>
      <c r="AD240" s="206">
        <f t="shared" si="38"/>
        <v>0</v>
      </c>
      <c r="AE240" s="206">
        <f t="shared" si="39"/>
        <v>0</v>
      </c>
      <c r="AF240" s="206">
        <f t="shared" si="40"/>
        <v>0</v>
      </c>
      <c r="AG240" s="206">
        <f t="shared" si="41"/>
        <v>0</v>
      </c>
      <c r="AH240" s="206">
        <f t="shared" si="42"/>
        <v>0</v>
      </c>
      <c r="AI240" s="206">
        <f t="shared" si="43"/>
        <v>0</v>
      </c>
      <c r="AJ240" s="206">
        <f t="shared" si="44"/>
        <v>0</v>
      </c>
      <c r="AK240" s="206">
        <f t="shared" si="45"/>
        <v>0</v>
      </c>
      <c r="AL240" s="206">
        <f t="shared" si="46"/>
        <v>0</v>
      </c>
      <c r="AM240" s="214">
        <f t="shared" si="47"/>
        <v>0</v>
      </c>
      <c r="AN240" s="4"/>
      <c r="AO240" s="167">
        <v>1700</v>
      </c>
      <c r="AP240" s="215">
        <v>1.2351854707254373E-3</v>
      </c>
      <c r="AQ240" s="190">
        <v>7.2594899998174164E-4</v>
      </c>
      <c r="AR240" s="190">
        <v>1.0044124604590187E-3</v>
      </c>
      <c r="AS240" s="170">
        <v>1.0892837013937037E-3</v>
      </c>
      <c r="AU240" s="216">
        <v>97.389729862071405</v>
      </c>
      <c r="AV240" s="217">
        <v>97.388651421611655</v>
      </c>
      <c r="AW240" s="217">
        <v>95.468667119955057</v>
      </c>
      <c r="AX240" s="217">
        <v>95.643213032256881</v>
      </c>
      <c r="AY240" s="217"/>
      <c r="AZ240" s="218">
        <v>0</v>
      </c>
      <c r="BA240" s="8"/>
      <c r="BB240" s="219"/>
      <c r="BC240" s="220"/>
    </row>
    <row r="241" spans="15:55" x14ac:dyDescent="0.25">
      <c r="O241" s="195">
        <v>1695</v>
      </c>
      <c r="P241" s="202">
        <f t="shared" si="49"/>
        <v>0</v>
      </c>
      <c r="Q241" s="203">
        <f t="shared" si="49"/>
        <v>0</v>
      </c>
      <c r="R241" s="157">
        <f ca="1"/>
        <v>97.399605760778059</v>
      </c>
      <c r="T241" s="204">
        <v>0</v>
      </c>
      <c r="U241" s="206">
        <v>0</v>
      </c>
      <c r="V241" s="206">
        <v>0</v>
      </c>
      <c r="W241" s="206">
        <v>0</v>
      </c>
      <c r="X241" s="206">
        <f t="array" ref="X241">IF(X$78&gt;" ",(X$628:X$1078),"")</f>
        <v>0</v>
      </c>
      <c r="Y241" s="206">
        <f t="array" ref="Y241">IF(Y$78&gt;" ",(Y$628:Y$1078),"")</f>
        <v>0</v>
      </c>
      <c r="Z241" s="206">
        <f t="array" ref="Z241">IF(Z$78&gt;" ",(Z$628:Z$1078),"")</f>
        <v>0</v>
      </c>
      <c r="AA241" s="206">
        <f t="array" ref="AA241">IF(AA$78&gt;" ",(AA$628:AA$1078),"")</f>
        <v>0</v>
      </c>
      <c r="AB241" s="210">
        <v>0</v>
      </c>
      <c r="AC241" s="204">
        <f t="shared" si="37"/>
        <v>0</v>
      </c>
      <c r="AD241" s="206">
        <f t="shared" si="38"/>
        <v>0</v>
      </c>
      <c r="AE241" s="206">
        <f t="shared" si="39"/>
        <v>0</v>
      </c>
      <c r="AF241" s="206">
        <f t="shared" si="40"/>
        <v>0</v>
      </c>
      <c r="AG241" s="206">
        <f t="shared" si="41"/>
        <v>0</v>
      </c>
      <c r="AH241" s="206">
        <f t="shared" si="42"/>
        <v>0</v>
      </c>
      <c r="AI241" s="206">
        <f t="shared" si="43"/>
        <v>0</v>
      </c>
      <c r="AJ241" s="206">
        <f t="shared" si="44"/>
        <v>0</v>
      </c>
      <c r="AK241" s="206">
        <f t="shared" si="45"/>
        <v>0</v>
      </c>
      <c r="AL241" s="206">
        <f t="shared" si="46"/>
        <v>0</v>
      </c>
      <c r="AM241" s="214">
        <f t="shared" si="47"/>
        <v>0</v>
      </c>
      <c r="AN241" s="4"/>
      <c r="AO241" s="167">
        <v>1695</v>
      </c>
      <c r="AP241" s="215">
        <v>1.2589682577747584E-3</v>
      </c>
      <c r="AQ241" s="190">
        <v>7.5955515614131535E-4</v>
      </c>
      <c r="AR241" s="190">
        <v>1.0543439534870941E-3</v>
      </c>
      <c r="AS241" s="170">
        <v>1.1431770534509446E-3</v>
      </c>
      <c r="AU241" s="216">
        <v>97.391472241180168</v>
      </c>
      <c r="AV241" s="217">
        <v>97.399605760778059</v>
      </c>
      <c r="AW241" s="217">
        <v>95.491794215781468</v>
      </c>
      <c r="AX241" s="217">
        <v>95.655464918038248</v>
      </c>
      <c r="AY241" s="217"/>
      <c r="AZ241" s="218">
        <v>0</v>
      </c>
      <c r="BA241" s="8"/>
      <c r="BB241" s="219"/>
      <c r="BC241" s="220"/>
    </row>
    <row r="242" spans="15:55" x14ac:dyDescent="0.25">
      <c r="O242" s="195">
        <v>1690</v>
      </c>
      <c r="P242" s="202">
        <f t="shared" si="49"/>
        <v>0</v>
      </c>
      <c r="Q242" s="203">
        <f t="shared" si="49"/>
        <v>0</v>
      </c>
      <c r="R242" s="157">
        <f ca="1"/>
        <v>97.39064986811529</v>
      </c>
      <c r="T242" s="204">
        <v>0</v>
      </c>
      <c r="U242" s="206">
        <v>0</v>
      </c>
      <c r="V242" s="206">
        <v>0</v>
      </c>
      <c r="W242" s="206">
        <v>0</v>
      </c>
      <c r="X242" s="206">
        <f t="array" ref="X242">IF(X$78&gt;" ",(X$628:X$1078),"")</f>
        <v>0</v>
      </c>
      <c r="Y242" s="206">
        <f t="array" ref="Y242">IF(Y$78&gt;" ",(Y$628:Y$1078),"")</f>
        <v>0</v>
      </c>
      <c r="Z242" s="206">
        <f t="array" ref="Z242">IF(Z$78&gt;" ",(Z$628:Z$1078),"")</f>
        <v>0</v>
      </c>
      <c r="AA242" s="206">
        <f t="array" ref="AA242">IF(AA$78&gt;" ",(AA$628:AA$1078),"")</f>
        <v>0</v>
      </c>
      <c r="AB242" s="210">
        <v>0</v>
      </c>
      <c r="AC242" s="204">
        <f t="shared" si="37"/>
        <v>0</v>
      </c>
      <c r="AD242" s="206">
        <f t="shared" si="38"/>
        <v>0</v>
      </c>
      <c r="AE242" s="206">
        <f t="shared" si="39"/>
        <v>0</v>
      </c>
      <c r="AF242" s="206">
        <f t="shared" si="40"/>
        <v>0</v>
      </c>
      <c r="AG242" s="206">
        <f t="shared" si="41"/>
        <v>0</v>
      </c>
      <c r="AH242" s="206">
        <f t="shared" si="42"/>
        <v>0</v>
      </c>
      <c r="AI242" s="206">
        <f t="shared" si="43"/>
        <v>0</v>
      </c>
      <c r="AJ242" s="206">
        <f t="shared" si="44"/>
        <v>0</v>
      </c>
      <c r="AK242" s="206">
        <f t="shared" si="45"/>
        <v>0</v>
      </c>
      <c r="AL242" s="206">
        <f t="shared" si="46"/>
        <v>0</v>
      </c>
      <c r="AM242" s="214">
        <f t="shared" si="47"/>
        <v>0</v>
      </c>
      <c r="AN242" s="4"/>
      <c r="AO242" s="167">
        <v>1690</v>
      </c>
      <c r="AP242" s="215">
        <v>1.2827510448240795E-3</v>
      </c>
      <c r="AQ242" s="190">
        <v>7.9316131230088905E-4</v>
      </c>
      <c r="AR242" s="190">
        <v>1.0319678060575939E-3</v>
      </c>
      <c r="AS242" s="170">
        <v>1.1187767403699922E-3</v>
      </c>
      <c r="AU242" s="216">
        <v>97.400278784888584</v>
      </c>
      <c r="AV242" s="217">
        <v>97.39064986811529</v>
      </c>
      <c r="AW242" s="217">
        <v>95.517162616245471</v>
      </c>
      <c r="AX242" s="217">
        <v>95.675765061632504</v>
      </c>
      <c r="AY242" s="217"/>
      <c r="AZ242" s="218">
        <v>0</v>
      </c>
      <c r="BA242" s="8"/>
      <c r="BB242" s="219"/>
      <c r="BC242" s="220"/>
    </row>
    <row r="243" spans="15:55" x14ac:dyDescent="0.25">
      <c r="O243" s="195">
        <v>1685</v>
      </c>
      <c r="P243" s="202">
        <f t="shared" si="49"/>
        <v>0</v>
      </c>
      <c r="Q243" s="203">
        <f t="shared" si="49"/>
        <v>0</v>
      </c>
      <c r="R243" s="157">
        <f ca="1"/>
        <v>97.409874721914051</v>
      </c>
      <c r="T243" s="204">
        <v>0</v>
      </c>
      <c r="U243" s="206">
        <v>0</v>
      </c>
      <c r="V243" s="206">
        <v>0</v>
      </c>
      <c r="W243" s="206">
        <v>0</v>
      </c>
      <c r="X243" s="206">
        <f t="array" ref="X243">IF(X$78&gt;" ",(X$628:X$1078),"")</f>
        <v>0</v>
      </c>
      <c r="Y243" s="206">
        <f t="array" ref="Y243">IF(Y$78&gt;" ",(Y$628:Y$1078),"")</f>
        <v>0</v>
      </c>
      <c r="Z243" s="206">
        <f t="array" ref="Z243">IF(Z$78&gt;" ",(Z$628:Z$1078),"")</f>
        <v>0</v>
      </c>
      <c r="AA243" s="206">
        <f t="array" ref="AA243">IF(AA$78&gt;" ",(AA$628:AA$1078),"")</f>
        <v>0</v>
      </c>
      <c r="AB243" s="210">
        <v>0</v>
      </c>
      <c r="AC243" s="204">
        <f t="shared" si="37"/>
        <v>0</v>
      </c>
      <c r="AD243" s="206">
        <f t="shared" si="38"/>
        <v>0</v>
      </c>
      <c r="AE243" s="206">
        <f t="shared" si="39"/>
        <v>0</v>
      </c>
      <c r="AF243" s="206">
        <f t="shared" si="40"/>
        <v>0</v>
      </c>
      <c r="AG243" s="206">
        <f t="shared" si="41"/>
        <v>0</v>
      </c>
      <c r="AH243" s="206">
        <f t="shared" si="42"/>
        <v>0</v>
      </c>
      <c r="AI243" s="206">
        <f t="shared" si="43"/>
        <v>0</v>
      </c>
      <c r="AJ243" s="206">
        <f t="shared" si="44"/>
        <v>0</v>
      </c>
      <c r="AK243" s="206">
        <f t="shared" si="45"/>
        <v>0</v>
      </c>
      <c r="AL243" s="206">
        <f t="shared" si="46"/>
        <v>0</v>
      </c>
      <c r="AM243" s="214">
        <f t="shared" si="47"/>
        <v>0</v>
      </c>
      <c r="AN243" s="4"/>
      <c r="AO243" s="167">
        <v>1685</v>
      </c>
      <c r="AP243" s="215">
        <v>1.3064677685760413E-3</v>
      </c>
      <c r="AQ243" s="190">
        <v>8.2676746846046265E-4</v>
      </c>
      <c r="AR243" s="190">
        <v>1.072094020998585E-3</v>
      </c>
      <c r="AS243" s="170">
        <v>1.1619809644491097E-3</v>
      </c>
      <c r="AU243" s="216">
        <v>97.390273599032994</v>
      </c>
      <c r="AV243" s="217">
        <v>97.409874721914051</v>
      </c>
      <c r="AW243" s="217">
        <v>95.545221728459936</v>
      </c>
      <c r="AX243" s="217">
        <v>95.701560474595794</v>
      </c>
      <c r="AY243" s="217"/>
      <c r="AZ243" s="218">
        <v>0</v>
      </c>
      <c r="BA243" s="8"/>
      <c r="BB243" s="219"/>
      <c r="BC243" s="220"/>
    </row>
    <row r="244" spans="15:55" x14ac:dyDescent="0.25">
      <c r="O244" s="195">
        <v>1680</v>
      </c>
      <c r="P244" s="202">
        <f t="shared" si="49"/>
        <v>0</v>
      </c>
      <c r="Q244" s="203">
        <f t="shared" si="49"/>
        <v>0</v>
      </c>
      <c r="R244" s="157">
        <f ca="1"/>
        <v>97.417567217311486</v>
      </c>
      <c r="T244" s="204">
        <v>0</v>
      </c>
      <c r="U244" s="206">
        <v>0</v>
      </c>
      <c r="V244" s="206">
        <v>0</v>
      </c>
      <c r="W244" s="206">
        <v>0</v>
      </c>
      <c r="X244" s="206">
        <f t="array" ref="X244">IF(X$78&gt;" ",(X$628:X$1078),"")</f>
        <v>0</v>
      </c>
      <c r="Y244" s="206">
        <f t="array" ref="Y244">IF(Y$78&gt;" ",(Y$628:Y$1078),"")</f>
        <v>0</v>
      </c>
      <c r="Z244" s="206">
        <f t="array" ref="Z244">IF(Z$78&gt;" ",(Z$628:Z$1078),"")</f>
        <v>0</v>
      </c>
      <c r="AA244" s="206">
        <f t="array" ref="AA244">IF(AA$78&gt;" ",(AA$628:AA$1078),"")</f>
        <v>0</v>
      </c>
      <c r="AB244" s="210">
        <v>0</v>
      </c>
      <c r="AC244" s="204">
        <f t="shared" si="37"/>
        <v>0</v>
      </c>
      <c r="AD244" s="206">
        <f t="shared" si="38"/>
        <v>0</v>
      </c>
      <c r="AE244" s="206">
        <f t="shared" si="39"/>
        <v>0</v>
      </c>
      <c r="AF244" s="206">
        <f t="shared" si="40"/>
        <v>0</v>
      </c>
      <c r="AG244" s="206">
        <f t="shared" si="41"/>
        <v>0</v>
      </c>
      <c r="AH244" s="206">
        <f t="shared" si="42"/>
        <v>0</v>
      </c>
      <c r="AI244" s="206">
        <f t="shared" si="43"/>
        <v>0</v>
      </c>
      <c r="AJ244" s="206">
        <f t="shared" si="44"/>
        <v>0</v>
      </c>
      <c r="AK244" s="206">
        <f t="shared" si="45"/>
        <v>0</v>
      </c>
      <c r="AL244" s="206">
        <f t="shared" si="46"/>
        <v>0</v>
      </c>
      <c r="AM244" s="214">
        <f t="shared" si="47"/>
        <v>0</v>
      </c>
      <c r="AN244" s="4"/>
      <c r="AO244" s="167">
        <v>1680</v>
      </c>
      <c r="AP244" s="215">
        <v>1.3302505556253626E-3</v>
      </c>
      <c r="AQ244" s="190">
        <v>8.6037362462003657E-4</v>
      </c>
      <c r="AR244" s="190">
        <v>1.0337277277655322E-3</v>
      </c>
      <c r="AS244" s="170">
        <v>1.120231804911517E-3</v>
      </c>
      <c r="AU244" s="216">
        <v>97.409124239318658</v>
      </c>
      <c r="AV244" s="217">
        <v>97.417567217311486</v>
      </c>
      <c r="AW244" s="217">
        <v>95.542212847524596</v>
      </c>
      <c r="AX244" s="217">
        <v>95.703270185495725</v>
      </c>
      <c r="AY244" s="217"/>
      <c r="AZ244" s="218">
        <v>0</v>
      </c>
      <c r="BA244" s="8"/>
      <c r="BB244" s="219"/>
      <c r="BC244" s="220"/>
    </row>
    <row r="245" spans="15:55" x14ac:dyDescent="0.25">
      <c r="O245" s="195">
        <v>1675</v>
      </c>
      <c r="P245" s="202">
        <f t="shared" si="49"/>
        <v>0</v>
      </c>
      <c r="Q245" s="203">
        <f t="shared" si="49"/>
        <v>0</v>
      </c>
      <c r="R245" s="157">
        <f ca="1"/>
        <v>97.410317548907287</v>
      </c>
      <c r="T245" s="204">
        <v>0</v>
      </c>
      <c r="U245" s="206">
        <v>0</v>
      </c>
      <c r="V245" s="206">
        <v>0</v>
      </c>
      <c r="W245" s="206">
        <v>0</v>
      </c>
      <c r="X245" s="206">
        <f t="array" ref="X245">IF(X$78&gt;" ",(X$628:X$1078),"")</f>
        <v>0</v>
      </c>
      <c r="Y245" s="206">
        <f t="array" ref="Y245">IF(Y$78&gt;" ",(Y$628:Y$1078),"")</f>
        <v>0</v>
      </c>
      <c r="Z245" s="206">
        <f t="array" ref="Z245">IF(Z$78&gt;" ",(Z$628:Z$1078),"")</f>
        <v>0</v>
      </c>
      <c r="AA245" s="206">
        <f t="array" ref="AA245">IF(AA$78&gt;" ",(AA$628:AA$1078),"")</f>
        <v>0</v>
      </c>
      <c r="AB245" s="210">
        <v>0</v>
      </c>
      <c r="AC245" s="204">
        <f t="shared" si="37"/>
        <v>0</v>
      </c>
      <c r="AD245" s="206">
        <f t="shared" si="38"/>
        <v>0</v>
      </c>
      <c r="AE245" s="206">
        <f t="shared" si="39"/>
        <v>0</v>
      </c>
      <c r="AF245" s="206">
        <f t="shared" si="40"/>
        <v>0</v>
      </c>
      <c r="AG245" s="206">
        <f t="shared" si="41"/>
        <v>0</v>
      </c>
      <c r="AH245" s="206">
        <f t="shared" si="42"/>
        <v>0</v>
      </c>
      <c r="AI245" s="206">
        <f t="shared" si="43"/>
        <v>0</v>
      </c>
      <c r="AJ245" s="206">
        <f t="shared" si="44"/>
        <v>0</v>
      </c>
      <c r="AK245" s="206">
        <f t="shared" si="45"/>
        <v>0</v>
      </c>
      <c r="AL245" s="206">
        <f t="shared" si="46"/>
        <v>0</v>
      </c>
      <c r="AM245" s="214">
        <f t="shared" si="47"/>
        <v>0</v>
      </c>
      <c r="AN245" s="4"/>
      <c r="AO245" s="167">
        <v>1675</v>
      </c>
      <c r="AP245" s="215">
        <v>1.3478894560202757E-3</v>
      </c>
      <c r="AQ245" s="190">
        <v>8.9397978077961028E-4</v>
      </c>
      <c r="AR245" s="190">
        <v>1.0740550766160019E-3</v>
      </c>
      <c r="AS245" s="170">
        <v>1.1636598850739458E-3</v>
      </c>
      <c r="AU245" s="216">
        <v>97.411855091839939</v>
      </c>
      <c r="AV245" s="217">
        <v>97.410317548907287</v>
      </c>
      <c r="AW245" s="217">
        <v>95.548153842122886</v>
      </c>
      <c r="AX245" s="217">
        <v>95.715238401693867</v>
      </c>
      <c r="AY245" s="217"/>
      <c r="AZ245" s="218">
        <v>0</v>
      </c>
      <c r="BA245" s="8"/>
      <c r="BB245" s="219"/>
      <c r="BC245" s="220"/>
    </row>
    <row r="246" spans="15:55" x14ac:dyDescent="0.25">
      <c r="O246" s="195">
        <v>1670</v>
      </c>
      <c r="P246" s="202">
        <f t="shared" si="49"/>
        <v>0</v>
      </c>
      <c r="Q246" s="203">
        <f t="shared" si="49"/>
        <v>0</v>
      </c>
      <c r="R246" s="157">
        <f ca="1"/>
        <v>97.411909930291245</v>
      </c>
      <c r="T246" s="204">
        <v>0</v>
      </c>
      <c r="U246" s="206">
        <v>0</v>
      </c>
      <c r="V246" s="206">
        <v>0</v>
      </c>
      <c r="W246" s="206">
        <v>0</v>
      </c>
      <c r="X246" s="206">
        <f t="array" ref="X246">IF(X$78&gt;" ",(X$628:X$1078),"")</f>
        <v>0</v>
      </c>
      <c r="Y246" s="206">
        <f t="array" ref="Y246">IF(Y$78&gt;" ",(Y$628:Y$1078),"")</f>
        <v>0</v>
      </c>
      <c r="Z246" s="206">
        <f t="array" ref="Z246">IF(Z$78&gt;" ",(Z$628:Z$1078),"")</f>
        <v>0</v>
      </c>
      <c r="AA246" s="206">
        <f t="array" ref="AA246">IF(AA$78&gt;" ",(AA$628:AA$1078),"")</f>
        <v>0</v>
      </c>
      <c r="AB246" s="210">
        <v>0</v>
      </c>
      <c r="AC246" s="204">
        <f t="shared" si="37"/>
        <v>0</v>
      </c>
      <c r="AD246" s="206">
        <f t="shared" si="38"/>
        <v>0</v>
      </c>
      <c r="AE246" s="206">
        <f t="shared" si="39"/>
        <v>0</v>
      </c>
      <c r="AF246" s="206">
        <f t="shared" si="40"/>
        <v>0</v>
      </c>
      <c r="AG246" s="206">
        <f t="shared" si="41"/>
        <v>0</v>
      </c>
      <c r="AH246" s="206">
        <f t="shared" si="42"/>
        <v>0</v>
      </c>
      <c r="AI246" s="206">
        <f t="shared" si="43"/>
        <v>0</v>
      </c>
      <c r="AJ246" s="206">
        <f t="shared" si="44"/>
        <v>0</v>
      </c>
      <c r="AK246" s="206">
        <f t="shared" si="45"/>
        <v>0</v>
      </c>
      <c r="AL246" s="206">
        <f t="shared" si="46"/>
        <v>0</v>
      </c>
      <c r="AM246" s="214">
        <f t="shared" si="47"/>
        <v>0</v>
      </c>
      <c r="AN246" s="4"/>
      <c r="AO246" s="167">
        <v>1670</v>
      </c>
      <c r="AP246" s="215">
        <v>1.3613663686815576E-3</v>
      </c>
      <c r="AQ246" s="190">
        <v>9.2758593693918387E-4</v>
      </c>
      <c r="AR246" s="190">
        <v>1.1146841263306895E-3</v>
      </c>
      <c r="AS246" s="170">
        <v>1.2073118213196861E-3</v>
      </c>
      <c r="AU246" s="216">
        <v>97.408447213606976</v>
      </c>
      <c r="AV246" s="217">
        <v>97.411909930291245</v>
      </c>
      <c r="AW246" s="217">
        <v>95.568439052591472</v>
      </c>
      <c r="AX246" s="217">
        <v>95.731433892585486</v>
      </c>
      <c r="AY246" s="217"/>
      <c r="AZ246" s="218">
        <v>0</v>
      </c>
      <c r="BA246" s="8"/>
      <c r="BB246" s="219"/>
      <c r="BC246" s="220"/>
    </row>
    <row r="247" spans="15:55" x14ac:dyDescent="0.25">
      <c r="O247" s="195">
        <v>1665</v>
      </c>
      <c r="P247" s="202">
        <f t="shared" si="49"/>
        <v>0</v>
      </c>
      <c r="Q247" s="203">
        <f t="shared" si="49"/>
        <v>0</v>
      </c>
      <c r="R247" s="157">
        <f ca="1"/>
        <v>97.419974649698418</v>
      </c>
      <c r="T247" s="204">
        <v>0</v>
      </c>
      <c r="U247" s="206">
        <v>0</v>
      </c>
      <c r="V247" s="206">
        <v>0</v>
      </c>
      <c r="W247" s="206">
        <v>0</v>
      </c>
      <c r="X247" s="206">
        <f t="array" ref="X247">IF(X$78&gt;" ",(X$628:X$1078),"")</f>
        <v>0</v>
      </c>
      <c r="Y247" s="206">
        <f t="array" ref="Y247">IF(Y$78&gt;" ",(Y$628:Y$1078),"")</f>
        <v>0</v>
      </c>
      <c r="Z247" s="206">
        <f t="array" ref="Z247">IF(Z$78&gt;" ",(Z$628:Z$1078),"")</f>
        <v>0</v>
      </c>
      <c r="AA247" s="206">
        <f t="array" ref="AA247">IF(AA$78&gt;" ",(AA$628:AA$1078),"")</f>
        <v>0</v>
      </c>
      <c r="AB247" s="210">
        <v>0</v>
      </c>
      <c r="AC247" s="204">
        <f t="shared" si="37"/>
        <v>0</v>
      </c>
      <c r="AD247" s="206">
        <f t="shared" si="38"/>
        <v>0</v>
      </c>
      <c r="AE247" s="206">
        <f t="shared" si="39"/>
        <v>0</v>
      </c>
      <c r="AF247" s="206">
        <f t="shared" si="40"/>
        <v>0</v>
      </c>
      <c r="AG247" s="206">
        <f t="shared" si="41"/>
        <v>0</v>
      </c>
      <c r="AH247" s="206">
        <f t="shared" si="42"/>
        <v>0</v>
      </c>
      <c r="AI247" s="206">
        <f t="shared" si="43"/>
        <v>0</v>
      </c>
      <c r="AJ247" s="206">
        <f t="shared" si="44"/>
        <v>0</v>
      </c>
      <c r="AK247" s="206">
        <f t="shared" si="45"/>
        <v>0</v>
      </c>
      <c r="AL247" s="206">
        <f t="shared" si="46"/>
        <v>0</v>
      </c>
      <c r="AM247" s="214">
        <f t="shared" si="47"/>
        <v>0</v>
      </c>
      <c r="AN247" s="4"/>
      <c r="AO247" s="167">
        <v>1665</v>
      </c>
      <c r="AP247" s="215">
        <v>1.3749093446401991E-3</v>
      </c>
      <c r="AQ247" s="190">
        <v>9.6119209309875769E-4</v>
      </c>
      <c r="AR247" s="190">
        <v>1.0649034837347231E-3</v>
      </c>
      <c r="AS247" s="170">
        <v>1.1532505771999616E-3</v>
      </c>
      <c r="AU247" s="216">
        <v>97.421216201296104</v>
      </c>
      <c r="AV247" s="217">
        <v>97.419974649698418</v>
      </c>
      <c r="AW247" s="217">
        <v>95.587844864709822</v>
      </c>
      <c r="AX247" s="217">
        <v>95.752509349854336</v>
      </c>
      <c r="AY247" s="217"/>
      <c r="AZ247" s="218">
        <v>0</v>
      </c>
      <c r="BA247" s="8"/>
      <c r="BB247" s="219"/>
      <c r="BC247" s="220"/>
    </row>
    <row r="248" spans="15:55" x14ac:dyDescent="0.25">
      <c r="O248" s="195">
        <v>1660</v>
      </c>
      <c r="P248" s="202">
        <f t="shared" si="49"/>
        <v>0</v>
      </c>
      <c r="Q248" s="203">
        <f t="shared" si="49"/>
        <v>0</v>
      </c>
      <c r="R248" s="157">
        <f ca="1"/>
        <v>97.420958588064536</v>
      </c>
      <c r="T248" s="204">
        <v>0</v>
      </c>
      <c r="U248" s="206">
        <v>0</v>
      </c>
      <c r="V248" s="206">
        <v>0</v>
      </c>
      <c r="W248" s="206">
        <v>0</v>
      </c>
      <c r="X248" s="206">
        <f t="array" ref="X248">IF(X$78&gt;" ",(X$628:X$1078),"")</f>
        <v>0</v>
      </c>
      <c r="Y248" s="206">
        <f t="array" ref="Y248">IF(Y$78&gt;" ",(Y$628:Y$1078),"")</f>
        <v>0</v>
      </c>
      <c r="Z248" s="206">
        <f t="array" ref="Z248">IF(Z$78&gt;" ",(Z$628:Z$1078),"")</f>
        <v>0</v>
      </c>
      <c r="AA248" s="206">
        <f t="array" ref="AA248">IF(AA$78&gt;" ",(AA$628:AA$1078),"")</f>
        <v>0</v>
      </c>
      <c r="AB248" s="210">
        <v>0</v>
      </c>
      <c r="AC248" s="204">
        <f t="shared" si="37"/>
        <v>0</v>
      </c>
      <c r="AD248" s="206">
        <f t="shared" si="38"/>
        <v>0</v>
      </c>
      <c r="AE248" s="206">
        <f t="shared" si="39"/>
        <v>0</v>
      </c>
      <c r="AF248" s="206">
        <f t="shared" si="40"/>
        <v>0</v>
      </c>
      <c r="AG248" s="206">
        <f t="shared" si="41"/>
        <v>0</v>
      </c>
      <c r="AH248" s="206">
        <f t="shared" si="42"/>
        <v>0</v>
      </c>
      <c r="AI248" s="206">
        <f t="shared" si="43"/>
        <v>0</v>
      </c>
      <c r="AJ248" s="206">
        <f t="shared" si="44"/>
        <v>0</v>
      </c>
      <c r="AK248" s="206">
        <f t="shared" si="45"/>
        <v>0</v>
      </c>
      <c r="AL248" s="206">
        <f t="shared" si="46"/>
        <v>0</v>
      </c>
      <c r="AM248" s="214">
        <f t="shared" si="47"/>
        <v>0</v>
      </c>
      <c r="AN248" s="4"/>
      <c r="AO248" s="167">
        <v>1660</v>
      </c>
      <c r="AP248" s="215">
        <v>1.3884523205988401E-3</v>
      </c>
      <c r="AQ248" s="190">
        <v>9.947982492583315E-4</v>
      </c>
      <c r="AR248" s="190">
        <v>1.1229306166193143E-3</v>
      </c>
      <c r="AS248" s="170">
        <v>1.215594496402211E-3</v>
      </c>
      <c r="AU248" s="216">
        <v>97.429990354465573</v>
      </c>
      <c r="AV248" s="217">
        <v>97.420958588064536</v>
      </c>
      <c r="AW248" s="217">
        <v>95.609835803035253</v>
      </c>
      <c r="AX248" s="217">
        <v>95.769603992571504</v>
      </c>
      <c r="AY248" s="217"/>
      <c r="AZ248" s="218">
        <v>0</v>
      </c>
      <c r="BA248" s="8"/>
      <c r="BB248" s="219"/>
      <c r="BC248" s="220"/>
    </row>
    <row r="249" spans="15:55" x14ac:dyDescent="0.25">
      <c r="O249" s="195">
        <v>1655</v>
      </c>
      <c r="P249" s="202">
        <f t="shared" si="49"/>
        <v>0</v>
      </c>
      <c r="Q249" s="203">
        <f t="shared" si="49"/>
        <v>0</v>
      </c>
      <c r="R249" s="157">
        <f ca="1"/>
        <v>97.419470792911667</v>
      </c>
      <c r="T249" s="204">
        <v>0</v>
      </c>
      <c r="U249" s="206">
        <v>0</v>
      </c>
      <c r="V249" s="206">
        <v>0</v>
      </c>
      <c r="W249" s="206">
        <v>0</v>
      </c>
      <c r="X249" s="206">
        <f t="array" ref="X249">IF(X$78&gt;" ",(X$628:X$1078),"")</f>
        <v>0</v>
      </c>
      <c r="Y249" s="206">
        <f t="array" ref="Y249">IF(Y$78&gt;" ",(Y$628:Y$1078),"")</f>
        <v>0</v>
      </c>
      <c r="Z249" s="206">
        <f t="array" ref="Z249">IF(Z$78&gt;" ",(Z$628:Z$1078),"")</f>
        <v>0</v>
      </c>
      <c r="AA249" s="206">
        <f t="array" ref="AA249">IF(AA$78&gt;" ",(AA$628:AA$1078),"")</f>
        <v>0</v>
      </c>
      <c r="AB249" s="210">
        <v>0</v>
      </c>
      <c r="AC249" s="204">
        <f t="shared" si="37"/>
        <v>0</v>
      </c>
      <c r="AD249" s="206">
        <f t="shared" si="38"/>
        <v>0</v>
      </c>
      <c r="AE249" s="206">
        <f t="shared" si="39"/>
        <v>0</v>
      </c>
      <c r="AF249" s="206">
        <f t="shared" si="40"/>
        <v>0</v>
      </c>
      <c r="AG249" s="206">
        <f t="shared" si="41"/>
        <v>0</v>
      </c>
      <c r="AH249" s="206">
        <f t="shared" si="42"/>
        <v>0</v>
      </c>
      <c r="AI249" s="206">
        <f t="shared" si="43"/>
        <v>0</v>
      </c>
      <c r="AJ249" s="206">
        <f t="shared" si="44"/>
        <v>0</v>
      </c>
      <c r="AK249" s="206">
        <f t="shared" si="45"/>
        <v>0</v>
      </c>
      <c r="AL249" s="206">
        <f t="shared" si="46"/>
        <v>0</v>
      </c>
      <c r="AM249" s="214">
        <f t="shared" si="47"/>
        <v>0</v>
      </c>
      <c r="AN249" s="4"/>
      <c r="AO249" s="167">
        <v>1655</v>
      </c>
      <c r="AP249" s="215">
        <v>1.4019952965574813E-3</v>
      </c>
      <c r="AQ249" s="190">
        <v>1.0284044054179053E-3</v>
      </c>
      <c r="AR249" s="190">
        <v>1.1178519854049783E-3</v>
      </c>
      <c r="AS249" s="170">
        <v>1.2098861662777681E-3</v>
      </c>
      <c r="AU249" s="216">
        <v>97.425702485274257</v>
      </c>
      <c r="AV249" s="217">
        <v>97.419470792911667</v>
      </c>
      <c r="AW249" s="217">
        <v>95.609067235813669</v>
      </c>
      <c r="AX249" s="217">
        <v>95.772165327409525</v>
      </c>
      <c r="AY249" s="217"/>
      <c r="AZ249" s="218">
        <v>0</v>
      </c>
      <c r="BA249" s="8"/>
      <c r="BB249" s="219"/>
      <c r="BC249" s="220"/>
    </row>
    <row r="250" spans="15:55" x14ac:dyDescent="0.25">
      <c r="O250" s="195">
        <v>1650</v>
      </c>
      <c r="P250" s="202">
        <f t="shared" si="49"/>
        <v>0</v>
      </c>
      <c r="Q250" s="203">
        <f t="shared" si="49"/>
        <v>0</v>
      </c>
      <c r="R250" s="157">
        <f ca="1"/>
        <v>97.423125307306293</v>
      </c>
      <c r="T250" s="204">
        <v>0</v>
      </c>
      <c r="U250" s="206">
        <v>0</v>
      </c>
      <c r="V250" s="206">
        <v>0</v>
      </c>
      <c r="W250" s="206">
        <v>0</v>
      </c>
      <c r="X250" s="206">
        <f t="array" ref="X250">IF(X$78&gt;" ",(X$628:X$1078),"")</f>
        <v>0</v>
      </c>
      <c r="Y250" s="206">
        <f t="array" ref="Y250">IF(Y$78&gt;" ",(Y$628:Y$1078),"")</f>
        <v>0</v>
      </c>
      <c r="Z250" s="206">
        <f t="array" ref="Z250">IF(Z$78&gt;" ",(Z$628:Z$1078),"")</f>
        <v>0</v>
      </c>
      <c r="AA250" s="206">
        <f t="array" ref="AA250">IF(AA$78&gt;" ",(AA$628:AA$1078),"")</f>
        <v>0</v>
      </c>
      <c r="AB250" s="210">
        <v>0</v>
      </c>
      <c r="AC250" s="204">
        <f t="shared" si="37"/>
        <v>0</v>
      </c>
      <c r="AD250" s="206">
        <f t="shared" si="38"/>
        <v>0</v>
      </c>
      <c r="AE250" s="206">
        <f t="shared" si="39"/>
        <v>0</v>
      </c>
      <c r="AF250" s="206">
        <f t="shared" si="40"/>
        <v>0</v>
      </c>
      <c r="AG250" s="206">
        <f t="shared" si="41"/>
        <v>0</v>
      </c>
      <c r="AH250" s="206">
        <f t="shared" si="42"/>
        <v>0</v>
      </c>
      <c r="AI250" s="206">
        <f t="shared" si="43"/>
        <v>0</v>
      </c>
      <c r="AJ250" s="206">
        <f t="shared" si="44"/>
        <v>0</v>
      </c>
      <c r="AK250" s="206">
        <f t="shared" si="45"/>
        <v>0</v>
      </c>
      <c r="AL250" s="206">
        <f t="shared" si="46"/>
        <v>0</v>
      </c>
      <c r="AM250" s="214">
        <f t="shared" si="47"/>
        <v>0</v>
      </c>
      <c r="AN250" s="4"/>
      <c r="AO250" s="167">
        <v>1650</v>
      </c>
      <c r="AP250" s="215">
        <v>1.4154722092187633E-3</v>
      </c>
      <c r="AQ250" s="190">
        <v>1.0620105615774791E-3</v>
      </c>
      <c r="AR250" s="190">
        <v>1.1326856112290288E-3</v>
      </c>
      <c r="AS250" s="170">
        <v>1.2257239841720561E-3</v>
      </c>
      <c r="AU250" s="216">
        <v>97.423193827829621</v>
      </c>
      <c r="AV250" s="217">
        <v>97.423125307306293</v>
      </c>
      <c r="AW250" s="217">
        <v>95.611268651988169</v>
      </c>
      <c r="AX250" s="217">
        <v>95.779900551006904</v>
      </c>
      <c r="AY250" s="217"/>
      <c r="AZ250" s="218">
        <v>0</v>
      </c>
      <c r="BA250" s="8"/>
      <c r="BB250" s="219"/>
      <c r="BC250" s="220"/>
    </row>
    <row r="251" spans="15:55" x14ac:dyDescent="0.25">
      <c r="O251" s="195">
        <v>1645</v>
      </c>
      <c r="P251" s="202">
        <f t="shared" si="49"/>
        <v>0</v>
      </c>
      <c r="Q251" s="203">
        <f t="shared" si="49"/>
        <v>0</v>
      </c>
      <c r="R251" s="157">
        <f ca="1"/>
        <v>97.433594055475723</v>
      </c>
      <c r="T251" s="204">
        <v>0</v>
      </c>
      <c r="U251" s="206">
        <v>0</v>
      </c>
      <c r="V251" s="206">
        <v>0</v>
      </c>
      <c r="W251" s="206">
        <v>0</v>
      </c>
      <c r="X251" s="206">
        <f t="array" ref="X251">IF(X$78&gt;" ",(X$628:X$1078),"")</f>
        <v>0</v>
      </c>
      <c r="Y251" s="206">
        <f t="array" ref="Y251">IF(Y$78&gt;" ",(Y$628:Y$1078),"")</f>
        <v>0</v>
      </c>
      <c r="Z251" s="206">
        <f t="array" ref="Z251">IF(Z$78&gt;" ",(Z$628:Z$1078),"")</f>
        <v>0</v>
      </c>
      <c r="AA251" s="206">
        <f t="array" ref="AA251">IF(AA$78&gt;" ",(AA$628:AA$1078),"")</f>
        <v>0</v>
      </c>
      <c r="AB251" s="210">
        <v>0</v>
      </c>
      <c r="AC251" s="204">
        <f t="shared" si="37"/>
        <v>0</v>
      </c>
      <c r="AD251" s="206">
        <f t="shared" si="38"/>
        <v>0</v>
      </c>
      <c r="AE251" s="206">
        <f t="shared" si="39"/>
        <v>0</v>
      </c>
      <c r="AF251" s="206">
        <f t="shared" si="40"/>
        <v>0</v>
      </c>
      <c r="AG251" s="206">
        <f t="shared" si="41"/>
        <v>0</v>
      </c>
      <c r="AH251" s="206">
        <f t="shared" si="42"/>
        <v>0</v>
      </c>
      <c r="AI251" s="206">
        <f t="shared" si="43"/>
        <v>0</v>
      </c>
      <c r="AJ251" s="206">
        <f t="shared" si="44"/>
        <v>0</v>
      </c>
      <c r="AK251" s="206">
        <f t="shared" si="45"/>
        <v>0</v>
      </c>
      <c r="AL251" s="206">
        <f t="shared" si="46"/>
        <v>0</v>
      </c>
      <c r="AM251" s="214">
        <f t="shared" si="47"/>
        <v>0</v>
      </c>
      <c r="AN251" s="4"/>
      <c r="AO251" s="167">
        <v>1645</v>
      </c>
      <c r="AP251" s="215">
        <v>1.4299400713404335E-3</v>
      </c>
      <c r="AQ251" s="190">
        <v>1.0778981995594389E-3</v>
      </c>
      <c r="AR251" s="190">
        <v>1.0972860431607862E-3</v>
      </c>
      <c r="AS251" s="170">
        <v>1.1873326658841357E-3</v>
      </c>
      <c r="AU251" s="216">
        <v>97.421368414462378</v>
      </c>
      <c r="AV251" s="217">
        <v>97.433594055475723</v>
      </c>
      <c r="AW251" s="217">
        <v>95.609889440126551</v>
      </c>
      <c r="AX251" s="217">
        <v>95.777118573307277</v>
      </c>
      <c r="AY251" s="217"/>
      <c r="AZ251" s="218">
        <v>0</v>
      </c>
      <c r="BA251" s="8"/>
      <c r="BB251" s="219"/>
      <c r="BC251" s="220"/>
    </row>
    <row r="252" spans="15:55" x14ac:dyDescent="0.25">
      <c r="O252" s="195">
        <v>1640</v>
      </c>
      <c r="P252" s="202">
        <f t="shared" si="49"/>
        <v>0</v>
      </c>
      <c r="Q252" s="203">
        <f t="shared" si="49"/>
        <v>0</v>
      </c>
      <c r="R252" s="157">
        <f ca="1"/>
        <v>97.433451131090763</v>
      </c>
      <c r="T252" s="204">
        <v>0</v>
      </c>
      <c r="U252" s="206">
        <v>0</v>
      </c>
      <c r="V252" s="206">
        <v>0</v>
      </c>
      <c r="W252" s="206">
        <v>0</v>
      </c>
      <c r="X252" s="206">
        <f t="array" ref="X252">IF(X$78&gt;" ",(X$628:X$1078),"")</f>
        <v>0</v>
      </c>
      <c r="Y252" s="206">
        <f t="array" ref="Y252">IF(Y$78&gt;" ",(Y$628:Y$1078),"")</f>
        <v>0</v>
      </c>
      <c r="Z252" s="206">
        <f t="array" ref="Z252">IF(Z$78&gt;" ",(Z$628:Z$1078),"")</f>
        <v>0</v>
      </c>
      <c r="AA252" s="206">
        <f t="array" ref="AA252">IF(AA$78&gt;" ",(AA$628:AA$1078),"")</f>
        <v>0</v>
      </c>
      <c r="AB252" s="210">
        <v>0</v>
      </c>
      <c r="AC252" s="204">
        <f t="shared" si="37"/>
        <v>0</v>
      </c>
      <c r="AD252" s="206">
        <f t="shared" si="38"/>
        <v>0</v>
      </c>
      <c r="AE252" s="206">
        <f t="shared" si="39"/>
        <v>0</v>
      </c>
      <c r="AF252" s="206">
        <f t="shared" si="40"/>
        <v>0</v>
      </c>
      <c r="AG252" s="206">
        <f t="shared" si="41"/>
        <v>0</v>
      </c>
      <c r="AH252" s="206">
        <f t="shared" si="42"/>
        <v>0</v>
      </c>
      <c r="AI252" s="206">
        <f t="shared" si="43"/>
        <v>0</v>
      </c>
      <c r="AJ252" s="206">
        <f t="shared" si="44"/>
        <v>0</v>
      </c>
      <c r="AK252" s="206">
        <f t="shared" si="45"/>
        <v>0</v>
      </c>
      <c r="AL252" s="206">
        <f t="shared" si="46"/>
        <v>0</v>
      </c>
      <c r="AM252" s="214">
        <f t="shared" si="47"/>
        <v>0</v>
      </c>
      <c r="AN252" s="4"/>
      <c r="AO252" s="167">
        <v>1640</v>
      </c>
      <c r="AP252" s="215">
        <v>1.4481074781142207E-3</v>
      </c>
      <c r="AQ252" s="190">
        <v>1.0937858375413988E-3</v>
      </c>
      <c r="AR252" s="190">
        <v>1.081647881698821E-3</v>
      </c>
      <c r="AS252" s="170">
        <v>1.1703755675732904E-3</v>
      </c>
      <c r="AU252" s="216">
        <v>97.427137038602169</v>
      </c>
      <c r="AV252" s="217">
        <v>97.433451131090763</v>
      </c>
      <c r="AW252" s="217">
        <v>95.612537345087006</v>
      </c>
      <c r="AX252" s="217">
        <v>95.770535166615332</v>
      </c>
      <c r="AY252" s="217"/>
      <c r="AZ252" s="218">
        <v>0</v>
      </c>
      <c r="BA252" s="8"/>
      <c r="BB252" s="219"/>
      <c r="BC252" s="220"/>
    </row>
    <row r="253" spans="15:55" x14ac:dyDescent="0.25">
      <c r="O253" s="195">
        <v>1635</v>
      </c>
      <c r="P253" s="202">
        <f t="shared" si="49"/>
        <v>0</v>
      </c>
      <c r="Q253" s="203">
        <f t="shared" si="49"/>
        <v>0</v>
      </c>
      <c r="R253" s="157">
        <f ca="1"/>
        <v>97.434528171986244</v>
      </c>
      <c r="T253" s="204">
        <v>0</v>
      </c>
      <c r="U253" s="206">
        <v>0</v>
      </c>
      <c r="V253" s="206">
        <v>0</v>
      </c>
      <c r="W253" s="206">
        <v>0</v>
      </c>
      <c r="X253" s="206">
        <f t="array" ref="X253">IF(X$78&gt;" ",(X$628:X$1078),"")</f>
        <v>0</v>
      </c>
      <c r="Y253" s="206">
        <f t="array" ref="Y253">IF(Y$78&gt;" ",(Y$628:Y$1078),"")</f>
        <v>0</v>
      </c>
      <c r="Z253" s="206">
        <f t="array" ref="Z253">IF(Z$78&gt;" ",(Z$628:Z$1078),"")</f>
        <v>0</v>
      </c>
      <c r="AA253" s="206">
        <f t="array" ref="AA253">IF(AA$78&gt;" ",(AA$628:AA$1078),"")</f>
        <v>0</v>
      </c>
      <c r="AB253" s="210">
        <v>0</v>
      </c>
      <c r="AC253" s="204">
        <f t="shared" si="37"/>
        <v>0</v>
      </c>
      <c r="AD253" s="206">
        <f t="shared" si="38"/>
        <v>0</v>
      </c>
      <c r="AE253" s="206">
        <f t="shared" si="39"/>
        <v>0</v>
      </c>
      <c r="AF253" s="206">
        <f t="shared" si="40"/>
        <v>0</v>
      </c>
      <c r="AG253" s="206">
        <f t="shared" si="41"/>
        <v>0</v>
      </c>
      <c r="AH253" s="206">
        <f t="shared" si="42"/>
        <v>0</v>
      </c>
      <c r="AI253" s="206">
        <f t="shared" si="43"/>
        <v>0</v>
      </c>
      <c r="AJ253" s="206">
        <f t="shared" si="44"/>
        <v>0</v>
      </c>
      <c r="AK253" s="206">
        <f t="shared" si="45"/>
        <v>0</v>
      </c>
      <c r="AL253" s="206">
        <f t="shared" si="46"/>
        <v>0</v>
      </c>
      <c r="AM253" s="214">
        <f t="shared" si="47"/>
        <v>0</v>
      </c>
      <c r="AN253" s="4"/>
      <c r="AO253" s="167">
        <v>1635</v>
      </c>
      <c r="AP253" s="215">
        <v>1.4662748848880075E-3</v>
      </c>
      <c r="AQ253" s="190">
        <v>1.1096734755233584E-3</v>
      </c>
      <c r="AR253" s="190">
        <v>1.1749740156969154E-3</v>
      </c>
      <c r="AS253" s="170">
        <v>1.2710548410426324E-3</v>
      </c>
      <c r="AU253" s="216">
        <v>97.421853311497856</v>
      </c>
      <c r="AV253" s="217">
        <v>97.434528171986244</v>
      </c>
      <c r="AW253" s="217">
        <v>95.608340192585729</v>
      </c>
      <c r="AX253" s="217">
        <v>95.765825585516652</v>
      </c>
      <c r="AY253" s="217"/>
      <c r="AZ253" s="218">
        <v>0</v>
      </c>
      <c r="BA253" s="8"/>
      <c r="BB253" s="219"/>
      <c r="BC253" s="220"/>
    </row>
    <row r="254" spans="15:55" x14ac:dyDescent="0.25">
      <c r="O254" s="195">
        <v>1630</v>
      </c>
      <c r="P254" s="202">
        <f t="shared" si="49"/>
        <v>0</v>
      </c>
      <c r="Q254" s="203">
        <f t="shared" si="49"/>
        <v>0</v>
      </c>
      <c r="R254" s="157">
        <f ca="1"/>
        <v>97.436882478933285</v>
      </c>
      <c r="T254" s="204">
        <v>0</v>
      </c>
      <c r="U254" s="206">
        <v>0</v>
      </c>
      <c r="V254" s="206">
        <v>0</v>
      </c>
      <c r="W254" s="206">
        <v>0</v>
      </c>
      <c r="X254" s="206">
        <f t="array" ref="X254">IF(X$78&gt;" ",(X$628:X$1078),"")</f>
        <v>0</v>
      </c>
      <c r="Y254" s="206">
        <f t="array" ref="Y254">IF(Y$78&gt;" ",(Y$628:Y$1078),"")</f>
        <v>0</v>
      </c>
      <c r="Z254" s="206">
        <f t="array" ref="Z254">IF(Z$78&gt;" ",(Z$628:Z$1078),"")</f>
        <v>0</v>
      </c>
      <c r="AA254" s="206">
        <f t="array" ref="AA254">IF(AA$78&gt;" ",(AA$628:AA$1078),"")</f>
        <v>0</v>
      </c>
      <c r="AB254" s="210">
        <v>0</v>
      </c>
      <c r="AC254" s="204">
        <f t="shared" si="37"/>
        <v>0</v>
      </c>
      <c r="AD254" s="206">
        <f t="shared" si="38"/>
        <v>0</v>
      </c>
      <c r="AE254" s="206">
        <f t="shared" si="39"/>
        <v>0</v>
      </c>
      <c r="AF254" s="206">
        <f t="shared" si="40"/>
        <v>0</v>
      </c>
      <c r="AG254" s="206">
        <f t="shared" si="41"/>
        <v>0</v>
      </c>
      <c r="AH254" s="206">
        <f t="shared" si="42"/>
        <v>0</v>
      </c>
      <c r="AI254" s="206">
        <f t="shared" si="43"/>
        <v>0</v>
      </c>
      <c r="AJ254" s="206">
        <f t="shared" si="44"/>
        <v>0</v>
      </c>
      <c r="AK254" s="206">
        <f t="shared" si="45"/>
        <v>0</v>
      </c>
      <c r="AL254" s="206">
        <f t="shared" si="46"/>
        <v>0</v>
      </c>
      <c r="AM254" s="214">
        <f t="shared" si="47"/>
        <v>0</v>
      </c>
      <c r="AN254" s="4"/>
      <c r="AO254" s="167">
        <v>1630</v>
      </c>
      <c r="AP254" s="215">
        <v>1.4844422916617946E-3</v>
      </c>
      <c r="AQ254" s="190">
        <v>1.1255611135053184E-3</v>
      </c>
      <c r="AR254" s="190">
        <v>1.1892545232698999E-3</v>
      </c>
      <c r="AS254" s="170">
        <v>1.2862770547078135E-3</v>
      </c>
      <c r="AU254" s="216">
        <v>97.419855339243313</v>
      </c>
      <c r="AV254" s="217">
        <v>97.436882478933285</v>
      </c>
      <c r="AW254" s="217">
        <v>95.614238599402483</v>
      </c>
      <c r="AX254" s="217">
        <v>95.779473268215455</v>
      </c>
      <c r="AY254" s="217"/>
      <c r="AZ254" s="218">
        <v>0</v>
      </c>
      <c r="BA254" s="8"/>
      <c r="BB254" s="219"/>
      <c r="BC254" s="220"/>
    </row>
    <row r="255" spans="15:55" x14ac:dyDescent="0.25">
      <c r="O255" s="195">
        <v>1625</v>
      </c>
      <c r="P255" s="202">
        <f t="shared" si="49"/>
        <v>0</v>
      </c>
      <c r="Q255" s="203">
        <f t="shared" si="49"/>
        <v>0</v>
      </c>
      <c r="R255" s="157">
        <f ca="1"/>
        <v>97.428830797758735</v>
      </c>
      <c r="T255" s="204">
        <v>0</v>
      </c>
      <c r="U255" s="206">
        <v>0</v>
      </c>
      <c r="V255" s="206">
        <v>0</v>
      </c>
      <c r="W255" s="206">
        <v>0</v>
      </c>
      <c r="X255" s="206">
        <f t="array" ref="X255">IF(X$78&gt;" ",(X$628:X$1078),"")</f>
        <v>0</v>
      </c>
      <c r="Y255" s="206">
        <f t="array" ref="Y255">IF(Y$78&gt;" ",(Y$628:Y$1078),"")</f>
        <v>0</v>
      </c>
      <c r="Z255" s="206">
        <f t="array" ref="Z255">IF(Z$78&gt;" ",(Z$628:Z$1078),"")</f>
        <v>0</v>
      </c>
      <c r="AA255" s="206">
        <f t="array" ref="AA255">IF(AA$78&gt;" ",(AA$628:AA$1078),"")</f>
        <v>0</v>
      </c>
      <c r="AB255" s="210">
        <v>0</v>
      </c>
      <c r="AC255" s="204">
        <f t="shared" si="37"/>
        <v>0</v>
      </c>
      <c r="AD255" s="206">
        <f t="shared" si="38"/>
        <v>0</v>
      </c>
      <c r="AE255" s="206">
        <f t="shared" si="39"/>
        <v>0</v>
      </c>
      <c r="AF255" s="206">
        <f t="shared" si="40"/>
        <v>0</v>
      </c>
      <c r="AG255" s="206">
        <f t="shared" si="41"/>
        <v>0</v>
      </c>
      <c r="AH255" s="206">
        <f t="shared" si="42"/>
        <v>0</v>
      </c>
      <c r="AI255" s="206">
        <f t="shared" si="43"/>
        <v>0</v>
      </c>
      <c r="AJ255" s="206">
        <f t="shared" si="44"/>
        <v>0</v>
      </c>
      <c r="AK255" s="206">
        <f t="shared" si="45"/>
        <v>0</v>
      </c>
      <c r="AL255" s="206">
        <f t="shared" si="46"/>
        <v>0</v>
      </c>
      <c r="AM255" s="214">
        <f t="shared" si="47"/>
        <v>0</v>
      </c>
      <c r="AN255" s="4"/>
      <c r="AO255" s="167">
        <v>1625</v>
      </c>
      <c r="AP255" s="215">
        <v>1.4609898210992697E-3</v>
      </c>
      <c r="AQ255" s="190">
        <v>1.1414487514872782E-3</v>
      </c>
      <c r="AR255" s="190">
        <v>1.1958416588053256E-3</v>
      </c>
      <c r="AS255" s="170">
        <v>1.2932725573112976E-3</v>
      </c>
      <c r="AU255" s="216">
        <v>97.425592310220068</v>
      </c>
      <c r="AV255" s="217">
        <v>97.428830797758735</v>
      </c>
      <c r="AW255" s="217">
        <v>95.620823430110093</v>
      </c>
      <c r="AX255" s="217">
        <v>95.786146981439515</v>
      </c>
      <c r="AY255" s="217"/>
      <c r="AZ255" s="218">
        <v>0</v>
      </c>
      <c r="BA255" s="8"/>
      <c r="BB255" s="219"/>
      <c r="BC255" s="220"/>
    </row>
    <row r="256" spans="15:55" x14ac:dyDescent="0.25">
      <c r="O256" s="195">
        <v>1620</v>
      </c>
      <c r="P256" s="202">
        <f t="shared" ref="P256:Q271" si="50">P804</f>
        <v>0</v>
      </c>
      <c r="Q256" s="203">
        <f t="shared" si="50"/>
        <v>0</v>
      </c>
      <c r="R256" s="157">
        <f ca="1"/>
        <v>97.430266947388176</v>
      </c>
      <c r="T256" s="204">
        <v>0</v>
      </c>
      <c r="U256" s="206">
        <v>0</v>
      </c>
      <c r="V256" s="206">
        <v>0</v>
      </c>
      <c r="W256" s="206">
        <v>0</v>
      </c>
      <c r="X256" s="206">
        <f t="array" ref="X256">IF(X$78&gt;" ",(X$628:X$1078),"")</f>
        <v>0</v>
      </c>
      <c r="Y256" s="206">
        <f t="array" ref="Y256">IF(Y$78&gt;" ",(Y$628:Y$1078),"")</f>
        <v>0</v>
      </c>
      <c r="Z256" s="206">
        <f t="array" ref="Z256">IF(Z$78&gt;" ",(Z$628:Z$1078),"")</f>
        <v>0</v>
      </c>
      <c r="AA256" s="206">
        <f t="array" ref="AA256">IF(AA$78&gt;" ",(AA$628:AA$1078),"")</f>
        <v>0</v>
      </c>
      <c r="AB256" s="210">
        <v>0</v>
      </c>
      <c r="AC256" s="204">
        <f t="shared" si="37"/>
        <v>0</v>
      </c>
      <c r="AD256" s="206">
        <f t="shared" si="38"/>
        <v>0</v>
      </c>
      <c r="AE256" s="206">
        <f t="shared" si="39"/>
        <v>0</v>
      </c>
      <c r="AF256" s="206">
        <f t="shared" si="40"/>
        <v>0</v>
      </c>
      <c r="AG256" s="206">
        <f t="shared" si="41"/>
        <v>0</v>
      </c>
      <c r="AH256" s="206">
        <f t="shared" si="42"/>
        <v>0</v>
      </c>
      <c r="AI256" s="206">
        <f t="shared" si="43"/>
        <v>0</v>
      </c>
      <c r="AJ256" s="206">
        <f t="shared" si="44"/>
        <v>0</v>
      </c>
      <c r="AK256" s="206">
        <f t="shared" si="45"/>
        <v>0</v>
      </c>
      <c r="AL256" s="206">
        <f t="shared" si="46"/>
        <v>0</v>
      </c>
      <c r="AM256" s="214">
        <f t="shared" si="47"/>
        <v>0</v>
      </c>
      <c r="AN256" s="4"/>
      <c r="AO256" s="167">
        <v>1620</v>
      </c>
      <c r="AP256" s="215">
        <v>1.4375373505367446E-3</v>
      </c>
      <c r="AQ256" s="190">
        <v>1.157336389469238E-3</v>
      </c>
      <c r="AR256" s="190">
        <v>1.179097260841228E-3</v>
      </c>
      <c r="AS256" s="170">
        <v>1.2750282865214113E-3</v>
      </c>
      <c r="AU256" s="216">
        <v>97.426302640779468</v>
      </c>
      <c r="AV256" s="217">
        <v>97.430266947388176</v>
      </c>
      <c r="AW256" s="217">
        <v>95.616821751885652</v>
      </c>
      <c r="AX256" s="217">
        <v>95.788560463045954</v>
      </c>
      <c r="AY256" s="217"/>
      <c r="AZ256" s="218">
        <v>0</v>
      </c>
      <c r="BA256" s="8"/>
      <c r="BB256" s="219"/>
      <c r="BC256" s="220"/>
    </row>
    <row r="257" spans="15:55" x14ac:dyDescent="0.25">
      <c r="O257" s="195">
        <v>1615</v>
      </c>
      <c r="P257" s="202">
        <f t="shared" si="50"/>
        <v>0</v>
      </c>
      <c r="Q257" s="203">
        <f t="shared" si="50"/>
        <v>0</v>
      </c>
      <c r="R257" s="157">
        <f ca="1"/>
        <v>97.436790390772003</v>
      </c>
      <c r="T257" s="204">
        <v>0</v>
      </c>
      <c r="U257" s="206">
        <v>0</v>
      </c>
      <c r="V257" s="206">
        <v>0</v>
      </c>
      <c r="W257" s="206">
        <v>0</v>
      </c>
      <c r="X257" s="206">
        <f t="array" ref="X257">IF(X$78&gt;" ",(X$628:X$1078),"")</f>
        <v>0</v>
      </c>
      <c r="Y257" s="206">
        <f t="array" ref="Y257">IF(Y$78&gt;" ",(Y$628:Y$1078),"")</f>
        <v>0</v>
      </c>
      <c r="Z257" s="206">
        <f t="array" ref="Z257">IF(Z$78&gt;" ",(Z$628:Z$1078),"")</f>
        <v>0</v>
      </c>
      <c r="AA257" s="206">
        <f t="array" ref="AA257">IF(AA$78&gt;" ",(AA$628:AA$1078),"")</f>
        <v>0</v>
      </c>
      <c r="AB257" s="210">
        <v>0</v>
      </c>
      <c r="AC257" s="204">
        <f t="shared" si="37"/>
        <v>0</v>
      </c>
      <c r="AD257" s="206">
        <f t="shared" si="38"/>
        <v>0</v>
      </c>
      <c r="AE257" s="206">
        <f t="shared" si="39"/>
        <v>0</v>
      </c>
      <c r="AF257" s="206">
        <f t="shared" si="40"/>
        <v>0</v>
      </c>
      <c r="AG257" s="206">
        <f t="shared" si="41"/>
        <v>0</v>
      </c>
      <c r="AH257" s="206">
        <f t="shared" si="42"/>
        <v>0</v>
      </c>
      <c r="AI257" s="206">
        <f t="shared" si="43"/>
        <v>0</v>
      </c>
      <c r="AJ257" s="206">
        <f t="shared" si="44"/>
        <v>0</v>
      </c>
      <c r="AK257" s="206">
        <f t="shared" si="45"/>
        <v>0</v>
      </c>
      <c r="AL257" s="206">
        <f t="shared" si="46"/>
        <v>0</v>
      </c>
      <c r="AM257" s="214">
        <f t="shared" si="47"/>
        <v>0</v>
      </c>
      <c r="AN257" s="4"/>
      <c r="AO257" s="167">
        <v>1615</v>
      </c>
      <c r="AP257" s="215">
        <v>1.4140848799742197E-3</v>
      </c>
      <c r="AQ257" s="190">
        <v>1.1732240274511978E-3</v>
      </c>
      <c r="AR257" s="190">
        <v>1.2120329385183573E-3</v>
      </c>
      <c r="AS257" s="170">
        <v>1.3106773677887657E-3</v>
      </c>
      <c r="AU257" s="216">
        <v>97.435690080173913</v>
      </c>
      <c r="AV257" s="217">
        <v>97.436790390772003</v>
      </c>
      <c r="AW257" s="217">
        <v>95.62273863744754</v>
      </c>
      <c r="AX257" s="217">
        <v>95.794921465149287</v>
      </c>
      <c r="AY257" s="217"/>
      <c r="AZ257" s="218">
        <v>0</v>
      </c>
      <c r="BA257" s="8"/>
      <c r="BB257" s="219"/>
      <c r="BC257" s="220"/>
    </row>
    <row r="258" spans="15:55" x14ac:dyDescent="0.25">
      <c r="O258" s="195">
        <v>1610</v>
      </c>
      <c r="P258" s="202">
        <f t="shared" si="50"/>
        <v>0</v>
      </c>
      <c r="Q258" s="203">
        <f t="shared" si="50"/>
        <v>0</v>
      </c>
      <c r="R258" s="157">
        <f ca="1"/>
        <v>97.432009960773414</v>
      </c>
      <c r="T258" s="204">
        <v>0</v>
      </c>
      <c r="U258" s="206">
        <v>0</v>
      </c>
      <c r="V258" s="206">
        <v>0</v>
      </c>
      <c r="W258" s="206">
        <v>0</v>
      </c>
      <c r="X258" s="206">
        <f t="array" ref="X258">IF(X$78&gt;" ",(X$628:X$1078),"")</f>
        <v>0</v>
      </c>
      <c r="Y258" s="206">
        <f t="array" ref="Y258">IF(Y$78&gt;" ",(Y$628:Y$1078),"")</f>
        <v>0</v>
      </c>
      <c r="Z258" s="206">
        <f t="array" ref="Z258">IF(Z$78&gt;" ",(Z$628:Z$1078),"")</f>
        <v>0</v>
      </c>
      <c r="AA258" s="206">
        <f t="array" ref="AA258">IF(AA$78&gt;" ",(AA$628:AA$1078),"")</f>
        <v>0</v>
      </c>
      <c r="AB258" s="210">
        <v>0</v>
      </c>
      <c r="AC258" s="204">
        <f t="shared" si="37"/>
        <v>0</v>
      </c>
      <c r="AD258" s="206">
        <f t="shared" si="38"/>
        <v>0</v>
      </c>
      <c r="AE258" s="206">
        <f t="shared" si="39"/>
        <v>0</v>
      </c>
      <c r="AF258" s="206">
        <f t="shared" si="40"/>
        <v>0</v>
      </c>
      <c r="AG258" s="206">
        <f t="shared" si="41"/>
        <v>0</v>
      </c>
      <c r="AH258" s="206">
        <f t="shared" si="42"/>
        <v>0</v>
      </c>
      <c r="AI258" s="206">
        <f t="shared" si="43"/>
        <v>0</v>
      </c>
      <c r="AJ258" s="206">
        <f t="shared" si="44"/>
        <v>0</v>
      </c>
      <c r="AK258" s="206">
        <f t="shared" si="45"/>
        <v>0</v>
      </c>
      <c r="AL258" s="206">
        <f t="shared" si="46"/>
        <v>0</v>
      </c>
      <c r="AM258" s="214">
        <f t="shared" si="47"/>
        <v>0</v>
      </c>
      <c r="AN258" s="4"/>
      <c r="AO258" s="167">
        <v>1610</v>
      </c>
      <c r="AP258" s="215">
        <v>1.3906324094116946E-3</v>
      </c>
      <c r="AQ258" s="190">
        <v>1.1891116654331579E-3</v>
      </c>
      <c r="AR258" s="190">
        <v>1.0941684675638669E-3</v>
      </c>
      <c r="AS258" s="170">
        <v>1.1834151844261846E-3</v>
      </c>
      <c r="AU258" s="216">
        <v>97.422147158969779</v>
      </c>
      <c r="AV258" s="217">
        <v>97.432009960773414</v>
      </c>
      <c r="AW258" s="217">
        <v>95.632677760124423</v>
      </c>
      <c r="AX258" s="217">
        <v>95.801468700412045</v>
      </c>
      <c r="AY258" s="217"/>
      <c r="AZ258" s="218">
        <v>0</v>
      </c>
      <c r="BA258" s="8"/>
      <c r="BB258" s="219"/>
      <c r="BC258" s="220"/>
    </row>
    <row r="259" spans="15:55" x14ac:dyDescent="0.25">
      <c r="O259" s="195">
        <v>1605</v>
      </c>
      <c r="P259" s="202">
        <f t="shared" si="50"/>
        <v>0</v>
      </c>
      <c r="Q259" s="203">
        <f t="shared" si="50"/>
        <v>0</v>
      </c>
      <c r="R259" s="157">
        <f ca="1"/>
        <v>97.430483075590715</v>
      </c>
      <c r="T259" s="204">
        <v>0</v>
      </c>
      <c r="U259" s="206">
        <v>0</v>
      </c>
      <c r="V259" s="206">
        <v>0</v>
      </c>
      <c r="W259" s="206">
        <v>0</v>
      </c>
      <c r="X259" s="206">
        <f t="array" ref="X259">IF(X$78&gt;" ",(X$628:X$1078),"")</f>
        <v>0</v>
      </c>
      <c r="Y259" s="206">
        <f t="array" ref="Y259">IF(Y$78&gt;" ",(Y$628:Y$1078),"")</f>
        <v>0</v>
      </c>
      <c r="Z259" s="206">
        <f t="array" ref="Z259">IF(Z$78&gt;" ",(Z$628:Z$1078),"")</f>
        <v>0</v>
      </c>
      <c r="AA259" s="206">
        <f t="array" ref="AA259">IF(AA$78&gt;" ",(AA$628:AA$1078),"")</f>
        <v>0</v>
      </c>
      <c r="AB259" s="210">
        <v>0</v>
      </c>
      <c r="AC259" s="204">
        <f t="shared" si="37"/>
        <v>0</v>
      </c>
      <c r="AD259" s="206">
        <f t="shared" si="38"/>
        <v>0</v>
      </c>
      <c r="AE259" s="206">
        <f t="shared" si="39"/>
        <v>0</v>
      </c>
      <c r="AF259" s="206">
        <f t="shared" si="40"/>
        <v>0</v>
      </c>
      <c r="AG259" s="206">
        <f t="shared" si="41"/>
        <v>0</v>
      </c>
      <c r="AH259" s="206">
        <f t="shared" si="42"/>
        <v>0</v>
      </c>
      <c r="AI259" s="206">
        <f t="shared" si="43"/>
        <v>0</v>
      </c>
      <c r="AJ259" s="206">
        <f t="shared" si="44"/>
        <v>0</v>
      </c>
      <c r="AK259" s="206">
        <f t="shared" si="45"/>
        <v>0</v>
      </c>
      <c r="AL259" s="206">
        <f t="shared" si="46"/>
        <v>0</v>
      </c>
      <c r="AM259" s="214">
        <f t="shared" si="47"/>
        <v>0</v>
      </c>
      <c r="AN259" s="4"/>
      <c r="AO259" s="167">
        <v>1605</v>
      </c>
      <c r="AP259" s="215">
        <v>1.4214839692784527E-3</v>
      </c>
      <c r="AQ259" s="190">
        <v>1.2049993034151175E-3</v>
      </c>
      <c r="AR259" s="190">
        <v>1.1908635945457292E-3</v>
      </c>
      <c r="AS259" s="170">
        <v>1.2877321192493385E-3</v>
      </c>
      <c r="AU259" s="216">
        <v>97.419215607800709</v>
      </c>
      <c r="AV259" s="217">
        <v>97.430483075590715</v>
      </c>
      <c r="AW259" s="217">
        <v>95.620516403865722</v>
      </c>
      <c r="AX259" s="217">
        <v>95.784957533936293</v>
      </c>
      <c r="AY259" s="217"/>
      <c r="AZ259" s="218">
        <v>0</v>
      </c>
      <c r="BA259" s="8"/>
      <c r="BB259" s="219"/>
      <c r="BC259" s="220"/>
    </row>
    <row r="260" spans="15:55" x14ac:dyDescent="0.25">
      <c r="O260" s="195">
        <v>1600</v>
      </c>
      <c r="P260" s="202">
        <f t="shared" si="50"/>
        <v>0</v>
      </c>
      <c r="Q260" s="203">
        <f t="shared" si="50"/>
        <v>0</v>
      </c>
      <c r="R260" s="157">
        <f ca="1"/>
        <v>97.428099478938634</v>
      </c>
      <c r="T260" s="204">
        <v>0</v>
      </c>
      <c r="U260" s="206">
        <v>0</v>
      </c>
      <c r="V260" s="206">
        <v>0</v>
      </c>
      <c r="W260" s="206">
        <v>0</v>
      </c>
      <c r="X260" s="206">
        <f t="array" ref="X260">IF(X$78&gt;" ",(X$628:X$1078),"")</f>
        <v>0</v>
      </c>
      <c r="Y260" s="206">
        <f t="array" ref="Y260">IF(Y$78&gt;" ",(Y$628:Y$1078),"")</f>
        <v>0</v>
      </c>
      <c r="Z260" s="206">
        <f t="array" ref="Z260">IF(Z$78&gt;" ",(Z$628:Z$1078),"")</f>
        <v>0</v>
      </c>
      <c r="AA260" s="206">
        <f t="array" ref="AA260">IF(AA$78&gt;" ",(AA$628:AA$1078),"")</f>
        <v>0</v>
      </c>
      <c r="AB260" s="210">
        <v>0</v>
      </c>
      <c r="AC260" s="204">
        <f t="shared" si="37"/>
        <v>0</v>
      </c>
      <c r="AD260" s="206">
        <f t="shared" si="38"/>
        <v>0</v>
      </c>
      <c r="AE260" s="206">
        <f t="shared" si="39"/>
        <v>0</v>
      </c>
      <c r="AF260" s="206">
        <f t="shared" si="40"/>
        <v>0</v>
      </c>
      <c r="AG260" s="206">
        <f t="shared" si="41"/>
        <v>0</v>
      </c>
      <c r="AH260" s="206">
        <f t="shared" si="42"/>
        <v>0</v>
      </c>
      <c r="AI260" s="206">
        <f t="shared" si="43"/>
        <v>0</v>
      </c>
      <c r="AJ260" s="206">
        <f t="shared" si="44"/>
        <v>0</v>
      </c>
      <c r="AK260" s="206">
        <f t="shared" si="45"/>
        <v>0</v>
      </c>
      <c r="AL260" s="206">
        <f t="shared" si="46"/>
        <v>0</v>
      </c>
      <c r="AM260" s="214">
        <f t="shared" si="47"/>
        <v>0</v>
      </c>
      <c r="AN260" s="4"/>
      <c r="AO260" s="167">
        <v>1600</v>
      </c>
      <c r="AP260" s="215">
        <v>1.452269465847852E-3</v>
      </c>
      <c r="AQ260" s="190">
        <v>1.2208869413970775E-3</v>
      </c>
      <c r="AR260" s="190">
        <v>1.1972495961716763E-3</v>
      </c>
      <c r="AS260" s="170">
        <v>1.2946156938111668E-3</v>
      </c>
      <c r="AU260" s="216">
        <v>97.41978408662716</v>
      </c>
      <c r="AV260" s="217">
        <v>97.428099478938634</v>
      </c>
      <c r="AW260" s="217">
        <v>95.613430022422406</v>
      </c>
      <c r="AX260" s="217">
        <v>95.783911375288241</v>
      </c>
      <c r="AY260" s="217"/>
      <c r="AZ260" s="218">
        <v>0</v>
      </c>
      <c r="BA260" s="8"/>
      <c r="BB260" s="219"/>
      <c r="BC260" s="220"/>
    </row>
    <row r="261" spans="15:55" x14ac:dyDescent="0.25">
      <c r="O261" s="195">
        <v>1595</v>
      </c>
      <c r="P261" s="202">
        <f t="shared" si="50"/>
        <v>0</v>
      </c>
      <c r="Q261" s="203">
        <f t="shared" si="50"/>
        <v>0</v>
      </c>
      <c r="R261" s="157">
        <f ca="1"/>
        <v>97.421703045496812</v>
      </c>
      <c r="T261" s="204">
        <v>0</v>
      </c>
      <c r="U261" s="206">
        <v>0</v>
      </c>
      <c r="V261" s="206">
        <v>0</v>
      </c>
      <c r="W261" s="206">
        <v>0</v>
      </c>
      <c r="X261" s="206">
        <f t="array" ref="X261">IF(X$78&gt;" ",(X$628:X$1078),"")</f>
        <v>0</v>
      </c>
      <c r="Y261" s="206">
        <f t="array" ref="Y261">IF(Y$78&gt;" ",(Y$628:Y$1078),"")</f>
        <v>0</v>
      </c>
      <c r="Z261" s="206">
        <f t="array" ref="Z261">IF(Z$78&gt;" ",(Z$628:Z$1078),"")</f>
        <v>0</v>
      </c>
      <c r="AA261" s="206">
        <f t="array" ref="AA261">IF(AA$78&gt;" ",(AA$628:AA$1078),"")</f>
        <v>0</v>
      </c>
      <c r="AB261" s="210">
        <v>0</v>
      </c>
      <c r="AC261" s="204">
        <f t="shared" si="37"/>
        <v>0</v>
      </c>
      <c r="AD261" s="206">
        <f t="shared" si="38"/>
        <v>0</v>
      </c>
      <c r="AE261" s="206">
        <f t="shared" si="39"/>
        <v>0</v>
      </c>
      <c r="AF261" s="206">
        <f t="shared" si="40"/>
        <v>0</v>
      </c>
      <c r="AG261" s="206">
        <f t="shared" si="41"/>
        <v>0</v>
      </c>
      <c r="AH261" s="206">
        <f t="shared" si="42"/>
        <v>0</v>
      </c>
      <c r="AI261" s="206">
        <f t="shared" si="43"/>
        <v>0</v>
      </c>
      <c r="AJ261" s="206">
        <f t="shared" si="44"/>
        <v>0</v>
      </c>
      <c r="AK261" s="206">
        <f t="shared" si="45"/>
        <v>0</v>
      </c>
      <c r="AL261" s="206">
        <f t="shared" si="46"/>
        <v>0</v>
      </c>
      <c r="AM261" s="214">
        <f t="shared" si="47"/>
        <v>0</v>
      </c>
      <c r="AN261" s="4"/>
      <c r="AO261" s="167">
        <v>1595</v>
      </c>
      <c r="AP261" s="215">
        <v>1.4831210257146101E-3</v>
      </c>
      <c r="AQ261" s="190">
        <v>1.2357941080174302E-3</v>
      </c>
      <c r="AR261" s="190">
        <v>1.2984702361168079E-3</v>
      </c>
      <c r="AS261" s="170">
        <v>1.4037455344255174E-3</v>
      </c>
      <c r="AU261" s="216">
        <v>97.428051760845747</v>
      </c>
      <c r="AV261" s="217">
        <v>97.421703045496812</v>
      </c>
      <c r="AW261" s="217">
        <v>95.599397557164878</v>
      </c>
      <c r="AX261" s="217">
        <v>95.773384127564327</v>
      </c>
      <c r="AY261" s="217"/>
      <c r="AZ261" s="218">
        <v>0</v>
      </c>
      <c r="BA261" s="8"/>
      <c r="BB261" s="219"/>
      <c r="BC261" s="220"/>
    </row>
    <row r="262" spans="15:55" x14ac:dyDescent="0.25">
      <c r="O262" s="195">
        <v>1590</v>
      </c>
      <c r="P262" s="202">
        <f t="shared" si="50"/>
        <v>0</v>
      </c>
      <c r="Q262" s="203">
        <f t="shared" si="50"/>
        <v>0</v>
      </c>
      <c r="R262" s="157">
        <f ca="1"/>
        <v>97.424153169080043</v>
      </c>
      <c r="T262" s="204">
        <v>0</v>
      </c>
      <c r="U262" s="206">
        <v>0</v>
      </c>
      <c r="V262" s="206">
        <v>0</v>
      </c>
      <c r="W262" s="206">
        <v>0</v>
      </c>
      <c r="X262" s="206">
        <f t="array" ref="X262">IF(X$78&gt;" ",(X$628:X$1078),"")</f>
        <v>0</v>
      </c>
      <c r="Y262" s="206">
        <f t="array" ref="Y262">IF(Y$78&gt;" ",(Y$628:Y$1078),"")</f>
        <v>0</v>
      </c>
      <c r="Z262" s="206">
        <f t="array" ref="Z262">IF(Z$78&gt;" ",(Z$628:Z$1078),"")</f>
        <v>0</v>
      </c>
      <c r="AA262" s="206">
        <f t="array" ref="AA262">IF(AA$78&gt;" ",(AA$628:AA$1078),"")</f>
        <v>0</v>
      </c>
      <c r="AB262" s="210">
        <v>0</v>
      </c>
      <c r="AC262" s="204">
        <f t="shared" si="37"/>
        <v>0</v>
      </c>
      <c r="AD262" s="206">
        <f t="shared" si="38"/>
        <v>0</v>
      </c>
      <c r="AE262" s="206">
        <f t="shared" si="39"/>
        <v>0</v>
      </c>
      <c r="AF262" s="206">
        <f t="shared" si="40"/>
        <v>0</v>
      </c>
      <c r="AG262" s="206">
        <f t="shared" si="41"/>
        <v>0</v>
      </c>
      <c r="AH262" s="206">
        <f t="shared" si="42"/>
        <v>0</v>
      </c>
      <c r="AI262" s="206">
        <f t="shared" si="43"/>
        <v>0</v>
      </c>
      <c r="AJ262" s="206">
        <f t="shared" si="44"/>
        <v>0</v>
      </c>
      <c r="AK262" s="206">
        <f t="shared" si="45"/>
        <v>0</v>
      </c>
      <c r="AL262" s="206">
        <f t="shared" si="46"/>
        <v>0</v>
      </c>
      <c r="AM262" s="214">
        <f t="shared" si="47"/>
        <v>0</v>
      </c>
      <c r="AN262" s="4"/>
      <c r="AO262" s="167">
        <v>1590</v>
      </c>
      <c r="AP262" s="215">
        <v>1.4969282548626883E-3</v>
      </c>
      <c r="AQ262" s="190">
        <v>1.2507012746377829E-3</v>
      </c>
      <c r="AR262" s="190">
        <v>1.215804199321082E-3</v>
      </c>
      <c r="AS262" s="170">
        <v>1.3143709931634057E-3</v>
      </c>
      <c r="AU262" s="216">
        <v>97.420315056240725</v>
      </c>
      <c r="AV262" s="217">
        <v>97.424153169080043</v>
      </c>
      <c r="AW262" s="217">
        <v>95.593910418897721</v>
      </c>
      <c r="AX262" s="217">
        <v>95.770135551171265</v>
      </c>
      <c r="AY262" s="217"/>
      <c r="AZ262" s="218">
        <v>0</v>
      </c>
      <c r="BA262" s="8"/>
      <c r="BB262" s="219"/>
      <c r="BC262" s="220"/>
    </row>
    <row r="263" spans="15:55" x14ac:dyDescent="0.25">
      <c r="O263" s="195">
        <v>1585</v>
      </c>
      <c r="P263" s="202">
        <f t="shared" si="50"/>
        <v>0</v>
      </c>
      <c r="Q263" s="203">
        <f t="shared" si="50"/>
        <v>0</v>
      </c>
      <c r="R263" s="157">
        <f ca="1"/>
        <v>97.425683380035821</v>
      </c>
      <c r="T263" s="204">
        <v>0</v>
      </c>
      <c r="U263" s="206">
        <v>0</v>
      </c>
      <c r="V263" s="206">
        <v>0</v>
      </c>
      <c r="W263" s="206">
        <v>0</v>
      </c>
      <c r="X263" s="206">
        <f t="array" ref="X263">IF(X$78&gt;" ",(X$628:X$1078),"")</f>
        <v>0</v>
      </c>
      <c r="Y263" s="206">
        <f t="array" ref="Y263">IF(Y$78&gt;" ",(Y$628:Y$1078),"")</f>
        <v>0</v>
      </c>
      <c r="Z263" s="206">
        <f t="array" ref="Z263">IF(Z$78&gt;" ",(Z$628:Z$1078),"")</f>
        <v>0</v>
      </c>
      <c r="AA263" s="206">
        <f t="array" ref="AA263">IF(AA$78&gt;" ",(AA$628:AA$1078),"")</f>
        <v>0</v>
      </c>
      <c r="AB263" s="210">
        <v>0</v>
      </c>
      <c r="AC263" s="204">
        <f t="shared" si="37"/>
        <v>0</v>
      </c>
      <c r="AD263" s="206">
        <f t="shared" si="38"/>
        <v>0</v>
      </c>
      <c r="AE263" s="206">
        <f t="shared" si="39"/>
        <v>0</v>
      </c>
      <c r="AF263" s="206">
        <f t="shared" si="40"/>
        <v>0</v>
      </c>
      <c r="AG263" s="206">
        <f t="shared" si="41"/>
        <v>0</v>
      </c>
      <c r="AH263" s="206">
        <f t="shared" si="42"/>
        <v>0</v>
      </c>
      <c r="AI263" s="206">
        <f t="shared" si="43"/>
        <v>0</v>
      </c>
      <c r="AJ263" s="206">
        <f t="shared" si="44"/>
        <v>0</v>
      </c>
      <c r="AK263" s="206">
        <f t="shared" si="45"/>
        <v>0</v>
      </c>
      <c r="AL263" s="206">
        <f t="shared" si="46"/>
        <v>0</v>
      </c>
      <c r="AM263" s="214">
        <f t="shared" si="47"/>
        <v>0</v>
      </c>
      <c r="AN263" s="4"/>
      <c r="AO263" s="167">
        <v>1585</v>
      </c>
      <c r="AP263" s="215">
        <v>1.485102924635387E-3</v>
      </c>
      <c r="AQ263" s="190">
        <v>1.2656084412581356E-3</v>
      </c>
      <c r="AR263" s="190">
        <v>1.301034693462661E-3</v>
      </c>
      <c r="AS263" s="170">
        <v>1.4066556635085668E-3</v>
      </c>
      <c r="AU263" s="216">
        <v>97.407971334329446</v>
      </c>
      <c r="AV263" s="217">
        <v>97.425683380035821</v>
      </c>
      <c r="AW263" s="217">
        <v>95.585280553174073</v>
      </c>
      <c r="AX263" s="217">
        <v>95.754158916342064</v>
      </c>
      <c r="AY263" s="217"/>
      <c r="AZ263" s="218">
        <v>0</v>
      </c>
      <c r="BA263" s="8"/>
      <c r="BB263" s="219"/>
      <c r="BC263" s="220"/>
    </row>
    <row r="264" spans="15:55" x14ac:dyDescent="0.25">
      <c r="O264" s="231">
        <v>1580</v>
      </c>
      <c r="P264" s="202">
        <f t="shared" si="50"/>
        <v>0</v>
      </c>
      <c r="Q264" s="203">
        <f t="shared" si="50"/>
        <v>0</v>
      </c>
      <c r="R264" s="157">
        <f ca="1"/>
        <v>97.429345139054519</v>
      </c>
      <c r="S264" s="10"/>
      <c r="T264" s="205">
        <v>0</v>
      </c>
      <c r="U264" s="207">
        <v>0</v>
      </c>
      <c r="V264" s="207">
        <v>0</v>
      </c>
      <c r="W264" s="207">
        <v>0</v>
      </c>
      <c r="X264" s="206">
        <f t="array" ref="X264">IF(X$78&gt;" ",(X$628:X$1078),"")</f>
        <v>0</v>
      </c>
      <c r="Y264" s="206">
        <f t="array" ref="Y264">IF(Y$78&gt;" ",(Y$628:Y$1078),"")</f>
        <v>0</v>
      </c>
      <c r="Z264" s="206">
        <f t="array" ref="Z264">IF(Z$78&gt;" ",(Z$628:Z$1078),"")</f>
        <v>0</v>
      </c>
      <c r="AA264" s="206">
        <f t="array" ref="AA264">IF(AA$78&gt;" ",(AA$628:AA$1078),"")</f>
        <v>0</v>
      </c>
      <c r="AB264" s="211">
        <v>0</v>
      </c>
      <c r="AC264" s="204">
        <f t="shared" si="37"/>
        <v>0</v>
      </c>
      <c r="AD264" s="206">
        <f t="shared" si="38"/>
        <v>0</v>
      </c>
      <c r="AE264" s="206">
        <f t="shared" si="39"/>
        <v>0</v>
      </c>
      <c r="AF264" s="206">
        <f t="shared" si="40"/>
        <v>0</v>
      </c>
      <c r="AG264" s="206">
        <f t="shared" si="41"/>
        <v>0</v>
      </c>
      <c r="AH264" s="206">
        <f t="shared" si="42"/>
        <v>0</v>
      </c>
      <c r="AI264" s="206">
        <f t="shared" si="43"/>
        <v>0</v>
      </c>
      <c r="AJ264" s="206">
        <f t="shared" si="44"/>
        <v>0</v>
      </c>
      <c r="AK264" s="206">
        <f t="shared" si="45"/>
        <v>0</v>
      </c>
      <c r="AL264" s="206">
        <f t="shared" si="46"/>
        <v>0</v>
      </c>
      <c r="AM264" s="214">
        <f t="shared" si="47"/>
        <v>0</v>
      </c>
      <c r="AN264" s="55"/>
      <c r="AO264" s="167">
        <v>1580</v>
      </c>
      <c r="AP264" s="215">
        <v>1.4732775944080855E-3</v>
      </c>
      <c r="AQ264" s="190">
        <v>1.2805156078784883E-3</v>
      </c>
      <c r="AR264" s="190">
        <v>1.2301349903714358E-3</v>
      </c>
      <c r="AS264" s="170">
        <v>1.330376703120177E-3</v>
      </c>
      <c r="AT264" s="10"/>
      <c r="AU264" s="216">
        <v>97.408172256101537</v>
      </c>
      <c r="AV264" s="217">
        <v>97.429345139054519</v>
      </c>
      <c r="AW264" s="217">
        <v>95.579748107652662</v>
      </c>
      <c r="AX264" s="217">
        <v>95.748132943569729</v>
      </c>
      <c r="AY264" s="217"/>
      <c r="AZ264" s="218">
        <v>0</v>
      </c>
      <c r="BA264" s="183"/>
      <c r="BB264" s="219"/>
      <c r="BC264" s="220"/>
    </row>
    <row r="265" spans="15:55" x14ac:dyDescent="0.25">
      <c r="O265" s="195">
        <v>1575</v>
      </c>
      <c r="P265" s="202">
        <f t="shared" si="50"/>
        <v>0</v>
      </c>
      <c r="Q265" s="203">
        <f t="shared" si="50"/>
        <v>0</v>
      </c>
      <c r="R265" s="157">
        <f ca="1"/>
        <v>97.408900485710447</v>
      </c>
      <c r="T265" s="204">
        <v>0</v>
      </c>
      <c r="U265" s="206">
        <v>0</v>
      </c>
      <c r="V265" s="206">
        <v>0</v>
      </c>
      <c r="W265" s="206">
        <v>0</v>
      </c>
      <c r="X265" s="206">
        <f t="array" ref="X265">IF(X$78&gt;" ",(X$628:X$1078),"")</f>
        <v>0</v>
      </c>
      <c r="Y265" s="206">
        <f t="array" ref="Y265">IF(Y$78&gt;" ",(Y$628:Y$1078),"")</f>
        <v>0</v>
      </c>
      <c r="Z265" s="206">
        <f t="array" ref="Z265">IF(Z$78&gt;" ",(Z$628:Z$1078),"")</f>
        <v>0</v>
      </c>
      <c r="AA265" s="206">
        <f t="array" ref="AA265">IF(AA$78&gt;" ",(AA$628:AA$1078),"")</f>
        <v>0</v>
      </c>
      <c r="AB265" s="210">
        <v>0</v>
      </c>
      <c r="AC265" s="204">
        <f t="shared" si="37"/>
        <v>0</v>
      </c>
      <c r="AD265" s="206">
        <f t="shared" si="38"/>
        <v>0</v>
      </c>
      <c r="AE265" s="206">
        <f t="shared" si="39"/>
        <v>0</v>
      </c>
      <c r="AF265" s="206">
        <f t="shared" si="40"/>
        <v>0</v>
      </c>
      <c r="AG265" s="206">
        <f t="shared" si="41"/>
        <v>0</v>
      </c>
      <c r="AH265" s="206">
        <f t="shared" si="42"/>
        <v>0</v>
      </c>
      <c r="AI265" s="206">
        <f t="shared" si="43"/>
        <v>0</v>
      </c>
      <c r="AJ265" s="206">
        <f t="shared" si="44"/>
        <v>0</v>
      </c>
      <c r="AK265" s="206">
        <f t="shared" si="45"/>
        <v>0</v>
      </c>
      <c r="AL265" s="206">
        <f t="shared" si="46"/>
        <v>0</v>
      </c>
      <c r="AM265" s="214">
        <f t="shared" si="47"/>
        <v>0</v>
      </c>
      <c r="AN265" s="4"/>
      <c r="AO265" s="167">
        <v>1575</v>
      </c>
      <c r="AP265" s="215">
        <v>1.4964658117811737E-3</v>
      </c>
      <c r="AQ265" s="190">
        <v>1.2954227744988412E-3</v>
      </c>
      <c r="AR265" s="190">
        <v>1.2054960864603011E-3</v>
      </c>
      <c r="AS265" s="170">
        <v>1.3036259011644539E-3</v>
      </c>
      <c r="AU265" s="216">
        <v>97.40273658147612</v>
      </c>
      <c r="AV265" s="217">
        <v>97.408900485710447</v>
      </c>
      <c r="AW265" s="217">
        <v>95.547280706025447</v>
      </c>
      <c r="AX265" s="217">
        <v>95.729034548563845</v>
      </c>
      <c r="AY265" s="217"/>
      <c r="AZ265" s="218">
        <v>0</v>
      </c>
      <c r="BA265" s="8"/>
      <c r="BB265" s="219"/>
      <c r="BC265" s="220"/>
    </row>
    <row r="266" spans="15:55" x14ac:dyDescent="0.25">
      <c r="O266" s="195">
        <v>1570</v>
      </c>
      <c r="P266" s="202">
        <f t="shared" si="50"/>
        <v>0</v>
      </c>
      <c r="Q266" s="203">
        <f t="shared" si="50"/>
        <v>0</v>
      </c>
      <c r="R266" s="157">
        <f ca="1"/>
        <v>97.412126721348429</v>
      </c>
      <c r="T266" s="204">
        <v>0</v>
      </c>
      <c r="U266" s="206">
        <v>0</v>
      </c>
      <c r="V266" s="206">
        <v>0</v>
      </c>
      <c r="W266" s="206">
        <v>0</v>
      </c>
      <c r="X266" s="206">
        <f t="array" ref="X266">IF(X$78&gt;" ",(X$628:X$1078),"")</f>
        <v>0</v>
      </c>
      <c r="Y266" s="206">
        <f t="array" ref="Y266">IF(Y$78&gt;" ",(Y$628:Y$1078),"")</f>
        <v>0</v>
      </c>
      <c r="Z266" s="206">
        <f t="array" ref="Z266">IF(Z$78&gt;" ",(Z$628:Z$1078),"")</f>
        <v>0</v>
      </c>
      <c r="AA266" s="206">
        <f t="array" ref="AA266">IF(AA$78&gt;" ",(AA$628:AA$1078),"")</f>
        <v>0</v>
      </c>
      <c r="AB266" s="210">
        <v>0</v>
      </c>
      <c r="AC266" s="204">
        <f t="shared" si="37"/>
        <v>0</v>
      </c>
      <c r="AD266" s="206">
        <f t="shared" si="38"/>
        <v>0</v>
      </c>
      <c r="AE266" s="206">
        <f t="shared" si="39"/>
        <v>0</v>
      </c>
      <c r="AF266" s="206">
        <f t="shared" si="40"/>
        <v>0</v>
      </c>
      <c r="AG266" s="206">
        <f t="shared" si="41"/>
        <v>0</v>
      </c>
      <c r="AH266" s="206">
        <f t="shared" si="42"/>
        <v>0</v>
      </c>
      <c r="AI266" s="206">
        <f t="shared" si="43"/>
        <v>0</v>
      </c>
      <c r="AJ266" s="206">
        <f t="shared" si="44"/>
        <v>0</v>
      </c>
      <c r="AK266" s="206">
        <f t="shared" si="45"/>
        <v>0</v>
      </c>
      <c r="AL266" s="206">
        <f t="shared" si="46"/>
        <v>0</v>
      </c>
      <c r="AM266" s="214">
        <f t="shared" si="47"/>
        <v>0</v>
      </c>
      <c r="AN266" s="4"/>
      <c r="AO266" s="167">
        <v>1570</v>
      </c>
      <c r="AP266" s="215">
        <v>1.5429083098247092E-3</v>
      </c>
      <c r="AQ266" s="190">
        <v>1.3103299411191937E-3</v>
      </c>
      <c r="AR266" s="190">
        <v>1.2156030654116032E-3</v>
      </c>
      <c r="AS266" s="170">
        <v>1.314986597392512E-3</v>
      </c>
      <c r="AU266" s="216">
        <v>97.39510752076059</v>
      </c>
      <c r="AV266" s="217">
        <v>97.412126721348429</v>
      </c>
      <c r="AW266" s="217">
        <v>95.528516833670054</v>
      </c>
      <c r="AX266" s="217">
        <v>95.700248613936466</v>
      </c>
      <c r="AY266" s="217"/>
      <c r="AZ266" s="218">
        <v>0</v>
      </c>
      <c r="BA266" s="8"/>
      <c r="BB266" s="219"/>
      <c r="BC266" s="220"/>
    </row>
    <row r="267" spans="15:55" x14ac:dyDescent="0.25">
      <c r="O267" s="195">
        <v>1565</v>
      </c>
      <c r="P267" s="202">
        <f t="shared" si="50"/>
        <v>0</v>
      </c>
      <c r="Q267" s="203">
        <f t="shared" si="50"/>
        <v>0</v>
      </c>
      <c r="R267" s="157">
        <f ca="1"/>
        <v>97.396286525282974</v>
      </c>
      <c r="T267" s="204">
        <v>0</v>
      </c>
      <c r="U267" s="206">
        <v>0</v>
      </c>
      <c r="V267" s="206">
        <v>0</v>
      </c>
      <c r="W267" s="206">
        <v>0</v>
      </c>
      <c r="X267" s="206">
        <f t="array" ref="X267">IF(X$78&gt;" ",(X$628:X$1078),"")</f>
        <v>0</v>
      </c>
      <c r="Y267" s="206">
        <f t="array" ref="Y267">IF(Y$78&gt;" ",(Y$628:Y$1078),"")</f>
        <v>0</v>
      </c>
      <c r="Z267" s="206">
        <f t="array" ref="Z267">IF(Z$78&gt;" ",(Z$628:Z$1078),"")</f>
        <v>0</v>
      </c>
      <c r="AA267" s="206">
        <f t="array" ref="AA267">IF(AA$78&gt;" ",(AA$628:AA$1078),"")</f>
        <v>0</v>
      </c>
      <c r="AB267" s="210">
        <v>0</v>
      </c>
      <c r="AC267" s="204">
        <f t="shared" si="37"/>
        <v>0</v>
      </c>
      <c r="AD267" s="206">
        <f t="shared" si="38"/>
        <v>0</v>
      </c>
      <c r="AE267" s="206">
        <f t="shared" si="39"/>
        <v>0</v>
      </c>
      <c r="AF267" s="206">
        <f t="shared" si="40"/>
        <v>0</v>
      </c>
      <c r="AG267" s="206">
        <f t="shared" si="41"/>
        <v>0</v>
      </c>
      <c r="AH267" s="206">
        <f t="shared" si="42"/>
        <v>0</v>
      </c>
      <c r="AI267" s="206">
        <f t="shared" si="43"/>
        <v>0</v>
      </c>
      <c r="AJ267" s="206">
        <f t="shared" si="44"/>
        <v>0</v>
      </c>
      <c r="AK267" s="206">
        <f t="shared" si="45"/>
        <v>0</v>
      </c>
      <c r="AL267" s="206">
        <f t="shared" si="46"/>
        <v>0</v>
      </c>
      <c r="AM267" s="214">
        <f t="shared" si="47"/>
        <v>0</v>
      </c>
      <c r="AN267" s="4"/>
      <c r="AO267" s="167">
        <v>1565</v>
      </c>
      <c r="AP267" s="215">
        <v>1.5893508078682447E-3</v>
      </c>
      <c r="AQ267" s="190">
        <v>1.3252371077395464E-3</v>
      </c>
      <c r="AR267" s="190">
        <v>1.3439767831363531E-3</v>
      </c>
      <c r="AS267" s="170">
        <v>1.4536654410039792E-3</v>
      </c>
      <c r="AU267" s="216">
        <v>97.385345818518928</v>
      </c>
      <c r="AV267" s="217">
        <v>97.396286525282974</v>
      </c>
      <c r="AW267" s="217">
        <v>95.507670241294875</v>
      </c>
      <c r="AX267" s="217">
        <v>95.682951006488608</v>
      </c>
      <c r="AY267" s="217"/>
      <c r="AZ267" s="218">
        <v>0</v>
      </c>
      <c r="BA267" s="8"/>
      <c r="BB267" s="219"/>
      <c r="BC267" s="220"/>
    </row>
    <row r="268" spans="15:55" x14ac:dyDescent="0.25">
      <c r="O268" s="195">
        <v>1560</v>
      </c>
      <c r="P268" s="202">
        <f t="shared" si="50"/>
        <v>0</v>
      </c>
      <c r="Q268" s="203">
        <f t="shared" si="50"/>
        <v>0</v>
      </c>
      <c r="R268" s="157">
        <f ca="1"/>
        <v>97.387342667266068</v>
      </c>
      <c r="T268" s="204">
        <v>0</v>
      </c>
      <c r="U268" s="206">
        <v>0</v>
      </c>
      <c r="V268" s="206">
        <v>0</v>
      </c>
      <c r="W268" s="206">
        <v>0</v>
      </c>
      <c r="X268" s="206">
        <f t="array" ref="X268">IF(X$78&gt;" ",(X$628:X$1078),"")</f>
        <v>0</v>
      </c>
      <c r="Y268" s="206">
        <f t="array" ref="Y268">IF(Y$78&gt;" ",(Y$628:Y$1078),"")</f>
        <v>0</v>
      </c>
      <c r="Z268" s="206">
        <f t="array" ref="Z268">IF(Z$78&gt;" ",(Z$628:Z$1078),"")</f>
        <v>0</v>
      </c>
      <c r="AA268" s="206">
        <f t="array" ref="AA268">IF(AA$78&gt;" ",(AA$628:AA$1078),"")</f>
        <v>0</v>
      </c>
      <c r="AB268" s="210">
        <v>0</v>
      </c>
      <c r="AC268" s="204">
        <f t="shared" si="37"/>
        <v>0</v>
      </c>
      <c r="AD268" s="206">
        <f t="shared" si="38"/>
        <v>0</v>
      </c>
      <c r="AE268" s="206">
        <f t="shared" si="39"/>
        <v>0</v>
      </c>
      <c r="AF268" s="206">
        <f t="shared" si="40"/>
        <v>0</v>
      </c>
      <c r="AG268" s="206">
        <f t="shared" si="41"/>
        <v>0</v>
      </c>
      <c r="AH268" s="206">
        <f t="shared" si="42"/>
        <v>0</v>
      </c>
      <c r="AI268" s="206">
        <f t="shared" si="43"/>
        <v>0</v>
      </c>
      <c r="AJ268" s="206">
        <f t="shared" si="44"/>
        <v>0</v>
      </c>
      <c r="AK268" s="206">
        <f t="shared" si="45"/>
        <v>0</v>
      </c>
      <c r="AL268" s="206">
        <f t="shared" si="46"/>
        <v>0</v>
      </c>
      <c r="AM268" s="214">
        <f t="shared" si="47"/>
        <v>0</v>
      </c>
      <c r="AN268" s="4"/>
      <c r="AO268" s="167">
        <v>1560</v>
      </c>
      <c r="AP268" s="215">
        <v>1.6357933059117803E-3</v>
      </c>
      <c r="AQ268" s="190">
        <v>1.3401442743598993E-3</v>
      </c>
      <c r="AR268" s="190">
        <v>1.3359314267572069E-3</v>
      </c>
      <c r="AS268" s="170">
        <v>1.445046981796487E-3</v>
      </c>
      <c r="AU268" s="216">
        <v>97.387287547517658</v>
      </c>
      <c r="AV268" s="217">
        <v>97.387342667266068</v>
      </c>
      <c r="AW268" s="217">
        <v>95.491689520268551</v>
      </c>
      <c r="AX268" s="217">
        <v>95.660737201141259</v>
      </c>
      <c r="AY268" s="217"/>
      <c r="AZ268" s="218">
        <v>0</v>
      </c>
      <c r="BA268" s="8"/>
      <c r="BB268" s="219"/>
      <c r="BC268" s="220"/>
    </row>
    <row r="269" spans="15:55" x14ac:dyDescent="0.25">
      <c r="O269" s="195">
        <v>1555</v>
      </c>
      <c r="P269" s="202">
        <f t="shared" si="50"/>
        <v>0</v>
      </c>
      <c r="Q269" s="203">
        <f t="shared" si="50"/>
        <v>0</v>
      </c>
      <c r="R269" s="157">
        <f ca="1"/>
        <v>97.366310216650888</v>
      </c>
      <c r="T269" s="204">
        <v>0</v>
      </c>
      <c r="U269" s="206">
        <v>0</v>
      </c>
      <c r="V269" s="206">
        <v>0</v>
      </c>
      <c r="W269" s="206">
        <v>0</v>
      </c>
      <c r="X269" s="206">
        <f t="array" ref="X269">IF(X$78&gt;" ",(X$628:X$1078),"")</f>
        <v>0</v>
      </c>
      <c r="Y269" s="206">
        <f t="array" ref="Y269">IF(Y$78&gt;" ",(Y$628:Y$1078),"")</f>
        <v>0</v>
      </c>
      <c r="Z269" s="206">
        <f t="array" ref="Z269">IF(Z$78&gt;" ",(Z$628:Z$1078),"")</f>
        <v>0</v>
      </c>
      <c r="AA269" s="206">
        <f t="array" ref="AA269">IF(AA$78&gt;" ",(AA$628:AA$1078),"")</f>
        <v>0</v>
      </c>
      <c r="AB269" s="210">
        <v>0</v>
      </c>
      <c r="AC269" s="204">
        <f t="shared" si="37"/>
        <v>0</v>
      </c>
      <c r="AD269" s="206">
        <f t="shared" si="38"/>
        <v>0</v>
      </c>
      <c r="AE269" s="206">
        <f t="shared" si="39"/>
        <v>0</v>
      </c>
      <c r="AF269" s="206">
        <f t="shared" si="40"/>
        <v>0</v>
      </c>
      <c r="AG269" s="206">
        <f t="shared" si="41"/>
        <v>0</v>
      </c>
      <c r="AH269" s="206">
        <f t="shared" si="42"/>
        <v>0</v>
      </c>
      <c r="AI269" s="206">
        <f t="shared" si="43"/>
        <v>0</v>
      </c>
      <c r="AJ269" s="206">
        <f t="shared" si="44"/>
        <v>0</v>
      </c>
      <c r="AK269" s="206">
        <f t="shared" si="45"/>
        <v>0</v>
      </c>
      <c r="AL269" s="206">
        <f t="shared" si="46"/>
        <v>0</v>
      </c>
      <c r="AM269" s="214">
        <f t="shared" si="47"/>
        <v>0</v>
      </c>
      <c r="AN269" s="4"/>
      <c r="AO269" s="167">
        <v>1555</v>
      </c>
      <c r="AP269" s="215">
        <v>1.6462973701918968E-3</v>
      </c>
      <c r="AQ269" s="190">
        <v>1.355051440980252E-3</v>
      </c>
      <c r="AR269" s="190">
        <v>1.3455355709348124E-3</v>
      </c>
      <c r="AS269" s="170">
        <v>1.4553443616288153E-3</v>
      </c>
      <c r="AU269" s="216">
        <v>97.369017071931879</v>
      </c>
      <c r="AV269" s="217">
        <v>97.366310216650888</v>
      </c>
      <c r="AW269" s="217">
        <v>95.43201911456805</v>
      </c>
      <c r="AX269" s="217">
        <v>95.608375286581747</v>
      </c>
      <c r="AY269" s="217"/>
      <c r="AZ269" s="218">
        <v>0</v>
      </c>
      <c r="BA269" s="8"/>
      <c r="BB269" s="219"/>
      <c r="BC269" s="220"/>
    </row>
    <row r="270" spans="15:55" x14ac:dyDescent="0.25">
      <c r="O270" s="195">
        <v>1550</v>
      </c>
      <c r="P270" s="202">
        <f t="shared" si="50"/>
        <v>0</v>
      </c>
      <c r="Q270" s="203">
        <f t="shared" si="50"/>
        <v>0</v>
      </c>
      <c r="R270" s="157">
        <f ca="1"/>
        <v>97.368510436394899</v>
      </c>
      <c r="T270" s="204">
        <v>0</v>
      </c>
      <c r="U270" s="206">
        <v>0</v>
      </c>
      <c r="V270" s="206">
        <v>0</v>
      </c>
      <c r="W270" s="206">
        <v>0</v>
      </c>
      <c r="X270" s="206">
        <f t="array" ref="X270">IF(X$78&gt;" ",(X$628:X$1078),"")</f>
        <v>0</v>
      </c>
      <c r="Y270" s="206">
        <f t="array" ref="Y270">IF(Y$78&gt;" ",(Y$628:Y$1078),"")</f>
        <v>0</v>
      </c>
      <c r="Z270" s="206">
        <f t="array" ref="Z270">IF(Z$78&gt;" ",(Z$628:Z$1078),"")</f>
        <v>0</v>
      </c>
      <c r="AA270" s="206">
        <f t="array" ref="AA270">IF(AA$78&gt;" ",(AA$628:AA$1078),"")</f>
        <v>0</v>
      </c>
      <c r="AB270" s="210">
        <v>0</v>
      </c>
      <c r="AC270" s="204">
        <f t="shared" si="37"/>
        <v>0</v>
      </c>
      <c r="AD270" s="206">
        <f t="shared" si="38"/>
        <v>0</v>
      </c>
      <c r="AE270" s="206">
        <f t="shared" si="39"/>
        <v>0</v>
      </c>
      <c r="AF270" s="206">
        <f t="shared" si="40"/>
        <v>0</v>
      </c>
      <c r="AG270" s="206">
        <f t="shared" si="41"/>
        <v>0</v>
      </c>
      <c r="AH270" s="206">
        <f t="shared" si="42"/>
        <v>0</v>
      </c>
      <c r="AI270" s="206">
        <f t="shared" si="43"/>
        <v>0</v>
      </c>
      <c r="AJ270" s="206">
        <f t="shared" si="44"/>
        <v>0</v>
      </c>
      <c r="AK270" s="206">
        <f t="shared" si="45"/>
        <v>0</v>
      </c>
      <c r="AL270" s="206">
        <f t="shared" si="46"/>
        <v>0</v>
      </c>
      <c r="AM270" s="214">
        <f t="shared" si="47"/>
        <v>0</v>
      </c>
      <c r="AN270" s="4"/>
      <c r="AO270" s="167">
        <v>1550</v>
      </c>
      <c r="AP270" s="215">
        <v>1.6455046106235863E-3</v>
      </c>
      <c r="AQ270" s="190">
        <v>1.3699586076006047E-3</v>
      </c>
      <c r="AR270" s="190">
        <v>1.3571510542072045E-3</v>
      </c>
      <c r="AS270" s="170">
        <v>1.4677124102317751E-3</v>
      </c>
      <c r="AU270" s="216">
        <v>97.347399582015726</v>
      </c>
      <c r="AV270" s="217">
        <v>97.368510436394899</v>
      </c>
      <c r="AW270" s="217">
        <v>95.374228624516206</v>
      </c>
      <c r="AX270" s="217">
        <v>95.54790470987848</v>
      </c>
      <c r="AY270" s="217"/>
      <c r="AZ270" s="218">
        <v>0</v>
      </c>
      <c r="BA270" s="8"/>
      <c r="BB270" s="219"/>
      <c r="BC270" s="220"/>
    </row>
    <row r="271" spans="15:55" x14ac:dyDescent="0.25">
      <c r="O271" s="195">
        <v>1545</v>
      </c>
      <c r="P271" s="202">
        <f t="shared" si="50"/>
        <v>0</v>
      </c>
      <c r="Q271" s="203">
        <f t="shared" si="50"/>
        <v>0</v>
      </c>
      <c r="R271" s="157">
        <f ca="1"/>
        <v>97.33914648823152</v>
      </c>
      <c r="T271" s="204">
        <v>0</v>
      </c>
      <c r="U271" s="206">
        <v>0</v>
      </c>
      <c r="V271" s="206">
        <v>0</v>
      </c>
      <c r="W271" s="206">
        <v>0</v>
      </c>
      <c r="X271" s="206">
        <f t="array" ref="X271">IF(X$78&gt;" ",(X$628:X$1078),"")</f>
        <v>0</v>
      </c>
      <c r="Y271" s="206">
        <f t="array" ref="Y271">IF(Y$78&gt;" ",(Y$628:Y$1078),"")</f>
        <v>0</v>
      </c>
      <c r="Z271" s="206">
        <f t="array" ref="Z271">IF(Z$78&gt;" ",(Z$628:Z$1078),"")</f>
        <v>0</v>
      </c>
      <c r="AA271" s="206">
        <f t="array" ref="AA271">IF(AA$78&gt;" ",(AA$628:AA$1078),"")</f>
        <v>0</v>
      </c>
      <c r="AB271" s="210">
        <v>0</v>
      </c>
      <c r="AC271" s="204">
        <f t="shared" si="37"/>
        <v>0</v>
      </c>
      <c r="AD271" s="206">
        <f t="shared" si="38"/>
        <v>0</v>
      </c>
      <c r="AE271" s="206">
        <f t="shared" si="39"/>
        <v>0</v>
      </c>
      <c r="AF271" s="206">
        <f t="shared" si="40"/>
        <v>0</v>
      </c>
      <c r="AG271" s="206">
        <f t="shared" si="41"/>
        <v>0</v>
      </c>
      <c r="AH271" s="206">
        <f t="shared" si="42"/>
        <v>0</v>
      </c>
      <c r="AI271" s="206">
        <f t="shared" si="43"/>
        <v>0</v>
      </c>
      <c r="AJ271" s="206">
        <f t="shared" si="44"/>
        <v>0</v>
      </c>
      <c r="AK271" s="206">
        <f t="shared" si="45"/>
        <v>0</v>
      </c>
      <c r="AL271" s="206">
        <f t="shared" si="46"/>
        <v>0</v>
      </c>
      <c r="AM271" s="214">
        <f t="shared" si="47"/>
        <v>0</v>
      </c>
      <c r="AN271" s="4"/>
      <c r="AO271" s="167">
        <v>1545</v>
      </c>
      <c r="AP271" s="215">
        <v>1.6446457877579161E-3</v>
      </c>
      <c r="AQ271" s="190">
        <v>1.3299393683513356E-3</v>
      </c>
      <c r="AR271" s="190">
        <v>1.3931037405265137E-3</v>
      </c>
      <c r="AS271" s="170">
        <v>1.5066633687279745E-3</v>
      </c>
      <c r="AU271" s="216">
        <v>97.338706615130789</v>
      </c>
      <c r="AV271" s="217">
        <v>97.33914648823152</v>
      </c>
      <c r="AW271" s="217">
        <v>95.29211558628451</v>
      </c>
      <c r="AX271" s="217">
        <v>95.469996208122538</v>
      </c>
      <c r="AY271" s="217"/>
      <c r="AZ271" s="218">
        <v>0</v>
      </c>
      <c r="BA271" s="8"/>
      <c r="BB271" s="219"/>
      <c r="BC271" s="220"/>
    </row>
    <row r="272" spans="15:55" x14ac:dyDescent="0.25">
      <c r="O272" s="195">
        <v>1540</v>
      </c>
      <c r="P272" s="202">
        <f t="shared" ref="P272:Q287" si="51">P820</f>
        <v>0</v>
      </c>
      <c r="Q272" s="203">
        <f t="shared" si="51"/>
        <v>0</v>
      </c>
      <c r="R272" s="157">
        <f ca="1"/>
        <v>97.307064799629941</v>
      </c>
      <c r="T272" s="204">
        <v>0</v>
      </c>
      <c r="U272" s="206">
        <v>0</v>
      </c>
      <c r="V272" s="206">
        <v>0</v>
      </c>
      <c r="W272" s="206">
        <v>0</v>
      </c>
      <c r="X272" s="206">
        <f t="array" ref="X272">IF(X$78&gt;" ",(X$628:X$1078),"")</f>
        <v>0</v>
      </c>
      <c r="Y272" s="206">
        <f t="array" ref="Y272">IF(Y$78&gt;" ",(Y$628:Y$1078),"")</f>
        <v>0</v>
      </c>
      <c r="Z272" s="206">
        <f t="array" ref="Z272">IF(Z$78&gt;" ",(Z$628:Z$1078),"")</f>
        <v>0</v>
      </c>
      <c r="AA272" s="206">
        <f t="array" ref="AA272">IF(AA$78&gt;" ",(AA$628:AA$1078),"")</f>
        <v>0</v>
      </c>
      <c r="AB272" s="210">
        <v>0</v>
      </c>
      <c r="AC272" s="204">
        <f t="shared" si="37"/>
        <v>0</v>
      </c>
      <c r="AD272" s="206">
        <f t="shared" si="38"/>
        <v>0</v>
      </c>
      <c r="AE272" s="206">
        <f t="shared" si="39"/>
        <v>0</v>
      </c>
      <c r="AF272" s="206">
        <f t="shared" si="40"/>
        <v>0</v>
      </c>
      <c r="AG272" s="206">
        <f t="shared" si="41"/>
        <v>0</v>
      </c>
      <c r="AH272" s="206">
        <f t="shared" si="42"/>
        <v>0</v>
      </c>
      <c r="AI272" s="206">
        <f t="shared" si="43"/>
        <v>0</v>
      </c>
      <c r="AJ272" s="206">
        <f t="shared" si="44"/>
        <v>0</v>
      </c>
      <c r="AK272" s="206">
        <f t="shared" si="45"/>
        <v>0</v>
      </c>
      <c r="AL272" s="206">
        <f t="shared" si="46"/>
        <v>0</v>
      </c>
      <c r="AM272" s="214">
        <f t="shared" si="47"/>
        <v>0</v>
      </c>
      <c r="AN272" s="4"/>
      <c r="AO272" s="167">
        <v>1540</v>
      </c>
      <c r="AP272" s="215">
        <v>1.6438530281896056E-3</v>
      </c>
      <c r="AQ272" s="190">
        <v>1.2899201291020664E-3</v>
      </c>
      <c r="AR272" s="190">
        <v>1.3320595989997426E-3</v>
      </c>
      <c r="AS272" s="170">
        <v>1.4403460040469458E-3</v>
      </c>
      <c r="AU272" s="216">
        <v>97.308277864322392</v>
      </c>
      <c r="AV272" s="217">
        <v>97.307064799629941</v>
      </c>
      <c r="AW272" s="217">
        <v>95.219588217416401</v>
      </c>
      <c r="AX272" s="217">
        <v>95.396860145344178</v>
      </c>
      <c r="AY272" s="217"/>
      <c r="AZ272" s="218">
        <v>0</v>
      </c>
      <c r="BA272" s="8"/>
      <c r="BB272" s="219"/>
      <c r="BC272" s="220"/>
    </row>
    <row r="273" spans="15:55" x14ac:dyDescent="0.25">
      <c r="O273" s="195">
        <v>1535</v>
      </c>
      <c r="P273" s="202">
        <f t="shared" si="51"/>
        <v>0</v>
      </c>
      <c r="Q273" s="203">
        <f t="shared" si="51"/>
        <v>0</v>
      </c>
      <c r="R273" s="157">
        <f ca="1"/>
        <v>97.307580483706417</v>
      </c>
      <c r="T273" s="204">
        <v>0</v>
      </c>
      <c r="U273" s="206">
        <v>0</v>
      </c>
      <c r="V273" s="206">
        <v>0</v>
      </c>
      <c r="W273" s="206">
        <v>0</v>
      </c>
      <c r="X273" s="206">
        <f t="array" ref="X273">IF(X$78&gt;" ",(X$628:X$1078),"")</f>
        <v>0</v>
      </c>
      <c r="Y273" s="206">
        <f t="array" ref="Y273">IF(Y$78&gt;" ",(Y$628:Y$1078),"")</f>
        <v>0</v>
      </c>
      <c r="Z273" s="206">
        <f t="array" ref="Z273">IF(Z$78&gt;" ",(Z$628:Z$1078),"")</f>
        <v>0</v>
      </c>
      <c r="AA273" s="206">
        <f t="array" ref="AA273">IF(AA$78&gt;" ",(AA$628:AA$1078),"")</f>
        <v>0</v>
      </c>
      <c r="AB273" s="210">
        <v>0</v>
      </c>
      <c r="AC273" s="204">
        <f t="shared" ref="AC273:AC336" si="52">T273</f>
        <v>0</v>
      </c>
      <c r="AD273" s="206">
        <f t="shared" ref="AD273:AD336" si="53">U273</f>
        <v>0</v>
      </c>
      <c r="AE273" s="206">
        <f t="shared" ref="AE273:AE336" si="54">V273</f>
        <v>0</v>
      </c>
      <c r="AF273" s="206">
        <f t="shared" ref="AF273:AF336" si="55">W273</f>
        <v>0</v>
      </c>
      <c r="AG273" s="206">
        <f t="shared" ref="AG273:AG336" si="56">X273</f>
        <v>0</v>
      </c>
      <c r="AH273" s="206">
        <f t="shared" ref="AH273:AH336" si="57">Y273</f>
        <v>0</v>
      </c>
      <c r="AI273" s="206">
        <f t="shared" ref="AI273:AI336" si="58">Z273</f>
        <v>0</v>
      </c>
      <c r="AJ273" s="206">
        <f t="shared" ref="AJ273:AJ336" si="59">AA273</f>
        <v>0</v>
      </c>
      <c r="AK273" s="206">
        <f t="shared" ref="AK273:AK336" si="60">AB273</f>
        <v>0</v>
      </c>
      <c r="AL273" s="206">
        <f t="shared" ref="AL273:AL336" si="61">AVERAGE(AC273:AK273)</f>
        <v>0</v>
      </c>
      <c r="AM273" s="214">
        <f t="shared" ref="AM273:AM336" si="62">AL273/100</f>
        <v>0</v>
      </c>
      <c r="AN273" s="4"/>
      <c r="AO273" s="167">
        <v>1535</v>
      </c>
      <c r="AP273" s="215">
        <v>1.630442178825683E-3</v>
      </c>
      <c r="AQ273" s="190">
        <v>1.2499008898527973E-3</v>
      </c>
      <c r="AR273" s="190">
        <v>1.3418648770868271E-3</v>
      </c>
      <c r="AS273" s="170">
        <v>1.4508112759417579E-3</v>
      </c>
      <c r="AU273" s="216">
        <v>97.327425571443925</v>
      </c>
      <c r="AV273" s="217">
        <v>97.307580483706417</v>
      </c>
      <c r="AW273" s="217">
        <v>95.253134315415124</v>
      </c>
      <c r="AX273" s="217">
        <v>95.421454458690462</v>
      </c>
      <c r="AY273" s="217"/>
      <c r="AZ273" s="218">
        <v>0</v>
      </c>
      <c r="BA273" s="8"/>
      <c r="BB273" s="219"/>
      <c r="BC273" s="220"/>
    </row>
    <row r="274" spans="15:55" x14ac:dyDescent="0.25">
      <c r="O274" s="195">
        <v>1530</v>
      </c>
      <c r="P274" s="202">
        <f t="shared" si="51"/>
        <v>0</v>
      </c>
      <c r="Q274" s="203">
        <f t="shared" si="51"/>
        <v>0</v>
      </c>
      <c r="R274" s="157">
        <f ca="1"/>
        <v>97.314670199087345</v>
      </c>
      <c r="T274" s="204">
        <v>0</v>
      </c>
      <c r="U274" s="206">
        <v>0</v>
      </c>
      <c r="V274" s="206">
        <v>0</v>
      </c>
      <c r="W274" s="206">
        <v>0</v>
      </c>
      <c r="X274" s="206">
        <f t="array" ref="X274">IF(X$78&gt;" ",(X$628:X$1078),"")</f>
        <v>0</v>
      </c>
      <c r="Y274" s="206">
        <f t="array" ref="Y274">IF(Y$78&gt;" ",(Y$628:Y$1078),"")</f>
        <v>0</v>
      </c>
      <c r="Z274" s="206">
        <f t="array" ref="Z274">IF(Z$78&gt;" ",(Z$628:Z$1078),"")</f>
        <v>0</v>
      </c>
      <c r="AA274" s="206">
        <f t="array" ref="AA274">IF(AA$78&gt;" ",(AA$628:AA$1078),"")</f>
        <v>0</v>
      </c>
      <c r="AB274" s="210">
        <v>0</v>
      </c>
      <c r="AC274" s="204">
        <f t="shared" si="52"/>
        <v>0</v>
      </c>
      <c r="AD274" s="206">
        <f t="shared" si="53"/>
        <v>0</v>
      </c>
      <c r="AE274" s="206">
        <f t="shared" si="54"/>
        <v>0</v>
      </c>
      <c r="AF274" s="206">
        <f t="shared" si="55"/>
        <v>0</v>
      </c>
      <c r="AG274" s="206">
        <f t="shared" si="56"/>
        <v>0</v>
      </c>
      <c r="AH274" s="206">
        <f t="shared" si="57"/>
        <v>0</v>
      </c>
      <c r="AI274" s="206">
        <f t="shared" si="58"/>
        <v>0</v>
      </c>
      <c r="AJ274" s="206">
        <f t="shared" si="59"/>
        <v>0</v>
      </c>
      <c r="AK274" s="206">
        <f t="shared" si="60"/>
        <v>0</v>
      </c>
      <c r="AL274" s="206">
        <f t="shared" si="61"/>
        <v>0</v>
      </c>
      <c r="AM274" s="214">
        <f t="shared" si="62"/>
        <v>0</v>
      </c>
      <c r="AN274" s="4"/>
      <c r="AO274" s="167">
        <v>1530</v>
      </c>
      <c r="AP274" s="215">
        <v>1.6139263544858765E-3</v>
      </c>
      <c r="AQ274" s="190">
        <v>1.2098816506035282E-3</v>
      </c>
      <c r="AR274" s="190">
        <v>1.2833349094285393E-3</v>
      </c>
      <c r="AS274" s="170">
        <v>1.3872921123021229E-3</v>
      </c>
      <c r="AU274" s="216">
        <v>97.306040962059043</v>
      </c>
      <c r="AV274" s="217">
        <v>97.314670199087345</v>
      </c>
      <c r="AW274" s="217">
        <v>95.267030040453434</v>
      </c>
      <c r="AX274" s="217">
        <v>95.439479559975496</v>
      </c>
      <c r="AY274" s="217"/>
      <c r="AZ274" s="218">
        <v>0</v>
      </c>
      <c r="BA274" s="8"/>
      <c r="BB274" s="219"/>
      <c r="BC274" s="220"/>
    </row>
    <row r="275" spans="15:55" x14ac:dyDescent="0.25">
      <c r="O275" s="195">
        <v>1525</v>
      </c>
      <c r="P275" s="202">
        <f t="shared" si="51"/>
        <v>0</v>
      </c>
      <c r="Q275" s="203">
        <f t="shared" si="51"/>
        <v>0</v>
      </c>
      <c r="R275" s="157">
        <f ca="1"/>
        <v>97.336305109286613</v>
      </c>
      <c r="T275" s="204">
        <v>0</v>
      </c>
      <c r="U275" s="206">
        <v>0</v>
      </c>
      <c r="V275" s="206">
        <v>0</v>
      </c>
      <c r="W275" s="206">
        <v>0</v>
      </c>
      <c r="X275" s="206">
        <f t="array" ref="X275">IF(X$78&gt;" ",(X$628:X$1078),"")</f>
        <v>0</v>
      </c>
      <c r="Y275" s="206">
        <f t="array" ref="Y275">IF(Y$78&gt;" ",(Y$628:Y$1078),"")</f>
        <v>0</v>
      </c>
      <c r="Z275" s="206">
        <f t="array" ref="Z275">IF(Z$78&gt;" ",(Z$628:Z$1078),"")</f>
        <v>0</v>
      </c>
      <c r="AA275" s="206">
        <f t="array" ref="AA275">IF(AA$78&gt;" ",(AA$628:AA$1078),"")</f>
        <v>0</v>
      </c>
      <c r="AB275" s="210">
        <v>0</v>
      </c>
      <c r="AC275" s="204">
        <f t="shared" si="52"/>
        <v>0</v>
      </c>
      <c r="AD275" s="206">
        <f t="shared" si="53"/>
        <v>0</v>
      </c>
      <c r="AE275" s="206">
        <f t="shared" si="54"/>
        <v>0</v>
      </c>
      <c r="AF275" s="206">
        <f t="shared" si="55"/>
        <v>0</v>
      </c>
      <c r="AG275" s="206">
        <f t="shared" si="56"/>
        <v>0</v>
      </c>
      <c r="AH275" s="206">
        <f t="shared" si="57"/>
        <v>0</v>
      </c>
      <c r="AI275" s="206">
        <f t="shared" si="58"/>
        <v>0</v>
      </c>
      <c r="AJ275" s="206">
        <f t="shared" si="59"/>
        <v>0</v>
      </c>
      <c r="AK275" s="206">
        <f t="shared" si="60"/>
        <v>0</v>
      </c>
      <c r="AL275" s="206">
        <f t="shared" si="61"/>
        <v>0</v>
      </c>
      <c r="AM275" s="214">
        <f t="shared" si="62"/>
        <v>0</v>
      </c>
      <c r="AN275" s="4"/>
      <c r="AO275" s="167">
        <v>1525</v>
      </c>
      <c r="AP275" s="215">
        <v>1.5974105301460701E-3</v>
      </c>
      <c r="AQ275" s="190">
        <v>1.1698624113542593E-3</v>
      </c>
      <c r="AR275" s="190">
        <v>1.3015375282363574E-3</v>
      </c>
      <c r="AS275" s="170">
        <v>1.4069354836127061E-3</v>
      </c>
      <c r="AU275" s="216">
        <v>97.32571020554866</v>
      </c>
      <c r="AV275" s="217">
        <v>97.336305109286613</v>
      </c>
      <c r="AW275" s="217">
        <v>95.288323873571656</v>
      </c>
      <c r="AX275" s="217">
        <v>95.463045552186642</v>
      </c>
      <c r="AY275" s="217"/>
      <c r="AZ275" s="218">
        <v>0</v>
      </c>
      <c r="BA275" s="8"/>
      <c r="BB275" s="219"/>
      <c r="BC275" s="220"/>
    </row>
    <row r="276" spans="15:55" x14ac:dyDescent="0.25">
      <c r="O276" s="195">
        <v>1520</v>
      </c>
      <c r="P276" s="202">
        <f t="shared" si="51"/>
        <v>0</v>
      </c>
      <c r="Q276" s="203">
        <f t="shared" si="51"/>
        <v>0</v>
      </c>
      <c r="R276" s="157">
        <f ca="1"/>
        <v>97.336498621770943</v>
      </c>
      <c r="T276" s="204">
        <v>0</v>
      </c>
      <c r="U276" s="206">
        <v>0</v>
      </c>
      <c r="V276" s="206">
        <v>0</v>
      </c>
      <c r="W276" s="206">
        <v>0</v>
      </c>
      <c r="X276" s="206">
        <f t="array" ref="X276">IF(X$78&gt;" ",(X$628:X$1078),"")</f>
        <v>0</v>
      </c>
      <c r="Y276" s="206">
        <f t="array" ref="Y276">IF(Y$78&gt;" ",(Y$628:Y$1078),"")</f>
        <v>0</v>
      </c>
      <c r="Z276" s="206">
        <f t="array" ref="Z276">IF(Z$78&gt;" ",(Z$628:Z$1078),"")</f>
        <v>0</v>
      </c>
      <c r="AA276" s="206">
        <f t="array" ref="AA276">IF(AA$78&gt;" ",(AA$628:AA$1078),"")</f>
        <v>0</v>
      </c>
      <c r="AB276" s="210">
        <v>0</v>
      </c>
      <c r="AC276" s="204">
        <f t="shared" si="52"/>
        <v>0</v>
      </c>
      <c r="AD276" s="206">
        <f t="shared" si="53"/>
        <v>0</v>
      </c>
      <c r="AE276" s="206">
        <f t="shared" si="54"/>
        <v>0</v>
      </c>
      <c r="AF276" s="206">
        <f t="shared" si="55"/>
        <v>0</v>
      </c>
      <c r="AG276" s="206">
        <f t="shared" si="56"/>
        <v>0</v>
      </c>
      <c r="AH276" s="206">
        <f t="shared" si="57"/>
        <v>0</v>
      </c>
      <c r="AI276" s="206">
        <f t="shared" si="58"/>
        <v>0</v>
      </c>
      <c r="AJ276" s="206">
        <f t="shared" si="59"/>
        <v>0</v>
      </c>
      <c r="AK276" s="206">
        <f t="shared" si="60"/>
        <v>0</v>
      </c>
      <c r="AL276" s="206">
        <f t="shared" si="61"/>
        <v>0</v>
      </c>
      <c r="AM276" s="214">
        <f t="shared" si="62"/>
        <v>0</v>
      </c>
      <c r="AN276" s="4"/>
      <c r="AO276" s="167">
        <v>1520</v>
      </c>
      <c r="AP276" s="215">
        <v>1.5808947058062639E-3</v>
      </c>
      <c r="AQ276" s="190">
        <v>1.1298431721049901E-3</v>
      </c>
      <c r="AR276" s="190">
        <v>1.3299979764275867E-3</v>
      </c>
      <c r="AS276" s="170">
        <v>1.4376037670263799E-3</v>
      </c>
      <c r="AU276" s="216">
        <v>97.33257381942515</v>
      </c>
      <c r="AV276" s="217">
        <v>97.336498621770943</v>
      </c>
      <c r="AW276" s="217">
        <v>95.326421676302587</v>
      </c>
      <c r="AX276" s="217">
        <v>95.496159879054133</v>
      </c>
      <c r="AY276" s="217"/>
      <c r="AZ276" s="218">
        <v>0</v>
      </c>
      <c r="BA276" s="8"/>
      <c r="BB276" s="219"/>
      <c r="BC276" s="220"/>
    </row>
    <row r="277" spans="15:55" x14ac:dyDescent="0.25">
      <c r="O277" s="195">
        <v>1515</v>
      </c>
      <c r="P277" s="202">
        <f t="shared" si="51"/>
        <v>0</v>
      </c>
      <c r="Q277" s="203">
        <f t="shared" si="51"/>
        <v>0</v>
      </c>
      <c r="R277" s="157">
        <f ca="1"/>
        <v>97.316332719882951</v>
      </c>
      <c r="T277" s="204">
        <v>0</v>
      </c>
      <c r="U277" s="206">
        <v>0</v>
      </c>
      <c r="V277" s="206">
        <v>0</v>
      </c>
      <c r="W277" s="206">
        <v>0</v>
      </c>
      <c r="X277" s="206">
        <f t="array" ref="X277">IF(X$78&gt;" ",(X$628:X$1078),"")</f>
        <v>0</v>
      </c>
      <c r="Y277" s="206">
        <f t="array" ref="Y277">IF(Y$78&gt;" ",(Y$628:Y$1078),"")</f>
        <v>0</v>
      </c>
      <c r="Z277" s="206">
        <f t="array" ref="Z277">IF(Z$78&gt;" ",(Z$628:Z$1078),"")</f>
        <v>0</v>
      </c>
      <c r="AA277" s="206">
        <f t="array" ref="AA277">IF(AA$78&gt;" ",(AA$628:AA$1078),"")</f>
        <v>0</v>
      </c>
      <c r="AB277" s="210">
        <v>0</v>
      </c>
      <c r="AC277" s="204">
        <f t="shared" si="52"/>
        <v>0</v>
      </c>
      <c r="AD277" s="206">
        <f t="shared" si="53"/>
        <v>0</v>
      </c>
      <c r="AE277" s="206">
        <f t="shared" si="54"/>
        <v>0</v>
      </c>
      <c r="AF277" s="206">
        <f t="shared" si="55"/>
        <v>0</v>
      </c>
      <c r="AG277" s="206">
        <f t="shared" si="56"/>
        <v>0</v>
      </c>
      <c r="AH277" s="206">
        <f t="shared" si="57"/>
        <v>0</v>
      </c>
      <c r="AI277" s="206">
        <f t="shared" si="58"/>
        <v>0</v>
      </c>
      <c r="AJ277" s="206">
        <f t="shared" si="59"/>
        <v>0</v>
      </c>
      <c r="AK277" s="206">
        <f t="shared" si="60"/>
        <v>0</v>
      </c>
      <c r="AL277" s="206">
        <f t="shared" si="61"/>
        <v>0</v>
      </c>
      <c r="AM277" s="214">
        <f t="shared" si="62"/>
        <v>0</v>
      </c>
      <c r="AN277" s="4"/>
      <c r="AO277" s="167">
        <v>1515</v>
      </c>
      <c r="AP277" s="215">
        <v>1.4771753289522798E-3</v>
      </c>
      <c r="AQ277" s="190">
        <v>1.089823932855721E-3</v>
      </c>
      <c r="AR277" s="190">
        <v>1.3361828441440552E-3</v>
      </c>
      <c r="AS277" s="170">
        <v>1.4440955934424131E-3</v>
      </c>
      <c r="AU277" s="216">
        <v>97.329909196793707</v>
      </c>
      <c r="AV277" s="217">
        <v>97.316332719882951</v>
      </c>
      <c r="AW277" s="217">
        <v>95.320308989444186</v>
      </c>
      <c r="AX277" s="217">
        <v>95.486371140243946</v>
      </c>
      <c r="AY277" s="217"/>
      <c r="AZ277" s="218">
        <v>0</v>
      </c>
      <c r="BA277" s="8"/>
      <c r="BB277" s="219"/>
      <c r="BC277" s="220"/>
    </row>
    <row r="278" spans="15:55" x14ac:dyDescent="0.25">
      <c r="O278" s="195">
        <v>1510</v>
      </c>
      <c r="P278" s="202">
        <f t="shared" si="51"/>
        <v>0</v>
      </c>
      <c r="Q278" s="203">
        <f t="shared" si="51"/>
        <v>0</v>
      </c>
      <c r="R278" s="157">
        <f ca="1"/>
        <v>97.324122807960364</v>
      </c>
      <c r="T278" s="204">
        <v>0</v>
      </c>
      <c r="U278" s="206">
        <v>0</v>
      </c>
      <c r="V278" s="206">
        <v>0</v>
      </c>
      <c r="W278" s="206">
        <v>0</v>
      </c>
      <c r="X278" s="206">
        <f t="array" ref="X278">IF(X$78&gt;" ",(X$628:X$1078),"")</f>
        <v>0</v>
      </c>
      <c r="Y278" s="206">
        <f t="array" ref="Y278">IF(Y$78&gt;" ",(Y$628:Y$1078),"")</f>
        <v>0</v>
      </c>
      <c r="Z278" s="206">
        <f t="array" ref="Z278">IF(Z$78&gt;" ",(Z$628:Z$1078),"")</f>
        <v>0</v>
      </c>
      <c r="AA278" s="206">
        <f t="array" ref="AA278">IF(AA$78&gt;" ",(AA$628:AA$1078),"")</f>
        <v>0</v>
      </c>
      <c r="AB278" s="210">
        <v>0</v>
      </c>
      <c r="AC278" s="204">
        <f t="shared" si="52"/>
        <v>0</v>
      </c>
      <c r="AD278" s="206">
        <f t="shared" si="53"/>
        <v>0</v>
      </c>
      <c r="AE278" s="206">
        <f t="shared" si="54"/>
        <v>0</v>
      </c>
      <c r="AF278" s="206">
        <f t="shared" si="55"/>
        <v>0</v>
      </c>
      <c r="AG278" s="206">
        <f t="shared" si="56"/>
        <v>0</v>
      </c>
      <c r="AH278" s="206">
        <f t="shared" si="57"/>
        <v>0</v>
      </c>
      <c r="AI278" s="206">
        <f t="shared" si="58"/>
        <v>0</v>
      </c>
      <c r="AJ278" s="206">
        <f t="shared" si="59"/>
        <v>0</v>
      </c>
      <c r="AK278" s="206">
        <f t="shared" si="60"/>
        <v>0</v>
      </c>
      <c r="AL278" s="206">
        <f t="shared" si="61"/>
        <v>0</v>
      </c>
      <c r="AM278" s="214">
        <f t="shared" si="62"/>
        <v>0</v>
      </c>
      <c r="AN278" s="4"/>
      <c r="AO278" s="167">
        <v>1510</v>
      </c>
      <c r="AP278" s="215">
        <v>1.3735220153956553E-3</v>
      </c>
      <c r="AQ278" s="190">
        <v>1.0498046936064519E-3</v>
      </c>
      <c r="AR278" s="190">
        <v>1.3602686298041235E-3</v>
      </c>
      <c r="AS278" s="170">
        <v>1.4701188631273735E-3</v>
      </c>
      <c r="AU278" s="216">
        <v>97.316199544412441</v>
      </c>
      <c r="AV278" s="217">
        <v>97.324122807960364</v>
      </c>
      <c r="AW278" s="217">
        <v>95.297518801447154</v>
      </c>
      <c r="AX278" s="217">
        <v>95.467548663759388</v>
      </c>
      <c r="AY278" s="217"/>
      <c r="AZ278" s="218">
        <v>0</v>
      </c>
      <c r="BA278" s="8"/>
      <c r="BB278" s="219"/>
      <c r="BC278" s="220"/>
    </row>
    <row r="279" spans="15:55" x14ac:dyDescent="0.25">
      <c r="O279" s="195">
        <v>1505</v>
      </c>
      <c r="P279" s="202">
        <f t="shared" si="51"/>
        <v>0</v>
      </c>
      <c r="Q279" s="203">
        <f t="shared" si="51"/>
        <v>0</v>
      </c>
      <c r="R279" s="157">
        <f ca="1"/>
        <v>97.316993976739511</v>
      </c>
      <c r="T279" s="204">
        <v>0</v>
      </c>
      <c r="U279" s="206">
        <v>0</v>
      </c>
      <c r="V279" s="206">
        <v>0</v>
      </c>
      <c r="W279" s="206">
        <v>0</v>
      </c>
      <c r="X279" s="206">
        <f t="array" ref="X279">IF(X$78&gt;" ",(X$628:X$1078),"")</f>
        <v>0</v>
      </c>
      <c r="Y279" s="206">
        <f t="array" ref="Y279">IF(Y$78&gt;" ",(Y$628:Y$1078),"")</f>
        <v>0</v>
      </c>
      <c r="Z279" s="206">
        <f t="array" ref="Z279">IF(Z$78&gt;" ",(Z$628:Z$1078),"")</f>
        <v>0</v>
      </c>
      <c r="AA279" s="206">
        <f t="array" ref="AA279">IF(AA$78&gt;" ",(AA$628:AA$1078),"")</f>
        <v>0</v>
      </c>
      <c r="AB279" s="210">
        <v>0</v>
      </c>
      <c r="AC279" s="204">
        <f t="shared" si="52"/>
        <v>0</v>
      </c>
      <c r="AD279" s="206">
        <f t="shared" si="53"/>
        <v>0</v>
      </c>
      <c r="AE279" s="206">
        <f t="shared" si="54"/>
        <v>0</v>
      </c>
      <c r="AF279" s="206">
        <f t="shared" si="55"/>
        <v>0</v>
      </c>
      <c r="AG279" s="206">
        <f t="shared" si="56"/>
        <v>0</v>
      </c>
      <c r="AH279" s="206">
        <f t="shared" si="57"/>
        <v>0</v>
      </c>
      <c r="AI279" s="206">
        <f t="shared" si="58"/>
        <v>0</v>
      </c>
      <c r="AJ279" s="206">
        <f t="shared" si="59"/>
        <v>0</v>
      </c>
      <c r="AK279" s="206">
        <f t="shared" si="60"/>
        <v>0</v>
      </c>
      <c r="AL279" s="206">
        <f t="shared" si="61"/>
        <v>0</v>
      </c>
      <c r="AM279" s="214">
        <f t="shared" si="62"/>
        <v>0</v>
      </c>
      <c r="AN279" s="4"/>
      <c r="AO279" s="167">
        <v>1505</v>
      </c>
      <c r="AP279" s="215">
        <v>1.2698026385416714E-3</v>
      </c>
      <c r="AQ279" s="190">
        <v>1.0097854543571828E-3</v>
      </c>
      <c r="AR279" s="190">
        <v>9.2531655055653865E-4</v>
      </c>
      <c r="AS279" s="170">
        <v>1.0009165125064935E-3</v>
      </c>
      <c r="AU279" s="216">
        <v>97.303078305060566</v>
      </c>
      <c r="AV279" s="217">
        <v>97.316993976739511</v>
      </c>
      <c r="AW279" s="217">
        <v>95.25560928712629</v>
      </c>
      <c r="AX279" s="217">
        <v>95.436751118147356</v>
      </c>
      <c r="AY279" s="217"/>
      <c r="AZ279" s="218">
        <v>0</v>
      </c>
      <c r="BA279" s="8"/>
      <c r="BB279" s="219"/>
      <c r="BC279" s="220"/>
    </row>
    <row r="280" spans="15:55" x14ac:dyDescent="0.25">
      <c r="O280" s="195">
        <v>1500</v>
      </c>
      <c r="P280" s="202">
        <f t="shared" si="51"/>
        <v>0</v>
      </c>
      <c r="Q280" s="203">
        <f t="shared" si="51"/>
        <v>0</v>
      </c>
      <c r="R280" s="157">
        <f ca="1"/>
        <v>97.301429656434735</v>
      </c>
      <c r="T280" s="204">
        <v>0</v>
      </c>
      <c r="U280" s="206">
        <v>0</v>
      </c>
      <c r="V280" s="206">
        <v>0</v>
      </c>
      <c r="W280" s="206">
        <v>0</v>
      </c>
      <c r="X280" s="206">
        <f t="array" ref="X280">IF(X$78&gt;" ",(X$628:X$1078),"")</f>
        <v>0</v>
      </c>
      <c r="Y280" s="206">
        <f t="array" ref="Y280">IF(Y$78&gt;" ",(Y$628:Y$1078),"")</f>
        <v>0</v>
      </c>
      <c r="Z280" s="206">
        <f t="array" ref="Z280">IF(Z$78&gt;" ",(Z$628:Z$1078),"")</f>
        <v>0</v>
      </c>
      <c r="AA280" s="206">
        <f t="array" ref="AA280">IF(AA$78&gt;" ",(AA$628:AA$1078),"")</f>
        <v>0</v>
      </c>
      <c r="AB280" s="210">
        <v>0</v>
      </c>
      <c r="AC280" s="204">
        <f t="shared" si="52"/>
        <v>0</v>
      </c>
      <c r="AD280" s="206">
        <f t="shared" si="53"/>
        <v>0</v>
      </c>
      <c r="AE280" s="206">
        <f t="shared" si="54"/>
        <v>0</v>
      </c>
      <c r="AF280" s="206">
        <f t="shared" si="55"/>
        <v>0</v>
      </c>
      <c r="AG280" s="206">
        <f t="shared" si="56"/>
        <v>0</v>
      </c>
      <c r="AH280" s="206">
        <f t="shared" si="57"/>
        <v>0</v>
      </c>
      <c r="AI280" s="206">
        <f t="shared" si="58"/>
        <v>0</v>
      </c>
      <c r="AJ280" s="206">
        <f t="shared" si="59"/>
        <v>0</v>
      </c>
      <c r="AK280" s="206">
        <f t="shared" si="60"/>
        <v>0</v>
      </c>
      <c r="AL280" s="206">
        <f t="shared" si="61"/>
        <v>0</v>
      </c>
      <c r="AM280" s="214">
        <f t="shared" si="62"/>
        <v>0</v>
      </c>
      <c r="AN280" s="4"/>
      <c r="AO280" s="167">
        <v>1500</v>
      </c>
      <c r="AP280" s="215">
        <v>1.1661493249850467E-3</v>
      </c>
      <c r="AQ280" s="190">
        <v>9.6976621510791363E-4</v>
      </c>
      <c r="AR280" s="190">
        <v>1.2601542263611246E-3</v>
      </c>
      <c r="AS280" s="170">
        <v>1.3621083029295802E-3</v>
      </c>
      <c r="AU280" s="216">
        <v>97.289989386154886</v>
      </c>
      <c r="AV280" s="217">
        <v>97.301429656434735</v>
      </c>
      <c r="AW280" s="217">
        <v>95.225279479974276</v>
      </c>
      <c r="AX280" s="217">
        <v>95.40738363548013</v>
      </c>
      <c r="AY280" s="217"/>
      <c r="AZ280" s="218">
        <v>0</v>
      </c>
      <c r="BA280" s="8"/>
      <c r="BB280" s="219"/>
      <c r="BC280" s="220"/>
    </row>
    <row r="281" spans="15:55" x14ac:dyDescent="0.25">
      <c r="O281" s="195">
        <v>1495</v>
      </c>
      <c r="P281" s="202">
        <f t="shared" si="51"/>
        <v>0</v>
      </c>
      <c r="Q281" s="203">
        <f t="shared" si="51"/>
        <v>0</v>
      </c>
      <c r="R281" s="157">
        <f ca="1"/>
        <v>97.283913468360979</v>
      </c>
      <c r="T281" s="204">
        <v>0</v>
      </c>
      <c r="U281" s="206">
        <v>0</v>
      </c>
      <c r="V281" s="206">
        <v>0</v>
      </c>
      <c r="W281" s="206">
        <v>0</v>
      </c>
      <c r="X281" s="206">
        <f t="array" ref="X281">IF(X$78&gt;" ",(X$628:X$1078),"")</f>
        <v>0</v>
      </c>
      <c r="Y281" s="206">
        <f t="array" ref="Y281">IF(Y$78&gt;" ",(Y$628:Y$1078),"")</f>
        <v>0</v>
      </c>
      <c r="Z281" s="206">
        <f t="array" ref="Z281">IF(Z$78&gt;" ",(Z$628:Z$1078),"")</f>
        <v>0</v>
      </c>
      <c r="AA281" s="206">
        <f t="array" ref="AA281">IF(AA$78&gt;" ",(AA$628:AA$1078),"")</f>
        <v>0</v>
      </c>
      <c r="AB281" s="210">
        <v>0</v>
      </c>
      <c r="AC281" s="204">
        <f t="shared" si="52"/>
        <v>0</v>
      </c>
      <c r="AD281" s="206">
        <f t="shared" si="53"/>
        <v>0</v>
      </c>
      <c r="AE281" s="206">
        <f t="shared" si="54"/>
        <v>0</v>
      </c>
      <c r="AF281" s="206">
        <f t="shared" si="55"/>
        <v>0</v>
      </c>
      <c r="AG281" s="206">
        <f t="shared" si="56"/>
        <v>0</v>
      </c>
      <c r="AH281" s="206">
        <f t="shared" si="57"/>
        <v>0</v>
      </c>
      <c r="AI281" s="206">
        <f t="shared" si="58"/>
        <v>0</v>
      </c>
      <c r="AJ281" s="206">
        <f t="shared" si="59"/>
        <v>0</v>
      </c>
      <c r="AK281" s="206">
        <f t="shared" si="60"/>
        <v>0</v>
      </c>
      <c r="AL281" s="206">
        <f t="shared" si="61"/>
        <v>0</v>
      </c>
      <c r="AM281" s="214">
        <f t="shared" si="62"/>
        <v>0</v>
      </c>
      <c r="AN281" s="4"/>
      <c r="AO281" s="167">
        <v>1495</v>
      </c>
      <c r="AP281" s="215">
        <v>1.0578055173159171E-3</v>
      </c>
      <c r="AQ281" s="190">
        <v>9.1072783240542948E-4</v>
      </c>
      <c r="AR281" s="190">
        <v>9.1782431242845889E-4</v>
      </c>
      <c r="AS281" s="170">
        <v>9.9308154959059139E-4</v>
      </c>
      <c r="AU281" s="216">
        <v>97.292199338240309</v>
      </c>
      <c r="AV281" s="217">
        <v>97.283913468360979</v>
      </c>
      <c r="AW281" s="217">
        <v>95.189994505744423</v>
      </c>
      <c r="AX281" s="217">
        <v>95.367846460952435</v>
      </c>
      <c r="AY281" s="217"/>
      <c r="AZ281" s="218">
        <v>0</v>
      </c>
      <c r="BA281" s="8"/>
      <c r="BB281" s="219"/>
      <c r="BC281" s="220"/>
    </row>
    <row r="282" spans="15:55" x14ac:dyDescent="0.25">
      <c r="O282" s="195">
        <v>1490</v>
      </c>
      <c r="P282" s="202">
        <f t="shared" si="51"/>
        <v>0</v>
      </c>
      <c r="Q282" s="203">
        <f t="shared" si="51"/>
        <v>0</v>
      </c>
      <c r="R282" s="157">
        <f ca="1"/>
        <v>97.274584552898773</v>
      </c>
      <c r="T282" s="204">
        <v>0</v>
      </c>
      <c r="U282" s="206">
        <v>0</v>
      </c>
      <c r="V282" s="206">
        <v>0</v>
      </c>
      <c r="W282" s="206">
        <v>0</v>
      </c>
      <c r="X282" s="206">
        <f t="array" ref="X282">IF(X$78&gt;" ",(X$628:X$1078),"")</f>
        <v>0</v>
      </c>
      <c r="Y282" s="206">
        <f t="array" ref="Y282">IF(Y$78&gt;" ",(Y$628:Y$1078),"")</f>
        <v>0</v>
      </c>
      <c r="Z282" s="206">
        <f t="array" ref="Z282">IF(Z$78&gt;" ",(Z$628:Z$1078),"")</f>
        <v>0</v>
      </c>
      <c r="AA282" s="206">
        <f t="array" ref="AA282">IF(AA$78&gt;" ",(AA$628:AA$1078),"")</f>
        <v>0</v>
      </c>
      <c r="AB282" s="210">
        <v>0</v>
      </c>
      <c r="AC282" s="204">
        <f t="shared" si="52"/>
        <v>0</v>
      </c>
      <c r="AD282" s="206">
        <f t="shared" si="53"/>
        <v>0</v>
      </c>
      <c r="AE282" s="206">
        <f t="shared" si="54"/>
        <v>0</v>
      </c>
      <c r="AF282" s="206">
        <f t="shared" si="55"/>
        <v>0</v>
      </c>
      <c r="AG282" s="206">
        <f t="shared" si="56"/>
        <v>0</v>
      </c>
      <c r="AH282" s="206">
        <f t="shared" si="57"/>
        <v>0</v>
      </c>
      <c r="AI282" s="206">
        <f t="shared" si="58"/>
        <v>0</v>
      </c>
      <c r="AJ282" s="206">
        <f t="shared" si="59"/>
        <v>0</v>
      </c>
      <c r="AK282" s="206">
        <f t="shared" si="60"/>
        <v>0</v>
      </c>
      <c r="AL282" s="206">
        <f t="shared" si="61"/>
        <v>0</v>
      </c>
      <c r="AM282" s="214">
        <f t="shared" si="62"/>
        <v>0</v>
      </c>
      <c r="AN282" s="4"/>
      <c r="AO282" s="167">
        <v>1490</v>
      </c>
      <c r="AP282" s="215">
        <v>9.4252506342406867E-4</v>
      </c>
      <c r="AQ282" s="190">
        <v>8.5168944970294511E-4</v>
      </c>
      <c r="AR282" s="190">
        <v>8.7885461746697001E-4</v>
      </c>
      <c r="AS282" s="170">
        <v>9.5099660592803167E-4</v>
      </c>
      <c r="AU282" s="216">
        <v>97.265436018183593</v>
      </c>
      <c r="AV282" s="217">
        <v>97.274584552898773</v>
      </c>
      <c r="AW282" s="217">
        <v>95.158420335585333</v>
      </c>
      <c r="AX282" s="217">
        <v>95.337584962903279</v>
      </c>
      <c r="AY282" s="217"/>
      <c r="AZ282" s="218">
        <v>0</v>
      </c>
      <c r="BA282" s="8"/>
      <c r="BB282" s="219"/>
      <c r="BC282" s="220"/>
    </row>
    <row r="283" spans="15:55" x14ac:dyDescent="0.25">
      <c r="O283" s="195">
        <v>1485</v>
      </c>
      <c r="P283" s="202">
        <f t="shared" si="51"/>
        <v>0</v>
      </c>
      <c r="Q283" s="203">
        <f t="shared" si="51"/>
        <v>0</v>
      </c>
      <c r="R283" s="157">
        <f ca="1"/>
        <v>97.249086581713058</v>
      </c>
      <c r="T283" s="204">
        <v>0</v>
      </c>
      <c r="U283" s="206">
        <v>0</v>
      </c>
      <c r="V283" s="206">
        <v>0</v>
      </c>
      <c r="W283" s="206">
        <v>0</v>
      </c>
      <c r="X283" s="206">
        <f t="array" ref="X283">IF(X$78&gt;" ",(X$628:X$1078),"")</f>
        <v>0</v>
      </c>
      <c r="Y283" s="206">
        <f t="array" ref="Y283">IF(Y$78&gt;" ",(Y$628:Y$1078),"")</f>
        <v>0</v>
      </c>
      <c r="Z283" s="206">
        <f t="array" ref="Z283">IF(Z$78&gt;" ",(Z$628:Z$1078),"")</f>
        <v>0</v>
      </c>
      <c r="AA283" s="206">
        <f t="array" ref="AA283">IF(AA$78&gt;" ",(AA$628:AA$1078),"")</f>
        <v>0</v>
      </c>
      <c r="AB283" s="210">
        <v>0</v>
      </c>
      <c r="AC283" s="204">
        <f t="shared" si="52"/>
        <v>0</v>
      </c>
      <c r="AD283" s="206">
        <f t="shared" si="53"/>
        <v>0</v>
      </c>
      <c r="AE283" s="206">
        <f t="shared" si="54"/>
        <v>0</v>
      </c>
      <c r="AF283" s="206">
        <f t="shared" si="55"/>
        <v>0</v>
      </c>
      <c r="AG283" s="206">
        <f t="shared" si="56"/>
        <v>0</v>
      </c>
      <c r="AH283" s="206">
        <f t="shared" si="57"/>
        <v>0</v>
      </c>
      <c r="AI283" s="206">
        <f t="shared" si="58"/>
        <v>0</v>
      </c>
      <c r="AJ283" s="206">
        <f t="shared" si="59"/>
        <v>0</v>
      </c>
      <c r="AK283" s="206">
        <f t="shared" si="60"/>
        <v>0</v>
      </c>
      <c r="AL283" s="206">
        <f t="shared" si="61"/>
        <v>0</v>
      </c>
      <c r="AM283" s="214">
        <f t="shared" si="62"/>
        <v>0</v>
      </c>
      <c r="AN283" s="4"/>
      <c r="AO283" s="167">
        <v>1485</v>
      </c>
      <c r="AP283" s="215">
        <v>8.2724460953222047E-4</v>
      </c>
      <c r="AQ283" s="190">
        <v>7.9265106700046085E-4</v>
      </c>
      <c r="AR283" s="190">
        <v>6.2869431755289658E-4</v>
      </c>
      <c r="AS283" s="170">
        <v>6.8097020543354835E-4</v>
      </c>
      <c r="AU283" s="216">
        <v>97.259648827371549</v>
      </c>
      <c r="AV283" s="217">
        <v>97.249086581713058</v>
      </c>
      <c r="AW283" s="217">
        <v>95.123366656972408</v>
      </c>
      <c r="AX283" s="217">
        <v>95.295334931223962</v>
      </c>
      <c r="AY283" s="217"/>
      <c r="AZ283" s="218">
        <v>0</v>
      </c>
      <c r="BA283" s="8"/>
      <c r="BB283" s="219"/>
      <c r="BC283" s="220"/>
    </row>
    <row r="284" spans="15:55" x14ac:dyDescent="0.25">
      <c r="O284" s="195">
        <v>1480</v>
      </c>
      <c r="P284" s="202">
        <f t="shared" si="51"/>
        <v>0</v>
      </c>
      <c r="Q284" s="203">
        <f t="shared" si="51"/>
        <v>0</v>
      </c>
      <c r="R284" s="157">
        <f ca="1"/>
        <v>97.257464044010604</v>
      </c>
      <c r="T284" s="204">
        <v>0</v>
      </c>
      <c r="U284" s="206">
        <v>0</v>
      </c>
      <c r="V284" s="206">
        <v>0</v>
      </c>
      <c r="W284" s="206">
        <v>0</v>
      </c>
      <c r="X284" s="206">
        <f t="array" ref="X284">IF(X$78&gt;" ",(X$628:X$1078),"")</f>
        <v>0</v>
      </c>
      <c r="Y284" s="206">
        <f t="array" ref="Y284">IF(Y$78&gt;" ",(Y$628:Y$1078),"")</f>
        <v>0</v>
      </c>
      <c r="Z284" s="206">
        <f t="array" ref="Z284">IF(Z$78&gt;" ",(Z$628:Z$1078),"")</f>
        <v>0</v>
      </c>
      <c r="AA284" s="206">
        <f t="array" ref="AA284">IF(AA$78&gt;" ",(AA$628:AA$1078),"")</f>
        <v>0</v>
      </c>
      <c r="AB284" s="210">
        <v>0</v>
      </c>
      <c r="AC284" s="204">
        <f t="shared" si="52"/>
        <v>0</v>
      </c>
      <c r="AD284" s="206">
        <f t="shared" si="53"/>
        <v>0</v>
      </c>
      <c r="AE284" s="206">
        <f t="shared" si="54"/>
        <v>0</v>
      </c>
      <c r="AF284" s="206">
        <f t="shared" si="55"/>
        <v>0</v>
      </c>
      <c r="AG284" s="206">
        <f t="shared" si="56"/>
        <v>0</v>
      </c>
      <c r="AH284" s="206">
        <f t="shared" si="57"/>
        <v>0</v>
      </c>
      <c r="AI284" s="206">
        <f t="shared" si="58"/>
        <v>0</v>
      </c>
      <c r="AJ284" s="206">
        <f t="shared" si="59"/>
        <v>0</v>
      </c>
      <c r="AK284" s="206">
        <f t="shared" si="60"/>
        <v>0</v>
      </c>
      <c r="AL284" s="206">
        <f t="shared" si="61"/>
        <v>0</v>
      </c>
      <c r="AM284" s="214">
        <f t="shared" si="62"/>
        <v>0</v>
      </c>
      <c r="AN284" s="4"/>
      <c r="AO284" s="167">
        <v>1480</v>
      </c>
      <c r="AP284" s="215">
        <v>7.1196415564037205E-4</v>
      </c>
      <c r="AQ284" s="190">
        <v>7.336126842979767E-4</v>
      </c>
      <c r="AR284" s="190">
        <v>3.0490392172642563E-4</v>
      </c>
      <c r="AS284" s="170">
        <v>3.3054029621566131E-4</v>
      </c>
      <c r="AU284" s="216">
        <v>97.258036157526888</v>
      </c>
      <c r="AV284" s="217">
        <v>97.257464044010604</v>
      </c>
      <c r="AW284" s="217">
        <v>95.067461678878757</v>
      </c>
      <c r="AX284" s="217">
        <v>95.242077531211024</v>
      </c>
      <c r="AY284" s="217"/>
      <c r="AZ284" s="218">
        <v>0</v>
      </c>
      <c r="BA284" s="8"/>
      <c r="BB284" s="219"/>
      <c r="BC284" s="220"/>
    </row>
    <row r="285" spans="15:55" x14ac:dyDescent="0.25">
      <c r="O285" s="195">
        <v>1475</v>
      </c>
      <c r="P285" s="202">
        <f t="shared" si="51"/>
        <v>0</v>
      </c>
      <c r="Q285" s="203">
        <f t="shared" si="51"/>
        <v>0</v>
      </c>
      <c r="R285" s="157">
        <f ca="1"/>
        <v>97.247466460936934</v>
      </c>
      <c r="T285" s="204">
        <v>0</v>
      </c>
      <c r="U285" s="206">
        <v>0</v>
      </c>
      <c r="V285" s="206">
        <v>0</v>
      </c>
      <c r="W285" s="206">
        <v>0</v>
      </c>
      <c r="X285" s="206">
        <f t="array" ref="X285">IF(X$78&gt;" ",(X$628:X$1078),"")</f>
        <v>0</v>
      </c>
      <c r="Y285" s="206">
        <f t="array" ref="Y285">IF(Y$78&gt;" ",(Y$628:Y$1078),"")</f>
        <v>0</v>
      </c>
      <c r="Z285" s="206">
        <f t="array" ref="Z285">IF(Z$78&gt;" ",(Z$628:Z$1078),"")</f>
        <v>0</v>
      </c>
      <c r="AA285" s="206">
        <f t="array" ref="AA285">IF(AA$78&gt;" ",(AA$628:AA$1078),"")</f>
        <v>0</v>
      </c>
      <c r="AB285" s="210">
        <v>0</v>
      </c>
      <c r="AC285" s="204">
        <f t="shared" si="52"/>
        <v>0</v>
      </c>
      <c r="AD285" s="206">
        <f t="shared" si="53"/>
        <v>0</v>
      </c>
      <c r="AE285" s="206">
        <f t="shared" si="54"/>
        <v>0</v>
      </c>
      <c r="AF285" s="206">
        <f t="shared" si="55"/>
        <v>0</v>
      </c>
      <c r="AG285" s="206">
        <f t="shared" si="56"/>
        <v>0</v>
      </c>
      <c r="AH285" s="206">
        <f t="shared" si="57"/>
        <v>0</v>
      </c>
      <c r="AI285" s="206">
        <f t="shared" si="58"/>
        <v>0</v>
      </c>
      <c r="AJ285" s="206">
        <f t="shared" si="59"/>
        <v>0</v>
      </c>
      <c r="AK285" s="206">
        <f t="shared" si="60"/>
        <v>0</v>
      </c>
      <c r="AL285" s="206">
        <f t="shared" si="61"/>
        <v>0</v>
      </c>
      <c r="AM285" s="214">
        <f t="shared" si="62"/>
        <v>0</v>
      </c>
      <c r="AN285" s="4"/>
      <c r="AO285" s="167">
        <v>1475</v>
      </c>
      <c r="AP285" s="215">
        <v>6.4253163011582628E-4</v>
      </c>
      <c r="AQ285" s="190">
        <v>6.7457430159549234E-4</v>
      </c>
      <c r="AR285" s="190">
        <v>9.2838384267608805E-4</v>
      </c>
      <c r="AS285" s="170">
        <v>1.0047780299436166E-3</v>
      </c>
      <c r="AU285" s="216">
        <v>97.264908132709351</v>
      </c>
      <c r="AV285" s="217">
        <v>97.247466460936934</v>
      </c>
      <c r="AW285" s="217">
        <v>95.066628891825715</v>
      </c>
      <c r="AX285" s="217">
        <v>95.250271030733941</v>
      </c>
      <c r="AY285" s="217"/>
      <c r="AZ285" s="218">
        <v>0</v>
      </c>
      <c r="BA285" s="8"/>
      <c r="BB285" s="219"/>
      <c r="BC285" s="220"/>
    </row>
    <row r="286" spans="15:55" x14ac:dyDescent="0.25">
      <c r="O286" s="195">
        <v>1470</v>
      </c>
      <c r="P286" s="202">
        <f t="shared" si="51"/>
        <v>0</v>
      </c>
      <c r="Q286" s="203">
        <f t="shared" si="51"/>
        <v>0</v>
      </c>
      <c r="R286" s="157">
        <f ca="1"/>
        <v>97.249157679238706</v>
      </c>
      <c r="T286" s="204">
        <v>0</v>
      </c>
      <c r="U286" s="206">
        <v>0</v>
      </c>
      <c r="V286" s="206">
        <v>0</v>
      </c>
      <c r="W286" s="206">
        <v>0</v>
      </c>
      <c r="X286" s="206">
        <f t="array" ref="X286">IF(X$78&gt;" ",(X$628:X$1078),"")</f>
        <v>0</v>
      </c>
      <c r="Y286" s="206">
        <f t="array" ref="Y286">IF(Y$78&gt;" ",(Y$628:Y$1078),"")</f>
        <v>0</v>
      </c>
      <c r="Z286" s="206">
        <f t="array" ref="Z286">IF(Z$78&gt;" ",(Z$628:Z$1078),"")</f>
        <v>0</v>
      </c>
      <c r="AA286" s="206">
        <f t="array" ref="AA286">IF(AA$78&gt;" ",(AA$628:AA$1078),"")</f>
        <v>0</v>
      </c>
      <c r="AB286" s="210">
        <v>0</v>
      </c>
      <c r="AC286" s="204">
        <f t="shared" si="52"/>
        <v>0</v>
      </c>
      <c r="AD286" s="206">
        <f t="shared" si="53"/>
        <v>0</v>
      </c>
      <c r="AE286" s="206">
        <f t="shared" si="54"/>
        <v>0</v>
      </c>
      <c r="AF286" s="206">
        <f t="shared" si="55"/>
        <v>0</v>
      </c>
      <c r="AG286" s="206">
        <f t="shared" si="56"/>
        <v>0</v>
      </c>
      <c r="AH286" s="206">
        <f t="shared" si="57"/>
        <v>0</v>
      </c>
      <c r="AI286" s="206">
        <f t="shared" si="58"/>
        <v>0</v>
      </c>
      <c r="AJ286" s="206">
        <f t="shared" si="59"/>
        <v>0</v>
      </c>
      <c r="AK286" s="206">
        <f t="shared" si="60"/>
        <v>0</v>
      </c>
      <c r="AL286" s="206">
        <f t="shared" si="61"/>
        <v>0</v>
      </c>
      <c r="AM286" s="214">
        <f t="shared" si="62"/>
        <v>0</v>
      </c>
      <c r="AN286" s="4"/>
      <c r="AO286" s="167">
        <v>1470</v>
      </c>
      <c r="AP286" s="215">
        <v>6.4187099714223391E-4</v>
      </c>
      <c r="AQ286" s="190">
        <v>6.1553591889300808E-4</v>
      </c>
      <c r="AR286" s="190">
        <v>2.4979825887701192E-4</v>
      </c>
      <c r="AS286" s="170">
        <v>2.7084907160065291E-4</v>
      </c>
      <c r="AU286" s="216">
        <v>97.22884978431091</v>
      </c>
      <c r="AV286" s="217">
        <v>97.249157679238706</v>
      </c>
      <c r="AW286" s="217">
        <v>95.029572417929273</v>
      </c>
      <c r="AX286" s="217">
        <v>95.214362186337056</v>
      </c>
      <c r="AY286" s="217"/>
      <c r="AZ286" s="218">
        <v>0</v>
      </c>
      <c r="BA286" s="8"/>
      <c r="BB286" s="219"/>
      <c r="BC286" s="220"/>
    </row>
    <row r="287" spans="15:55" x14ac:dyDescent="0.25">
      <c r="O287" s="195">
        <v>1465</v>
      </c>
      <c r="P287" s="202">
        <f t="shared" si="51"/>
        <v>0</v>
      </c>
      <c r="Q287" s="203">
        <f t="shared" si="51"/>
        <v>0</v>
      </c>
      <c r="R287" s="157">
        <f ca="1"/>
        <v>97.230624973010677</v>
      </c>
      <c r="T287" s="204">
        <v>0</v>
      </c>
      <c r="U287" s="206">
        <v>0</v>
      </c>
      <c r="V287" s="206">
        <v>0</v>
      </c>
      <c r="W287" s="206">
        <v>0</v>
      </c>
      <c r="X287" s="206">
        <f t="array" ref="X287">IF(X$78&gt;" ",(X$628:X$1078),"")</f>
        <v>0</v>
      </c>
      <c r="Y287" s="206">
        <f t="array" ref="Y287">IF(Y$78&gt;" ",(Y$628:Y$1078),"")</f>
        <v>0</v>
      </c>
      <c r="Z287" s="206">
        <f t="array" ref="Z287">IF(Z$78&gt;" ",(Z$628:Z$1078),"")</f>
        <v>0</v>
      </c>
      <c r="AA287" s="206">
        <f t="array" ref="AA287">IF(AA$78&gt;" ",(AA$628:AA$1078),"")</f>
        <v>0</v>
      </c>
      <c r="AB287" s="210">
        <v>0</v>
      </c>
      <c r="AC287" s="204">
        <f t="shared" si="52"/>
        <v>0</v>
      </c>
      <c r="AD287" s="206">
        <f t="shared" si="53"/>
        <v>0</v>
      </c>
      <c r="AE287" s="206">
        <f t="shared" si="54"/>
        <v>0</v>
      </c>
      <c r="AF287" s="206">
        <f t="shared" si="55"/>
        <v>0</v>
      </c>
      <c r="AG287" s="206">
        <f t="shared" si="56"/>
        <v>0</v>
      </c>
      <c r="AH287" s="206">
        <f t="shared" si="57"/>
        <v>0</v>
      </c>
      <c r="AI287" s="206">
        <f t="shared" si="58"/>
        <v>0</v>
      </c>
      <c r="AJ287" s="206">
        <f t="shared" si="59"/>
        <v>0</v>
      </c>
      <c r="AK287" s="206">
        <f t="shared" si="60"/>
        <v>0</v>
      </c>
      <c r="AL287" s="206">
        <f t="shared" si="61"/>
        <v>0</v>
      </c>
      <c r="AM287" s="214">
        <f t="shared" si="62"/>
        <v>0</v>
      </c>
      <c r="AN287" s="4"/>
      <c r="AO287" s="167">
        <v>1465</v>
      </c>
      <c r="AP287" s="215">
        <v>6.4114430087128249E-4</v>
      </c>
      <c r="AQ287" s="190">
        <v>5.5649753619052382E-4</v>
      </c>
      <c r="AR287" s="190">
        <v>4.6956219672112407E-4</v>
      </c>
      <c r="AS287" s="170">
        <v>5.0877450974826858E-4</v>
      </c>
      <c r="AU287" s="216">
        <v>97.224764593200533</v>
      </c>
      <c r="AV287" s="217">
        <v>97.230624973010677</v>
      </c>
      <c r="AW287" s="217">
        <v>94.997665949587102</v>
      </c>
      <c r="AX287" s="217">
        <v>95.173378505689968</v>
      </c>
      <c r="AY287" s="217"/>
      <c r="AZ287" s="218">
        <v>0</v>
      </c>
      <c r="BA287" s="8"/>
      <c r="BB287" s="219"/>
      <c r="BC287" s="220"/>
    </row>
    <row r="288" spans="15:55" x14ac:dyDescent="0.25">
      <c r="O288" s="195">
        <v>1460</v>
      </c>
      <c r="P288" s="202">
        <f t="shared" ref="P288:Q303" si="63">P836</f>
        <v>0</v>
      </c>
      <c r="Q288" s="203">
        <f t="shared" si="63"/>
        <v>0</v>
      </c>
      <c r="R288" s="157">
        <f ca="1"/>
        <v>97.200206612808302</v>
      </c>
      <c r="T288" s="204">
        <v>0</v>
      </c>
      <c r="U288" s="206">
        <v>0</v>
      </c>
      <c r="V288" s="206">
        <v>0</v>
      </c>
      <c r="W288" s="206">
        <v>0</v>
      </c>
      <c r="X288" s="206">
        <f t="array" ref="X288">IF(X$78&gt;" ",(X$628:X$1078),"")</f>
        <v>0</v>
      </c>
      <c r="Y288" s="206">
        <f t="array" ref="Y288">IF(Y$78&gt;" ",(Y$628:Y$1078),"")</f>
        <v>0</v>
      </c>
      <c r="Z288" s="206">
        <f t="array" ref="Z288">IF(Z$78&gt;" ",(Z$628:Z$1078),"")</f>
        <v>0</v>
      </c>
      <c r="AA288" s="206">
        <f t="array" ref="AA288">IF(AA$78&gt;" ",(AA$628:AA$1078),"")</f>
        <v>0</v>
      </c>
      <c r="AB288" s="210">
        <v>0</v>
      </c>
      <c r="AC288" s="204">
        <f t="shared" si="52"/>
        <v>0</v>
      </c>
      <c r="AD288" s="206">
        <f t="shared" si="53"/>
        <v>0</v>
      </c>
      <c r="AE288" s="206">
        <f t="shared" si="54"/>
        <v>0</v>
      </c>
      <c r="AF288" s="206">
        <f t="shared" si="55"/>
        <v>0</v>
      </c>
      <c r="AG288" s="206">
        <f t="shared" si="56"/>
        <v>0</v>
      </c>
      <c r="AH288" s="206">
        <f t="shared" si="57"/>
        <v>0</v>
      </c>
      <c r="AI288" s="206">
        <f t="shared" si="58"/>
        <v>0</v>
      </c>
      <c r="AJ288" s="206">
        <f t="shared" si="59"/>
        <v>0</v>
      </c>
      <c r="AK288" s="206">
        <f t="shared" si="60"/>
        <v>0</v>
      </c>
      <c r="AL288" s="206">
        <f t="shared" si="61"/>
        <v>0</v>
      </c>
      <c r="AM288" s="214">
        <f t="shared" si="62"/>
        <v>0</v>
      </c>
      <c r="AN288" s="4"/>
      <c r="AO288" s="167">
        <v>1460</v>
      </c>
      <c r="AP288" s="215">
        <v>6.0329003148444627E-4</v>
      </c>
      <c r="AQ288" s="190">
        <v>4.9745915348803967E-4</v>
      </c>
      <c r="AR288" s="190">
        <v>4.2952649203939838E-4</v>
      </c>
      <c r="AS288" s="170">
        <v>4.6540239360666762E-4</v>
      </c>
      <c r="AU288" s="216">
        <v>97.213543276986385</v>
      </c>
      <c r="AV288" s="217">
        <v>97.200206612808302</v>
      </c>
      <c r="AW288" s="217">
        <v>94.982260198650692</v>
      </c>
      <c r="AX288" s="217">
        <v>95.161259170424856</v>
      </c>
      <c r="AY288" s="217"/>
      <c r="AZ288" s="218">
        <v>0</v>
      </c>
      <c r="BA288" s="8"/>
      <c r="BB288" s="219"/>
      <c r="BC288" s="220"/>
    </row>
    <row r="289" spans="15:55" x14ac:dyDescent="0.25">
      <c r="O289" s="195">
        <v>1455</v>
      </c>
      <c r="P289" s="202">
        <f t="shared" si="63"/>
        <v>0</v>
      </c>
      <c r="Q289" s="203">
        <f t="shared" si="63"/>
        <v>0</v>
      </c>
      <c r="R289" s="157">
        <f ca="1"/>
        <v>97.195989147167097</v>
      </c>
      <c r="T289" s="204">
        <v>0</v>
      </c>
      <c r="U289" s="206">
        <v>0</v>
      </c>
      <c r="V289" s="206">
        <v>0</v>
      </c>
      <c r="W289" s="206">
        <v>0</v>
      </c>
      <c r="X289" s="206">
        <f t="array" ref="X289">IF(X$78&gt;" ",(X$628:X$1078),"")</f>
        <v>0</v>
      </c>
      <c r="Y289" s="206">
        <f t="array" ref="Y289">IF(Y$78&gt;" ",(Y$628:Y$1078),"")</f>
        <v>0</v>
      </c>
      <c r="Z289" s="206">
        <f t="array" ref="Z289">IF(Z$78&gt;" ",(Z$628:Z$1078),"")</f>
        <v>0</v>
      </c>
      <c r="AA289" s="206">
        <f t="array" ref="AA289">IF(AA$78&gt;" ",(AA$628:AA$1078),"")</f>
        <v>0</v>
      </c>
      <c r="AB289" s="210">
        <v>0</v>
      </c>
      <c r="AC289" s="204">
        <f t="shared" si="52"/>
        <v>0</v>
      </c>
      <c r="AD289" s="206">
        <f t="shared" si="53"/>
        <v>0</v>
      </c>
      <c r="AE289" s="206">
        <f t="shared" si="54"/>
        <v>0</v>
      </c>
      <c r="AF289" s="206">
        <f t="shared" si="55"/>
        <v>0</v>
      </c>
      <c r="AG289" s="206">
        <f t="shared" si="56"/>
        <v>0</v>
      </c>
      <c r="AH289" s="206">
        <f t="shared" si="57"/>
        <v>0</v>
      </c>
      <c r="AI289" s="206">
        <f t="shared" si="58"/>
        <v>0</v>
      </c>
      <c r="AJ289" s="206">
        <f t="shared" si="59"/>
        <v>0</v>
      </c>
      <c r="AK289" s="206">
        <f t="shared" si="60"/>
        <v>0</v>
      </c>
      <c r="AL289" s="206">
        <f t="shared" si="61"/>
        <v>0</v>
      </c>
      <c r="AM289" s="214">
        <f t="shared" si="62"/>
        <v>0</v>
      </c>
      <c r="AN289" s="4"/>
      <c r="AO289" s="167">
        <v>1455</v>
      </c>
      <c r="AP289" s="215">
        <v>5.2830818898172546E-4</v>
      </c>
      <c r="AQ289" s="190">
        <v>4.3842077078555536E-4</v>
      </c>
      <c r="AR289" s="190">
        <v>3.3262520280032083E-4</v>
      </c>
      <c r="AS289" s="170">
        <v>3.6045866175024176E-4</v>
      </c>
      <c r="AU289" s="216">
        <v>97.1908909610205</v>
      </c>
      <c r="AV289" s="217">
        <v>97.195989147167097</v>
      </c>
      <c r="AW289" s="217">
        <v>94.943318950673131</v>
      </c>
      <c r="AX289" s="217">
        <v>95.122464104715803</v>
      </c>
      <c r="AY289" s="217"/>
      <c r="AZ289" s="218">
        <v>0</v>
      </c>
      <c r="BA289" s="8"/>
      <c r="BB289" s="219"/>
      <c r="BC289" s="220"/>
    </row>
    <row r="290" spans="15:55" x14ac:dyDescent="0.25">
      <c r="O290" s="195">
        <v>1450</v>
      </c>
      <c r="P290" s="202">
        <f t="shared" si="63"/>
        <v>0</v>
      </c>
      <c r="Q290" s="203">
        <f t="shared" si="63"/>
        <v>0</v>
      </c>
      <c r="R290" s="157">
        <f ca="1"/>
        <v>97.198408126786532</v>
      </c>
      <c r="T290" s="204">
        <v>0</v>
      </c>
      <c r="U290" s="206">
        <v>0</v>
      </c>
      <c r="V290" s="206">
        <v>0</v>
      </c>
      <c r="W290" s="206">
        <v>0</v>
      </c>
      <c r="X290" s="206">
        <f t="array" ref="X290">IF(X$78&gt;" ",(X$628:X$1078),"")</f>
        <v>0</v>
      </c>
      <c r="Y290" s="206">
        <f t="array" ref="Y290">IF(Y$78&gt;" ",(Y$628:Y$1078),"")</f>
        <v>0</v>
      </c>
      <c r="Z290" s="206">
        <f t="array" ref="Z290">IF(Z$78&gt;" ",(Z$628:Z$1078),"")</f>
        <v>0</v>
      </c>
      <c r="AA290" s="206">
        <f t="array" ref="AA290">IF(AA$78&gt;" ",(AA$628:AA$1078),"")</f>
        <v>0</v>
      </c>
      <c r="AB290" s="210">
        <v>0</v>
      </c>
      <c r="AC290" s="204">
        <f t="shared" si="52"/>
        <v>0</v>
      </c>
      <c r="AD290" s="206">
        <f t="shared" si="53"/>
        <v>0</v>
      </c>
      <c r="AE290" s="206">
        <f t="shared" si="54"/>
        <v>0</v>
      </c>
      <c r="AF290" s="206">
        <f t="shared" si="55"/>
        <v>0</v>
      </c>
      <c r="AG290" s="206">
        <f t="shared" si="56"/>
        <v>0</v>
      </c>
      <c r="AH290" s="206">
        <f t="shared" si="57"/>
        <v>0</v>
      </c>
      <c r="AI290" s="206">
        <f t="shared" si="58"/>
        <v>0</v>
      </c>
      <c r="AJ290" s="206">
        <f t="shared" si="59"/>
        <v>0</v>
      </c>
      <c r="AK290" s="206">
        <f t="shared" si="60"/>
        <v>0</v>
      </c>
      <c r="AL290" s="206">
        <f t="shared" si="61"/>
        <v>0</v>
      </c>
      <c r="AM290" s="214">
        <f t="shared" si="62"/>
        <v>0</v>
      </c>
      <c r="AN290" s="4"/>
      <c r="AO290" s="167">
        <v>1450</v>
      </c>
      <c r="AP290" s="215">
        <v>4.5339240977636388E-4</v>
      </c>
      <c r="AQ290" s="190">
        <v>3.793823880830711E-4</v>
      </c>
      <c r="AR290" s="190">
        <v>1.3783706816572025E-4</v>
      </c>
      <c r="AS290" s="170">
        <v>1.4941833920833588E-4</v>
      </c>
      <c r="AU290" s="216">
        <v>97.181593407356459</v>
      </c>
      <c r="AV290" s="217">
        <v>97.198408126786532</v>
      </c>
      <c r="AW290" s="217">
        <v>94.896312701913345</v>
      </c>
      <c r="AX290" s="217">
        <v>95.069192852200743</v>
      </c>
      <c r="AY290" s="217"/>
      <c r="AZ290" s="218">
        <v>0</v>
      </c>
      <c r="BA290" s="8"/>
      <c r="BB290" s="219"/>
      <c r="BC290" s="220"/>
    </row>
    <row r="291" spans="15:55" x14ac:dyDescent="0.25">
      <c r="O291" s="195">
        <v>1445</v>
      </c>
      <c r="P291" s="202">
        <f t="shared" si="63"/>
        <v>0</v>
      </c>
      <c r="Q291" s="203">
        <f t="shared" si="63"/>
        <v>0</v>
      </c>
      <c r="R291" s="157">
        <f ca="1"/>
        <v>97.170498860747912</v>
      </c>
      <c r="T291" s="204">
        <v>0</v>
      </c>
      <c r="U291" s="206">
        <v>0</v>
      </c>
      <c r="V291" s="206">
        <v>0</v>
      </c>
      <c r="W291" s="206">
        <v>0</v>
      </c>
      <c r="X291" s="206">
        <f t="array" ref="X291">IF(X$78&gt;" ",(X$628:X$1078),"")</f>
        <v>0</v>
      </c>
      <c r="Y291" s="206">
        <f t="array" ref="Y291">IF(Y$78&gt;" ",(Y$628:Y$1078),"")</f>
        <v>0</v>
      </c>
      <c r="Z291" s="206">
        <f t="array" ref="Z291">IF(Z$78&gt;" ",(Z$628:Z$1078),"")</f>
        <v>0</v>
      </c>
      <c r="AA291" s="206">
        <f t="array" ref="AA291">IF(AA$78&gt;" ",(AA$628:AA$1078),"")</f>
        <v>0</v>
      </c>
      <c r="AB291" s="210">
        <v>0</v>
      </c>
      <c r="AC291" s="204">
        <f t="shared" si="52"/>
        <v>0</v>
      </c>
      <c r="AD291" s="206">
        <f t="shared" si="53"/>
        <v>0</v>
      </c>
      <c r="AE291" s="206">
        <f t="shared" si="54"/>
        <v>0</v>
      </c>
      <c r="AF291" s="206">
        <f t="shared" si="55"/>
        <v>0</v>
      </c>
      <c r="AG291" s="206">
        <f t="shared" si="56"/>
        <v>0</v>
      </c>
      <c r="AH291" s="206">
        <f t="shared" si="57"/>
        <v>0</v>
      </c>
      <c r="AI291" s="206">
        <f t="shared" si="58"/>
        <v>0</v>
      </c>
      <c r="AJ291" s="206">
        <f t="shared" si="59"/>
        <v>0</v>
      </c>
      <c r="AK291" s="206">
        <f t="shared" si="60"/>
        <v>0</v>
      </c>
      <c r="AL291" s="206">
        <f t="shared" si="61"/>
        <v>0</v>
      </c>
      <c r="AM291" s="214">
        <f t="shared" si="62"/>
        <v>0</v>
      </c>
      <c r="AN291" s="4"/>
      <c r="AO291" s="167">
        <v>1445</v>
      </c>
      <c r="AP291" s="215">
        <v>3.7841056727364308E-4</v>
      </c>
      <c r="AQ291" s="190">
        <v>3.4885771334569111E-4</v>
      </c>
      <c r="AR291" s="190">
        <v>2.5016532826181042E-4</v>
      </c>
      <c r="AS291" s="170">
        <v>2.7105613847771599E-4</v>
      </c>
      <c r="AU291" s="216">
        <v>97.176404620002288</v>
      </c>
      <c r="AV291" s="217">
        <v>97.170498860747912</v>
      </c>
      <c r="AW291" s="217">
        <v>94.836471008118068</v>
      </c>
      <c r="AX291" s="217">
        <v>95.007907321237781</v>
      </c>
      <c r="AY291" s="217"/>
      <c r="AZ291" s="218">
        <v>0</v>
      </c>
      <c r="BA291" s="8"/>
      <c r="BB291" s="219"/>
      <c r="BC291" s="220"/>
    </row>
    <row r="292" spans="15:55" x14ac:dyDescent="0.25">
      <c r="O292" s="195">
        <v>1440</v>
      </c>
      <c r="P292" s="202">
        <f t="shared" si="63"/>
        <v>0</v>
      </c>
      <c r="Q292" s="203">
        <f t="shared" si="63"/>
        <v>0</v>
      </c>
      <c r="R292" s="157">
        <f ca="1"/>
        <v>97.145648048645185</v>
      </c>
      <c r="T292" s="204">
        <v>0</v>
      </c>
      <c r="U292" s="206">
        <v>0</v>
      </c>
      <c r="V292" s="206">
        <v>0</v>
      </c>
      <c r="W292" s="206">
        <v>0</v>
      </c>
      <c r="X292" s="206">
        <f t="array" ref="X292">IF(X$78&gt;" ",(X$628:X$1078),"")</f>
        <v>0</v>
      </c>
      <c r="Y292" s="206">
        <f t="array" ref="Y292">IF(Y$78&gt;" ",(Y$628:Y$1078),"")</f>
        <v>0</v>
      </c>
      <c r="Z292" s="206">
        <f t="array" ref="Z292">IF(Z$78&gt;" ",(Z$628:Z$1078),"")</f>
        <v>0</v>
      </c>
      <c r="AA292" s="206">
        <f t="array" ref="AA292">IF(AA$78&gt;" ",(AA$628:AA$1078),"")</f>
        <v>0</v>
      </c>
      <c r="AB292" s="210">
        <v>0</v>
      </c>
      <c r="AC292" s="204">
        <f t="shared" si="52"/>
        <v>0</v>
      </c>
      <c r="AD292" s="206">
        <f t="shared" si="53"/>
        <v>0</v>
      </c>
      <c r="AE292" s="206">
        <f t="shared" si="54"/>
        <v>0</v>
      </c>
      <c r="AF292" s="206">
        <f t="shared" si="55"/>
        <v>0</v>
      </c>
      <c r="AG292" s="206">
        <f t="shared" si="56"/>
        <v>0</v>
      </c>
      <c r="AH292" s="206">
        <f t="shared" si="57"/>
        <v>0</v>
      </c>
      <c r="AI292" s="206">
        <f t="shared" si="58"/>
        <v>0</v>
      </c>
      <c r="AJ292" s="206">
        <f t="shared" si="59"/>
        <v>0</v>
      </c>
      <c r="AK292" s="206">
        <f t="shared" si="60"/>
        <v>0</v>
      </c>
      <c r="AL292" s="206">
        <f t="shared" si="61"/>
        <v>0</v>
      </c>
      <c r="AM292" s="214">
        <f t="shared" si="62"/>
        <v>0</v>
      </c>
      <c r="AN292" s="4"/>
      <c r="AO292" s="167">
        <v>1440</v>
      </c>
      <c r="AP292" s="215">
        <v>3.2344590387076757E-4</v>
      </c>
      <c r="AQ292" s="190">
        <v>3.1833303860831112E-4</v>
      </c>
      <c r="AR292" s="190">
        <v>1.9912759873160247E-4</v>
      </c>
      <c r="AS292" s="170">
        <v>2.1572451108519878E-4</v>
      </c>
      <c r="AU292" s="216">
        <v>97.168244833333802</v>
      </c>
      <c r="AV292" s="217">
        <v>97.145648048645185</v>
      </c>
      <c r="AW292" s="217">
        <v>94.79968618938112</v>
      </c>
      <c r="AX292" s="217">
        <v>94.981277608284316</v>
      </c>
      <c r="AY292" s="217"/>
      <c r="AZ292" s="218">
        <v>0</v>
      </c>
      <c r="BA292" s="8"/>
      <c r="BB292" s="219"/>
      <c r="BC292" s="220"/>
    </row>
    <row r="293" spans="15:55" x14ac:dyDescent="0.25">
      <c r="O293" s="195">
        <v>1435</v>
      </c>
      <c r="P293" s="202">
        <f t="shared" si="63"/>
        <v>0</v>
      </c>
      <c r="Q293" s="203">
        <f t="shared" si="63"/>
        <v>0</v>
      </c>
      <c r="R293" s="157">
        <f ca="1"/>
        <v>97.117302978907261</v>
      </c>
      <c r="T293" s="204">
        <v>0</v>
      </c>
      <c r="U293" s="206">
        <v>0</v>
      </c>
      <c r="V293" s="206">
        <v>0</v>
      </c>
      <c r="W293" s="206">
        <v>0</v>
      </c>
      <c r="X293" s="206">
        <f t="array" ref="X293">IF(X$78&gt;" ",(X$628:X$1078),"")</f>
        <v>0</v>
      </c>
      <c r="Y293" s="206">
        <f t="array" ref="Y293">IF(Y$78&gt;" ",(Y$628:Y$1078),"")</f>
        <v>0</v>
      </c>
      <c r="Z293" s="206">
        <f t="array" ref="Z293">IF(Z$78&gt;" ",(Z$628:Z$1078),"")</f>
        <v>0</v>
      </c>
      <c r="AA293" s="206">
        <f t="array" ref="AA293">IF(AA$78&gt;" ",(AA$628:AA$1078),"")</f>
        <v>0</v>
      </c>
      <c r="AB293" s="210">
        <v>0</v>
      </c>
      <c r="AC293" s="204">
        <f t="shared" si="52"/>
        <v>0</v>
      </c>
      <c r="AD293" s="206">
        <f t="shared" si="53"/>
        <v>0</v>
      </c>
      <c r="AE293" s="206">
        <f t="shared" si="54"/>
        <v>0</v>
      </c>
      <c r="AF293" s="206">
        <f t="shared" si="55"/>
        <v>0</v>
      </c>
      <c r="AG293" s="206">
        <f t="shared" si="56"/>
        <v>0</v>
      </c>
      <c r="AH293" s="206">
        <f t="shared" si="57"/>
        <v>0</v>
      </c>
      <c r="AI293" s="206">
        <f t="shared" si="58"/>
        <v>0</v>
      </c>
      <c r="AJ293" s="206">
        <f t="shared" si="59"/>
        <v>0</v>
      </c>
      <c r="AK293" s="206">
        <f t="shared" si="60"/>
        <v>0</v>
      </c>
      <c r="AL293" s="206">
        <f t="shared" si="61"/>
        <v>0</v>
      </c>
      <c r="AM293" s="214">
        <f t="shared" si="62"/>
        <v>0</v>
      </c>
      <c r="AN293" s="4"/>
      <c r="AO293" s="167">
        <v>1435</v>
      </c>
      <c r="AP293" s="215">
        <v>2.8849841956773731E-4</v>
      </c>
      <c r="AQ293" s="190">
        <v>2.8780836387093102E-4</v>
      </c>
      <c r="AR293" s="190">
        <v>1.0768709513487031E-4</v>
      </c>
      <c r="AS293" s="170">
        <v>1.1666819421986509E-4</v>
      </c>
      <c r="AU293" s="216">
        <v>97.150021680378543</v>
      </c>
      <c r="AV293" s="217">
        <v>97.117302978907261</v>
      </c>
      <c r="AW293" s="217">
        <v>94.732621622350891</v>
      </c>
      <c r="AX293" s="217">
        <v>94.919006214904371</v>
      </c>
      <c r="AY293" s="217"/>
      <c r="AZ293" s="218">
        <v>0</v>
      </c>
      <c r="BA293" s="8"/>
      <c r="BB293" s="219"/>
      <c r="BC293" s="220"/>
    </row>
    <row r="294" spans="15:55" x14ac:dyDescent="0.25">
      <c r="O294" s="195">
        <v>1430</v>
      </c>
      <c r="P294" s="202">
        <f t="shared" si="63"/>
        <v>0</v>
      </c>
      <c r="Q294" s="203">
        <f t="shared" si="63"/>
        <v>0</v>
      </c>
      <c r="R294" s="157">
        <f ca="1"/>
        <v>97.098353210512869</v>
      </c>
      <c r="T294" s="204">
        <v>0</v>
      </c>
      <c r="U294" s="206">
        <v>0</v>
      </c>
      <c r="V294" s="206">
        <v>0</v>
      </c>
      <c r="W294" s="206">
        <v>0</v>
      </c>
      <c r="X294" s="206">
        <f t="array" ref="X294">IF(X$78&gt;" ",(X$628:X$1078),"")</f>
        <v>0</v>
      </c>
      <c r="Y294" s="206">
        <f t="array" ref="Y294">IF(Y$78&gt;" ",(Y$628:Y$1078),"")</f>
        <v>0</v>
      </c>
      <c r="Z294" s="206">
        <f t="array" ref="Z294">IF(Z$78&gt;" ",(Z$628:Z$1078),"")</f>
        <v>0</v>
      </c>
      <c r="AA294" s="206">
        <f t="array" ref="AA294">IF(AA$78&gt;" ",(AA$628:AA$1078),"")</f>
        <v>0</v>
      </c>
      <c r="AB294" s="210">
        <v>0</v>
      </c>
      <c r="AC294" s="204">
        <f t="shared" si="52"/>
        <v>0</v>
      </c>
      <c r="AD294" s="206">
        <f t="shared" si="53"/>
        <v>0</v>
      </c>
      <c r="AE294" s="206">
        <f t="shared" si="54"/>
        <v>0</v>
      </c>
      <c r="AF294" s="206">
        <f t="shared" si="55"/>
        <v>0</v>
      </c>
      <c r="AG294" s="206">
        <f t="shared" si="56"/>
        <v>0</v>
      </c>
      <c r="AH294" s="206">
        <f t="shared" si="57"/>
        <v>0</v>
      </c>
      <c r="AI294" s="206">
        <f t="shared" si="58"/>
        <v>0</v>
      </c>
      <c r="AJ294" s="206">
        <f t="shared" si="59"/>
        <v>0</v>
      </c>
      <c r="AK294" s="206">
        <f t="shared" si="60"/>
        <v>0</v>
      </c>
      <c r="AL294" s="206">
        <f t="shared" si="61"/>
        <v>0</v>
      </c>
      <c r="AM294" s="214">
        <f t="shared" si="62"/>
        <v>0</v>
      </c>
      <c r="AN294" s="4"/>
      <c r="AO294" s="167">
        <v>1430</v>
      </c>
      <c r="AP294" s="215">
        <v>2.5361699856206628E-4</v>
      </c>
      <c r="AQ294" s="190">
        <v>2.5728368913355108E-4</v>
      </c>
      <c r="AR294" s="190">
        <v>3.0975124894486113E-4</v>
      </c>
      <c r="AS294" s="170">
        <v>3.3529164158394768E-4</v>
      </c>
      <c r="AU294" s="216">
        <v>97.114694617750004</v>
      </c>
      <c r="AV294" s="217">
        <v>97.098353210512869</v>
      </c>
      <c r="AW294" s="217">
        <v>94.667270683135783</v>
      </c>
      <c r="AX294" s="217">
        <v>94.844705380593837</v>
      </c>
      <c r="AY294" s="217"/>
      <c r="AZ294" s="218">
        <v>0</v>
      </c>
      <c r="BA294" s="8"/>
      <c r="BB294" s="219"/>
      <c r="BC294" s="220"/>
    </row>
    <row r="295" spans="15:55" x14ac:dyDescent="0.25">
      <c r="O295" s="195">
        <v>1425</v>
      </c>
      <c r="P295" s="202">
        <f t="shared" si="63"/>
        <v>0</v>
      </c>
      <c r="Q295" s="203">
        <f t="shared" si="63"/>
        <v>0</v>
      </c>
      <c r="R295" s="157">
        <f ca="1"/>
        <v>97.086598518078787</v>
      </c>
      <c r="T295" s="204">
        <v>0</v>
      </c>
      <c r="U295" s="206">
        <v>0</v>
      </c>
      <c r="V295" s="206">
        <v>0</v>
      </c>
      <c r="W295" s="206">
        <v>0</v>
      </c>
      <c r="X295" s="206">
        <f t="array" ref="X295">IF(X$78&gt;" ",(X$628:X$1078),"")</f>
        <v>0</v>
      </c>
      <c r="Y295" s="206">
        <f t="array" ref="Y295">IF(Y$78&gt;" ",(Y$628:Y$1078),"")</f>
        <v>0</v>
      </c>
      <c r="Z295" s="206">
        <f t="array" ref="Z295">IF(Z$78&gt;" ",(Z$628:Z$1078),"")</f>
        <v>0</v>
      </c>
      <c r="AA295" s="206">
        <f t="array" ref="AA295">IF(AA$78&gt;" ",(AA$628:AA$1078),"")</f>
        <v>0</v>
      </c>
      <c r="AB295" s="210">
        <v>0</v>
      </c>
      <c r="AC295" s="204">
        <f t="shared" si="52"/>
        <v>0</v>
      </c>
      <c r="AD295" s="206">
        <f t="shared" si="53"/>
        <v>0</v>
      </c>
      <c r="AE295" s="206">
        <f t="shared" si="54"/>
        <v>0</v>
      </c>
      <c r="AF295" s="206">
        <f t="shared" si="55"/>
        <v>0</v>
      </c>
      <c r="AG295" s="206">
        <f t="shared" si="56"/>
        <v>0</v>
      </c>
      <c r="AH295" s="206">
        <f t="shared" si="57"/>
        <v>0</v>
      </c>
      <c r="AI295" s="206">
        <f t="shared" si="58"/>
        <v>0</v>
      </c>
      <c r="AJ295" s="206">
        <f t="shared" si="59"/>
        <v>0</v>
      </c>
      <c r="AK295" s="206">
        <f t="shared" si="60"/>
        <v>0</v>
      </c>
      <c r="AL295" s="206">
        <f t="shared" si="61"/>
        <v>0</v>
      </c>
      <c r="AM295" s="214">
        <f t="shared" si="62"/>
        <v>0</v>
      </c>
      <c r="AN295" s="4"/>
      <c r="AO295" s="167">
        <v>1425</v>
      </c>
      <c r="AP295" s="215">
        <v>2.187355775563953E-4</v>
      </c>
      <c r="AQ295" s="190">
        <v>2.2675901439617107E-4</v>
      </c>
      <c r="AR295" s="190">
        <v>1.2998278900057888E-4</v>
      </c>
      <c r="AS295" s="170">
        <v>1.4070474116543617E-4</v>
      </c>
      <c r="AU295" s="216">
        <v>97.092338403598092</v>
      </c>
      <c r="AV295" s="217">
        <v>97.086598518078787</v>
      </c>
      <c r="AW295" s="217">
        <v>94.610267134700749</v>
      </c>
      <c r="AX295" s="217">
        <v>94.79604608617764</v>
      </c>
      <c r="AY295" s="217"/>
      <c r="AZ295" s="218">
        <v>0</v>
      </c>
      <c r="BA295" s="8"/>
      <c r="BB295" s="219"/>
      <c r="BC295" s="220"/>
    </row>
    <row r="296" spans="15:55" x14ac:dyDescent="0.25">
      <c r="O296" s="195">
        <v>1420</v>
      </c>
      <c r="P296" s="202">
        <f t="shared" si="63"/>
        <v>0</v>
      </c>
      <c r="Q296" s="203">
        <f t="shared" si="63"/>
        <v>0</v>
      </c>
      <c r="R296" s="157">
        <f ca="1"/>
        <v>97.080655175954575</v>
      </c>
      <c r="T296" s="204">
        <v>0</v>
      </c>
      <c r="U296" s="206">
        <v>0</v>
      </c>
      <c r="V296" s="206">
        <v>0</v>
      </c>
      <c r="W296" s="206">
        <v>0</v>
      </c>
      <c r="X296" s="206">
        <f t="array" ref="X296">IF(X$78&gt;" ",(X$628:X$1078),"")</f>
        <v>0</v>
      </c>
      <c r="Y296" s="206">
        <f t="array" ref="Y296">IF(Y$78&gt;" ",(Y$628:Y$1078),"")</f>
        <v>0</v>
      </c>
      <c r="Z296" s="206">
        <f t="array" ref="Z296">IF(Z$78&gt;" ",(Z$628:Z$1078),"")</f>
        <v>0</v>
      </c>
      <c r="AA296" s="206">
        <f t="array" ref="AA296">IF(AA$78&gt;" ",(AA$628:AA$1078),"")</f>
        <v>0</v>
      </c>
      <c r="AB296" s="210">
        <v>0</v>
      </c>
      <c r="AC296" s="204">
        <f t="shared" si="52"/>
        <v>0</v>
      </c>
      <c r="AD296" s="206">
        <f t="shared" si="53"/>
        <v>0</v>
      </c>
      <c r="AE296" s="206">
        <f t="shared" si="54"/>
        <v>0</v>
      </c>
      <c r="AF296" s="206">
        <f t="shared" si="55"/>
        <v>0</v>
      </c>
      <c r="AG296" s="206">
        <f t="shared" si="56"/>
        <v>0</v>
      </c>
      <c r="AH296" s="206">
        <f t="shared" si="57"/>
        <v>0</v>
      </c>
      <c r="AI296" s="206">
        <f t="shared" si="58"/>
        <v>0</v>
      </c>
      <c r="AJ296" s="206">
        <f t="shared" si="59"/>
        <v>0</v>
      </c>
      <c r="AK296" s="206">
        <f t="shared" si="60"/>
        <v>0</v>
      </c>
      <c r="AL296" s="206">
        <f t="shared" si="61"/>
        <v>0</v>
      </c>
      <c r="AM296" s="214">
        <f t="shared" si="62"/>
        <v>0</v>
      </c>
      <c r="AN296" s="4"/>
      <c r="AO296" s="167">
        <v>1420</v>
      </c>
      <c r="AP296" s="215">
        <v>1.8378809325336507E-4</v>
      </c>
      <c r="AQ296" s="190">
        <v>1.9623433965879108E-4</v>
      </c>
      <c r="AR296" s="190">
        <v>4.1593486810637848E-5</v>
      </c>
      <c r="AS296" s="170">
        <v>4.5015779433315526E-5</v>
      </c>
      <c r="AU296" s="216">
        <v>97.082098704434586</v>
      </c>
      <c r="AV296" s="217">
        <v>97.080655175954575</v>
      </c>
      <c r="AW296" s="217">
        <v>94.549625375817186</v>
      </c>
      <c r="AX296" s="217">
        <v>94.725862040895848</v>
      </c>
      <c r="AY296" s="217"/>
      <c r="AZ296" s="218">
        <v>0</v>
      </c>
      <c r="BA296" s="8"/>
      <c r="BB296" s="219"/>
      <c r="BC296" s="220"/>
    </row>
    <row r="297" spans="15:55" x14ac:dyDescent="0.25">
      <c r="O297" s="195">
        <v>1415</v>
      </c>
      <c r="P297" s="202">
        <f t="shared" si="63"/>
        <v>0</v>
      </c>
      <c r="Q297" s="203">
        <f t="shared" si="63"/>
        <v>0</v>
      </c>
      <c r="R297" s="157">
        <f ca="1"/>
        <v>97.064033922341665</v>
      </c>
      <c r="T297" s="204">
        <v>0</v>
      </c>
      <c r="U297" s="206">
        <v>0</v>
      </c>
      <c r="V297" s="206">
        <v>0</v>
      </c>
      <c r="W297" s="206">
        <v>0</v>
      </c>
      <c r="X297" s="206">
        <f t="array" ref="X297">IF(X$78&gt;" ",(X$628:X$1078),"")</f>
        <v>0</v>
      </c>
      <c r="Y297" s="206">
        <f t="array" ref="Y297">IF(Y$78&gt;" ",(Y$628:Y$1078),"")</f>
        <v>0</v>
      </c>
      <c r="Z297" s="206">
        <f t="array" ref="Z297">IF(Z$78&gt;" ",(Z$628:Z$1078),"")</f>
        <v>0</v>
      </c>
      <c r="AA297" s="206">
        <f t="array" ref="AA297">IF(AA$78&gt;" ",(AA$628:AA$1078),"")</f>
        <v>0</v>
      </c>
      <c r="AB297" s="210">
        <v>0</v>
      </c>
      <c r="AC297" s="204">
        <f t="shared" si="52"/>
        <v>0</v>
      </c>
      <c r="AD297" s="206">
        <f t="shared" si="53"/>
        <v>0</v>
      </c>
      <c r="AE297" s="206">
        <f t="shared" si="54"/>
        <v>0</v>
      </c>
      <c r="AF297" s="206">
        <f t="shared" si="55"/>
        <v>0</v>
      </c>
      <c r="AG297" s="206">
        <f t="shared" si="56"/>
        <v>0</v>
      </c>
      <c r="AH297" s="206">
        <f t="shared" si="57"/>
        <v>0</v>
      </c>
      <c r="AI297" s="206">
        <f t="shared" si="58"/>
        <v>0</v>
      </c>
      <c r="AJ297" s="206">
        <f t="shared" si="59"/>
        <v>0</v>
      </c>
      <c r="AK297" s="206">
        <f t="shared" si="60"/>
        <v>0</v>
      </c>
      <c r="AL297" s="206">
        <f t="shared" si="61"/>
        <v>0</v>
      </c>
      <c r="AM297" s="214">
        <f t="shared" si="62"/>
        <v>0</v>
      </c>
      <c r="AN297" s="4"/>
      <c r="AO297" s="167">
        <v>1415</v>
      </c>
      <c r="AP297" s="215">
        <v>1.4890667224769404E-4</v>
      </c>
      <c r="AQ297" s="190">
        <v>1.6570966492141103E-4</v>
      </c>
      <c r="AR297" s="190">
        <v>9.2350634537123079E-7</v>
      </c>
      <c r="AS297" s="170">
        <v>9.9918162786082948E-7</v>
      </c>
      <c r="AU297" s="216">
        <v>97.077572857314806</v>
      </c>
      <c r="AV297" s="217">
        <v>97.064033922341665</v>
      </c>
      <c r="AW297" s="217">
        <v>94.529632517156529</v>
      </c>
      <c r="AX297" s="217">
        <v>94.705965771045229</v>
      </c>
      <c r="AY297" s="217"/>
      <c r="AZ297" s="218">
        <v>0</v>
      </c>
      <c r="BA297" s="8"/>
      <c r="BB297" s="219"/>
      <c r="BC297" s="220"/>
    </row>
    <row r="298" spans="15:55" x14ac:dyDescent="0.25">
      <c r="O298" s="195">
        <v>1410</v>
      </c>
      <c r="P298" s="202">
        <f t="shared" si="63"/>
        <v>0</v>
      </c>
      <c r="Q298" s="203">
        <f t="shared" si="63"/>
        <v>0</v>
      </c>
      <c r="R298" s="157">
        <f ca="1"/>
        <v>97.070806617351465</v>
      </c>
      <c r="T298" s="204">
        <v>0</v>
      </c>
      <c r="U298" s="206">
        <v>0</v>
      </c>
      <c r="V298" s="206">
        <v>0</v>
      </c>
      <c r="W298" s="206">
        <v>0</v>
      </c>
      <c r="X298" s="206">
        <f t="array" ref="X298">IF(X$78&gt;" ",(X$628:X$1078),"")</f>
        <v>0</v>
      </c>
      <c r="Y298" s="206">
        <f t="array" ref="Y298">IF(Y$78&gt;" ",(Y$628:Y$1078),"")</f>
        <v>0</v>
      </c>
      <c r="Z298" s="206">
        <f t="array" ref="Z298">IF(Z$78&gt;" ",(Z$628:Z$1078),"")</f>
        <v>0</v>
      </c>
      <c r="AA298" s="206">
        <f t="array" ref="AA298">IF(AA$78&gt;" ",(AA$628:AA$1078),"")</f>
        <v>0</v>
      </c>
      <c r="AB298" s="210">
        <v>0</v>
      </c>
      <c r="AC298" s="204">
        <f t="shared" si="52"/>
        <v>0</v>
      </c>
      <c r="AD298" s="206">
        <f t="shared" si="53"/>
        <v>0</v>
      </c>
      <c r="AE298" s="206">
        <f t="shared" si="54"/>
        <v>0</v>
      </c>
      <c r="AF298" s="206">
        <f t="shared" si="55"/>
        <v>0</v>
      </c>
      <c r="AG298" s="206">
        <f t="shared" si="56"/>
        <v>0</v>
      </c>
      <c r="AH298" s="206">
        <f t="shared" si="57"/>
        <v>0</v>
      </c>
      <c r="AI298" s="206">
        <f t="shared" si="58"/>
        <v>0</v>
      </c>
      <c r="AJ298" s="206">
        <f t="shared" si="59"/>
        <v>0</v>
      </c>
      <c r="AK298" s="206">
        <f t="shared" si="60"/>
        <v>0</v>
      </c>
      <c r="AL298" s="206">
        <f t="shared" si="61"/>
        <v>0</v>
      </c>
      <c r="AM298" s="214">
        <f t="shared" si="62"/>
        <v>0</v>
      </c>
      <c r="AN298" s="4"/>
      <c r="AO298" s="167">
        <v>1410</v>
      </c>
      <c r="AP298" s="215">
        <v>1.1395918794466382E-4</v>
      </c>
      <c r="AQ298" s="190">
        <v>1.3518499018403104E-4</v>
      </c>
      <c r="AR298" s="190">
        <v>2.3458750697268885E-6</v>
      </c>
      <c r="AS298" s="170">
        <v>2.5369609921691008E-6</v>
      </c>
      <c r="AU298" s="216">
        <v>97.029252435179231</v>
      </c>
      <c r="AV298" s="217">
        <v>97.070806617351465</v>
      </c>
      <c r="AW298" s="217">
        <v>94.504672232809909</v>
      </c>
      <c r="AX298" s="217">
        <v>94.677659389687108</v>
      </c>
      <c r="AY298" s="217"/>
      <c r="AZ298" s="218">
        <v>0</v>
      </c>
      <c r="BA298" s="8"/>
      <c r="BB298" s="219"/>
      <c r="BC298" s="220"/>
    </row>
    <row r="299" spans="15:55" x14ac:dyDescent="0.25">
      <c r="O299" s="195">
        <v>1405</v>
      </c>
      <c r="P299" s="202">
        <f t="shared" si="63"/>
        <v>0</v>
      </c>
      <c r="Q299" s="203">
        <f t="shared" si="63"/>
        <v>0</v>
      </c>
      <c r="R299" s="157">
        <f ca="1"/>
        <v>97.062953208202302</v>
      </c>
      <c r="T299" s="204">
        <v>0</v>
      </c>
      <c r="U299" s="206">
        <v>0</v>
      </c>
      <c r="V299" s="206">
        <v>0</v>
      </c>
      <c r="W299" s="206">
        <v>0</v>
      </c>
      <c r="X299" s="206">
        <f t="array" ref="X299">IF(X$78&gt;" ",(X$628:X$1078),"")</f>
        <v>0</v>
      </c>
      <c r="Y299" s="206">
        <f t="array" ref="Y299">IF(Y$78&gt;" ",(Y$628:Y$1078),"")</f>
        <v>0</v>
      </c>
      <c r="Z299" s="206">
        <f t="array" ref="Z299">IF(Z$78&gt;" ",(Z$628:Z$1078),"")</f>
        <v>0</v>
      </c>
      <c r="AA299" s="206">
        <f t="array" ref="AA299">IF(AA$78&gt;" ",(AA$628:AA$1078),"")</f>
        <v>0</v>
      </c>
      <c r="AB299" s="210">
        <v>0</v>
      </c>
      <c r="AC299" s="204">
        <f t="shared" si="52"/>
        <v>0</v>
      </c>
      <c r="AD299" s="206">
        <f t="shared" si="53"/>
        <v>0</v>
      </c>
      <c r="AE299" s="206">
        <f t="shared" si="54"/>
        <v>0</v>
      </c>
      <c r="AF299" s="206">
        <f t="shared" si="55"/>
        <v>0</v>
      </c>
      <c r="AG299" s="206">
        <f t="shared" si="56"/>
        <v>0</v>
      </c>
      <c r="AH299" s="206">
        <f t="shared" si="57"/>
        <v>0</v>
      </c>
      <c r="AI299" s="206">
        <f t="shared" si="58"/>
        <v>0</v>
      </c>
      <c r="AJ299" s="206">
        <f t="shared" si="59"/>
        <v>0</v>
      </c>
      <c r="AK299" s="206">
        <f t="shared" si="60"/>
        <v>0</v>
      </c>
      <c r="AL299" s="206">
        <f t="shared" si="61"/>
        <v>0</v>
      </c>
      <c r="AM299" s="214">
        <f t="shared" si="62"/>
        <v>0</v>
      </c>
      <c r="AN299" s="4"/>
      <c r="AO299" s="167">
        <v>1405</v>
      </c>
      <c r="AP299" s="215">
        <v>7.9077766938992811E-5</v>
      </c>
      <c r="AQ299" s="190">
        <v>1.0466031544665104E-4</v>
      </c>
      <c r="AR299" s="190">
        <v>1.8325310492599986E-9</v>
      </c>
      <c r="AS299" s="170">
        <v>1.9808465172025352E-9</v>
      </c>
      <c r="AU299" s="216">
        <v>97.064391561777214</v>
      </c>
      <c r="AV299" s="217">
        <v>97.062953208202302</v>
      </c>
      <c r="AW299" s="217">
        <v>94.524637314764945</v>
      </c>
      <c r="AX299" s="217">
        <v>94.70016574078339</v>
      </c>
      <c r="AY299" s="217"/>
      <c r="AZ299" s="218">
        <v>0</v>
      </c>
      <c r="BA299" s="8"/>
      <c r="BB299" s="219"/>
      <c r="BC299" s="220"/>
    </row>
    <row r="300" spans="15:55" x14ac:dyDescent="0.25">
      <c r="O300" s="195">
        <v>1400</v>
      </c>
      <c r="P300" s="202">
        <f t="shared" si="63"/>
        <v>0</v>
      </c>
      <c r="Q300" s="203">
        <f t="shared" si="63"/>
        <v>0</v>
      </c>
      <c r="R300" s="157">
        <f ca="1"/>
        <v>97.060056755352491</v>
      </c>
      <c r="T300" s="204">
        <v>0</v>
      </c>
      <c r="U300" s="206">
        <v>0</v>
      </c>
      <c r="V300" s="206">
        <v>0</v>
      </c>
      <c r="W300" s="206">
        <v>0</v>
      </c>
      <c r="X300" s="206">
        <f t="array" ref="X300">IF(X$78&gt;" ",(X$628:X$1078),"")</f>
        <v>0</v>
      </c>
      <c r="Y300" s="206">
        <f t="array" ref="Y300">IF(Y$78&gt;" ",(Y$628:Y$1078),"")</f>
        <v>0</v>
      </c>
      <c r="Z300" s="206">
        <f t="array" ref="Z300">IF(Z$78&gt;" ",(Z$628:Z$1078),"")</f>
        <v>0</v>
      </c>
      <c r="AA300" s="206">
        <f t="array" ref="AA300">IF(AA$78&gt;" ",(AA$628:AA$1078),"")</f>
        <v>0</v>
      </c>
      <c r="AB300" s="210">
        <v>0</v>
      </c>
      <c r="AC300" s="204">
        <f t="shared" si="52"/>
        <v>0</v>
      </c>
      <c r="AD300" s="206">
        <f t="shared" si="53"/>
        <v>0</v>
      </c>
      <c r="AE300" s="206">
        <f t="shared" si="54"/>
        <v>0</v>
      </c>
      <c r="AF300" s="206">
        <f t="shared" si="55"/>
        <v>0</v>
      </c>
      <c r="AG300" s="206">
        <f t="shared" si="56"/>
        <v>0</v>
      </c>
      <c r="AH300" s="206">
        <f t="shared" si="57"/>
        <v>0</v>
      </c>
      <c r="AI300" s="206">
        <f t="shared" si="58"/>
        <v>0</v>
      </c>
      <c r="AJ300" s="206">
        <f t="shared" si="59"/>
        <v>0</v>
      </c>
      <c r="AK300" s="206">
        <f t="shared" si="60"/>
        <v>0</v>
      </c>
      <c r="AL300" s="206">
        <f t="shared" si="61"/>
        <v>0</v>
      </c>
      <c r="AM300" s="214">
        <f t="shared" si="62"/>
        <v>0</v>
      </c>
      <c r="AN300" s="4"/>
      <c r="AO300" s="167">
        <v>1400</v>
      </c>
      <c r="AP300" s="215">
        <v>4.4130282635962566E-5</v>
      </c>
      <c r="AQ300" s="190">
        <v>7.4135640709271019E-5</v>
      </c>
      <c r="AR300" s="190">
        <v>1.6325033762834794E-11</v>
      </c>
      <c r="AS300" s="170">
        <v>1.7635941883487352E-11</v>
      </c>
      <c r="AU300" s="216">
        <v>97.047353534721523</v>
      </c>
      <c r="AV300" s="217">
        <v>97.060056755352491</v>
      </c>
      <c r="AW300" s="217">
        <v>94.521945895007264</v>
      </c>
      <c r="AX300" s="217">
        <v>94.699845800170465</v>
      </c>
      <c r="AY300" s="217"/>
      <c r="AZ300" s="218">
        <v>0</v>
      </c>
      <c r="BA300" s="8"/>
      <c r="BB300" s="219"/>
      <c r="BC300" s="220"/>
    </row>
    <row r="301" spans="15:55" x14ac:dyDescent="0.25">
      <c r="O301" s="195">
        <v>1395</v>
      </c>
      <c r="P301" s="202">
        <f t="shared" si="63"/>
        <v>0</v>
      </c>
      <c r="Q301" s="203">
        <f t="shared" si="63"/>
        <v>0</v>
      </c>
      <c r="R301" s="157">
        <f ca="1"/>
        <v>97.083217269561956</v>
      </c>
      <c r="T301" s="204">
        <v>0</v>
      </c>
      <c r="U301" s="206">
        <v>0</v>
      </c>
      <c r="V301" s="206">
        <v>0</v>
      </c>
      <c r="W301" s="206">
        <v>0</v>
      </c>
      <c r="X301" s="206">
        <f t="array" ref="X301">IF(X$78&gt;" ",(X$628:X$1078),"")</f>
        <v>0</v>
      </c>
      <c r="Y301" s="206">
        <f t="array" ref="Y301">IF(Y$78&gt;" ",(Y$628:Y$1078),"")</f>
        <v>0</v>
      </c>
      <c r="Z301" s="206">
        <f t="array" ref="Z301">IF(Z$78&gt;" ",(Z$628:Z$1078),"")</f>
        <v>0</v>
      </c>
      <c r="AA301" s="206">
        <f t="array" ref="AA301">IF(AA$78&gt;" ",(AA$628:AA$1078),"")</f>
        <v>0</v>
      </c>
      <c r="AB301" s="210">
        <v>0</v>
      </c>
      <c r="AC301" s="204">
        <f t="shared" si="52"/>
        <v>0</v>
      </c>
      <c r="AD301" s="206">
        <f t="shared" si="53"/>
        <v>0</v>
      </c>
      <c r="AE301" s="206">
        <f t="shared" si="54"/>
        <v>0</v>
      </c>
      <c r="AF301" s="206">
        <f t="shared" si="55"/>
        <v>0</v>
      </c>
      <c r="AG301" s="206">
        <f t="shared" si="56"/>
        <v>0</v>
      </c>
      <c r="AH301" s="206">
        <f t="shared" si="57"/>
        <v>0</v>
      </c>
      <c r="AI301" s="206">
        <f t="shared" si="58"/>
        <v>0</v>
      </c>
      <c r="AJ301" s="206">
        <f t="shared" si="59"/>
        <v>0</v>
      </c>
      <c r="AK301" s="206">
        <f t="shared" si="60"/>
        <v>0</v>
      </c>
      <c r="AL301" s="206">
        <f t="shared" si="61"/>
        <v>0</v>
      </c>
      <c r="AM301" s="214">
        <f t="shared" si="62"/>
        <v>0</v>
      </c>
      <c r="AN301" s="4"/>
      <c r="AO301" s="167">
        <v>1395</v>
      </c>
      <c r="AP301" s="215">
        <v>9.2488616302915551E-6</v>
      </c>
      <c r="AQ301" s="190">
        <v>1.0417007976584749E-4</v>
      </c>
      <c r="AR301" s="190">
        <v>3.3758315366896957E-9</v>
      </c>
      <c r="AS301" s="170">
        <v>3.6453284246651091E-9</v>
      </c>
      <c r="AU301" s="216">
        <v>97.084499744467962</v>
      </c>
      <c r="AV301" s="217">
        <v>97.083217269561956</v>
      </c>
      <c r="AW301" s="217">
        <v>94.563741855583274</v>
      </c>
      <c r="AX301" s="217">
        <v>94.752996584244855</v>
      </c>
      <c r="AY301" s="217"/>
      <c r="AZ301" s="218">
        <v>0</v>
      </c>
      <c r="BA301" s="8"/>
      <c r="BB301" s="219"/>
      <c r="BC301" s="220"/>
    </row>
    <row r="302" spans="15:55" x14ac:dyDescent="0.25">
      <c r="O302" s="195">
        <v>1390</v>
      </c>
      <c r="P302" s="202">
        <f t="shared" si="63"/>
        <v>0</v>
      </c>
      <c r="Q302" s="203">
        <f t="shared" si="63"/>
        <v>0</v>
      </c>
      <c r="R302" s="157">
        <f ca="1"/>
        <v>97.103330798107763</v>
      </c>
      <c r="T302" s="204">
        <v>0</v>
      </c>
      <c r="U302" s="206">
        <v>0</v>
      </c>
      <c r="V302" s="206">
        <v>0</v>
      </c>
      <c r="W302" s="206">
        <v>0</v>
      </c>
      <c r="X302" s="206">
        <f t="array" ref="X302">IF(X$78&gt;" ",(X$628:X$1078),"")</f>
        <v>0</v>
      </c>
      <c r="Y302" s="206">
        <f t="array" ref="Y302">IF(Y$78&gt;" ",(Y$628:Y$1078),"")</f>
        <v>0</v>
      </c>
      <c r="Z302" s="206">
        <f t="array" ref="Z302">IF(Z$78&gt;" ",(Z$628:Z$1078),"")</f>
        <v>0</v>
      </c>
      <c r="AA302" s="206">
        <f t="array" ref="AA302">IF(AA$78&gt;" ",(AA$628:AA$1078),"")</f>
        <v>0</v>
      </c>
      <c r="AB302" s="210">
        <v>0</v>
      </c>
      <c r="AC302" s="204">
        <f t="shared" si="52"/>
        <v>0</v>
      </c>
      <c r="AD302" s="206">
        <f t="shared" si="53"/>
        <v>0</v>
      </c>
      <c r="AE302" s="206">
        <f t="shared" si="54"/>
        <v>0</v>
      </c>
      <c r="AF302" s="206">
        <f t="shared" si="55"/>
        <v>0</v>
      </c>
      <c r="AG302" s="206">
        <f t="shared" si="56"/>
        <v>0</v>
      </c>
      <c r="AH302" s="206">
        <f t="shared" si="57"/>
        <v>0</v>
      </c>
      <c r="AI302" s="206">
        <f t="shared" si="58"/>
        <v>0</v>
      </c>
      <c r="AJ302" s="206">
        <f t="shared" si="59"/>
        <v>0</v>
      </c>
      <c r="AK302" s="206">
        <f t="shared" si="60"/>
        <v>0</v>
      </c>
      <c r="AL302" s="206">
        <f t="shared" si="61"/>
        <v>0</v>
      </c>
      <c r="AM302" s="214">
        <f t="shared" si="62"/>
        <v>0</v>
      </c>
      <c r="AN302" s="4"/>
      <c r="AO302" s="167">
        <v>1390</v>
      </c>
      <c r="AP302" s="215">
        <v>3.0323053487884458E-5</v>
      </c>
      <c r="AQ302" s="190">
        <v>1.3420451882242395E-4</v>
      </c>
      <c r="AR302" s="190">
        <v>2.4803833716907371E-6</v>
      </c>
      <c r="AS302" s="170">
        <v>2.6770949003220922E-6</v>
      </c>
      <c r="AU302" s="216">
        <v>97.110587874654286</v>
      </c>
      <c r="AV302" s="217">
        <v>97.103330798107763</v>
      </c>
      <c r="AW302" s="217">
        <v>94.639115420231633</v>
      </c>
      <c r="AX302" s="217">
        <v>94.820630801118952</v>
      </c>
      <c r="AY302" s="217"/>
      <c r="AZ302" s="218">
        <v>0</v>
      </c>
      <c r="BA302" s="8"/>
      <c r="BB302" s="219"/>
      <c r="BC302" s="220"/>
    </row>
    <row r="303" spans="15:55" x14ac:dyDescent="0.25">
      <c r="O303" s="195">
        <v>1385</v>
      </c>
      <c r="P303" s="202">
        <f t="shared" si="63"/>
        <v>0</v>
      </c>
      <c r="Q303" s="203">
        <f t="shared" si="63"/>
        <v>0</v>
      </c>
      <c r="R303" s="157">
        <f ca="1"/>
        <v>97.108184790496423</v>
      </c>
      <c r="T303" s="204">
        <v>0</v>
      </c>
      <c r="U303" s="206">
        <v>0</v>
      </c>
      <c r="V303" s="206">
        <v>0</v>
      </c>
      <c r="W303" s="206">
        <v>0</v>
      </c>
      <c r="X303" s="206">
        <f t="array" ref="X303">IF(X$78&gt;" ",(X$628:X$1078),"")</f>
        <v>0</v>
      </c>
      <c r="Y303" s="206">
        <f t="array" ref="Y303">IF(Y$78&gt;" ",(Y$628:Y$1078),"")</f>
        <v>0</v>
      </c>
      <c r="Z303" s="206">
        <f t="array" ref="Z303">IF(Z$78&gt;" ",(Z$628:Z$1078),"")</f>
        <v>0</v>
      </c>
      <c r="AA303" s="206">
        <f t="array" ref="AA303">IF(AA$78&gt;" ",(AA$628:AA$1078),"")</f>
        <v>0</v>
      </c>
      <c r="AB303" s="210">
        <v>0</v>
      </c>
      <c r="AC303" s="204">
        <f t="shared" si="52"/>
        <v>0</v>
      </c>
      <c r="AD303" s="206">
        <f t="shared" si="53"/>
        <v>0</v>
      </c>
      <c r="AE303" s="206">
        <f t="shared" si="54"/>
        <v>0</v>
      </c>
      <c r="AF303" s="206">
        <f t="shared" si="55"/>
        <v>0</v>
      </c>
      <c r="AG303" s="206">
        <f t="shared" si="56"/>
        <v>0</v>
      </c>
      <c r="AH303" s="206">
        <f t="shared" si="57"/>
        <v>0</v>
      </c>
      <c r="AI303" s="206">
        <f t="shared" si="58"/>
        <v>0</v>
      </c>
      <c r="AJ303" s="206">
        <f t="shared" si="59"/>
        <v>0</v>
      </c>
      <c r="AK303" s="206">
        <f t="shared" si="60"/>
        <v>0</v>
      </c>
      <c r="AL303" s="206">
        <f t="shared" si="61"/>
        <v>0</v>
      </c>
      <c r="AM303" s="214">
        <f t="shared" si="62"/>
        <v>0</v>
      </c>
      <c r="AN303" s="4"/>
      <c r="AO303" s="167">
        <v>1385</v>
      </c>
      <c r="AP303" s="215">
        <v>5.1397245345477363E-5</v>
      </c>
      <c r="AQ303" s="190">
        <v>1.6423895787900041E-4</v>
      </c>
      <c r="AR303" s="190">
        <v>1.0508743935485872E-8</v>
      </c>
      <c r="AS303" s="170">
        <v>1.1335512418685505E-8</v>
      </c>
      <c r="AU303" s="216">
        <v>97.122513908916019</v>
      </c>
      <c r="AV303" s="217">
        <v>97.108184790496423</v>
      </c>
      <c r="AW303" s="217">
        <v>94.661796072642687</v>
      </c>
      <c r="AX303" s="217">
        <v>94.838300622704836</v>
      </c>
      <c r="AY303" s="217"/>
      <c r="AZ303" s="218">
        <v>0</v>
      </c>
      <c r="BA303" s="8"/>
      <c r="BB303" s="219"/>
      <c r="BC303" s="220"/>
    </row>
    <row r="304" spans="15:55" x14ac:dyDescent="0.25">
      <c r="O304" s="195">
        <v>1380</v>
      </c>
      <c r="P304" s="202">
        <f t="shared" ref="P304:Q319" si="64">P852</f>
        <v>0</v>
      </c>
      <c r="Q304" s="203">
        <f t="shared" si="64"/>
        <v>0</v>
      </c>
      <c r="R304" s="157">
        <f ca="1"/>
        <v>97.142521587192789</v>
      </c>
      <c r="T304" s="204">
        <v>0</v>
      </c>
      <c r="U304" s="206">
        <v>0</v>
      </c>
      <c r="V304" s="206">
        <v>0</v>
      </c>
      <c r="W304" s="206">
        <v>0</v>
      </c>
      <c r="X304" s="206">
        <f t="array" ref="X304">IF(X$78&gt;" ",(X$628:X$1078),"")</f>
        <v>0</v>
      </c>
      <c r="Y304" s="206">
        <f t="array" ref="Y304">IF(Y$78&gt;" ",(Y$628:Y$1078),"")</f>
        <v>0</v>
      </c>
      <c r="Z304" s="206">
        <f t="array" ref="Z304">IF(Z$78&gt;" ",(Z$628:Z$1078),"")</f>
        <v>0</v>
      </c>
      <c r="AA304" s="206">
        <f t="array" ref="AA304">IF(AA$78&gt;" ",(AA$628:AA$1078),"")</f>
        <v>0</v>
      </c>
      <c r="AB304" s="210">
        <v>0</v>
      </c>
      <c r="AC304" s="204">
        <f t="shared" si="52"/>
        <v>0</v>
      </c>
      <c r="AD304" s="206">
        <f t="shared" si="53"/>
        <v>0</v>
      </c>
      <c r="AE304" s="206">
        <f t="shared" si="54"/>
        <v>0</v>
      </c>
      <c r="AF304" s="206">
        <f t="shared" si="55"/>
        <v>0</v>
      </c>
      <c r="AG304" s="206">
        <f t="shared" si="56"/>
        <v>0</v>
      </c>
      <c r="AH304" s="206">
        <f t="shared" si="57"/>
        <v>0</v>
      </c>
      <c r="AI304" s="206">
        <f t="shared" si="58"/>
        <v>0</v>
      </c>
      <c r="AJ304" s="206">
        <f t="shared" si="59"/>
        <v>0</v>
      </c>
      <c r="AK304" s="206">
        <f t="shared" si="60"/>
        <v>0</v>
      </c>
      <c r="AL304" s="206">
        <f t="shared" si="61"/>
        <v>0</v>
      </c>
      <c r="AM304" s="214">
        <f t="shared" si="62"/>
        <v>0</v>
      </c>
      <c r="AN304" s="4"/>
      <c r="AO304" s="167">
        <v>1380</v>
      </c>
      <c r="AP304" s="215">
        <v>7.247143720307026E-5</v>
      </c>
      <c r="AQ304" s="190">
        <v>1.9427339693557687E-4</v>
      </c>
      <c r="AR304" s="190">
        <v>4.1024780681586959E-7</v>
      </c>
      <c r="AS304" s="170">
        <v>4.4235081342766712E-7</v>
      </c>
      <c r="AU304" s="216">
        <v>97.11837912890968</v>
      </c>
      <c r="AV304" s="217">
        <v>97.142521587192789</v>
      </c>
      <c r="AW304" s="217">
        <v>94.73906015005069</v>
      </c>
      <c r="AX304" s="217">
        <v>94.93692097282036</v>
      </c>
      <c r="AY304" s="217"/>
      <c r="AZ304" s="218">
        <v>0</v>
      </c>
      <c r="BA304" s="8"/>
      <c r="BB304" s="219"/>
      <c r="BC304" s="220"/>
    </row>
    <row r="305" spans="15:55" x14ac:dyDescent="0.25">
      <c r="O305" s="195">
        <v>1375</v>
      </c>
      <c r="P305" s="202">
        <f t="shared" si="64"/>
        <v>0</v>
      </c>
      <c r="Q305" s="203">
        <f t="shared" si="64"/>
        <v>0</v>
      </c>
      <c r="R305" s="157">
        <f ca="1"/>
        <v>97.131858655491556</v>
      </c>
      <c r="T305" s="204">
        <v>0</v>
      </c>
      <c r="U305" s="206">
        <v>0</v>
      </c>
      <c r="V305" s="206">
        <v>0</v>
      </c>
      <c r="W305" s="206">
        <v>0</v>
      </c>
      <c r="X305" s="206">
        <f t="array" ref="X305">IF(X$78&gt;" ",(X$628:X$1078),"")</f>
        <v>0</v>
      </c>
      <c r="Y305" s="206">
        <f t="array" ref="Y305">IF(Y$78&gt;" ",(Y$628:Y$1078),"")</f>
        <v>0</v>
      </c>
      <c r="Z305" s="206">
        <f t="array" ref="Z305">IF(Z$78&gt;" ",(Z$628:Z$1078),"")</f>
        <v>0</v>
      </c>
      <c r="AA305" s="206">
        <f t="array" ref="AA305">IF(AA$78&gt;" ",(AA$628:AA$1078),"")</f>
        <v>0</v>
      </c>
      <c r="AB305" s="210">
        <v>0</v>
      </c>
      <c r="AC305" s="204">
        <f t="shared" si="52"/>
        <v>0</v>
      </c>
      <c r="AD305" s="206">
        <f t="shared" si="53"/>
        <v>0</v>
      </c>
      <c r="AE305" s="206">
        <f t="shared" si="54"/>
        <v>0</v>
      </c>
      <c r="AF305" s="206">
        <f t="shared" si="55"/>
        <v>0</v>
      </c>
      <c r="AG305" s="206">
        <f t="shared" si="56"/>
        <v>0</v>
      </c>
      <c r="AH305" s="206">
        <f t="shared" si="57"/>
        <v>0</v>
      </c>
      <c r="AI305" s="206">
        <f t="shared" si="58"/>
        <v>0</v>
      </c>
      <c r="AJ305" s="206">
        <f t="shared" si="59"/>
        <v>0</v>
      </c>
      <c r="AK305" s="206">
        <f t="shared" si="60"/>
        <v>0</v>
      </c>
      <c r="AL305" s="206">
        <f t="shared" si="61"/>
        <v>0</v>
      </c>
      <c r="AM305" s="214">
        <f t="shared" si="62"/>
        <v>0</v>
      </c>
      <c r="AN305" s="4"/>
      <c r="AO305" s="167">
        <v>1375</v>
      </c>
      <c r="AP305" s="215">
        <v>9.3545629060663165E-5</v>
      </c>
      <c r="AQ305" s="190">
        <v>2.2430783599215333E-4</v>
      </c>
      <c r="AR305" s="190">
        <v>1.6257653903159443E-6</v>
      </c>
      <c r="AS305" s="170">
        <v>1.7521775280998495E-6</v>
      </c>
      <c r="AU305" s="216">
        <v>97.143028917679899</v>
      </c>
      <c r="AV305" s="217">
        <v>97.131858655491556</v>
      </c>
      <c r="AW305" s="217">
        <v>94.729714636866689</v>
      </c>
      <c r="AX305" s="217">
        <v>94.91522056977017</v>
      </c>
      <c r="AY305" s="217"/>
      <c r="AZ305" s="218">
        <v>0</v>
      </c>
      <c r="BA305" s="8"/>
      <c r="BB305" s="219"/>
      <c r="BC305" s="220"/>
    </row>
    <row r="306" spans="15:55" x14ac:dyDescent="0.25">
      <c r="O306" s="195">
        <v>1370</v>
      </c>
      <c r="P306" s="202">
        <f t="shared" si="64"/>
        <v>0</v>
      </c>
      <c r="Q306" s="203">
        <f t="shared" si="64"/>
        <v>0</v>
      </c>
      <c r="R306" s="156">
        <f ca="1"/>
        <v>97.13749792524375</v>
      </c>
      <c r="T306" s="204">
        <f t="array" ref="T306:T530">IF(T78&gt;" ",(T$854:T$1078),"")</f>
        <v>0</v>
      </c>
      <c r="U306" s="206">
        <v>0</v>
      </c>
      <c r="V306" s="206">
        <v>0</v>
      </c>
      <c r="W306" s="206">
        <v>0</v>
      </c>
      <c r="X306" s="206">
        <f t="array" ref="X306">IF(X$78&gt;" ",(X$628:X$1078),"")</f>
        <v>0</v>
      </c>
      <c r="Y306" s="206">
        <f t="array" ref="Y306">IF(Y$78&gt;" ",(Y$628:Y$1078),"")</f>
        <v>0</v>
      </c>
      <c r="Z306" s="206">
        <f t="array" ref="Z306">IF(Z$78&gt;" ",(Z$628:Z$1078),"")</f>
        <v>0</v>
      </c>
      <c r="AA306" s="206">
        <f t="array" ref="AA306">IF(AA$78&gt;" ",(AA$628:AA$1078),"")</f>
        <v>0</v>
      </c>
      <c r="AB306" s="210">
        <v>0</v>
      </c>
      <c r="AC306" s="204">
        <f t="shared" si="52"/>
        <v>0</v>
      </c>
      <c r="AD306" s="206">
        <f t="shared" si="53"/>
        <v>0</v>
      </c>
      <c r="AE306" s="206">
        <f t="shared" si="54"/>
        <v>0</v>
      </c>
      <c r="AF306" s="206">
        <f t="shared" si="55"/>
        <v>0</v>
      </c>
      <c r="AG306" s="206">
        <f t="shared" si="56"/>
        <v>0</v>
      </c>
      <c r="AH306" s="206">
        <f t="shared" si="57"/>
        <v>0</v>
      </c>
      <c r="AI306" s="206">
        <f t="shared" si="58"/>
        <v>0</v>
      </c>
      <c r="AJ306" s="206">
        <f t="shared" si="59"/>
        <v>0</v>
      </c>
      <c r="AK306" s="206">
        <f t="shared" si="60"/>
        <v>0</v>
      </c>
      <c r="AL306" s="206">
        <f t="shared" si="61"/>
        <v>0</v>
      </c>
      <c r="AM306" s="214">
        <f t="shared" si="62"/>
        <v>0</v>
      </c>
      <c r="AN306" s="4"/>
      <c r="AO306" s="167">
        <v>1370</v>
      </c>
      <c r="AP306" s="215">
        <v>1.1455375762089684E-4</v>
      </c>
      <c r="AQ306" s="190">
        <v>2.5434227504872979E-4</v>
      </c>
      <c r="AR306" s="190">
        <v>1.46827753919416E-9</v>
      </c>
      <c r="AS306" s="170">
        <v>1.5818790127206345E-9</v>
      </c>
      <c r="AU306" s="216">
        <v>97.148700308040318</v>
      </c>
      <c r="AV306" s="217">
        <v>97.13749792524375</v>
      </c>
      <c r="AW306" s="217">
        <v>94.726460062585943</v>
      </c>
      <c r="AX306" s="217">
        <v>94.900750155468302</v>
      </c>
      <c r="AY306" s="217"/>
      <c r="AZ306" s="218">
        <v>0</v>
      </c>
      <c r="BA306" s="8"/>
      <c r="BB306" s="219"/>
      <c r="BC306" s="220"/>
    </row>
    <row r="307" spans="15:55" x14ac:dyDescent="0.25">
      <c r="O307" s="195">
        <v>1365</v>
      </c>
      <c r="P307" s="202">
        <f t="shared" si="64"/>
        <v>0</v>
      </c>
      <c r="Q307" s="203">
        <f t="shared" si="64"/>
        <v>0</v>
      </c>
      <c r="R307" s="156">
        <f ca="1"/>
        <v>97.138716128067315</v>
      </c>
      <c r="T307" s="204">
        <v>0</v>
      </c>
      <c r="U307" s="206">
        <v>0</v>
      </c>
      <c r="V307" s="206">
        <v>0</v>
      </c>
      <c r="W307" s="206">
        <v>0</v>
      </c>
      <c r="X307" s="206">
        <f t="array" ref="X307">IF(X$78&gt;" ",(X$628:X$1078),"")</f>
        <v>0</v>
      </c>
      <c r="Y307" s="206">
        <f t="array" ref="Y307">IF(Y$78&gt;" ",(Y$628:Y$1078),"")</f>
        <v>0</v>
      </c>
      <c r="Z307" s="206">
        <f t="array" ref="Z307">IF(Z$78&gt;" ",(Z$628:Z$1078),"")</f>
        <v>0</v>
      </c>
      <c r="AA307" s="206">
        <f t="array" ref="AA307">IF(AA$78&gt;" ",(AA$628:AA$1078),"")</f>
        <v>0</v>
      </c>
      <c r="AB307" s="210">
        <v>0</v>
      </c>
      <c r="AC307" s="204">
        <f t="shared" si="52"/>
        <v>0</v>
      </c>
      <c r="AD307" s="206">
        <f t="shared" si="53"/>
        <v>0</v>
      </c>
      <c r="AE307" s="206">
        <f t="shared" si="54"/>
        <v>0</v>
      </c>
      <c r="AF307" s="206">
        <f t="shared" si="55"/>
        <v>0</v>
      </c>
      <c r="AG307" s="206">
        <f t="shared" si="56"/>
        <v>0</v>
      </c>
      <c r="AH307" s="206">
        <f t="shared" si="57"/>
        <v>0</v>
      </c>
      <c r="AI307" s="206">
        <f t="shared" si="58"/>
        <v>0</v>
      </c>
      <c r="AJ307" s="206">
        <f t="shared" si="59"/>
        <v>0</v>
      </c>
      <c r="AK307" s="206">
        <f t="shared" si="60"/>
        <v>0</v>
      </c>
      <c r="AL307" s="206">
        <f t="shared" si="61"/>
        <v>0</v>
      </c>
      <c r="AM307" s="214">
        <f t="shared" si="62"/>
        <v>0</v>
      </c>
      <c r="AN307" s="4"/>
      <c r="AO307" s="167">
        <v>1365</v>
      </c>
      <c r="AP307" s="215">
        <v>1.3562794947848974E-4</v>
      </c>
      <c r="AQ307" s="190">
        <v>2.8437671410530628E-4</v>
      </c>
      <c r="AR307" s="190">
        <v>4.5639295399800938E-14</v>
      </c>
      <c r="AS307" s="170">
        <v>4.9154878413744951E-14</v>
      </c>
      <c r="AU307" s="216">
        <v>97.119895451509976</v>
      </c>
      <c r="AV307" s="217">
        <v>97.138716128067315</v>
      </c>
      <c r="AW307" s="217">
        <v>94.678689391984491</v>
      </c>
      <c r="AX307" s="217">
        <v>94.864974907765998</v>
      </c>
      <c r="AY307" s="217"/>
      <c r="AZ307" s="218">
        <v>0</v>
      </c>
      <c r="BA307" s="8"/>
      <c r="BB307" s="219"/>
      <c r="BC307" s="220"/>
    </row>
    <row r="308" spans="15:55" x14ac:dyDescent="0.25">
      <c r="O308" s="195">
        <v>1360</v>
      </c>
      <c r="P308" s="202">
        <f t="shared" si="64"/>
        <v>0</v>
      </c>
      <c r="Q308" s="203">
        <f t="shared" si="64"/>
        <v>0</v>
      </c>
      <c r="R308" s="156">
        <f ca="1"/>
        <v>97.117816854304081</v>
      </c>
      <c r="T308" s="204">
        <v>0</v>
      </c>
      <c r="U308" s="206">
        <v>0</v>
      </c>
      <c r="V308" s="206">
        <v>0</v>
      </c>
      <c r="W308" s="206">
        <v>0</v>
      </c>
      <c r="X308" s="206">
        <f t="array" ref="X308">IF(X$78&gt;" ",(X$628:X$1078),"")</f>
        <v>0</v>
      </c>
      <c r="Y308" s="206">
        <f t="array" ref="Y308">IF(Y$78&gt;" ",(Y$628:Y$1078),"")</f>
        <v>0</v>
      </c>
      <c r="Z308" s="206">
        <f t="array" ref="Z308">IF(Z$78&gt;" ",(Z$628:Z$1078),"")</f>
        <v>0</v>
      </c>
      <c r="AA308" s="206">
        <f t="array" ref="AA308">IF(AA$78&gt;" ",(AA$628:AA$1078),"")</f>
        <v>0</v>
      </c>
      <c r="AB308" s="210">
        <v>0</v>
      </c>
      <c r="AC308" s="204">
        <f t="shared" si="52"/>
        <v>0</v>
      </c>
      <c r="AD308" s="206">
        <f t="shared" si="53"/>
        <v>0</v>
      </c>
      <c r="AE308" s="206">
        <f t="shared" si="54"/>
        <v>0</v>
      </c>
      <c r="AF308" s="206">
        <f t="shared" si="55"/>
        <v>0</v>
      </c>
      <c r="AG308" s="206">
        <f t="shared" si="56"/>
        <v>0</v>
      </c>
      <c r="AH308" s="206">
        <f t="shared" si="57"/>
        <v>0</v>
      </c>
      <c r="AI308" s="206">
        <f t="shared" si="58"/>
        <v>0</v>
      </c>
      <c r="AJ308" s="206">
        <f t="shared" si="59"/>
        <v>0</v>
      </c>
      <c r="AK308" s="206">
        <f t="shared" si="60"/>
        <v>0</v>
      </c>
      <c r="AL308" s="206">
        <f t="shared" si="61"/>
        <v>0</v>
      </c>
      <c r="AM308" s="214">
        <f t="shared" si="62"/>
        <v>0</v>
      </c>
      <c r="AN308" s="4"/>
      <c r="AO308" s="167">
        <v>1360</v>
      </c>
      <c r="AP308" s="215">
        <v>1.5670214133608264E-4</v>
      </c>
      <c r="AQ308" s="190">
        <v>3.1441115316188271E-4</v>
      </c>
      <c r="AR308" s="190">
        <v>1.076267549620267E-8</v>
      </c>
      <c r="AS308" s="170">
        <v>1.1587910152619209E-8</v>
      </c>
      <c r="AU308" s="216">
        <v>97.105742743594647</v>
      </c>
      <c r="AV308" s="217">
        <v>97.117816854304081</v>
      </c>
      <c r="AW308" s="217">
        <v>94.671371248203229</v>
      </c>
      <c r="AX308" s="217">
        <v>94.85352316154065</v>
      </c>
      <c r="AY308" s="217"/>
      <c r="AZ308" s="218">
        <v>0</v>
      </c>
      <c r="BA308" s="8"/>
      <c r="BB308" s="219"/>
      <c r="BC308" s="220"/>
    </row>
    <row r="309" spans="15:55" x14ac:dyDescent="0.25">
      <c r="O309" s="195">
        <v>1355</v>
      </c>
      <c r="P309" s="202">
        <f t="shared" si="64"/>
        <v>0</v>
      </c>
      <c r="Q309" s="203">
        <f t="shared" si="64"/>
        <v>0</v>
      </c>
      <c r="R309" s="156">
        <f ca="1"/>
        <v>97.130520650249764</v>
      </c>
      <c r="T309" s="204">
        <v>0</v>
      </c>
      <c r="U309" s="206">
        <v>0</v>
      </c>
      <c r="V309" s="206">
        <v>0</v>
      </c>
      <c r="W309" s="206">
        <v>0</v>
      </c>
      <c r="X309" s="206">
        <f t="array" ref="X309">IF(X$78&gt;" ",(X$628:X$1078),"")</f>
        <v>0</v>
      </c>
      <c r="Y309" s="206">
        <f t="array" ref="Y309">IF(Y$78&gt;" ",(Y$628:Y$1078),"")</f>
        <v>0</v>
      </c>
      <c r="Z309" s="206">
        <f t="array" ref="Z309">IF(Z$78&gt;" ",(Z$628:Z$1078),"")</f>
        <v>0</v>
      </c>
      <c r="AA309" s="206">
        <f t="array" ref="AA309">IF(AA$78&gt;" ",(AA$628:AA$1078),"")</f>
        <v>0</v>
      </c>
      <c r="AB309" s="210">
        <v>0</v>
      </c>
      <c r="AC309" s="204">
        <f t="shared" si="52"/>
        <v>0</v>
      </c>
      <c r="AD309" s="206">
        <f t="shared" si="53"/>
        <v>0</v>
      </c>
      <c r="AE309" s="206">
        <f t="shared" si="54"/>
        <v>0</v>
      </c>
      <c r="AF309" s="206">
        <f t="shared" si="55"/>
        <v>0</v>
      </c>
      <c r="AG309" s="206">
        <f t="shared" si="56"/>
        <v>0</v>
      </c>
      <c r="AH309" s="206">
        <f t="shared" si="57"/>
        <v>0</v>
      </c>
      <c r="AI309" s="206">
        <f t="shared" si="58"/>
        <v>0</v>
      </c>
      <c r="AJ309" s="206">
        <f t="shared" si="59"/>
        <v>0</v>
      </c>
      <c r="AK309" s="206">
        <f t="shared" si="60"/>
        <v>0</v>
      </c>
      <c r="AL309" s="206">
        <f t="shared" si="61"/>
        <v>0</v>
      </c>
      <c r="AM309" s="214">
        <f t="shared" si="62"/>
        <v>0</v>
      </c>
      <c r="AN309" s="4"/>
      <c r="AO309" s="167">
        <v>1355</v>
      </c>
      <c r="AP309" s="215">
        <v>1.7777633319367554E-4</v>
      </c>
      <c r="AQ309" s="190">
        <v>3.4444559221845919E-4</v>
      </c>
      <c r="AR309" s="190">
        <v>1.811914823538437E-8</v>
      </c>
      <c r="AS309" s="170">
        <v>1.9501782337888608E-8</v>
      </c>
      <c r="AU309" s="216">
        <v>97.117323073734156</v>
      </c>
      <c r="AV309" s="217">
        <v>97.130520650249764</v>
      </c>
      <c r="AW309" s="217">
        <v>94.658344480556181</v>
      </c>
      <c r="AX309" s="217">
        <v>94.843555804571352</v>
      </c>
      <c r="AY309" s="217"/>
      <c r="AZ309" s="218">
        <v>0</v>
      </c>
      <c r="BA309" s="8"/>
      <c r="BB309" s="219"/>
      <c r="BC309" s="220"/>
    </row>
    <row r="310" spans="15:55" x14ac:dyDescent="0.25">
      <c r="O310" s="195">
        <v>1350</v>
      </c>
      <c r="P310" s="202">
        <f t="shared" si="64"/>
        <v>0</v>
      </c>
      <c r="Q310" s="203">
        <f t="shared" si="64"/>
        <v>0</v>
      </c>
      <c r="R310" s="157">
        <f ca="1"/>
        <v>97.113696275127566</v>
      </c>
      <c r="T310" s="204">
        <v>0</v>
      </c>
      <c r="U310" s="206">
        <v>0</v>
      </c>
      <c r="V310" s="206">
        <v>0</v>
      </c>
      <c r="W310" s="206">
        <v>0</v>
      </c>
      <c r="X310" s="206">
        <f t="array" ref="X310">IF(X$78&gt;" ",(X$628:X$1078),"")</f>
        <v>0</v>
      </c>
      <c r="Y310" s="206">
        <f t="array" ref="Y310">IF(Y$78&gt;" ",(Y$628:Y$1078),"")</f>
        <v>0</v>
      </c>
      <c r="Z310" s="206">
        <f t="array" ref="Z310">IF(Z$78&gt;" ",(Z$628:Z$1078),"")</f>
        <v>0</v>
      </c>
      <c r="AA310" s="206">
        <f t="array" ref="AA310">IF(AA$78&gt;" ",(AA$628:AA$1078),"")</f>
        <v>0</v>
      </c>
      <c r="AB310" s="210">
        <v>0</v>
      </c>
      <c r="AC310" s="204">
        <f t="shared" si="52"/>
        <v>0</v>
      </c>
      <c r="AD310" s="206">
        <f t="shared" si="53"/>
        <v>0</v>
      </c>
      <c r="AE310" s="206">
        <f t="shared" si="54"/>
        <v>0</v>
      </c>
      <c r="AF310" s="206">
        <f t="shared" si="55"/>
        <v>0</v>
      </c>
      <c r="AG310" s="206">
        <f t="shared" si="56"/>
        <v>0</v>
      </c>
      <c r="AH310" s="206">
        <f t="shared" si="57"/>
        <v>0</v>
      </c>
      <c r="AI310" s="206">
        <f t="shared" si="58"/>
        <v>0</v>
      </c>
      <c r="AJ310" s="206">
        <f t="shared" si="59"/>
        <v>0</v>
      </c>
      <c r="AK310" s="206">
        <f t="shared" si="60"/>
        <v>0</v>
      </c>
      <c r="AL310" s="206">
        <f t="shared" si="61"/>
        <v>0</v>
      </c>
      <c r="AM310" s="214">
        <f t="shared" si="62"/>
        <v>0</v>
      </c>
      <c r="AN310" s="4"/>
      <c r="AO310" s="167">
        <v>1350</v>
      </c>
      <c r="AP310" s="215">
        <v>1.9885052505126845E-4</v>
      </c>
      <c r="AQ310" s="190">
        <v>3.7448003127503568E-4</v>
      </c>
      <c r="AR310" s="190">
        <v>8.0579272484884972E-5</v>
      </c>
      <c r="AS310" s="170">
        <v>8.6677075458208391E-5</v>
      </c>
      <c r="AU310" s="216">
        <v>97.114238483988345</v>
      </c>
      <c r="AV310" s="217">
        <v>97.113696275127566</v>
      </c>
      <c r="AW310" s="217">
        <v>94.617309837638388</v>
      </c>
      <c r="AX310" s="217">
        <v>94.825053518821107</v>
      </c>
      <c r="AY310" s="217"/>
      <c r="AZ310" s="218">
        <v>0</v>
      </c>
      <c r="BA310" s="8"/>
      <c r="BB310" s="219"/>
      <c r="BC310" s="220"/>
    </row>
    <row r="311" spans="15:55" x14ac:dyDescent="0.25">
      <c r="O311" s="195">
        <v>1345</v>
      </c>
      <c r="P311" s="202">
        <f t="shared" si="64"/>
        <v>0</v>
      </c>
      <c r="Q311" s="203">
        <f t="shared" si="64"/>
        <v>0</v>
      </c>
      <c r="R311" s="157">
        <f ca="1"/>
        <v>97.096044797427069</v>
      </c>
      <c r="T311" s="204">
        <v>0</v>
      </c>
      <c r="U311" s="206">
        <v>0</v>
      </c>
      <c r="V311" s="206">
        <v>0</v>
      </c>
      <c r="W311" s="206">
        <v>0</v>
      </c>
      <c r="X311" s="206">
        <f t="array" ref="X311">IF(X$78&gt;" ",(X$628:X$1078),"")</f>
        <v>0</v>
      </c>
      <c r="Y311" s="206">
        <f t="array" ref="Y311">IF(Y$78&gt;" ",(Y$628:Y$1078),"")</f>
        <v>0</v>
      </c>
      <c r="Z311" s="206">
        <f t="array" ref="Z311">IF(Z$78&gt;" ",(Z$628:Z$1078),"")</f>
        <v>0</v>
      </c>
      <c r="AA311" s="206">
        <f t="array" ref="AA311">IF(AA$78&gt;" ",(AA$628:AA$1078),"")</f>
        <v>0</v>
      </c>
      <c r="AB311" s="210">
        <v>0</v>
      </c>
      <c r="AC311" s="204">
        <f t="shared" si="52"/>
        <v>0</v>
      </c>
      <c r="AD311" s="206">
        <f t="shared" si="53"/>
        <v>0</v>
      </c>
      <c r="AE311" s="206">
        <f t="shared" si="54"/>
        <v>0</v>
      </c>
      <c r="AF311" s="206">
        <f t="shared" si="55"/>
        <v>0</v>
      </c>
      <c r="AG311" s="206">
        <f t="shared" si="56"/>
        <v>0</v>
      </c>
      <c r="AH311" s="206">
        <f t="shared" si="57"/>
        <v>0</v>
      </c>
      <c r="AI311" s="206">
        <f t="shared" si="58"/>
        <v>0</v>
      </c>
      <c r="AJ311" s="206">
        <f t="shared" si="59"/>
        <v>0</v>
      </c>
      <c r="AK311" s="206">
        <f t="shared" si="60"/>
        <v>0</v>
      </c>
      <c r="AL311" s="206">
        <f t="shared" si="61"/>
        <v>0</v>
      </c>
      <c r="AM311" s="214">
        <f t="shared" si="62"/>
        <v>0</v>
      </c>
      <c r="AN311" s="4"/>
      <c r="AO311" s="167">
        <v>1345</v>
      </c>
      <c r="AP311" s="215">
        <v>4.117064691426927E-4</v>
      </c>
      <c r="AQ311" s="190">
        <v>5.1467743117503768E-4</v>
      </c>
      <c r="AR311" s="190">
        <v>5.4829103723880548E-4</v>
      </c>
      <c r="AS311" s="170">
        <v>5.8879746313004295E-4</v>
      </c>
      <c r="AU311" s="216">
        <v>97.110389585672294</v>
      </c>
      <c r="AV311" s="217">
        <v>97.096044797427069</v>
      </c>
      <c r="AW311" s="217">
        <v>94.608657732300642</v>
      </c>
      <c r="AX311" s="217">
        <v>94.805500978141254</v>
      </c>
      <c r="AY311" s="217"/>
      <c r="AZ311" s="218">
        <v>0</v>
      </c>
      <c r="BA311" s="8"/>
      <c r="BB311" s="219"/>
      <c r="BC311" s="220"/>
    </row>
    <row r="312" spans="15:55" x14ac:dyDescent="0.25">
      <c r="O312" s="195">
        <v>1340</v>
      </c>
      <c r="P312" s="202">
        <f t="shared" si="64"/>
        <v>0</v>
      </c>
      <c r="Q312" s="203">
        <f t="shared" si="64"/>
        <v>0</v>
      </c>
      <c r="R312" s="157">
        <f ca="1"/>
        <v>97.131827353024576</v>
      </c>
      <c r="T312" s="204">
        <v>0</v>
      </c>
      <c r="U312" s="206">
        <v>0</v>
      </c>
      <c r="V312" s="206">
        <v>0</v>
      </c>
      <c r="W312" s="206">
        <v>0</v>
      </c>
      <c r="X312" s="206">
        <f t="array" ref="X312">IF(X$78&gt;" ",(X$628:X$1078),"")</f>
        <v>0</v>
      </c>
      <c r="Y312" s="206">
        <f t="array" ref="Y312">IF(Y$78&gt;" ",(Y$628:Y$1078),"")</f>
        <v>0</v>
      </c>
      <c r="Z312" s="206">
        <f t="array" ref="Z312">IF(Z$78&gt;" ",(Z$628:Z$1078),"")</f>
        <v>0</v>
      </c>
      <c r="AA312" s="206">
        <f t="array" ref="AA312">IF(AA$78&gt;" ",(AA$628:AA$1078),"")</f>
        <v>0</v>
      </c>
      <c r="AB312" s="210">
        <v>0</v>
      </c>
      <c r="AC312" s="204">
        <f t="shared" si="52"/>
        <v>0</v>
      </c>
      <c r="AD312" s="206">
        <f t="shared" si="53"/>
        <v>0</v>
      </c>
      <c r="AE312" s="206">
        <f t="shared" si="54"/>
        <v>0</v>
      </c>
      <c r="AF312" s="206">
        <f t="shared" si="55"/>
        <v>0</v>
      </c>
      <c r="AG312" s="206">
        <f t="shared" si="56"/>
        <v>0</v>
      </c>
      <c r="AH312" s="206">
        <f t="shared" si="57"/>
        <v>0</v>
      </c>
      <c r="AI312" s="206">
        <f t="shared" si="58"/>
        <v>0</v>
      </c>
      <c r="AJ312" s="206">
        <f t="shared" si="59"/>
        <v>0</v>
      </c>
      <c r="AK312" s="206">
        <f t="shared" si="60"/>
        <v>0</v>
      </c>
      <c r="AL312" s="206">
        <f t="shared" si="61"/>
        <v>0</v>
      </c>
      <c r="AM312" s="214">
        <f t="shared" si="62"/>
        <v>0</v>
      </c>
      <c r="AN312" s="4"/>
      <c r="AO312" s="167">
        <v>1340</v>
      </c>
      <c r="AP312" s="215">
        <v>6.2449634993675773E-4</v>
      </c>
      <c r="AQ312" s="190">
        <v>6.5487483107503968E-4</v>
      </c>
      <c r="AR312" s="190">
        <v>8.4632120760879802E-4</v>
      </c>
      <c r="AS312" s="170">
        <v>9.075125617447749E-4</v>
      </c>
      <c r="AU312" s="216">
        <v>97.124679204369272</v>
      </c>
      <c r="AV312" s="217">
        <v>97.131827353024576</v>
      </c>
      <c r="AW312" s="217">
        <v>94.613271264156921</v>
      </c>
      <c r="AX312" s="217">
        <v>94.808636698614563</v>
      </c>
      <c r="AY312" s="217"/>
      <c r="AZ312" s="218">
        <v>0</v>
      </c>
      <c r="BA312" s="8"/>
      <c r="BB312" s="219"/>
      <c r="BC312" s="220"/>
    </row>
    <row r="313" spans="15:55" x14ac:dyDescent="0.25">
      <c r="O313" s="195">
        <v>1335</v>
      </c>
      <c r="P313" s="202">
        <f t="shared" si="64"/>
        <v>0</v>
      </c>
      <c r="Q313" s="203">
        <f t="shared" si="64"/>
        <v>0</v>
      </c>
      <c r="R313" s="157">
        <f ca="1"/>
        <v>97.077718392951724</v>
      </c>
      <c r="T313" s="204">
        <v>0</v>
      </c>
      <c r="U313" s="206">
        <v>0</v>
      </c>
      <c r="V313" s="206">
        <v>0</v>
      </c>
      <c r="W313" s="206">
        <v>0</v>
      </c>
      <c r="X313" s="206">
        <f t="array" ref="X313">IF(X$78&gt;" ",(X$628:X$1078),"")</f>
        <v>0</v>
      </c>
      <c r="Y313" s="206">
        <f t="array" ref="Y313">IF(Y$78&gt;" ",(Y$628:Y$1078),"")</f>
        <v>0</v>
      </c>
      <c r="Z313" s="206">
        <f t="array" ref="Z313">IF(Z$78&gt;" ",(Z$628:Z$1078),"")</f>
        <v>0</v>
      </c>
      <c r="AA313" s="206">
        <f t="array" ref="AA313">IF(AA$78&gt;" ",(AA$628:AA$1078),"")</f>
        <v>0</v>
      </c>
      <c r="AB313" s="210">
        <v>0</v>
      </c>
      <c r="AC313" s="204">
        <f t="shared" si="52"/>
        <v>0</v>
      </c>
      <c r="AD313" s="206">
        <f t="shared" si="53"/>
        <v>0</v>
      </c>
      <c r="AE313" s="206">
        <f t="shared" si="54"/>
        <v>0</v>
      </c>
      <c r="AF313" s="206">
        <f t="shared" si="55"/>
        <v>0</v>
      </c>
      <c r="AG313" s="206">
        <f t="shared" si="56"/>
        <v>0</v>
      </c>
      <c r="AH313" s="206">
        <f t="shared" si="57"/>
        <v>0</v>
      </c>
      <c r="AI313" s="206">
        <f t="shared" si="58"/>
        <v>0</v>
      </c>
      <c r="AJ313" s="206">
        <f t="shared" si="59"/>
        <v>0</v>
      </c>
      <c r="AK313" s="206">
        <f t="shared" si="60"/>
        <v>0</v>
      </c>
      <c r="AL313" s="206">
        <f t="shared" si="61"/>
        <v>0</v>
      </c>
      <c r="AM313" s="214">
        <f t="shared" si="62"/>
        <v>0</v>
      </c>
      <c r="AN313" s="4"/>
      <c r="AO313" s="167">
        <v>1335</v>
      </c>
      <c r="AP313" s="215">
        <v>8.3735229402818188E-4</v>
      </c>
      <c r="AQ313" s="190">
        <v>7.9507223097504168E-4</v>
      </c>
      <c r="AR313" s="190">
        <v>1.1624031463544997E-3</v>
      </c>
      <c r="AS313" s="170">
        <v>1.2448636792951882E-3</v>
      </c>
      <c r="AU313" s="216">
        <v>97.106654650725702</v>
      </c>
      <c r="AV313" s="217">
        <v>97.077718392951724</v>
      </c>
      <c r="AW313" s="217">
        <v>94.579090310406499</v>
      </c>
      <c r="AX313" s="217">
        <v>94.785072279243181</v>
      </c>
      <c r="AY313" s="217"/>
      <c r="AZ313" s="218">
        <v>0</v>
      </c>
      <c r="BA313" s="8"/>
      <c r="BB313" s="219"/>
      <c r="BC313" s="220"/>
    </row>
    <row r="314" spans="15:55" x14ac:dyDescent="0.25">
      <c r="O314" s="195">
        <v>1330</v>
      </c>
      <c r="P314" s="202">
        <f t="shared" si="64"/>
        <v>0</v>
      </c>
      <c r="Q314" s="203">
        <f t="shared" si="64"/>
        <v>0</v>
      </c>
      <c r="R314" s="157">
        <f ca="1"/>
        <v>97.066548869047153</v>
      </c>
      <c r="T314" s="204">
        <v>0</v>
      </c>
      <c r="U314" s="206">
        <v>0</v>
      </c>
      <c r="V314" s="206">
        <v>0</v>
      </c>
      <c r="W314" s="206">
        <v>0</v>
      </c>
      <c r="X314" s="206">
        <f t="array" ref="X314">IF(X$78&gt;" ",(X$628:X$1078),"")</f>
        <v>0</v>
      </c>
      <c r="Y314" s="206">
        <f t="array" ref="Y314">IF(Y$78&gt;" ",(Y$628:Y$1078),"")</f>
        <v>0</v>
      </c>
      <c r="Z314" s="206">
        <f t="array" ref="Z314">IF(Z$78&gt;" ",(Z$628:Z$1078),"")</f>
        <v>0</v>
      </c>
      <c r="AA314" s="206">
        <f t="array" ref="AA314">IF(AA$78&gt;" ",(AA$628:AA$1078),"")</f>
        <v>0</v>
      </c>
      <c r="AB314" s="210">
        <v>0</v>
      </c>
      <c r="AC314" s="204">
        <f t="shared" si="52"/>
        <v>0</v>
      </c>
      <c r="AD314" s="206">
        <f t="shared" si="53"/>
        <v>0</v>
      </c>
      <c r="AE314" s="206">
        <f t="shared" si="54"/>
        <v>0</v>
      </c>
      <c r="AF314" s="206">
        <f t="shared" si="55"/>
        <v>0</v>
      </c>
      <c r="AG314" s="206">
        <f t="shared" si="56"/>
        <v>0</v>
      </c>
      <c r="AH314" s="206">
        <f t="shared" si="57"/>
        <v>0</v>
      </c>
      <c r="AI314" s="206">
        <f t="shared" si="58"/>
        <v>0</v>
      </c>
      <c r="AJ314" s="206">
        <f t="shared" si="59"/>
        <v>0</v>
      </c>
      <c r="AK314" s="206">
        <f t="shared" si="60"/>
        <v>0</v>
      </c>
      <c r="AL314" s="206">
        <f t="shared" si="61"/>
        <v>0</v>
      </c>
      <c r="AM314" s="214">
        <f t="shared" si="62"/>
        <v>0</v>
      </c>
      <c r="AN314" s="4"/>
      <c r="AO314" s="167">
        <v>1330</v>
      </c>
      <c r="AP314" s="215">
        <v>1.0502082381196062E-3</v>
      </c>
      <c r="AQ314" s="190">
        <v>9.3526963087504379E-4</v>
      </c>
      <c r="AR314" s="190">
        <v>1.1526481517447852E-3</v>
      </c>
      <c r="AS314" s="170">
        <v>1.2341185872962368E-3</v>
      </c>
      <c r="AU314" s="216">
        <v>97.075685569829645</v>
      </c>
      <c r="AV314" s="217">
        <v>97.066548869047153</v>
      </c>
      <c r="AW314" s="217">
        <v>94.572104435975731</v>
      </c>
      <c r="AX314" s="217">
        <v>94.769784955362979</v>
      </c>
      <c r="AY314" s="217"/>
      <c r="AZ314" s="218">
        <v>0</v>
      </c>
      <c r="BA314" s="8"/>
      <c r="BB314" s="219"/>
      <c r="BC314" s="220"/>
    </row>
    <row r="315" spans="15:55" x14ac:dyDescent="0.25">
      <c r="O315" s="195">
        <v>1325</v>
      </c>
      <c r="P315" s="202">
        <f t="shared" si="64"/>
        <v>0</v>
      </c>
      <c r="Q315" s="203">
        <f t="shared" si="64"/>
        <v>0</v>
      </c>
      <c r="R315" s="157">
        <f ca="1"/>
        <v>97.083529110173131</v>
      </c>
      <c r="T315" s="204">
        <v>0</v>
      </c>
      <c r="U315" s="206">
        <v>0</v>
      </c>
      <c r="V315" s="206">
        <v>0</v>
      </c>
      <c r="W315" s="206">
        <v>0</v>
      </c>
      <c r="X315" s="206">
        <f t="array" ref="X315">IF(X$78&gt;" ",(X$628:X$1078),"")</f>
        <v>0</v>
      </c>
      <c r="Y315" s="206">
        <f t="array" ref="Y315">IF(Y$78&gt;" ",(Y$628:Y$1078),"")</f>
        <v>0</v>
      </c>
      <c r="Z315" s="206">
        <f t="array" ref="Z315">IF(Z$78&gt;" ",(Z$628:Z$1078),"")</f>
        <v>0</v>
      </c>
      <c r="AA315" s="206">
        <f t="array" ref="AA315">IF(AA$78&gt;" ",(AA$628:AA$1078),"")</f>
        <v>0</v>
      </c>
      <c r="AB315" s="210">
        <v>0</v>
      </c>
      <c r="AC315" s="204">
        <f t="shared" si="52"/>
        <v>0</v>
      </c>
      <c r="AD315" s="206">
        <f t="shared" si="53"/>
        <v>0</v>
      </c>
      <c r="AE315" s="206">
        <f t="shared" si="54"/>
        <v>0</v>
      </c>
      <c r="AF315" s="206">
        <f t="shared" si="55"/>
        <v>0</v>
      </c>
      <c r="AG315" s="206">
        <f t="shared" si="56"/>
        <v>0</v>
      </c>
      <c r="AH315" s="206">
        <f t="shared" si="57"/>
        <v>0</v>
      </c>
      <c r="AI315" s="206">
        <f t="shared" si="58"/>
        <v>0</v>
      </c>
      <c r="AJ315" s="206">
        <f t="shared" si="59"/>
        <v>0</v>
      </c>
      <c r="AK315" s="206">
        <f t="shared" si="60"/>
        <v>0</v>
      </c>
      <c r="AL315" s="206">
        <f t="shared" si="61"/>
        <v>0</v>
      </c>
      <c r="AM315" s="214">
        <f t="shared" si="62"/>
        <v>0</v>
      </c>
      <c r="AN315" s="4"/>
      <c r="AO315" s="167">
        <v>1325</v>
      </c>
      <c r="AP315" s="215">
        <v>1.2629981189136712E-3</v>
      </c>
      <c r="AQ315" s="190">
        <v>1.0754670307750456E-3</v>
      </c>
      <c r="AR315" s="190">
        <v>1.6203347747600209E-3</v>
      </c>
      <c r="AS315" s="170">
        <v>1.7316946964768482E-3</v>
      </c>
      <c r="AU315" s="216">
        <v>97.080385588149284</v>
      </c>
      <c r="AV315" s="217">
        <v>97.083529110173131</v>
      </c>
      <c r="AW315" s="217">
        <v>94.558988117733747</v>
      </c>
      <c r="AX315" s="217">
        <v>94.755779735331387</v>
      </c>
      <c r="AY315" s="217"/>
      <c r="AZ315" s="218">
        <v>0</v>
      </c>
      <c r="BA315" s="8"/>
      <c r="BB315" s="219"/>
      <c r="BC315" s="220"/>
    </row>
    <row r="316" spans="15:55" x14ac:dyDescent="0.25">
      <c r="O316" s="195">
        <v>1320</v>
      </c>
      <c r="P316" s="202">
        <f t="shared" si="64"/>
        <v>0</v>
      </c>
      <c r="Q316" s="203">
        <f t="shared" si="64"/>
        <v>0</v>
      </c>
      <c r="R316" s="157">
        <f ca="1"/>
        <v>97.06683727000329</v>
      </c>
      <c r="T316" s="204">
        <v>0</v>
      </c>
      <c r="U316" s="206">
        <v>0</v>
      </c>
      <c r="V316" s="206">
        <v>0</v>
      </c>
      <c r="W316" s="206">
        <v>0</v>
      </c>
      <c r="X316" s="206">
        <f t="array" ref="X316">IF(X$78&gt;" ",(X$628:X$1078),"")</f>
        <v>0</v>
      </c>
      <c r="Y316" s="206">
        <f t="array" ref="Y316">IF(Y$78&gt;" ",(Y$628:Y$1078),"")</f>
        <v>0</v>
      </c>
      <c r="Z316" s="206">
        <f t="array" ref="Z316">IF(Z$78&gt;" ",(Z$628:Z$1078),"")</f>
        <v>0</v>
      </c>
      <c r="AA316" s="206">
        <f t="array" ref="AA316">IF(AA$78&gt;" ",(AA$628:AA$1078),"")</f>
        <v>0</v>
      </c>
      <c r="AB316" s="210">
        <v>0</v>
      </c>
      <c r="AC316" s="204">
        <f t="shared" si="52"/>
        <v>0</v>
      </c>
      <c r="AD316" s="206">
        <f t="shared" si="53"/>
        <v>0</v>
      </c>
      <c r="AE316" s="206">
        <f t="shared" si="54"/>
        <v>0</v>
      </c>
      <c r="AF316" s="206">
        <f t="shared" si="55"/>
        <v>0</v>
      </c>
      <c r="AG316" s="206">
        <f t="shared" si="56"/>
        <v>0</v>
      </c>
      <c r="AH316" s="206">
        <f t="shared" si="57"/>
        <v>0</v>
      </c>
      <c r="AI316" s="206">
        <f t="shared" si="58"/>
        <v>0</v>
      </c>
      <c r="AJ316" s="206">
        <f t="shared" si="59"/>
        <v>0</v>
      </c>
      <c r="AK316" s="206">
        <f t="shared" si="60"/>
        <v>0</v>
      </c>
      <c r="AL316" s="206">
        <f t="shared" si="61"/>
        <v>0</v>
      </c>
      <c r="AM316" s="214">
        <f t="shared" si="62"/>
        <v>0</v>
      </c>
      <c r="AN316" s="4"/>
      <c r="AO316" s="167">
        <v>1320</v>
      </c>
      <c r="AP316" s="215">
        <v>1.4758540630050955E-3</v>
      </c>
      <c r="AQ316" s="190">
        <v>1.2156644306750477E-3</v>
      </c>
      <c r="AR316" s="190">
        <v>1.3009341265079214E-3</v>
      </c>
      <c r="AS316" s="170">
        <v>1.3914894138642134E-3</v>
      </c>
      <c r="AU316" s="216">
        <v>97.070185662681524</v>
      </c>
      <c r="AV316" s="217">
        <v>97.06683727000329</v>
      </c>
      <c r="AW316" s="217">
        <v>94.535190485306472</v>
      </c>
      <c r="AX316" s="217">
        <v>94.721575445163111</v>
      </c>
      <c r="AY316" s="217"/>
      <c r="AZ316" s="218">
        <v>0</v>
      </c>
      <c r="BA316" s="8"/>
      <c r="BB316" s="219"/>
      <c r="BC316" s="220"/>
    </row>
    <row r="317" spans="15:55" x14ac:dyDescent="0.25">
      <c r="O317" s="195">
        <v>1315</v>
      </c>
      <c r="P317" s="202">
        <f t="shared" si="64"/>
        <v>0</v>
      </c>
      <c r="Q317" s="203">
        <f t="shared" si="64"/>
        <v>0</v>
      </c>
      <c r="R317" s="157">
        <f ca="1"/>
        <v>97.071359053502945</v>
      </c>
      <c r="T317" s="204">
        <v>0</v>
      </c>
      <c r="U317" s="206">
        <v>0</v>
      </c>
      <c r="V317" s="206">
        <v>0</v>
      </c>
      <c r="W317" s="206">
        <v>0</v>
      </c>
      <c r="X317" s="206">
        <f t="array" ref="X317">IF(X$78&gt;" ",(X$628:X$1078),"")</f>
        <v>0</v>
      </c>
      <c r="Y317" s="206">
        <f t="array" ref="Y317">IF(Y$78&gt;" ",(Y$628:Y$1078),"")</f>
        <v>0</v>
      </c>
      <c r="Z317" s="206">
        <f t="array" ref="Z317">IF(Z$78&gt;" ",(Z$628:Z$1078),"")</f>
        <v>0</v>
      </c>
      <c r="AA317" s="206">
        <f t="array" ref="AA317">IF(AA$78&gt;" ",(AA$628:AA$1078),"")</f>
        <v>0</v>
      </c>
      <c r="AB317" s="210">
        <v>0</v>
      </c>
      <c r="AC317" s="204">
        <f t="shared" si="52"/>
        <v>0</v>
      </c>
      <c r="AD317" s="206">
        <f t="shared" si="53"/>
        <v>0</v>
      </c>
      <c r="AE317" s="206">
        <f t="shared" si="54"/>
        <v>0</v>
      </c>
      <c r="AF317" s="206">
        <f t="shared" si="55"/>
        <v>0</v>
      </c>
      <c r="AG317" s="206">
        <f t="shared" si="56"/>
        <v>0</v>
      </c>
      <c r="AH317" s="206">
        <f t="shared" si="57"/>
        <v>0</v>
      </c>
      <c r="AI317" s="206">
        <f t="shared" si="58"/>
        <v>0</v>
      </c>
      <c r="AJ317" s="206">
        <f t="shared" si="59"/>
        <v>0</v>
      </c>
      <c r="AK317" s="206">
        <f t="shared" si="60"/>
        <v>0</v>
      </c>
      <c r="AL317" s="206">
        <f t="shared" si="61"/>
        <v>0</v>
      </c>
      <c r="AM317" s="214">
        <f t="shared" si="62"/>
        <v>0</v>
      </c>
      <c r="AN317" s="4"/>
      <c r="AO317" s="167">
        <v>1315</v>
      </c>
      <c r="AP317" s="215">
        <v>1.6325562043411779E-3</v>
      </c>
      <c r="AQ317" s="190">
        <v>1.3558618305750494E-3</v>
      </c>
      <c r="AR317" s="190">
        <v>1.4371520667023384E-3</v>
      </c>
      <c r="AS317" s="170">
        <v>1.5360444796626072E-3</v>
      </c>
      <c r="AU317" s="216">
        <v>97.083755997924243</v>
      </c>
      <c r="AV317" s="217">
        <v>97.071359053502945</v>
      </c>
      <c r="AW317" s="217">
        <v>94.50884678073156</v>
      </c>
      <c r="AX317" s="217">
        <v>94.696866564421768</v>
      </c>
      <c r="AY317" s="217"/>
      <c r="AZ317" s="218">
        <v>0</v>
      </c>
      <c r="BA317" s="8"/>
      <c r="BB317" s="219"/>
      <c r="BC317" s="220"/>
    </row>
    <row r="318" spans="15:55" x14ac:dyDescent="0.25">
      <c r="O318" s="195">
        <v>1310</v>
      </c>
      <c r="P318" s="202">
        <f t="shared" si="64"/>
        <v>0</v>
      </c>
      <c r="Q318" s="203">
        <f t="shared" si="64"/>
        <v>0</v>
      </c>
      <c r="R318" s="157">
        <f ca="1"/>
        <v>97.055697962853344</v>
      </c>
      <c r="T318" s="204">
        <v>0</v>
      </c>
      <c r="U318" s="206">
        <v>0</v>
      </c>
      <c r="V318" s="206">
        <v>0</v>
      </c>
      <c r="W318" s="206">
        <v>0</v>
      </c>
      <c r="X318" s="206">
        <f t="array" ref="X318">IF(X$78&gt;" ",(X$628:X$1078),"")</f>
        <v>0</v>
      </c>
      <c r="Y318" s="206">
        <f t="array" ref="Y318">IF(Y$78&gt;" ",(Y$628:Y$1078),"")</f>
        <v>0</v>
      </c>
      <c r="Z318" s="206">
        <f t="array" ref="Z318">IF(Z$78&gt;" ",(Z$628:Z$1078),"")</f>
        <v>0</v>
      </c>
      <c r="AA318" s="206">
        <f t="array" ref="AA318">IF(AA$78&gt;" ",(AA$628:AA$1078),"")</f>
        <v>0</v>
      </c>
      <c r="AB318" s="210">
        <v>0</v>
      </c>
      <c r="AC318" s="204">
        <f t="shared" si="52"/>
        <v>0</v>
      </c>
      <c r="AD318" s="206">
        <f t="shared" si="53"/>
        <v>0</v>
      </c>
      <c r="AE318" s="206">
        <f t="shared" si="54"/>
        <v>0</v>
      </c>
      <c r="AF318" s="206">
        <f t="shared" si="55"/>
        <v>0</v>
      </c>
      <c r="AG318" s="206">
        <f t="shared" si="56"/>
        <v>0</v>
      </c>
      <c r="AH318" s="206">
        <f t="shared" si="57"/>
        <v>0</v>
      </c>
      <c r="AI318" s="206">
        <f t="shared" si="58"/>
        <v>0</v>
      </c>
      <c r="AJ318" s="206">
        <f t="shared" si="59"/>
        <v>0</v>
      </c>
      <c r="AK318" s="206">
        <f t="shared" si="60"/>
        <v>0</v>
      </c>
      <c r="AL318" s="206">
        <f t="shared" si="61"/>
        <v>0</v>
      </c>
      <c r="AM318" s="214">
        <f t="shared" si="62"/>
        <v>0</v>
      </c>
      <c r="AN318" s="4"/>
      <c r="AO318" s="167">
        <v>1310</v>
      </c>
      <c r="AP318" s="215">
        <v>1.7891922823799014E-3</v>
      </c>
      <c r="AQ318" s="190">
        <v>1.4960592304750517E-3</v>
      </c>
      <c r="AR318" s="190">
        <v>1.5142366375100319E-3</v>
      </c>
      <c r="AS318" s="170">
        <v>1.6178079140921283E-3</v>
      </c>
      <c r="AU318" s="216">
        <v>97.082163513910885</v>
      </c>
      <c r="AV318" s="217">
        <v>97.055697962853344</v>
      </c>
      <c r="AW318" s="217">
        <v>94.505634724618588</v>
      </c>
      <c r="AX318" s="217">
        <v>94.694662475191237</v>
      </c>
      <c r="AY318" s="217"/>
      <c r="AZ318" s="218">
        <v>0</v>
      </c>
      <c r="BA318" s="8"/>
      <c r="BB318" s="219"/>
      <c r="BC318" s="220"/>
    </row>
    <row r="319" spans="15:55" x14ac:dyDescent="0.25">
      <c r="O319" s="195">
        <v>1305</v>
      </c>
      <c r="P319" s="202">
        <f t="shared" si="64"/>
        <v>0</v>
      </c>
      <c r="Q319" s="203">
        <f t="shared" si="64"/>
        <v>0</v>
      </c>
      <c r="R319" s="157">
        <f ca="1"/>
        <v>97.067181911391728</v>
      </c>
      <c r="T319" s="204">
        <v>0</v>
      </c>
      <c r="U319" s="206">
        <v>0</v>
      </c>
      <c r="V319" s="206">
        <v>0</v>
      </c>
      <c r="W319" s="206">
        <v>0</v>
      </c>
      <c r="X319" s="206">
        <f t="array" ref="X319">IF(X$78&gt;" ",(X$628:X$1078),"")</f>
        <v>0</v>
      </c>
      <c r="Y319" s="206">
        <f t="array" ref="Y319">IF(Y$78&gt;" ",(Y$628:Y$1078),"")</f>
        <v>0</v>
      </c>
      <c r="Z319" s="206">
        <f t="array" ref="Z319">IF(Z$78&gt;" ",(Z$628:Z$1078),"")</f>
        <v>0</v>
      </c>
      <c r="AA319" s="206">
        <f t="array" ref="AA319">IF(AA$78&gt;" ",(AA$628:AA$1078),"")</f>
        <v>0</v>
      </c>
      <c r="AB319" s="210">
        <v>0</v>
      </c>
      <c r="AC319" s="204">
        <f t="shared" si="52"/>
        <v>0</v>
      </c>
      <c r="AD319" s="206">
        <f t="shared" si="53"/>
        <v>0</v>
      </c>
      <c r="AE319" s="206">
        <f t="shared" si="54"/>
        <v>0</v>
      </c>
      <c r="AF319" s="206">
        <f t="shared" si="55"/>
        <v>0</v>
      </c>
      <c r="AG319" s="206">
        <f t="shared" si="56"/>
        <v>0</v>
      </c>
      <c r="AH319" s="206">
        <f t="shared" si="57"/>
        <v>0</v>
      </c>
      <c r="AI319" s="206">
        <f t="shared" si="58"/>
        <v>0</v>
      </c>
      <c r="AJ319" s="206">
        <f t="shared" si="59"/>
        <v>0</v>
      </c>
      <c r="AK319" s="206">
        <f t="shared" si="60"/>
        <v>0</v>
      </c>
      <c r="AL319" s="206">
        <f t="shared" si="61"/>
        <v>0</v>
      </c>
      <c r="AM319" s="214">
        <f t="shared" si="62"/>
        <v>0</v>
      </c>
      <c r="AN319" s="4"/>
      <c r="AO319" s="167">
        <v>1305</v>
      </c>
      <c r="AP319" s="215">
        <v>1.9458944237159841E-3</v>
      </c>
      <c r="AQ319" s="190">
        <v>1.6362566303750536E-3</v>
      </c>
      <c r="AR319" s="190">
        <v>1.9299804284024055E-3</v>
      </c>
      <c r="AS319" s="170">
        <v>2.0585245781116215E-3</v>
      </c>
      <c r="AU319" s="216">
        <v>97.059239550716185</v>
      </c>
      <c r="AV319" s="217">
        <v>97.067181911391728</v>
      </c>
      <c r="AW319" s="217">
        <v>94.484232129400723</v>
      </c>
      <c r="AX319" s="217">
        <v>94.676074376635214</v>
      </c>
      <c r="AY319" s="217"/>
      <c r="AZ319" s="218">
        <v>0</v>
      </c>
      <c r="BA319" s="8"/>
      <c r="BB319" s="219"/>
      <c r="BC319" s="220"/>
    </row>
    <row r="320" spans="15:55" x14ac:dyDescent="0.25">
      <c r="O320" s="195">
        <v>1300</v>
      </c>
      <c r="P320" s="202">
        <f t="shared" ref="P320:Q335" si="65">P868</f>
        <v>0</v>
      </c>
      <c r="Q320" s="203">
        <f t="shared" si="65"/>
        <v>0</v>
      </c>
      <c r="R320" s="157">
        <f ca="1"/>
        <v>97.039836468937878</v>
      </c>
      <c r="T320" s="204">
        <v>0</v>
      </c>
      <c r="U320" s="206">
        <v>0</v>
      </c>
      <c r="V320" s="206">
        <v>0</v>
      </c>
      <c r="W320" s="206">
        <v>0</v>
      </c>
      <c r="X320" s="206">
        <f t="array" ref="X320">IF(X$78&gt;" ",(X$628:X$1078),"")</f>
        <v>0</v>
      </c>
      <c r="Y320" s="206">
        <f t="array" ref="Y320">IF(Y$78&gt;" ",(Y$628:Y$1078),"")</f>
        <v>0</v>
      </c>
      <c r="Z320" s="206">
        <f t="array" ref="Z320">IF(Z$78&gt;" ",(Z$628:Z$1078),"")</f>
        <v>0</v>
      </c>
      <c r="AA320" s="206">
        <f t="array" ref="AA320">IF(AA$78&gt;" ",(AA$628:AA$1078),"")</f>
        <v>0</v>
      </c>
      <c r="AB320" s="210">
        <v>0</v>
      </c>
      <c r="AC320" s="204">
        <f t="shared" si="52"/>
        <v>0</v>
      </c>
      <c r="AD320" s="206">
        <f t="shared" si="53"/>
        <v>0</v>
      </c>
      <c r="AE320" s="206">
        <f t="shared" si="54"/>
        <v>0</v>
      </c>
      <c r="AF320" s="206">
        <f t="shared" si="55"/>
        <v>0</v>
      </c>
      <c r="AG320" s="206">
        <f t="shared" si="56"/>
        <v>0</v>
      </c>
      <c r="AH320" s="206">
        <f t="shared" si="57"/>
        <v>0</v>
      </c>
      <c r="AI320" s="206">
        <f t="shared" si="58"/>
        <v>0</v>
      </c>
      <c r="AJ320" s="206">
        <f t="shared" si="59"/>
        <v>0</v>
      </c>
      <c r="AK320" s="206">
        <f t="shared" si="60"/>
        <v>0</v>
      </c>
      <c r="AL320" s="206">
        <f t="shared" si="61"/>
        <v>0</v>
      </c>
      <c r="AM320" s="214">
        <f t="shared" si="62"/>
        <v>0</v>
      </c>
      <c r="AN320" s="4"/>
      <c r="AO320" s="167">
        <v>1300</v>
      </c>
      <c r="AP320" s="215">
        <v>2.1025965650520667E-3</v>
      </c>
      <c r="AQ320" s="190">
        <v>1.7764540302750557E-3</v>
      </c>
      <c r="AR320" s="190">
        <v>1.7756101528775402E-3</v>
      </c>
      <c r="AS320" s="170">
        <v>1.8946619251276118E-3</v>
      </c>
      <c r="AU320" s="216">
        <v>97.028699530823246</v>
      </c>
      <c r="AV320" s="217">
        <v>97.039836468937878</v>
      </c>
      <c r="AW320" s="217">
        <v>94.46444127042065</v>
      </c>
      <c r="AX320" s="217">
        <v>94.657904450182173</v>
      </c>
      <c r="AY320" s="217"/>
      <c r="AZ320" s="218">
        <v>0</v>
      </c>
      <c r="BA320" s="8"/>
      <c r="BB320" s="219"/>
      <c r="BC320" s="220"/>
    </row>
    <row r="321" spans="15:55" x14ac:dyDescent="0.25">
      <c r="O321" s="195">
        <v>1295</v>
      </c>
      <c r="P321" s="202">
        <f t="shared" si="65"/>
        <v>0</v>
      </c>
      <c r="Q321" s="203">
        <f t="shared" si="65"/>
        <v>0</v>
      </c>
      <c r="R321" s="157">
        <f ca="1"/>
        <v>97.03770408186142</v>
      </c>
      <c r="T321" s="204">
        <v>0</v>
      </c>
      <c r="U321" s="206">
        <v>0</v>
      </c>
      <c r="V321" s="206">
        <v>0</v>
      </c>
      <c r="W321" s="206">
        <v>0</v>
      </c>
      <c r="X321" s="206">
        <f t="array" ref="X321">IF(X$78&gt;" ",(X$628:X$1078),"")</f>
        <v>0</v>
      </c>
      <c r="Y321" s="206">
        <f t="array" ref="Y321">IF(Y$78&gt;" ",(Y$628:Y$1078),"")</f>
        <v>0</v>
      </c>
      <c r="Z321" s="206">
        <f t="array" ref="Z321">IF(Z$78&gt;" ",(Z$628:Z$1078),"")</f>
        <v>0</v>
      </c>
      <c r="AA321" s="206">
        <f t="array" ref="AA321">IF(AA$78&gt;" ",(AA$628:AA$1078),"")</f>
        <v>0</v>
      </c>
      <c r="AB321" s="210">
        <v>0</v>
      </c>
      <c r="AC321" s="204">
        <f t="shared" si="52"/>
        <v>0</v>
      </c>
      <c r="AD321" s="206">
        <f t="shared" si="53"/>
        <v>0</v>
      </c>
      <c r="AE321" s="206">
        <f t="shared" si="54"/>
        <v>0</v>
      </c>
      <c r="AF321" s="206">
        <f t="shared" si="55"/>
        <v>0</v>
      </c>
      <c r="AG321" s="206">
        <f t="shared" si="56"/>
        <v>0</v>
      </c>
      <c r="AH321" s="206">
        <f t="shared" si="57"/>
        <v>0</v>
      </c>
      <c r="AI321" s="206">
        <f t="shared" si="58"/>
        <v>0</v>
      </c>
      <c r="AJ321" s="206">
        <f t="shared" si="59"/>
        <v>0</v>
      </c>
      <c r="AK321" s="206">
        <f t="shared" si="60"/>
        <v>0</v>
      </c>
      <c r="AL321" s="206">
        <f t="shared" si="61"/>
        <v>0</v>
      </c>
      <c r="AM321" s="214">
        <f t="shared" si="62"/>
        <v>0</v>
      </c>
      <c r="AN321" s="4"/>
      <c r="AO321" s="167">
        <v>1295</v>
      </c>
      <c r="AP321" s="215">
        <v>2.2592326430907902E-3</v>
      </c>
      <c r="AQ321" s="190">
        <v>1.8326810614202789E-3</v>
      </c>
      <c r="AR321" s="190">
        <v>2.0371848021545273E-3</v>
      </c>
      <c r="AS321" s="170">
        <v>2.1714599721422679E-3</v>
      </c>
      <c r="AU321" s="216">
        <v>97.03795495216923</v>
      </c>
      <c r="AV321" s="217">
        <v>97.03770408186142</v>
      </c>
      <c r="AW321" s="217">
        <v>94.45820167962728</v>
      </c>
      <c r="AX321" s="217">
        <v>94.665301732759829</v>
      </c>
      <c r="AY321" s="217"/>
      <c r="AZ321" s="218">
        <v>0</v>
      </c>
      <c r="BA321" s="8"/>
      <c r="BB321" s="219"/>
      <c r="BC321" s="220"/>
    </row>
    <row r="322" spans="15:55" x14ac:dyDescent="0.25">
      <c r="O322" s="195">
        <v>1290</v>
      </c>
      <c r="P322" s="202">
        <f t="shared" si="65"/>
        <v>0</v>
      </c>
      <c r="Q322" s="203">
        <f t="shared" si="65"/>
        <v>0</v>
      </c>
      <c r="R322" s="157">
        <f ca="1"/>
        <v>97.030777790772007</v>
      </c>
      <c r="T322" s="204">
        <v>0</v>
      </c>
      <c r="U322" s="206">
        <v>0</v>
      </c>
      <c r="V322" s="206">
        <v>0</v>
      </c>
      <c r="W322" s="206">
        <v>0</v>
      </c>
      <c r="X322" s="206">
        <f t="array" ref="X322">IF(X$78&gt;" ",(X$628:X$1078),"")</f>
        <v>0</v>
      </c>
      <c r="Y322" s="206">
        <f t="array" ref="Y322">IF(Y$78&gt;" ",(Y$628:Y$1078),"")</f>
        <v>0</v>
      </c>
      <c r="Z322" s="206">
        <f t="array" ref="Z322">IF(Z$78&gt;" ",(Z$628:Z$1078),"")</f>
        <v>0</v>
      </c>
      <c r="AA322" s="206">
        <f t="array" ref="AA322">IF(AA$78&gt;" ",(AA$628:AA$1078),"")</f>
        <v>0</v>
      </c>
      <c r="AB322" s="210">
        <v>0</v>
      </c>
      <c r="AC322" s="204">
        <f t="shared" si="52"/>
        <v>0</v>
      </c>
      <c r="AD322" s="206">
        <f t="shared" si="53"/>
        <v>0</v>
      </c>
      <c r="AE322" s="206">
        <f t="shared" si="54"/>
        <v>0</v>
      </c>
      <c r="AF322" s="206">
        <f t="shared" si="55"/>
        <v>0</v>
      </c>
      <c r="AG322" s="206">
        <f t="shared" si="56"/>
        <v>0</v>
      </c>
      <c r="AH322" s="206">
        <f t="shared" si="57"/>
        <v>0</v>
      </c>
      <c r="AI322" s="206">
        <f t="shared" si="58"/>
        <v>0</v>
      </c>
      <c r="AJ322" s="206">
        <f t="shared" si="59"/>
        <v>0</v>
      </c>
      <c r="AK322" s="206">
        <f t="shared" si="60"/>
        <v>0</v>
      </c>
      <c r="AL322" s="206">
        <f t="shared" si="61"/>
        <v>0</v>
      </c>
      <c r="AM322" s="214">
        <f t="shared" si="62"/>
        <v>0</v>
      </c>
      <c r="AN322" s="4"/>
      <c r="AO322" s="167">
        <v>1290</v>
      </c>
      <c r="AP322" s="215">
        <v>2.4159347844268726E-3</v>
      </c>
      <c r="AQ322" s="190">
        <v>1.888908092565502E-3</v>
      </c>
      <c r="AR322" s="190">
        <v>2.0759533632065375E-3</v>
      </c>
      <c r="AS322" s="170">
        <v>2.2118100311591636E-3</v>
      </c>
      <c r="AU322" s="216">
        <v>97.046020447504532</v>
      </c>
      <c r="AV322" s="217">
        <v>97.030777790772007</v>
      </c>
      <c r="AW322" s="217">
        <v>94.442309346832147</v>
      </c>
      <c r="AX322" s="217">
        <v>94.636129972856835</v>
      </c>
      <c r="AY322" s="217"/>
      <c r="AZ322" s="218">
        <v>0</v>
      </c>
      <c r="BA322" s="8"/>
      <c r="BB322" s="219"/>
      <c r="BC322" s="220"/>
    </row>
    <row r="323" spans="15:55" x14ac:dyDescent="0.25">
      <c r="O323" s="195">
        <v>1285</v>
      </c>
      <c r="P323" s="202">
        <f t="shared" si="65"/>
        <v>0</v>
      </c>
      <c r="Q323" s="203">
        <f t="shared" si="65"/>
        <v>0</v>
      </c>
      <c r="R323" s="157">
        <f ca="1"/>
        <v>97.044019877053032</v>
      </c>
      <c r="T323" s="204">
        <v>0</v>
      </c>
      <c r="U323" s="206">
        <v>0</v>
      </c>
      <c r="V323" s="206">
        <v>0</v>
      </c>
      <c r="W323" s="206">
        <v>0</v>
      </c>
      <c r="X323" s="206">
        <f t="array" ref="X323">IF(X$78&gt;" ",(X$628:X$1078),"")</f>
        <v>0</v>
      </c>
      <c r="Y323" s="206">
        <f t="array" ref="Y323">IF(Y$78&gt;" ",(Y$628:Y$1078),"")</f>
        <v>0</v>
      </c>
      <c r="Z323" s="206">
        <f t="array" ref="Z323">IF(Z$78&gt;" ",(Z$628:Z$1078),"")</f>
        <v>0</v>
      </c>
      <c r="AA323" s="206">
        <f t="array" ref="AA323">IF(AA$78&gt;" ",(AA$628:AA$1078),"")</f>
        <v>0</v>
      </c>
      <c r="AB323" s="210">
        <v>0</v>
      </c>
      <c r="AC323" s="204">
        <f t="shared" si="52"/>
        <v>0</v>
      </c>
      <c r="AD323" s="206">
        <f t="shared" si="53"/>
        <v>0</v>
      </c>
      <c r="AE323" s="206">
        <f t="shared" si="54"/>
        <v>0</v>
      </c>
      <c r="AF323" s="206">
        <f t="shared" si="55"/>
        <v>0</v>
      </c>
      <c r="AG323" s="206">
        <f t="shared" si="56"/>
        <v>0</v>
      </c>
      <c r="AH323" s="206">
        <f t="shared" si="57"/>
        <v>0</v>
      </c>
      <c r="AI323" s="206">
        <f t="shared" si="58"/>
        <v>0</v>
      </c>
      <c r="AJ323" s="206">
        <f t="shared" si="59"/>
        <v>0</v>
      </c>
      <c r="AK323" s="206">
        <f t="shared" si="60"/>
        <v>0</v>
      </c>
      <c r="AL323" s="206">
        <f t="shared" si="61"/>
        <v>0</v>
      </c>
      <c r="AM323" s="214">
        <f t="shared" si="62"/>
        <v>0</v>
      </c>
      <c r="AN323" s="4"/>
      <c r="AO323" s="167">
        <v>1285</v>
      </c>
      <c r="AP323" s="215">
        <v>2.450684078837825E-3</v>
      </c>
      <c r="AQ323" s="190">
        <v>1.9451351237107248E-3</v>
      </c>
      <c r="AR323" s="190">
        <v>2.1319691569963418E-3</v>
      </c>
      <c r="AS323" s="170">
        <v>2.2708520731325689E-3</v>
      </c>
      <c r="AU323" s="216">
        <v>97.018333398322497</v>
      </c>
      <c r="AV323" s="217">
        <v>97.044019877053032</v>
      </c>
      <c r="AW323" s="217">
        <v>94.403254285319278</v>
      </c>
      <c r="AX323" s="217">
        <v>94.601859358975119</v>
      </c>
      <c r="AY323" s="217"/>
      <c r="AZ323" s="218">
        <v>0</v>
      </c>
      <c r="BA323" s="8"/>
      <c r="BB323" s="219"/>
      <c r="BC323" s="220"/>
    </row>
    <row r="324" spans="15:55" x14ac:dyDescent="0.25">
      <c r="O324" s="195">
        <v>1280</v>
      </c>
      <c r="P324" s="202">
        <f t="shared" si="65"/>
        <v>0</v>
      </c>
      <c r="Q324" s="203">
        <f t="shared" si="65"/>
        <v>0</v>
      </c>
      <c r="R324" s="156">
        <f ca="1"/>
        <v>97.007611843859237</v>
      </c>
      <c r="T324" s="204">
        <v>0</v>
      </c>
      <c r="U324" s="206">
        <v>0</v>
      </c>
      <c r="V324" s="206">
        <v>0</v>
      </c>
      <c r="W324" s="206">
        <v>0</v>
      </c>
      <c r="X324" s="206">
        <f t="array" ref="X324">IF(X$78&gt;" ",(X$628:X$1078),"")</f>
        <v>0</v>
      </c>
      <c r="Y324" s="206">
        <f t="array" ref="Y324">IF(Y$78&gt;" ",(Y$628:Y$1078),"")</f>
        <v>0</v>
      </c>
      <c r="Z324" s="206">
        <f t="array" ref="Z324">IF(Z$78&gt;" ",(Z$628:Z$1078),"")</f>
        <v>0</v>
      </c>
      <c r="AA324" s="206">
        <f t="array" ref="AA324">IF(AA$78&gt;" ",(AA$628:AA$1078),"")</f>
        <v>0</v>
      </c>
      <c r="AB324" s="210">
        <v>0</v>
      </c>
      <c r="AC324" s="204">
        <f t="shared" si="52"/>
        <v>0</v>
      </c>
      <c r="AD324" s="206">
        <f t="shared" si="53"/>
        <v>0</v>
      </c>
      <c r="AE324" s="206">
        <f t="shared" si="54"/>
        <v>0</v>
      </c>
      <c r="AF324" s="206">
        <f t="shared" si="55"/>
        <v>0</v>
      </c>
      <c r="AG324" s="206">
        <f t="shared" si="56"/>
        <v>0</v>
      </c>
      <c r="AH324" s="206">
        <f t="shared" si="57"/>
        <v>0</v>
      </c>
      <c r="AI324" s="206">
        <f t="shared" si="58"/>
        <v>0</v>
      </c>
      <c r="AJ324" s="206">
        <f t="shared" si="59"/>
        <v>0</v>
      </c>
      <c r="AK324" s="206">
        <f t="shared" si="60"/>
        <v>0</v>
      </c>
      <c r="AL324" s="206">
        <f t="shared" si="61"/>
        <v>0</v>
      </c>
      <c r="AM324" s="214">
        <f t="shared" si="62"/>
        <v>0</v>
      </c>
      <c r="AN324" s="4"/>
      <c r="AO324" s="167">
        <v>1280</v>
      </c>
      <c r="AP324" s="215">
        <v>2.4854994365461373E-3</v>
      </c>
      <c r="AQ324" s="190">
        <v>2.001362154855948E-3</v>
      </c>
      <c r="AR324" s="190">
        <v>2.1221638789092577E-3</v>
      </c>
      <c r="AS324" s="170">
        <v>2.2602189091752729E-3</v>
      </c>
      <c r="AU324" s="216">
        <v>97.023372335989976</v>
      </c>
      <c r="AV324" s="217">
        <v>97.007611843859237</v>
      </c>
      <c r="AW324" s="217">
        <v>94.39067732999338</v>
      </c>
      <c r="AX324" s="217">
        <v>94.587551956793575</v>
      </c>
      <c r="AY324" s="217"/>
      <c r="AZ324" s="218">
        <v>0</v>
      </c>
      <c r="BA324" s="8"/>
      <c r="BB324" s="219"/>
      <c r="BC324" s="220"/>
    </row>
    <row r="325" spans="15:55" x14ac:dyDescent="0.25">
      <c r="O325" s="195">
        <v>1275</v>
      </c>
      <c r="P325" s="202">
        <f t="shared" si="65"/>
        <v>0</v>
      </c>
      <c r="Q325" s="203">
        <f t="shared" si="65"/>
        <v>0</v>
      </c>
      <c r="R325" s="156">
        <f ca="1"/>
        <v>97.01747467036104</v>
      </c>
      <c r="T325" s="204">
        <v>0</v>
      </c>
      <c r="U325" s="206">
        <v>0</v>
      </c>
      <c r="V325" s="206">
        <v>0</v>
      </c>
      <c r="W325" s="206">
        <v>0</v>
      </c>
      <c r="X325" s="206">
        <f t="array" ref="X325">IF(X$78&gt;" ",(X$628:X$1078),"")</f>
        <v>0</v>
      </c>
      <c r="Y325" s="206">
        <f t="array" ref="Y325">IF(Y$78&gt;" ",(Y$628:Y$1078),"")</f>
        <v>0</v>
      </c>
      <c r="Z325" s="206">
        <f t="array" ref="Z325">IF(Z$78&gt;" ",(Z$628:Z$1078),"")</f>
        <v>0</v>
      </c>
      <c r="AA325" s="206">
        <f t="array" ref="AA325">IF(AA$78&gt;" ",(AA$628:AA$1078),"")</f>
        <v>0</v>
      </c>
      <c r="AB325" s="210">
        <v>0</v>
      </c>
      <c r="AC325" s="204">
        <f t="shared" si="52"/>
        <v>0</v>
      </c>
      <c r="AD325" s="206">
        <f t="shared" si="53"/>
        <v>0</v>
      </c>
      <c r="AE325" s="206">
        <f t="shared" si="54"/>
        <v>0</v>
      </c>
      <c r="AF325" s="206">
        <f t="shared" si="55"/>
        <v>0</v>
      </c>
      <c r="AG325" s="206">
        <f t="shared" si="56"/>
        <v>0</v>
      </c>
      <c r="AH325" s="206">
        <f t="shared" si="57"/>
        <v>0</v>
      </c>
      <c r="AI325" s="206">
        <f t="shared" si="58"/>
        <v>0</v>
      </c>
      <c r="AJ325" s="206">
        <f t="shared" si="59"/>
        <v>0</v>
      </c>
      <c r="AK325" s="206">
        <f t="shared" si="60"/>
        <v>0</v>
      </c>
      <c r="AL325" s="206">
        <f t="shared" si="61"/>
        <v>0</v>
      </c>
      <c r="AM325" s="214">
        <f t="shared" si="62"/>
        <v>0</v>
      </c>
      <c r="AN325" s="4"/>
      <c r="AO325" s="167">
        <v>1275</v>
      </c>
      <c r="AP325" s="215">
        <v>2.5202487309570897E-3</v>
      </c>
      <c r="AQ325" s="190">
        <v>2.0575891860011714E-3</v>
      </c>
      <c r="AR325" s="190">
        <v>2.0733386223833147E-3</v>
      </c>
      <c r="AS325" s="170">
        <v>2.2080604417636959E-3</v>
      </c>
      <c r="AU325" s="216">
        <v>97.029839700231378</v>
      </c>
      <c r="AV325" s="217">
        <v>97.01747467036104</v>
      </c>
      <c r="AW325" s="217">
        <v>94.392243923859482</v>
      </c>
      <c r="AX325" s="217">
        <v>94.580516076938025</v>
      </c>
      <c r="AY325" s="217"/>
      <c r="AZ325" s="218">
        <v>0</v>
      </c>
      <c r="BA325" s="8"/>
      <c r="BB325" s="219"/>
      <c r="BC325" s="220"/>
    </row>
    <row r="326" spans="15:55" x14ac:dyDescent="0.25">
      <c r="O326" s="195">
        <v>1270</v>
      </c>
      <c r="P326" s="202">
        <f t="shared" si="65"/>
        <v>0</v>
      </c>
      <c r="Q326" s="203">
        <f t="shared" si="65"/>
        <v>0</v>
      </c>
      <c r="R326" s="156">
        <f ca="1"/>
        <v>97.009237685147582</v>
      </c>
      <c r="T326" s="204">
        <v>0</v>
      </c>
      <c r="U326" s="206">
        <v>0</v>
      </c>
      <c r="V326" s="206">
        <v>0</v>
      </c>
      <c r="W326" s="206">
        <v>0</v>
      </c>
      <c r="X326" s="206">
        <f t="array" ref="X326">IF(X$78&gt;" ",(X$628:X$1078),"")</f>
        <v>0</v>
      </c>
      <c r="Y326" s="206">
        <f t="array" ref="Y326">IF(Y$78&gt;" ",(Y$628:Y$1078),"")</f>
        <v>0</v>
      </c>
      <c r="Z326" s="206">
        <f t="array" ref="Z326">IF(Z$78&gt;" ",(Z$628:Z$1078),"")</f>
        <v>0</v>
      </c>
      <c r="AA326" s="206">
        <f t="array" ref="AA326">IF(AA$78&gt;" ",(AA$628:AA$1078),"")</f>
        <v>0</v>
      </c>
      <c r="AB326" s="210">
        <v>0</v>
      </c>
      <c r="AC326" s="204">
        <f t="shared" si="52"/>
        <v>0</v>
      </c>
      <c r="AD326" s="206">
        <f t="shared" si="53"/>
        <v>0</v>
      </c>
      <c r="AE326" s="206">
        <f t="shared" si="54"/>
        <v>0</v>
      </c>
      <c r="AF326" s="206">
        <f t="shared" si="55"/>
        <v>0</v>
      </c>
      <c r="AG326" s="206">
        <f t="shared" si="56"/>
        <v>0</v>
      </c>
      <c r="AH326" s="206">
        <f t="shared" si="57"/>
        <v>0</v>
      </c>
      <c r="AI326" s="206">
        <f t="shared" si="58"/>
        <v>0</v>
      </c>
      <c r="AJ326" s="206">
        <f t="shared" si="59"/>
        <v>0</v>
      </c>
      <c r="AK326" s="206">
        <f t="shared" si="60"/>
        <v>0</v>
      </c>
      <c r="AL326" s="206">
        <f t="shared" si="61"/>
        <v>0</v>
      </c>
      <c r="AM326" s="214">
        <f t="shared" si="62"/>
        <v>0</v>
      </c>
      <c r="AN326" s="4"/>
      <c r="AO326" s="167">
        <v>1270</v>
      </c>
      <c r="AP326" s="215">
        <v>2.554998025368042E-3</v>
      </c>
      <c r="AQ326" s="190">
        <v>2.1138162171463943E-3</v>
      </c>
      <c r="AR326" s="190">
        <v>1.9481830472102236E-3</v>
      </c>
      <c r="AS326" s="170">
        <v>2.0755376404432944E-3</v>
      </c>
      <c r="AU326" s="216">
        <v>97.009677060969253</v>
      </c>
      <c r="AV326" s="217">
        <v>97.009237685147582</v>
      </c>
      <c r="AW326" s="217">
        <v>94.367829426882111</v>
      </c>
      <c r="AX326" s="217">
        <v>94.56143019551034</v>
      </c>
      <c r="AY326" s="217"/>
      <c r="AZ326" s="218">
        <v>0</v>
      </c>
      <c r="BA326" s="8"/>
      <c r="BB326" s="219"/>
      <c r="BC326" s="220"/>
    </row>
    <row r="327" spans="15:55" x14ac:dyDescent="0.25">
      <c r="O327" s="195">
        <v>1265</v>
      </c>
      <c r="P327" s="202">
        <f t="shared" si="65"/>
        <v>0</v>
      </c>
      <c r="Q327" s="203">
        <f t="shared" si="65"/>
        <v>0</v>
      </c>
      <c r="R327" s="156">
        <f ca="1"/>
        <v>96.998292355118338</v>
      </c>
      <c r="T327" s="204">
        <v>0</v>
      </c>
      <c r="U327" s="206">
        <v>0</v>
      </c>
      <c r="V327" s="206">
        <v>0</v>
      </c>
      <c r="W327" s="206">
        <v>0</v>
      </c>
      <c r="X327" s="206">
        <f t="array" ref="X327">IF(X$78&gt;" ",(X$628:X$1078),"")</f>
        <v>0</v>
      </c>
      <c r="Y327" s="206">
        <f t="array" ref="Y327">IF(Y$78&gt;" ",(Y$628:Y$1078),"")</f>
        <v>0</v>
      </c>
      <c r="Z327" s="206">
        <f t="array" ref="Z327">IF(Z$78&gt;" ",(Z$628:Z$1078),"")</f>
        <v>0</v>
      </c>
      <c r="AA327" s="206">
        <f t="array" ref="AA327">IF(AA$78&gt;" ",(AA$628:AA$1078),"")</f>
        <v>0</v>
      </c>
      <c r="AB327" s="210">
        <v>0</v>
      </c>
      <c r="AC327" s="204">
        <f t="shared" si="52"/>
        <v>0</v>
      </c>
      <c r="AD327" s="206">
        <f t="shared" si="53"/>
        <v>0</v>
      </c>
      <c r="AE327" s="206">
        <f t="shared" si="54"/>
        <v>0</v>
      </c>
      <c r="AF327" s="206">
        <f t="shared" si="55"/>
        <v>0</v>
      </c>
      <c r="AG327" s="206">
        <f t="shared" si="56"/>
        <v>0</v>
      </c>
      <c r="AH327" s="206">
        <f t="shared" si="57"/>
        <v>0</v>
      </c>
      <c r="AI327" s="206">
        <f t="shared" si="58"/>
        <v>0</v>
      </c>
      <c r="AJ327" s="206">
        <f t="shared" si="59"/>
        <v>0</v>
      </c>
      <c r="AK327" s="206">
        <f t="shared" si="60"/>
        <v>0</v>
      </c>
      <c r="AL327" s="206">
        <f t="shared" si="61"/>
        <v>0</v>
      </c>
      <c r="AM327" s="214">
        <f t="shared" si="62"/>
        <v>0</v>
      </c>
      <c r="AN327" s="4"/>
      <c r="AO327" s="167">
        <v>1265</v>
      </c>
      <c r="AP327" s="215">
        <v>2.5898133830763539E-3</v>
      </c>
      <c r="AQ327" s="190">
        <v>2.1700432482916173E-3</v>
      </c>
      <c r="AR327" s="190">
        <v>1.9897171995175655E-3</v>
      </c>
      <c r="AS327" s="170">
        <v>2.1194134327723463E-3</v>
      </c>
      <c r="AU327" s="216">
        <v>96.993635424929607</v>
      </c>
      <c r="AV327" s="217">
        <v>96.998292355118338</v>
      </c>
      <c r="AW327" s="217">
        <v>94.362339442787473</v>
      </c>
      <c r="AX327" s="217">
        <v>94.56199027833712</v>
      </c>
      <c r="AY327" s="217"/>
      <c r="AZ327" s="218">
        <v>0</v>
      </c>
      <c r="BA327" s="8"/>
      <c r="BB327" s="219"/>
      <c r="BC327" s="220"/>
    </row>
    <row r="328" spans="15:55" x14ac:dyDescent="0.25">
      <c r="O328" s="195">
        <v>1260</v>
      </c>
      <c r="P328" s="202">
        <f t="shared" si="65"/>
        <v>0</v>
      </c>
      <c r="Q328" s="203">
        <f t="shared" si="65"/>
        <v>0</v>
      </c>
      <c r="R328" s="157">
        <f ca="1"/>
        <v>96.987482063010305</v>
      </c>
      <c r="T328" s="204">
        <v>0</v>
      </c>
      <c r="U328" s="206">
        <v>0</v>
      </c>
      <c r="V328" s="206">
        <v>0</v>
      </c>
      <c r="W328" s="206">
        <v>0</v>
      </c>
      <c r="X328" s="206">
        <f t="array" ref="X328">IF(X$78&gt;" ",(X$628:X$1078),"")</f>
        <v>0</v>
      </c>
      <c r="Y328" s="206">
        <f t="array" ref="Y328">IF(Y$78&gt;" ",(Y$628:Y$1078),"")</f>
        <v>0</v>
      </c>
      <c r="Z328" s="206">
        <f t="array" ref="Z328">IF(Z$78&gt;" ",(Z$628:Z$1078),"")</f>
        <v>0</v>
      </c>
      <c r="AA328" s="206">
        <f t="array" ref="AA328">IF(AA$78&gt;" ",(AA$628:AA$1078),"")</f>
        <v>0</v>
      </c>
      <c r="AB328" s="210">
        <v>0</v>
      </c>
      <c r="AC328" s="204">
        <f t="shared" si="52"/>
        <v>0</v>
      </c>
      <c r="AD328" s="206">
        <f t="shared" si="53"/>
        <v>0</v>
      </c>
      <c r="AE328" s="206">
        <f t="shared" si="54"/>
        <v>0</v>
      </c>
      <c r="AF328" s="206">
        <f t="shared" si="55"/>
        <v>0</v>
      </c>
      <c r="AG328" s="206">
        <f t="shared" si="56"/>
        <v>0</v>
      </c>
      <c r="AH328" s="206">
        <f t="shared" si="57"/>
        <v>0</v>
      </c>
      <c r="AI328" s="206">
        <f t="shared" si="58"/>
        <v>0</v>
      </c>
      <c r="AJ328" s="206">
        <f t="shared" si="59"/>
        <v>0</v>
      </c>
      <c r="AK328" s="206">
        <f t="shared" si="60"/>
        <v>0</v>
      </c>
      <c r="AL328" s="206">
        <f t="shared" si="61"/>
        <v>0</v>
      </c>
      <c r="AM328" s="214">
        <f t="shared" si="62"/>
        <v>0</v>
      </c>
      <c r="AN328" s="4"/>
      <c r="AO328" s="167">
        <v>1260</v>
      </c>
      <c r="AP328" s="215">
        <v>2.6245626774873063E-3</v>
      </c>
      <c r="AQ328" s="190">
        <v>2.2262702794368411E-3</v>
      </c>
      <c r="AR328" s="190">
        <v>2.1677207094061724E-3</v>
      </c>
      <c r="AS328" s="170">
        <v>2.3076763988373085E-3</v>
      </c>
      <c r="AU328" s="216">
        <v>97.006524421590484</v>
      </c>
      <c r="AV328" s="217">
        <v>96.987482063010305</v>
      </c>
      <c r="AW328" s="217">
        <v>94.324360345333517</v>
      </c>
      <c r="AX328" s="217">
        <v>94.529747659464022</v>
      </c>
      <c r="AY328" s="217"/>
      <c r="AZ328" s="218">
        <v>0</v>
      </c>
      <c r="BA328" s="8"/>
      <c r="BB328" s="219"/>
      <c r="BC328" s="220"/>
    </row>
    <row r="329" spans="15:55" x14ac:dyDescent="0.25">
      <c r="O329" s="195">
        <v>1255</v>
      </c>
      <c r="P329" s="202">
        <f t="shared" si="65"/>
        <v>0</v>
      </c>
      <c r="Q329" s="203">
        <f t="shared" si="65"/>
        <v>0</v>
      </c>
      <c r="R329" s="157">
        <f ca="1"/>
        <v>96.96354670362571</v>
      </c>
      <c r="T329" s="204">
        <v>0</v>
      </c>
      <c r="U329" s="206">
        <v>0</v>
      </c>
      <c r="V329" s="206">
        <v>0</v>
      </c>
      <c r="W329" s="206">
        <v>0</v>
      </c>
      <c r="X329" s="206">
        <f t="array" ref="X329">IF(X$78&gt;" ",(X$628:X$1078),"")</f>
        <v>0</v>
      </c>
      <c r="Y329" s="206">
        <f t="array" ref="Y329">IF(Y$78&gt;" ",(Y$628:Y$1078),"")</f>
        <v>0</v>
      </c>
      <c r="Z329" s="206">
        <f t="array" ref="Z329">IF(Z$78&gt;" ",(Z$628:Z$1078),"")</f>
        <v>0</v>
      </c>
      <c r="AA329" s="206">
        <f t="array" ref="AA329">IF(AA$78&gt;" ",(AA$628:AA$1078),"")</f>
        <v>0</v>
      </c>
      <c r="AB329" s="210">
        <v>0</v>
      </c>
      <c r="AC329" s="204">
        <f t="shared" si="52"/>
        <v>0</v>
      </c>
      <c r="AD329" s="206">
        <f t="shared" si="53"/>
        <v>0</v>
      </c>
      <c r="AE329" s="206">
        <f t="shared" si="54"/>
        <v>0</v>
      </c>
      <c r="AF329" s="206">
        <f t="shared" si="55"/>
        <v>0</v>
      </c>
      <c r="AG329" s="206">
        <f t="shared" si="56"/>
        <v>0</v>
      </c>
      <c r="AH329" s="206">
        <f t="shared" si="57"/>
        <v>0</v>
      </c>
      <c r="AI329" s="206">
        <f t="shared" si="58"/>
        <v>0</v>
      </c>
      <c r="AJ329" s="206">
        <f t="shared" si="59"/>
        <v>0</v>
      </c>
      <c r="AK329" s="206">
        <f t="shared" si="60"/>
        <v>0</v>
      </c>
      <c r="AL329" s="206">
        <f t="shared" si="61"/>
        <v>0</v>
      </c>
      <c r="AM329" s="214">
        <f t="shared" si="62"/>
        <v>0</v>
      </c>
      <c r="AN329" s="4"/>
      <c r="AO329" s="167">
        <v>1255</v>
      </c>
      <c r="AP329" s="215">
        <v>2.6593780351956186E-3</v>
      </c>
      <c r="AQ329" s="190">
        <v>2.2824973105820636E-3</v>
      </c>
      <c r="AR329" s="190">
        <v>2.2662763250507118E-3</v>
      </c>
      <c r="AS329" s="170">
        <v>2.4113777294313553E-3</v>
      </c>
      <c r="AU329" s="216">
        <v>96.997305922621251</v>
      </c>
      <c r="AV329" s="217">
        <v>96.96354670362571</v>
      </c>
      <c r="AW329" s="217">
        <v>94.31909761264167</v>
      </c>
      <c r="AX329" s="217">
        <v>94.5128378871146</v>
      </c>
      <c r="AY329" s="217"/>
      <c r="AZ329" s="218">
        <v>0</v>
      </c>
      <c r="BA329" s="8"/>
      <c r="BB329" s="219"/>
      <c r="BC329" s="220"/>
    </row>
    <row r="330" spans="15:55" x14ac:dyDescent="0.25">
      <c r="O330" s="195">
        <v>1250</v>
      </c>
      <c r="P330" s="202">
        <f t="shared" si="65"/>
        <v>0</v>
      </c>
      <c r="Q330" s="203">
        <f t="shared" si="65"/>
        <v>0</v>
      </c>
      <c r="R330" s="157">
        <f ca="1"/>
        <v>96.98702243093642</v>
      </c>
      <c r="T330" s="204">
        <v>0</v>
      </c>
      <c r="U330" s="206">
        <v>0</v>
      </c>
      <c r="V330" s="206">
        <v>0</v>
      </c>
      <c r="W330" s="206">
        <v>0</v>
      </c>
      <c r="X330" s="206">
        <f t="array" ref="X330">IF(X$78&gt;" ",(X$628:X$1078),"")</f>
        <v>0</v>
      </c>
      <c r="Y330" s="206">
        <f t="array" ref="Y330">IF(Y$78&gt;" ",(Y$628:Y$1078),"")</f>
        <v>0</v>
      </c>
      <c r="Z330" s="206">
        <f t="array" ref="Z330">IF(Z$78&gt;" ",(Z$628:Z$1078),"")</f>
        <v>0</v>
      </c>
      <c r="AA330" s="206">
        <f t="array" ref="AA330">IF(AA$78&gt;" ",(AA$628:AA$1078),"")</f>
        <v>0</v>
      </c>
      <c r="AB330" s="210">
        <v>0</v>
      </c>
      <c r="AC330" s="204">
        <f t="shared" si="52"/>
        <v>0</v>
      </c>
      <c r="AD330" s="206">
        <f t="shared" si="53"/>
        <v>0</v>
      </c>
      <c r="AE330" s="206">
        <f t="shared" si="54"/>
        <v>0</v>
      </c>
      <c r="AF330" s="206">
        <f t="shared" si="55"/>
        <v>0</v>
      </c>
      <c r="AG330" s="206">
        <f t="shared" si="56"/>
        <v>0</v>
      </c>
      <c r="AH330" s="206">
        <f t="shared" si="57"/>
        <v>0</v>
      </c>
      <c r="AI330" s="206">
        <f t="shared" si="58"/>
        <v>0</v>
      </c>
      <c r="AJ330" s="206">
        <f t="shared" si="59"/>
        <v>0</v>
      </c>
      <c r="AK330" s="206">
        <f t="shared" si="60"/>
        <v>0</v>
      </c>
      <c r="AL330" s="206">
        <f t="shared" si="61"/>
        <v>0</v>
      </c>
      <c r="AM330" s="214">
        <f t="shared" si="62"/>
        <v>0</v>
      </c>
      <c r="AN330" s="4"/>
      <c r="AO330" s="167">
        <v>1250</v>
      </c>
      <c r="AP330" s="215">
        <v>2.6941273296065709E-3</v>
      </c>
      <c r="AQ330" s="190">
        <v>2.338724341727287E-3</v>
      </c>
      <c r="AR330" s="190">
        <v>2.2982063331804478E-3</v>
      </c>
      <c r="AS330" s="170">
        <v>2.4447322858447674E-3</v>
      </c>
      <c r="AU330" s="216">
        <v>96.991748786302537</v>
      </c>
      <c r="AV330" s="217">
        <v>96.98702243093642</v>
      </c>
      <c r="AW330" s="217">
        <v>94.326147980702558</v>
      </c>
      <c r="AX330" s="217">
        <v>94.511333032994415</v>
      </c>
      <c r="AY330" s="217"/>
      <c r="AZ330" s="218">
        <v>0</v>
      </c>
      <c r="BA330" s="8"/>
      <c r="BB330" s="219"/>
      <c r="BC330" s="220"/>
    </row>
    <row r="331" spans="15:55" x14ac:dyDescent="0.25">
      <c r="O331" s="195">
        <v>1245</v>
      </c>
      <c r="P331" s="202">
        <f t="shared" si="65"/>
        <v>0</v>
      </c>
      <c r="Q331" s="203">
        <f t="shared" si="65"/>
        <v>0</v>
      </c>
      <c r="R331" s="157">
        <f ca="1"/>
        <v>96.976950860586598</v>
      </c>
      <c r="T331" s="204">
        <v>0</v>
      </c>
      <c r="U331" s="206">
        <v>0</v>
      </c>
      <c r="V331" s="206">
        <v>0</v>
      </c>
      <c r="W331" s="206">
        <v>0</v>
      </c>
      <c r="X331" s="206">
        <f t="array" ref="X331">IF(X$78&gt;" ",(X$628:X$1078),"")</f>
        <v>0</v>
      </c>
      <c r="Y331" s="206">
        <f t="array" ref="Y331">IF(Y$78&gt;" ",(Y$628:Y$1078),"")</f>
        <v>0</v>
      </c>
      <c r="Z331" s="206">
        <f t="array" ref="Z331">IF(Z$78&gt;" ",(Z$628:Z$1078),"")</f>
        <v>0</v>
      </c>
      <c r="AA331" s="206">
        <f t="array" ref="AA331">IF(AA$78&gt;" ",(AA$628:AA$1078),"")</f>
        <v>0</v>
      </c>
      <c r="AB331" s="210">
        <v>0</v>
      </c>
      <c r="AC331" s="204">
        <f t="shared" si="52"/>
        <v>0</v>
      </c>
      <c r="AD331" s="206">
        <f t="shared" si="53"/>
        <v>0</v>
      </c>
      <c r="AE331" s="206">
        <f t="shared" si="54"/>
        <v>0</v>
      </c>
      <c r="AF331" s="206">
        <f t="shared" si="55"/>
        <v>0</v>
      </c>
      <c r="AG331" s="206">
        <f t="shared" si="56"/>
        <v>0</v>
      </c>
      <c r="AH331" s="206">
        <f t="shared" si="57"/>
        <v>0</v>
      </c>
      <c r="AI331" s="206">
        <f t="shared" si="58"/>
        <v>0</v>
      </c>
      <c r="AJ331" s="206">
        <f t="shared" si="59"/>
        <v>0</v>
      </c>
      <c r="AK331" s="206">
        <f t="shared" si="60"/>
        <v>0</v>
      </c>
      <c r="AL331" s="206">
        <f t="shared" si="61"/>
        <v>0</v>
      </c>
      <c r="AM331" s="214">
        <f t="shared" si="62"/>
        <v>0</v>
      </c>
      <c r="AN331" s="4"/>
      <c r="AO331" s="167">
        <v>1245</v>
      </c>
      <c r="AP331" s="215">
        <v>2.7288766240175233E-3</v>
      </c>
      <c r="AQ331" s="190">
        <v>2.3304703736321251E-3</v>
      </c>
      <c r="AR331" s="190">
        <v>2.2956921593119649E-3</v>
      </c>
      <c r="AS331" s="170">
        <v>2.4412625165534394E-3</v>
      </c>
      <c r="AU331" s="216">
        <v>97.014845610923444</v>
      </c>
      <c r="AV331" s="217">
        <v>96.976950860586598</v>
      </c>
      <c r="AW331" s="217">
        <v>94.285571438346565</v>
      </c>
      <c r="AX331" s="217">
        <v>94.484052265463447</v>
      </c>
      <c r="AY331" s="217"/>
      <c r="AZ331" s="218">
        <v>0</v>
      </c>
      <c r="BA331" s="8"/>
      <c r="BB331" s="219"/>
      <c r="BC331" s="220"/>
    </row>
    <row r="332" spans="15:55" x14ac:dyDescent="0.25">
      <c r="O332" s="195">
        <v>1240</v>
      </c>
      <c r="P332" s="202">
        <f t="shared" si="65"/>
        <v>0</v>
      </c>
      <c r="Q332" s="203">
        <f t="shared" si="65"/>
        <v>0</v>
      </c>
      <c r="R332" s="157">
        <f ca="1"/>
        <v>96.949303527552047</v>
      </c>
      <c r="T332" s="204">
        <v>0</v>
      </c>
      <c r="U332" s="206">
        <v>0</v>
      </c>
      <c r="V332" s="206">
        <v>0</v>
      </c>
      <c r="W332" s="206">
        <v>0</v>
      </c>
      <c r="X332" s="206">
        <f t="array" ref="X332">IF(X$78&gt;" ",(X$628:X$1078),"")</f>
        <v>0</v>
      </c>
      <c r="Y332" s="206">
        <f t="array" ref="Y332">IF(Y$78&gt;" ",(Y$628:Y$1078),"")</f>
        <v>0</v>
      </c>
      <c r="Z332" s="206">
        <f t="array" ref="Z332">IF(Z$78&gt;" ",(Z$628:Z$1078),"")</f>
        <v>0</v>
      </c>
      <c r="AA332" s="206">
        <f t="array" ref="AA332">IF(AA$78&gt;" ",(AA$628:AA$1078),"")</f>
        <v>0</v>
      </c>
      <c r="AB332" s="210">
        <v>0</v>
      </c>
      <c r="AC332" s="204">
        <f t="shared" si="52"/>
        <v>0</v>
      </c>
      <c r="AD332" s="206">
        <f t="shared" si="53"/>
        <v>0</v>
      </c>
      <c r="AE332" s="206">
        <f t="shared" si="54"/>
        <v>0</v>
      </c>
      <c r="AF332" s="206">
        <f t="shared" si="55"/>
        <v>0</v>
      </c>
      <c r="AG332" s="206">
        <f t="shared" si="56"/>
        <v>0</v>
      </c>
      <c r="AH332" s="206">
        <f t="shared" si="57"/>
        <v>0</v>
      </c>
      <c r="AI332" s="206">
        <f t="shared" si="58"/>
        <v>0</v>
      </c>
      <c r="AJ332" s="206">
        <f t="shared" si="59"/>
        <v>0</v>
      </c>
      <c r="AK332" s="206">
        <f t="shared" si="60"/>
        <v>0</v>
      </c>
      <c r="AL332" s="206">
        <f t="shared" si="61"/>
        <v>0</v>
      </c>
      <c r="AM332" s="214">
        <f t="shared" si="62"/>
        <v>0</v>
      </c>
      <c r="AN332" s="4"/>
      <c r="AO332" s="167">
        <v>1240</v>
      </c>
      <c r="AP332" s="215">
        <v>2.7636919817258352E-3</v>
      </c>
      <c r="AQ332" s="190">
        <v>2.3222164055369636E-3</v>
      </c>
      <c r="AR332" s="190">
        <v>2.3169117867619625E-3</v>
      </c>
      <c r="AS332" s="170">
        <v>2.4630325206554814E-3</v>
      </c>
      <c r="AU332" s="216">
        <v>96.9814049261458</v>
      </c>
      <c r="AV332" s="217">
        <v>96.949303527552047</v>
      </c>
      <c r="AW332" s="217">
        <v>94.306254283932205</v>
      </c>
      <c r="AX332" s="217">
        <v>94.495849932345848</v>
      </c>
      <c r="AY332" s="217"/>
      <c r="AZ332" s="218">
        <v>0</v>
      </c>
      <c r="BA332" s="8"/>
      <c r="BB332" s="219"/>
      <c r="BC332" s="220"/>
    </row>
    <row r="333" spans="15:55" x14ac:dyDescent="0.25">
      <c r="O333" s="195">
        <v>1235</v>
      </c>
      <c r="P333" s="202">
        <f t="shared" si="65"/>
        <v>0</v>
      </c>
      <c r="Q333" s="203">
        <f t="shared" si="65"/>
        <v>0</v>
      </c>
      <c r="R333" s="157">
        <f ca="1"/>
        <v>96.986153348642858</v>
      </c>
      <c r="T333" s="204">
        <v>0</v>
      </c>
      <c r="U333" s="206">
        <v>0</v>
      </c>
      <c r="V333" s="206">
        <v>0</v>
      </c>
      <c r="W333" s="206">
        <v>0</v>
      </c>
      <c r="X333" s="206">
        <f t="array" ref="X333">IF(X$78&gt;" ",(X$628:X$1078),"")</f>
        <v>0</v>
      </c>
      <c r="Y333" s="206">
        <f t="array" ref="Y333">IF(Y$78&gt;" ",(Y$628:Y$1078),"")</f>
        <v>0</v>
      </c>
      <c r="Z333" s="206">
        <f t="array" ref="Z333">IF(Z$78&gt;" ",(Z$628:Z$1078),"")</f>
        <v>0</v>
      </c>
      <c r="AA333" s="206">
        <f t="array" ref="AA333">IF(AA$78&gt;" ",(AA$628:AA$1078),"")</f>
        <v>0</v>
      </c>
      <c r="AB333" s="210">
        <v>0</v>
      </c>
      <c r="AC333" s="204">
        <f t="shared" si="52"/>
        <v>0</v>
      </c>
      <c r="AD333" s="206">
        <f t="shared" si="53"/>
        <v>0</v>
      </c>
      <c r="AE333" s="206">
        <f t="shared" si="54"/>
        <v>0</v>
      </c>
      <c r="AF333" s="206">
        <f t="shared" si="55"/>
        <v>0</v>
      </c>
      <c r="AG333" s="206">
        <f t="shared" si="56"/>
        <v>0</v>
      </c>
      <c r="AH333" s="206">
        <f t="shared" si="57"/>
        <v>0</v>
      </c>
      <c r="AI333" s="206">
        <f t="shared" si="58"/>
        <v>0</v>
      </c>
      <c r="AJ333" s="206">
        <f t="shared" si="59"/>
        <v>0</v>
      </c>
      <c r="AK333" s="206">
        <f t="shared" si="60"/>
        <v>0</v>
      </c>
      <c r="AL333" s="206">
        <f t="shared" si="61"/>
        <v>0</v>
      </c>
      <c r="AM333" s="214">
        <f t="shared" si="62"/>
        <v>0</v>
      </c>
      <c r="AN333" s="4"/>
      <c r="AO333" s="167">
        <v>1235</v>
      </c>
      <c r="AP333" s="215">
        <v>2.798441276136788E-3</v>
      </c>
      <c r="AQ333" s="190">
        <v>2.3139624374418017E-3</v>
      </c>
      <c r="AR333" s="190">
        <v>2.3383828315988084E-3</v>
      </c>
      <c r="AS333" s="170">
        <v>2.4853062009449747E-3</v>
      </c>
      <c r="AU333" s="216">
        <v>96.961678668200548</v>
      </c>
      <c r="AV333" s="217">
        <v>96.986153348642858</v>
      </c>
      <c r="AW333" s="217">
        <v>94.280483551648885</v>
      </c>
      <c r="AX333" s="217">
        <v>94.481258573789134</v>
      </c>
      <c r="AY333" s="217"/>
      <c r="AZ333" s="218">
        <v>0</v>
      </c>
      <c r="BA333" s="8"/>
      <c r="BB333" s="219"/>
      <c r="BC333" s="220"/>
    </row>
    <row r="334" spans="15:55" x14ac:dyDescent="0.25">
      <c r="O334" s="195">
        <v>1230</v>
      </c>
      <c r="P334" s="202">
        <f t="shared" si="65"/>
        <v>0</v>
      </c>
      <c r="Q334" s="203">
        <f t="shared" si="65"/>
        <v>0</v>
      </c>
      <c r="R334" s="157">
        <f ca="1"/>
        <v>96.945321650502819</v>
      </c>
      <c r="T334" s="204">
        <v>0</v>
      </c>
      <c r="U334" s="206">
        <v>0</v>
      </c>
      <c r="V334" s="206">
        <v>0</v>
      </c>
      <c r="W334" s="206">
        <v>0</v>
      </c>
      <c r="X334" s="206">
        <f t="array" ref="X334">IF(X$78&gt;" ",(X$628:X$1078),"")</f>
        <v>0</v>
      </c>
      <c r="Y334" s="206">
        <f t="array" ref="Y334">IF(Y$78&gt;" ",(Y$628:Y$1078),"")</f>
        <v>0</v>
      </c>
      <c r="Z334" s="206">
        <f t="array" ref="Z334">IF(Z$78&gt;" ",(Z$628:Z$1078),"")</f>
        <v>0</v>
      </c>
      <c r="AA334" s="206">
        <f t="array" ref="AA334">IF(AA$78&gt;" ",(AA$628:AA$1078),"")</f>
        <v>0</v>
      </c>
      <c r="AB334" s="210">
        <v>0</v>
      </c>
      <c r="AC334" s="204">
        <f t="shared" si="52"/>
        <v>0</v>
      </c>
      <c r="AD334" s="206">
        <f t="shared" si="53"/>
        <v>0</v>
      </c>
      <c r="AE334" s="206">
        <f t="shared" si="54"/>
        <v>0</v>
      </c>
      <c r="AF334" s="206">
        <f t="shared" si="55"/>
        <v>0</v>
      </c>
      <c r="AG334" s="206">
        <f t="shared" si="56"/>
        <v>0</v>
      </c>
      <c r="AH334" s="206">
        <f t="shared" si="57"/>
        <v>0</v>
      </c>
      <c r="AI334" s="206">
        <f t="shared" si="58"/>
        <v>0</v>
      </c>
      <c r="AJ334" s="206">
        <f t="shared" si="59"/>
        <v>0</v>
      </c>
      <c r="AK334" s="206">
        <f t="shared" si="60"/>
        <v>0</v>
      </c>
      <c r="AL334" s="206">
        <f t="shared" si="61"/>
        <v>0</v>
      </c>
      <c r="AM334" s="214">
        <f t="shared" si="62"/>
        <v>0</v>
      </c>
      <c r="AN334" s="4"/>
      <c r="AO334" s="167">
        <v>1230</v>
      </c>
      <c r="AP334" s="215">
        <v>2.7527915376615629E-3</v>
      </c>
      <c r="AQ334" s="190">
        <v>2.3057084693466397E-3</v>
      </c>
      <c r="AR334" s="190">
        <v>2.3131908094366073E-3</v>
      </c>
      <c r="AS334" s="170">
        <v>2.4583875069267682E-3</v>
      </c>
      <c r="AU334" s="216">
        <v>96.968646970080229</v>
      </c>
      <c r="AV334" s="217">
        <v>96.945321650502819</v>
      </c>
      <c r="AW334" s="217">
        <v>94.294811096992817</v>
      </c>
      <c r="AX334" s="217">
        <v>94.501868738208017</v>
      </c>
      <c r="AY334" s="217"/>
      <c r="AZ334" s="218">
        <v>0</v>
      </c>
      <c r="BA334" s="8"/>
      <c r="BB334" s="219"/>
      <c r="BC334" s="220"/>
    </row>
    <row r="335" spans="15:55" x14ac:dyDescent="0.25">
      <c r="O335" s="195">
        <v>1225</v>
      </c>
      <c r="P335" s="202">
        <f t="shared" si="65"/>
        <v>0</v>
      </c>
      <c r="Q335" s="203">
        <f t="shared" si="65"/>
        <v>0</v>
      </c>
      <c r="R335" s="157">
        <f ca="1"/>
        <v>96.938988283024216</v>
      </c>
      <c r="T335" s="204">
        <v>0</v>
      </c>
      <c r="U335" s="206">
        <v>0</v>
      </c>
      <c r="V335" s="206">
        <v>0</v>
      </c>
      <c r="W335" s="206">
        <v>0</v>
      </c>
      <c r="X335" s="206">
        <f t="array" ref="X335">IF(X$78&gt;" ",(X$628:X$1078),"")</f>
        <v>0</v>
      </c>
      <c r="Y335" s="206">
        <f t="array" ref="Y335">IF(Y$78&gt;" ",(Y$628:Y$1078),"")</f>
        <v>0</v>
      </c>
      <c r="Z335" s="206">
        <f t="array" ref="Z335">IF(Z$78&gt;" ",(Z$628:Z$1078),"")</f>
        <v>0</v>
      </c>
      <c r="AA335" s="206">
        <f t="array" ref="AA335">IF(AA$78&gt;" ",(AA$628:AA$1078),"")</f>
        <v>0</v>
      </c>
      <c r="AB335" s="210">
        <v>0</v>
      </c>
      <c r="AC335" s="204">
        <f t="shared" si="52"/>
        <v>0</v>
      </c>
      <c r="AD335" s="206">
        <f t="shared" si="53"/>
        <v>0</v>
      </c>
      <c r="AE335" s="206">
        <f t="shared" si="54"/>
        <v>0</v>
      </c>
      <c r="AF335" s="206">
        <f t="shared" si="55"/>
        <v>0</v>
      </c>
      <c r="AG335" s="206">
        <f t="shared" si="56"/>
        <v>0</v>
      </c>
      <c r="AH335" s="206">
        <f t="shared" si="57"/>
        <v>0</v>
      </c>
      <c r="AI335" s="206">
        <f t="shared" si="58"/>
        <v>0</v>
      </c>
      <c r="AJ335" s="206">
        <f t="shared" si="59"/>
        <v>0</v>
      </c>
      <c r="AK335" s="206">
        <f t="shared" si="60"/>
        <v>0</v>
      </c>
      <c r="AL335" s="206">
        <f t="shared" si="61"/>
        <v>0</v>
      </c>
      <c r="AM335" s="214">
        <f t="shared" si="62"/>
        <v>0</v>
      </c>
      <c r="AN335" s="4"/>
      <c r="AO335" s="167">
        <v>1225</v>
      </c>
      <c r="AP335" s="215">
        <v>2.7070757358889789E-3</v>
      </c>
      <c r="AQ335" s="190">
        <v>2.2974545012514782E-3</v>
      </c>
      <c r="AR335" s="190">
        <v>2.3249068596637389E-3</v>
      </c>
      <c r="AS335" s="170">
        <v>2.4703078433631048E-3</v>
      </c>
      <c r="AU335" s="216">
        <v>96.971538890397014</v>
      </c>
      <c r="AV335" s="217">
        <v>96.938988283024216</v>
      </c>
      <c r="AW335" s="217">
        <v>94.272219499806226</v>
      </c>
      <c r="AX335" s="217">
        <v>94.463122814613371</v>
      </c>
      <c r="AY335" s="217"/>
      <c r="AZ335" s="218">
        <v>0</v>
      </c>
      <c r="BA335" s="8"/>
      <c r="BB335" s="219"/>
      <c r="BC335" s="220"/>
    </row>
    <row r="336" spans="15:55" x14ac:dyDescent="0.25">
      <c r="O336" s="195">
        <v>1220</v>
      </c>
      <c r="P336" s="202">
        <f t="shared" ref="P336:Q351" si="66">P884</f>
        <v>0</v>
      </c>
      <c r="Q336" s="203">
        <f t="shared" si="66"/>
        <v>0</v>
      </c>
      <c r="R336" s="157">
        <f ca="1"/>
        <v>96.943861275430663</v>
      </c>
      <c r="T336" s="204">
        <v>0</v>
      </c>
      <c r="U336" s="206">
        <v>0</v>
      </c>
      <c r="V336" s="206">
        <v>0</v>
      </c>
      <c r="W336" s="206">
        <v>0</v>
      </c>
      <c r="X336" s="206">
        <f t="array" ref="X336">IF(X$78&gt;" ",(X$628:X$1078),"")</f>
        <v>0</v>
      </c>
      <c r="Y336" s="206">
        <f t="array" ref="Y336">IF(Y$78&gt;" ",(Y$628:Y$1078),"")</f>
        <v>0</v>
      </c>
      <c r="Z336" s="206">
        <f t="array" ref="Z336">IF(Z$78&gt;" ",(Z$628:Z$1078),"")</f>
        <v>0</v>
      </c>
      <c r="AA336" s="206">
        <f t="array" ref="AA336">IF(AA$78&gt;" ",(AA$628:AA$1078),"")</f>
        <v>0</v>
      </c>
      <c r="AB336" s="210">
        <v>0</v>
      </c>
      <c r="AC336" s="204">
        <f t="shared" si="52"/>
        <v>0</v>
      </c>
      <c r="AD336" s="206">
        <f t="shared" si="53"/>
        <v>0</v>
      </c>
      <c r="AE336" s="206">
        <f t="shared" si="54"/>
        <v>0</v>
      </c>
      <c r="AF336" s="206">
        <f t="shared" si="55"/>
        <v>0</v>
      </c>
      <c r="AG336" s="206">
        <f t="shared" si="56"/>
        <v>0</v>
      </c>
      <c r="AH336" s="206">
        <f t="shared" si="57"/>
        <v>0</v>
      </c>
      <c r="AI336" s="206">
        <f t="shared" si="58"/>
        <v>0</v>
      </c>
      <c r="AJ336" s="206">
        <f t="shared" si="59"/>
        <v>0</v>
      </c>
      <c r="AK336" s="206">
        <f t="shared" si="60"/>
        <v>0</v>
      </c>
      <c r="AL336" s="206">
        <f t="shared" si="61"/>
        <v>0</v>
      </c>
      <c r="AM336" s="214">
        <f t="shared" si="62"/>
        <v>0</v>
      </c>
      <c r="AN336" s="4"/>
      <c r="AO336" s="167">
        <v>1220</v>
      </c>
      <c r="AP336" s="215">
        <v>2.6614259974137543E-3</v>
      </c>
      <c r="AQ336" s="190">
        <v>2.2892005331563163E-3</v>
      </c>
      <c r="AR336" s="190">
        <v>2.3032346809174144E-3</v>
      </c>
      <c r="AS336" s="170">
        <v>2.4469708466778825E-3</v>
      </c>
      <c r="AU336" s="216">
        <v>96.984788825585326</v>
      </c>
      <c r="AV336" s="217">
        <v>96.943861275430663</v>
      </c>
      <c r="AW336" s="217">
        <v>94.245446912059421</v>
      </c>
      <c r="AX336" s="217">
        <v>94.434301812783232</v>
      </c>
      <c r="AY336" s="217"/>
      <c r="AZ336" s="218">
        <v>0</v>
      </c>
      <c r="BA336" s="8"/>
      <c r="BB336" s="219"/>
      <c r="BC336" s="220"/>
    </row>
    <row r="337" spans="15:55" x14ac:dyDescent="0.25">
      <c r="O337" s="195">
        <v>1215</v>
      </c>
      <c r="P337" s="202">
        <f t="shared" si="66"/>
        <v>0</v>
      </c>
      <c r="Q337" s="203">
        <f t="shared" si="66"/>
        <v>0</v>
      </c>
      <c r="R337" s="157">
        <f ca="1"/>
        <v>96.943151070233043</v>
      </c>
      <c r="T337" s="204">
        <v>0</v>
      </c>
      <c r="U337" s="206">
        <v>0</v>
      </c>
      <c r="V337" s="206">
        <v>0</v>
      </c>
      <c r="W337" s="206">
        <v>0</v>
      </c>
      <c r="X337" s="206">
        <f t="array" ref="X337">IF(X$78&gt;" ",(X$628:X$1078),"")</f>
        <v>0</v>
      </c>
      <c r="Y337" s="206">
        <f t="array" ref="Y337">IF(Y$78&gt;" ",(Y$628:Y$1078),"")</f>
        <v>0</v>
      </c>
      <c r="Z337" s="206">
        <f t="array" ref="Z337">IF(Z$78&gt;" ",(Z$628:Z$1078),"")</f>
        <v>0</v>
      </c>
      <c r="AA337" s="206">
        <f t="array" ref="AA337">IF(AA$78&gt;" ",(AA$628:AA$1078),"")</f>
        <v>0</v>
      </c>
      <c r="AB337" s="210">
        <v>0</v>
      </c>
      <c r="AC337" s="204">
        <f t="shared" ref="AC337:AC400" si="67">T337</f>
        <v>0</v>
      </c>
      <c r="AD337" s="206">
        <f t="shared" ref="AD337:AD400" si="68">U337</f>
        <v>0</v>
      </c>
      <c r="AE337" s="206">
        <f t="shared" ref="AE337:AE400" si="69">V337</f>
        <v>0</v>
      </c>
      <c r="AF337" s="206">
        <f t="shared" ref="AF337:AF400" si="70">W337</f>
        <v>0</v>
      </c>
      <c r="AG337" s="206">
        <f t="shared" ref="AG337:AG400" si="71">X337</f>
        <v>0</v>
      </c>
      <c r="AH337" s="206">
        <f t="shared" ref="AH337:AH400" si="72">Y337</f>
        <v>0</v>
      </c>
      <c r="AI337" s="206">
        <f t="shared" ref="AI337:AI400" si="73">Z337</f>
        <v>0</v>
      </c>
      <c r="AJ337" s="206">
        <f t="shared" ref="AJ337:AJ400" si="74">AA337</f>
        <v>0</v>
      </c>
      <c r="AK337" s="206">
        <f t="shared" ref="AK337:AK400" si="75">AB337</f>
        <v>0</v>
      </c>
      <c r="AL337" s="206">
        <f t="shared" ref="AL337:AL400" si="76">AVERAGE(AC337:AK337)</f>
        <v>0</v>
      </c>
      <c r="AM337" s="214">
        <f t="shared" ref="AM337:AM400" si="77">AL337/100</f>
        <v>0</v>
      </c>
      <c r="AN337" s="4"/>
      <c r="AO337" s="167">
        <v>1215</v>
      </c>
      <c r="AP337" s="215">
        <v>2.6157101956411702E-3</v>
      </c>
      <c r="AQ337" s="190">
        <v>2.2809465650611544E-3</v>
      </c>
      <c r="AR337" s="190">
        <v>2.1511271618741838E-3</v>
      </c>
      <c r="AS337" s="170">
        <v>2.2861862148394053E-3</v>
      </c>
      <c r="AU337" s="216">
        <v>96.967529884332194</v>
      </c>
      <c r="AV337" s="217">
        <v>96.943151070233043</v>
      </c>
      <c r="AW337" s="217">
        <v>94.243032668498628</v>
      </c>
      <c r="AX337" s="217">
        <v>94.445324541444123</v>
      </c>
      <c r="AY337" s="217"/>
      <c r="AZ337" s="218">
        <v>0</v>
      </c>
      <c r="BA337" s="8"/>
      <c r="BB337" s="219"/>
      <c r="BC337" s="220"/>
    </row>
    <row r="338" spans="15:55" x14ac:dyDescent="0.25">
      <c r="O338" s="195">
        <v>1210</v>
      </c>
      <c r="P338" s="202">
        <f t="shared" si="66"/>
        <v>0</v>
      </c>
      <c r="Q338" s="203">
        <f t="shared" si="66"/>
        <v>0</v>
      </c>
      <c r="R338" s="157">
        <f ca="1"/>
        <v>96.949325206632466</v>
      </c>
      <c r="T338" s="204">
        <v>0</v>
      </c>
      <c r="U338" s="206">
        <v>0</v>
      </c>
      <c r="V338" s="206">
        <v>0</v>
      </c>
      <c r="W338" s="206">
        <v>0</v>
      </c>
      <c r="X338" s="206">
        <f t="array" ref="X338">IF(X$78&gt;" ",(X$628:X$1078),"")</f>
        <v>0</v>
      </c>
      <c r="Y338" s="206">
        <f t="array" ref="Y338">IF(Y$78&gt;" ",(Y$628:Y$1078),"")</f>
        <v>0</v>
      </c>
      <c r="Z338" s="206">
        <f t="array" ref="Z338">IF(Z$78&gt;" ",(Z$628:Z$1078),"")</f>
        <v>0</v>
      </c>
      <c r="AA338" s="206">
        <f t="array" ref="AA338">IF(AA$78&gt;" ",(AA$628:AA$1078),"")</f>
        <v>0</v>
      </c>
      <c r="AB338" s="210">
        <v>0</v>
      </c>
      <c r="AC338" s="204">
        <f t="shared" si="67"/>
        <v>0</v>
      </c>
      <c r="AD338" s="206">
        <f t="shared" si="68"/>
        <v>0</v>
      </c>
      <c r="AE338" s="206">
        <f t="shared" si="69"/>
        <v>0</v>
      </c>
      <c r="AF338" s="206">
        <f t="shared" si="70"/>
        <v>0</v>
      </c>
      <c r="AG338" s="206">
        <f t="shared" si="71"/>
        <v>0</v>
      </c>
      <c r="AH338" s="206">
        <f t="shared" si="72"/>
        <v>0</v>
      </c>
      <c r="AI338" s="206">
        <f t="shared" si="73"/>
        <v>0</v>
      </c>
      <c r="AJ338" s="206">
        <f t="shared" si="74"/>
        <v>0</v>
      </c>
      <c r="AK338" s="206">
        <f t="shared" si="75"/>
        <v>0</v>
      </c>
      <c r="AL338" s="206">
        <f t="shared" si="76"/>
        <v>0</v>
      </c>
      <c r="AM338" s="214">
        <f t="shared" si="77"/>
        <v>0</v>
      </c>
      <c r="AN338" s="4"/>
      <c r="AO338" s="167">
        <v>1210</v>
      </c>
      <c r="AP338" s="215">
        <v>2.5700604571659456E-3</v>
      </c>
      <c r="AQ338" s="190">
        <v>2.2726925969659929E-3</v>
      </c>
      <c r="AR338" s="190">
        <v>2.2796517300310423E-3</v>
      </c>
      <c r="AS338" s="170">
        <v>2.4213952891595446E-3</v>
      </c>
      <c r="AU338" s="216">
        <v>96.964542738145568</v>
      </c>
      <c r="AV338" s="217">
        <v>96.949325206632466</v>
      </c>
      <c r="AW338" s="217">
        <v>94.233745458512431</v>
      </c>
      <c r="AX338" s="217">
        <v>94.443307011357163</v>
      </c>
      <c r="AY338" s="217"/>
      <c r="AZ338" s="218">
        <v>0</v>
      </c>
      <c r="BA338" s="8"/>
      <c r="BB338" s="219"/>
      <c r="BC338" s="220"/>
    </row>
    <row r="339" spans="15:55" x14ac:dyDescent="0.25">
      <c r="O339" s="195">
        <v>1205</v>
      </c>
      <c r="P339" s="202">
        <f t="shared" si="66"/>
        <v>0</v>
      </c>
      <c r="Q339" s="203">
        <f t="shared" si="66"/>
        <v>0</v>
      </c>
      <c r="R339" s="157">
        <f ca="1"/>
        <v>96.947283142634888</v>
      </c>
      <c r="T339" s="204">
        <v>0</v>
      </c>
      <c r="U339" s="206">
        <v>0</v>
      </c>
      <c r="V339" s="206">
        <v>0</v>
      </c>
      <c r="W339" s="206">
        <v>0</v>
      </c>
      <c r="X339" s="206">
        <f t="array" ref="X339">IF(X$78&gt;" ",(X$628:X$1078),"")</f>
        <v>0</v>
      </c>
      <c r="Y339" s="206">
        <f t="array" ref="Y339">IF(Y$78&gt;" ",(Y$628:Y$1078),"")</f>
        <v>0</v>
      </c>
      <c r="Z339" s="206">
        <f t="array" ref="Z339">IF(Z$78&gt;" ",(Z$628:Z$1078),"")</f>
        <v>0</v>
      </c>
      <c r="AA339" s="206">
        <f t="array" ref="AA339">IF(AA$78&gt;" ",(AA$628:AA$1078),"")</f>
        <v>0</v>
      </c>
      <c r="AB339" s="210">
        <v>0</v>
      </c>
      <c r="AC339" s="204">
        <f t="shared" si="67"/>
        <v>0</v>
      </c>
      <c r="AD339" s="206">
        <f t="shared" si="68"/>
        <v>0</v>
      </c>
      <c r="AE339" s="206">
        <f t="shared" si="69"/>
        <v>0</v>
      </c>
      <c r="AF339" s="206">
        <f t="shared" si="70"/>
        <v>0</v>
      </c>
      <c r="AG339" s="206">
        <f t="shared" si="71"/>
        <v>0</v>
      </c>
      <c r="AH339" s="206">
        <f t="shared" si="72"/>
        <v>0</v>
      </c>
      <c r="AI339" s="206">
        <f t="shared" si="73"/>
        <v>0</v>
      </c>
      <c r="AJ339" s="206">
        <f t="shared" si="74"/>
        <v>0</v>
      </c>
      <c r="AK339" s="206">
        <f t="shared" si="75"/>
        <v>0</v>
      </c>
      <c r="AL339" s="206">
        <f t="shared" si="76"/>
        <v>0</v>
      </c>
      <c r="AM339" s="214">
        <f t="shared" si="77"/>
        <v>0</v>
      </c>
      <c r="AN339" s="4"/>
      <c r="AO339" s="167">
        <v>1205</v>
      </c>
      <c r="AP339" s="215">
        <v>2.524344655393362E-3</v>
      </c>
      <c r="AQ339" s="190">
        <v>2.2644386288708314E-3</v>
      </c>
      <c r="AR339" s="190">
        <v>2.1969856932353162E-3</v>
      </c>
      <c r="AS339" s="170">
        <v>2.3344831648138592E-3</v>
      </c>
      <c r="AU339" s="216">
        <v>96.961617869447863</v>
      </c>
      <c r="AV339" s="217">
        <v>96.947283142634888</v>
      </c>
      <c r="AW339" s="217">
        <v>94.234847221973567</v>
      </c>
      <c r="AX339" s="217">
        <v>94.42678076567303</v>
      </c>
      <c r="AY339" s="217"/>
      <c r="AZ339" s="218">
        <v>0</v>
      </c>
      <c r="BA339" s="8"/>
      <c r="BB339" s="219"/>
      <c r="BC339" s="220"/>
    </row>
    <row r="340" spans="15:55" x14ac:dyDescent="0.25">
      <c r="O340" s="195">
        <v>1200</v>
      </c>
      <c r="P340" s="202">
        <f t="shared" si="66"/>
        <v>0</v>
      </c>
      <c r="Q340" s="203">
        <f t="shared" si="66"/>
        <v>0</v>
      </c>
      <c r="R340" s="157">
        <f ca="1"/>
        <v>96.958692223332491</v>
      </c>
      <c r="T340" s="204">
        <v>0</v>
      </c>
      <c r="U340" s="206">
        <v>0</v>
      </c>
      <c r="V340" s="206">
        <v>0</v>
      </c>
      <c r="W340" s="206">
        <v>0</v>
      </c>
      <c r="X340" s="206">
        <f t="array" ref="X340">IF(X$78&gt;" ",(X$628:X$1078),"")</f>
        <v>0</v>
      </c>
      <c r="Y340" s="206">
        <f t="array" ref="Y340">IF(Y$78&gt;" ",(Y$628:Y$1078),"")</f>
        <v>0</v>
      </c>
      <c r="Z340" s="206">
        <f t="array" ref="Z340">IF(Z$78&gt;" ",(Z$628:Z$1078),"")</f>
        <v>0</v>
      </c>
      <c r="AA340" s="206">
        <f t="array" ref="AA340">IF(AA$78&gt;" ",(AA$628:AA$1078),"")</f>
        <v>0</v>
      </c>
      <c r="AB340" s="210">
        <v>0</v>
      </c>
      <c r="AC340" s="204">
        <f t="shared" si="67"/>
        <v>0</v>
      </c>
      <c r="AD340" s="206">
        <f t="shared" si="68"/>
        <v>0</v>
      </c>
      <c r="AE340" s="206">
        <f t="shared" si="69"/>
        <v>0</v>
      </c>
      <c r="AF340" s="206">
        <f t="shared" si="70"/>
        <v>0</v>
      </c>
      <c r="AG340" s="206">
        <f t="shared" si="71"/>
        <v>0</v>
      </c>
      <c r="AH340" s="206">
        <f t="shared" si="72"/>
        <v>0</v>
      </c>
      <c r="AI340" s="206">
        <f t="shared" si="73"/>
        <v>0</v>
      </c>
      <c r="AJ340" s="206">
        <f t="shared" si="74"/>
        <v>0</v>
      </c>
      <c r="AK340" s="206">
        <f t="shared" si="75"/>
        <v>0</v>
      </c>
      <c r="AL340" s="206">
        <f t="shared" si="76"/>
        <v>0</v>
      </c>
      <c r="AM340" s="214">
        <f t="shared" si="77"/>
        <v>0</v>
      </c>
      <c r="AN340" s="4"/>
      <c r="AO340" s="167">
        <v>1200</v>
      </c>
      <c r="AP340" s="215">
        <v>2.4786949169181369E-3</v>
      </c>
      <c r="AQ340" s="190">
        <v>2.2561846607756695E-3</v>
      </c>
      <c r="AR340" s="190">
        <v>2.2539568730951445E-3</v>
      </c>
      <c r="AS340" s="170">
        <v>2.3946444872038216E-3</v>
      </c>
      <c r="AU340" s="216">
        <v>96.946551695490825</v>
      </c>
      <c r="AV340" s="217">
        <v>96.958692223332491</v>
      </c>
      <c r="AW340" s="217">
        <v>94.22394009420502</v>
      </c>
      <c r="AX340" s="217">
        <v>94.439541220409296</v>
      </c>
      <c r="AY340" s="217"/>
      <c r="AZ340" s="218">
        <v>0</v>
      </c>
      <c r="BA340" s="8"/>
      <c r="BB340" s="219"/>
      <c r="BC340" s="220"/>
    </row>
    <row r="341" spans="15:55" x14ac:dyDescent="0.25">
      <c r="O341" s="195">
        <v>1195</v>
      </c>
      <c r="P341" s="202">
        <f t="shared" si="66"/>
        <v>0</v>
      </c>
      <c r="Q341" s="203">
        <f t="shared" si="66"/>
        <v>0</v>
      </c>
      <c r="R341" s="157">
        <f ca="1"/>
        <v>96.937440271140972</v>
      </c>
      <c r="T341" s="204">
        <v>0</v>
      </c>
      <c r="U341" s="206">
        <v>0</v>
      </c>
      <c r="V341" s="206">
        <v>0</v>
      </c>
      <c r="W341" s="206">
        <v>0</v>
      </c>
      <c r="X341" s="206">
        <f t="array" ref="X341">IF(X$78&gt;" ",(X$628:X$1078),"")</f>
        <v>0</v>
      </c>
      <c r="Y341" s="206">
        <f t="array" ref="Y341">IF(Y$78&gt;" ",(Y$628:Y$1078),"")</f>
        <v>0</v>
      </c>
      <c r="Z341" s="206">
        <f t="array" ref="Z341">IF(Z$78&gt;" ",(Z$628:Z$1078),"")</f>
        <v>0</v>
      </c>
      <c r="AA341" s="206">
        <f t="array" ref="AA341">IF(AA$78&gt;" ",(AA$628:AA$1078),"")</f>
        <v>0</v>
      </c>
      <c r="AB341" s="210">
        <v>0</v>
      </c>
      <c r="AC341" s="204">
        <f t="shared" si="67"/>
        <v>0</v>
      </c>
      <c r="AD341" s="206">
        <f t="shared" si="68"/>
        <v>0</v>
      </c>
      <c r="AE341" s="206">
        <f t="shared" si="69"/>
        <v>0</v>
      </c>
      <c r="AF341" s="206">
        <f t="shared" si="70"/>
        <v>0</v>
      </c>
      <c r="AG341" s="206">
        <f t="shared" si="71"/>
        <v>0</v>
      </c>
      <c r="AH341" s="206">
        <f t="shared" si="72"/>
        <v>0</v>
      </c>
      <c r="AI341" s="206">
        <f t="shared" si="73"/>
        <v>0</v>
      </c>
      <c r="AJ341" s="206">
        <f t="shared" si="74"/>
        <v>0</v>
      </c>
      <c r="AK341" s="206">
        <f t="shared" si="75"/>
        <v>0</v>
      </c>
      <c r="AL341" s="206">
        <f t="shared" si="76"/>
        <v>0</v>
      </c>
      <c r="AM341" s="214">
        <f t="shared" si="77"/>
        <v>0</v>
      </c>
      <c r="AN341" s="4"/>
      <c r="AO341" s="167">
        <v>1195</v>
      </c>
      <c r="AP341" s="215">
        <v>2.5308849218319252E-3</v>
      </c>
      <c r="AQ341" s="190">
        <v>2.1629098188954352E-3</v>
      </c>
      <c r="AR341" s="190">
        <v>2.247470304514458E-3</v>
      </c>
      <c r="AS341" s="170">
        <v>2.388040732746133E-3</v>
      </c>
      <c r="AU341" s="216">
        <v>96.960428753802162</v>
      </c>
      <c r="AV341" s="217">
        <v>96.937440271140972</v>
      </c>
      <c r="AW341" s="217">
        <v>94.216368139641474</v>
      </c>
      <c r="AX341" s="217">
        <v>94.421309568785276</v>
      </c>
      <c r="AY341" s="217"/>
      <c r="AZ341" s="218">
        <v>0</v>
      </c>
      <c r="BA341" s="8"/>
      <c r="BB341" s="219"/>
      <c r="BC341" s="220"/>
    </row>
    <row r="342" spans="15:55" x14ac:dyDescent="0.25">
      <c r="O342" s="195">
        <v>1190</v>
      </c>
      <c r="P342" s="202">
        <f t="shared" si="66"/>
        <v>0</v>
      </c>
      <c r="Q342" s="203">
        <f t="shared" si="66"/>
        <v>0</v>
      </c>
      <c r="R342" s="157">
        <f ca="1"/>
        <v>96.91799629781265</v>
      </c>
      <c r="T342" s="204">
        <v>0</v>
      </c>
      <c r="U342" s="206">
        <v>0</v>
      </c>
      <c r="V342" s="206">
        <v>0</v>
      </c>
      <c r="W342" s="206">
        <v>0</v>
      </c>
      <c r="X342" s="206">
        <f t="array" ref="X342">IF(X$78&gt;" ",(X$628:X$1078),"")</f>
        <v>0</v>
      </c>
      <c r="Y342" s="206">
        <f t="array" ref="Y342">IF(Y$78&gt;" ",(Y$628:Y$1078),"")</f>
        <v>0</v>
      </c>
      <c r="Z342" s="206">
        <f t="array" ref="Z342">IF(Z$78&gt;" ",(Z$628:Z$1078),"")</f>
        <v>0</v>
      </c>
      <c r="AA342" s="206">
        <f t="array" ref="AA342">IF(AA$78&gt;" ",(AA$628:AA$1078),"")</f>
        <v>0</v>
      </c>
      <c r="AB342" s="210">
        <v>0</v>
      </c>
      <c r="AC342" s="204">
        <f t="shared" si="67"/>
        <v>0</v>
      </c>
      <c r="AD342" s="206">
        <f t="shared" si="68"/>
        <v>0</v>
      </c>
      <c r="AE342" s="206">
        <f t="shared" si="69"/>
        <v>0</v>
      </c>
      <c r="AF342" s="206">
        <f t="shared" si="70"/>
        <v>0</v>
      </c>
      <c r="AG342" s="206">
        <f t="shared" si="71"/>
        <v>0</v>
      </c>
      <c r="AH342" s="206">
        <f t="shared" si="72"/>
        <v>0</v>
      </c>
      <c r="AI342" s="206">
        <f t="shared" si="73"/>
        <v>0</v>
      </c>
      <c r="AJ342" s="206">
        <f t="shared" si="74"/>
        <v>0</v>
      </c>
      <c r="AK342" s="206">
        <f t="shared" si="75"/>
        <v>0</v>
      </c>
      <c r="AL342" s="206">
        <f t="shared" si="76"/>
        <v>0</v>
      </c>
      <c r="AM342" s="214">
        <f t="shared" si="77"/>
        <v>0</v>
      </c>
      <c r="AN342" s="4"/>
      <c r="AO342" s="167">
        <v>1190</v>
      </c>
      <c r="AP342" s="215">
        <v>2.583074926745713E-3</v>
      </c>
      <c r="AQ342" s="190">
        <v>2.0696349770152013E-3</v>
      </c>
      <c r="AR342" s="190">
        <v>2.3250577100958482E-3</v>
      </c>
      <c r="AS342" s="170">
        <v>2.4693564550090311E-3</v>
      </c>
      <c r="AU342" s="216">
        <v>96.943215433001356</v>
      </c>
      <c r="AV342" s="217">
        <v>96.91799629781265</v>
      </c>
      <c r="AW342" s="217">
        <v>94.19726742261831</v>
      </c>
      <c r="AX342" s="217">
        <v>94.413298497538634</v>
      </c>
      <c r="AY342" s="217"/>
      <c r="AZ342" s="218">
        <v>0</v>
      </c>
      <c r="BA342" s="8"/>
      <c r="BB342" s="219"/>
      <c r="BC342" s="220"/>
    </row>
    <row r="343" spans="15:55" x14ac:dyDescent="0.25">
      <c r="O343" s="195">
        <v>1185</v>
      </c>
      <c r="P343" s="202">
        <f t="shared" si="66"/>
        <v>0</v>
      </c>
      <c r="Q343" s="203">
        <f t="shared" si="66"/>
        <v>0</v>
      </c>
      <c r="R343" s="157">
        <f ca="1"/>
        <v>96.929235772673053</v>
      </c>
      <c r="T343" s="204">
        <v>0</v>
      </c>
      <c r="U343" s="206">
        <v>0</v>
      </c>
      <c r="V343" s="206">
        <v>0</v>
      </c>
      <c r="W343" s="206">
        <v>0</v>
      </c>
      <c r="X343" s="206">
        <f t="array" ref="X343">IF(X$78&gt;" ",(X$628:X$1078),"")</f>
        <v>0</v>
      </c>
      <c r="Y343" s="206">
        <f t="array" ref="Y343">IF(Y$78&gt;" ",(Y$628:Y$1078),"")</f>
        <v>0</v>
      </c>
      <c r="Z343" s="206">
        <f t="array" ref="Z343">IF(Z$78&gt;" ",(Z$628:Z$1078),"")</f>
        <v>0</v>
      </c>
      <c r="AA343" s="206">
        <f t="array" ref="AA343">IF(AA$78&gt;" ",(AA$628:AA$1078),"")</f>
        <v>0</v>
      </c>
      <c r="AB343" s="210">
        <v>0</v>
      </c>
      <c r="AC343" s="204">
        <f t="shared" si="67"/>
        <v>0</v>
      </c>
      <c r="AD343" s="206">
        <f t="shared" si="68"/>
        <v>0</v>
      </c>
      <c r="AE343" s="206">
        <f t="shared" si="69"/>
        <v>0</v>
      </c>
      <c r="AF343" s="206">
        <f t="shared" si="70"/>
        <v>0</v>
      </c>
      <c r="AG343" s="206">
        <f t="shared" si="71"/>
        <v>0</v>
      </c>
      <c r="AH343" s="206">
        <f t="shared" si="72"/>
        <v>0</v>
      </c>
      <c r="AI343" s="206">
        <f t="shared" si="73"/>
        <v>0</v>
      </c>
      <c r="AJ343" s="206">
        <f t="shared" si="74"/>
        <v>0</v>
      </c>
      <c r="AK343" s="206">
        <f t="shared" si="75"/>
        <v>0</v>
      </c>
      <c r="AL343" s="206">
        <f t="shared" si="76"/>
        <v>0</v>
      </c>
      <c r="AM343" s="214">
        <f t="shared" si="77"/>
        <v>0</v>
      </c>
      <c r="AN343" s="4"/>
      <c r="AO343" s="167">
        <v>1185</v>
      </c>
      <c r="AP343" s="215">
        <v>2.6352649316595009E-3</v>
      </c>
      <c r="AQ343" s="190">
        <v>1.9763601351349669E-3</v>
      </c>
      <c r="AR343" s="190">
        <v>2.0485991515174409E-3</v>
      </c>
      <c r="AS343" s="170">
        <v>2.1774481223708498E-3</v>
      </c>
      <c r="AU343" s="216">
        <v>96.921810429262166</v>
      </c>
      <c r="AV343" s="217">
        <v>96.929235772673053</v>
      </c>
      <c r="AW343" s="217">
        <v>94.192754913341858</v>
      </c>
      <c r="AX343" s="217">
        <v>94.399681771884829</v>
      </c>
      <c r="AY343" s="217"/>
      <c r="AZ343" s="218">
        <v>0</v>
      </c>
      <c r="BA343" s="8"/>
      <c r="BB343" s="219"/>
      <c r="BC343" s="220"/>
    </row>
    <row r="344" spans="15:55" x14ac:dyDescent="0.25">
      <c r="O344" s="195">
        <v>1180</v>
      </c>
      <c r="P344" s="202">
        <f t="shared" si="66"/>
        <v>0</v>
      </c>
      <c r="Q344" s="203">
        <f t="shared" si="66"/>
        <v>0</v>
      </c>
      <c r="R344" s="157">
        <f ca="1"/>
        <v>96.929044289270237</v>
      </c>
      <c r="T344" s="204">
        <v>0</v>
      </c>
      <c r="U344" s="206">
        <v>0</v>
      </c>
      <c r="V344" s="206">
        <v>0</v>
      </c>
      <c r="W344" s="206">
        <v>0</v>
      </c>
      <c r="X344" s="206">
        <f t="array" ref="X344">IF(X$78&gt;" ",(X$628:X$1078),"")</f>
        <v>0</v>
      </c>
      <c r="Y344" s="206">
        <f t="array" ref="Y344">IF(Y$78&gt;" ",(Y$628:Y$1078),"")</f>
        <v>0</v>
      </c>
      <c r="Z344" s="206">
        <f t="array" ref="Z344">IF(Z$78&gt;" ",(Z$628:Z$1078),"")</f>
        <v>0</v>
      </c>
      <c r="AA344" s="206">
        <f t="array" ref="AA344">IF(AA$78&gt;" ",(AA$628:AA$1078),"")</f>
        <v>0</v>
      </c>
      <c r="AB344" s="210">
        <v>0</v>
      </c>
      <c r="AC344" s="204">
        <f t="shared" si="67"/>
        <v>0</v>
      </c>
      <c r="AD344" s="206">
        <f t="shared" si="68"/>
        <v>0</v>
      </c>
      <c r="AE344" s="206">
        <f t="shared" si="69"/>
        <v>0</v>
      </c>
      <c r="AF344" s="206">
        <f t="shared" si="70"/>
        <v>0</v>
      </c>
      <c r="AG344" s="206">
        <f t="shared" si="71"/>
        <v>0</v>
      </c>
      <c r="AH344" s="206">
        <f t="shared" si="72"/>
        <v>0</v>
      </c>
      <c r="AI344" s="206">
        <f t="shared" si="73"/>
        <v>0</v>
      </c>
      <c r="AJ344" s="206">
        <f t="shared" si="74"/>
        <v>0</v>
      </c>
      <c r="AK344" s="206">
        <f t="shared" si="75"/>
        <v>0</v>
      </c>
      <c r="AL344" s="206">
        <f t="shared" si="76"/>
        <v>0</v>
      </c>
      <c r="AM344" s="214">
        <f t="shared" si="77"/>
        <v>0</v>
      </c>
      <c r="AN344" s="4"/>
      <c r="AO344" s="167">
        <v>1180</v>
      </c>
      <c r="AP344" s="215">
        <v>2.6874549365732891E-3</v>
      </c>
      <c r="AQ344" s="190">
        <v>1.8830852932547335E-3</v>
      </c>
      <c r="AR344" s="190">
        <v>2.2159425642036793E-3</v>
      </c>
      <c r="AS344" s="170">
        <v>2.3533990038536799E-3</v>
      </c>
      <c r="AU344" s="216">
        <v>96.939328591937326</v>
      </c>
      <c r="AV344" s="217">
        <v>96.929044289270237</v>
      </c>
      <c r="AW344" s="217">
        <v>94.171190434915289</v>
      </c>
      <c r="AX344" s="217">
        <v>94.375776266402696</v>
      </c>
      <c r="AY344" s="217"/>
      <c r="AZ344" s="218">
        <v>0</v>
      </c>
      <c r="BA344" s="8"/>
      <c r="BB344" s="219"/>
      <c r="BC344" s="220"/>
    </row>
    <row r="345" spans="15:55" x14ac:dyDescent="0.25">
      <c r="O345" s="195">
        <v>1175</v>
      </c>
      <c r="P345" s="202">
        <f t="shared" si="66"/>
        <v>0</v>
      </c>
      <c r="Q345" s="203">
        <f t="shared" si="66"/>
        <v>0</v>
      </c>
      <c r="R345" s="157">
        <f ca="1"/>
        <v>96.917198209006145</v>
      </c>
      <c r="T345" s="204">
        <v>0</v>
      </c>
      <c r="U345" s="206">
        <v>0</v>
      </c>
      <c r="V345" s="206">
        <v>0</v>
      </c>
      <c r="W345" s="206">
        <v>0</v>
      </c>
      <c r="X345" s="206">
        <f t="array" ref="X345">IF(X$78&gt;" ",(X$628:X$1078),"")</f>
        <v>0</v>
      </c>
      <c r="Y345" s="206">
        <f t="array" ref="Y345">IF(Y$78&gt;" ",(Y$628:Y$1078),"")</f>
        <v>0</v>
      </c>
      <c r="Z345" s="206">
        <f t="array" ref="Z345">IF(Z$78&gt;" ",(Z$628:Z$1078),"")</f>
        <v>0</v>
      </c>
      <c r="AA345" s="206">
        <f t="array" ref="AA345">IF(AA$78&gt;" ",(AA$628:AA$1078),"")</f>
        <v>0</v>
      </c>
      <c r="AB345" s="210">
        <v>0</v>
      </c>
      <c r="AC345" s="204">
        <f t="shared" si="67"/>
        <v>0</v>
      </c>
      <c r="AD345" s="206">
        <f t="shared" si="68"/>
        <v>0</v>
      </c>
      <c r="AE345" s="206">
        <f t="shared" si="69"/>
        <v>0</v>
      </c>
      <c r="AF345" s="206">
        <f t="shared" si="70"/>
        <v>0</v>
      </c>
      <c r="AG345" s="206">
        <f t="shared" si="71"/>
        <v>0</v>
      </c>
      <c r="AH345" s="206">
        <f t="shared" si="72"/>
        <v>0</v>
      </c>
      <c r="AI345" s="206">
        <f t="shared" si="73"/>
        <v>0</v>
      </c>
      <c r="AJ345" s="206">
        <f t="shared" si="74"/>
        <v>0</v>
      </c>
      <c r="AK345" s="206">
        <f t="shared" si="75"/>
        <v>0</v>
      </c>
      <c r="AL345" s="206">
        <f t="shared" si="76"/>
        <v>0</v>
      </c>
      <c r="AM345" s="214">
        <f t="shared" si="77"/>
        <v>0</v>
      </c>
      <c r="AN345" s="4"/>
      <c r="AO345" s="167">
        <v>1175</v>
      </c>
      <c r="AP345" s="215">
        <v>2.505054172564468E-3</v>
      </c>
      <c r="AQ345" s="190">
        <v>1.7898104513744996E-3</v>
      </c>
      <c r="AR345" s="190">
        <v>2.2748245162035547E-3</v>
      </c>
      <c r="AS345" s="170">
        <v>2.414399786556061E-3</v>
      </c>
      <c r="AU345" s="216">
        <v>96.912454597825942</v>
      </c>
      <c r="AV345" s="217">
        <v>96.917198209006145</v>
      </c>
      <c r="AW345" s="217">
        <v>94.198174512081138</v>
      </c>
      <c r="AX345" s="217">
        <v>94.397248746887712</v>
      </c>
      <c r="AY345" s="217"/>
      <c r="AZ345" s="218">
        <v>0</v>
      </c>
      <c r="BA345" s="8"/>
      <c r="BB345" s="219"/>
      <c r="BC345" s="220"/>
    </row>
    <row r="346" spans="15:55" x14ac:dyDescent="0.25">
      <c r="O346" s="195">
        <v>1170</v>
      </c>
      <c r="P346" s="202">
        <f t="shared" si="66"/>
        <v>0</v>
      </c>
      <c r="Q346" s="203">
        <f t="shared" si="66"/>
        <v>0</v>
      </c>
      <c r="R346" s="157">
        <f ca="1"/>
        <v>96.903894079934688</v>
      </c>
      <c r="T346" s="204">
        <v>0</v>
      </c>
      <c r="U346" s="206">
        <v>0</v>
      </c>
      <c r="V346" s="206">
        <v>0</v>
      </c>
      <c r="W346" s="206">
        <v>0</v>
      </c>
      <c r="X346" s="206">
        <f t="array" ref="X346">IF(X$78&gt;" ",(X$628:X$1078),"")</f>
        <v>0</v>
      </c>
      <c r="Y346" s="206">
        <f t="array" ref="Y346">IF(Y$78&gt;" ",(Y$628:Y$1078),"")</f>
        <v>0</v>
      </c>
      <c r="Z346" s="206">
        <f t="array" ref="Z346">IF(Z$78&gt;" ",(Z$628:Z$1078),"")</f>
        <v>0</v>
      </c>
      <c r="AA346" s="206">
        <f t="array" ref="AA346">IF(AA$78&gt;" ",(AA$628:AA$1078),"")</f>
        <v>0</v>
      </c>
      <c r="AB346" s="210">
        <v>0</v>
      </c>
      <c r="AC346" s="204">
        <f t="shared" si="67"/>
        <v>0</v>
      </c>
      <c r="AD346" s="206">
        <f t="shared" si="68"/>
        <v>0</v>
      </c>
      <c r="AE346" s="206">
        <f t="shared" si="69"/>
        <v>0</v>
      </c>
      <c r="AF346" s="206">
        <f t="shared" si="70"/>
        <v>0</v>
      </c>
      <c r="AG346" s="206">
        <f t="shared" si="71"/>
        <v>0</v>
      </c>
      <c r="AH346" s="206">
        <f t="shared" si="72"/>
        <v>0</v>
      </c>
      <c r="AI346" s="206">
        <f t="shared" si="73"/>
        <v>0</v>
      </c>
      <c r="AJ346" s="206">
        <f t="shared" si="74"/>
        <v>0</v>
      </c>
      <c r="AK346" s="206">
        <f t="shared" si="75"/>
        <v>0</v>
      </c>
      <c r="AL346" s="206">
        <f t="shared" si="76"/>
        <v>0</v>
      </c>
      <c r="AM346" s="214">
        <f t="shared" si="77"/>
        <v>0</v>
      </c>
      <c r="AN346" s="4"/>
      <c r="AO346" s="167">
        <v>1170</v>
      </c>
      <c r="AP346" s="215">
        <v>2.3227194718530055E-3</v>
      </c>
      <c r="AQ346" s="190">
        <v>1.6965356094942653E-3</v>
      </c>
      <c r="AR346" s="190">
        <v>2.3066539573785515E-3</v>
      </c>
      <c r="AS346" s="170">
        <v>2.4473625948236771E-3</v>
      </c>
      <c r="AU346" s="216">
        <v>96.922277049160741</v>
      </c>
      <c r="AV346" s="217">
        <v>96.903894079934688</v>
      </c>
      <c r="AW346" s="217">
        <v>94.157331672777204</v>
      </c>
      <c r="AX346" s="217">
        <v>94.366940041755299</v>
      </c>
      <c r="AY346" s="217"/>
      <c r="AZ346" s="218">
        <v>0</v>
      </c>
      <c r="BA346" s="8"/>
      <c r="BB346" s="219"/>
      <c r="BC346" s="220"/>
    </row>
    <row r="347" spans="15:55" x14ac:dyDescent="0.25">
      <c r="O347" s="195">
        <v>1165</v>
      </c>
      <c r="P347" s="202">
        <f t="shared" si="66"/>
        <v>0</v>
      </c>
      <c r="Q347" s="203">
        <f t="shared" si="66"/>
        <v>0</v>
      </c>
      <c r="R347" s="157">
        <f ca="1"/>
        <v>96.91299055432512</v>
      </c>
      <c r="T347" s="204">
        <v>0</v>
      </c>
      <c r="U347" s="206">
        <v>0</v>
      </c>
      <c r="V347" s="206">
        <v>0</v>
      </c>
      <c r="W347" s="206">
        <v>0</v>
      </c>
      <c r="X347" s="206">
        <f t="array" ref="X347">IF(X$78&gt;" ",(X$628:X$1078),"")</f>
        <v>0</v>
      </c>
      <c r="Y347" s="206">
        <f t="array" ref="Y347">IF(Y$78&gt;" ",(Y$628:Y$1078),"")</f>
        <v>0</v>
      </c>
      <c r="Z347" s="206">
        <f t="array" ref="Z347">IF(Z$78&gt;" ",(Z$628:Z$1078),"")</f>
        <v>0</v>
      </c>
      <c r="AA347" s="206">
        <f t="array" ref="AA347">IF(AA$78&gt;" ",(AA$628:AA$1078),"")</f>
        <v>0</v>
      </c>
      <c r="AB347" s="210">
        <v>0</v>
      </c>
      <c r="AC347" s="204">
        <f t="shared" si="67"/>
        <v>0</v>
      </c>
      <c r="AD347" s="206">
        <f t="shared" si="68"/>
        <v>0</v>
      </c>
      <c r="AE347" s="206">
        <f t="shared" si="69"/>
        <v>0</v>
      </c>
      <c r="AF347" s="206">
        <f t="shared" si="70"/>
        <v>0</v>
      </c>
      <c r="AG347" s="206">
        <f t="shared" si="71"/>
        <v>0</v>
      </c>
      <c r="AH347" s="206">
        <f t="shared" si="72"/>
        <v>0</v>
      </c>
      <c r="AI347" s="206">
        <f t="shared" si="73"/>
        <v>0</v>
      </c>
      <c r="AJ347" s="206">
        <f t="shared" si="74"/>
        <v>0</v>
      </c>
      <c r="AK347" s="206">
        <f t="shared" si="75"/>
        <v>0</v>
      </c>
      <c r="AL347" s="206">
        <f t="shared" si="76"/>
        <v>0</v>
      </c>
      <c r="AM347" s="214">
        <f t="shared" si="77"/>
        <v>0</v>
      </c>
      <c r="AN347" s="4"/>
      <c r="AO347" s="167">
        <v>1165</v>
      </c>
      <c r="AP347" s="215">
        <v>2.1403187078441847E-3</v>
      </c>
      <c r="AQ347" s="190">
        <v>1.6032607676140314E-3</v>
      </c>
      <c r="AR347" s="190">
        <v>1.9540159305851046E-3</v>
      </c>
      <c r="AS347" s="170">
        <v>2.0751458922974994E-3</v>
      </c>
      <c r="AU347" s="216">
        <v>96.925489887097129</v>
      </c>
      <c r="AV347" s="217">
        <v>96.91299055432512</v>
      </c>
      <c r="AW347" s="217">
        <v>94.162656230237488</v>
      </c>
      <c r="AX347" s="217">
        <v>94.371328029002484</v>
      </c>
      <c r="AY347" s="217"/>
      <c r="AZ347" s="218">
        <v>0</v>
      </c>
      <c r="BA347" s="8"/>
      <c r="BB347" s="219"/>
      <c r="BC347" s="220"/>
    </row>
    <row r="348" spans="15:55" x14ac:dyDescent="0.25">
      <c r="O348" s="195">
        <v>1160</v>
      </c>
      <c r="P348" s="202">
        <f t="shared" si="66"/>
        <v>0</v>
      </c>
      <c r="Q348" s="203">
        <f t="shared" si="66"/>
        <v>0</v>
      </c>
      <c r="R348" s="157">
        <f ca="1"/>
        <v>96.905882660621032</v>
      </c>
      <c r="T348" s="204">
        <v>0</v>
      </c>
      <c r="U348" s="206">
        <v>0</v>
      </c>
      <c r="V348" s="206">
        <v>0</v>
      </c>
      <c r="W348" s="206">
        <v>0</v>
      </c>
      <c r="X348" s="206">
        <f t="array" ref="X348">IF(X$78&gt;" ",(X$628:X$1078),"")</f>
        <v>0</v>
      </c>
      <c r="Y348" s="206">
        <f t="array" ref="Y348">IF(Y$78&gt;" ",(Y$628:Y$1078),"")</f>
        <v>0</v>
      </c>
      <c r="Z348" s="206">
        <f t="array" ref="Z348">IF(Z$78&gt;" ",(Z$628:Z$1078),"")</f>
        <v>0</v>
      </c>
      <c r="AA348" s="206">
        <f t="array" ref="AA348">IF(AA$78&gt;" ",(AA$628:AA$1078),"")</f>
        <v>0</v>
      </c>
      <c r="AB348" s="210">
        <v>0</v>
      </c>
      <c r="AC348" s="204">
        <f t="shared" si="67"/>
        <v>0</v>
      </c>
      <c r="AD348" s="206">
        <f t="shared" si="68"/>
        <v>0</v>
      </c>
      <c r="AE348" s="206">
        <f t="shared" si="69"/>
        <v>0</v>
      </c>
      <c r="AF348" s="206">
        <f t="shared" si="70"/>
        <v>0</v>
      </c>
      <c r="AG348" s="206">
        <f t="shared" si="71"/>
        <v>0</v>
      </c>
      <c r="AH348" s="206">
        <f t="shared" si="72"/>
        <v>0</v>
      </c>
      <c r="AI348" s="206">
        <f t="shared" si="73"/>
        <v>0</v>
      </c>
      <c r="AJ348" s="206">
        <f t="shared" si="74"/>
        <v>0</v>
      </c>
      <c r="AK348" s="206">
        <f t="shared" si="75"/>
        <v>0</v>
      </c>
      <c r="AL348" s="206">
        <f t="shared" si="76"/>
        <v>0</v>
      </c>
      <c r="AM348" s="214">
        <f t="shared" si="77"/>
        <v>0</v>
      </c>
      <c r="AN348" s="4"/>
      <c r="AO348" s="167">
        <v>1160</v>
      </c>
      <c r="AP348" s="215">
        <v>1.9440446513899257E-3</v>
      </c>
      <c r="AQ348" s="190">
        <v>1.5099859257337975E-3</v>
      </c>
      <c r="AR348" s="190">
        <v>1.440521059686106E-3</v>
      </c>
      <c r="AS348" s="170">
        <v>1.5317912140796889E-3</v>
      </c>
      <c r="AU348" s="216">
        <v>96.93130065277802</v>
      </c>
      <c r="AV348" s="217">
        <v>96.905882660621032</v>
      </c>
      <c r="AW348" s="217">
        <v>94.166096974058817</v>
      </c>
      <c r="AX348" s="217">
        <v>94.360279547635471</v>
      </c>
      <c r="AY348" s="217"/>
      <c r="AZ348" s="218">
        <v>0</v>
      </c>
      <c r="BA348" s="8"/>
      <c r="BB348" s="219"/>
      <c r="BC348" s="220"/>
    </row>
    <row r="349" spans="15:55" x14ac:dyDescent="0.25">
      <c r="O349" s="195">
        <v>1155</v>
      </c>
      <c r="P349" s="202">
        <f t="shared" si="66"/>
        <v>0</v>
      </c>
      <c r="Q349" s="203">
        <f t="shared" si="66"/>
        <v>0</v>
      </c>
      <c r="R349" s="157">
        <f ca="1"/>
        <v>96.896349349281579</v>
      </c>
      <c r="T349" s="204">
        <v>0</v>
      </c>
      <c r="U349" s="206">
        <v>0</v>
      </c>
      <c r="V349" s="206">
        <v>0</v>
      </c>
      <c r="W349" s="206">
        <v>0</v>
      </c>
      <c r="X349" s="206">
        <f t="array" ref="X349">IF(X$78&gt;" ",(X$628:X$1078),"")</f>
        <v>0</v>
      </c>
      <c r="Y349" s="206">
        <f t="array" ref="Y349">IF(Y$78&gt;" ",(Y$628:Y$1078),"")</f>
        <v>0</v>
      </c>
      <c r="Z349" s="206">
        <f t="array" ref="Z349">IF(Z$78&gt;" ",(Z$628:Z$1078),"")</f>
        <v>0</v>
      </c>
      <c r="AA349" s="206">
        <f t="array" ref="AA349">IF(AA$78&gt;" ",(AA$628:AA$1078),"")</f>
        <v>0</v>
      </c>
      <c r="AB349" s="210">
        <v>0</v>
      </c>
      <c r="AC349" s="204">
        <f t="shared" si="67"/>
        <v>0</v>
      </c>
      <c r="AD349" s="206">
        <f t="shared" si="68"/>
        <v>0</v>
      </c>
      <c r="AE349" s="206">
        <f t="shared" si="69"/>
        <v>0</v>
      </c>
      <c r="AF349" s="206">
        <f t="shared" si="70"/>
        <v>0</v>
      </c>
      <c r="AG349" s="206">
        <f t="shared" si="71"/>
        <v>0</v>
      </c>
      <c r="AH349" s="206">
        <f t="shared" si="72"/>
        <v>0</v>
      </c>
      <c r="AI349" s="206">
        <f t="shared" si="73"/>
        <v>0</v>
      </c>
      <c r="AJ349" s="206">
        <f t="shared" si="74"/>
        <v>0</v>
      </c>
      <c r="AK349" s="206">
        <f t="shared" si="75"/>
        <v>0</v>
      </c>
      <c r="AL349" s="206">
        <f t="shared" si="76"/>
        <v>0</v>
      </c>
      <c r="AM349" s="214">
        <f t="shared" si="77"/>
        <v>0</v>
      </c>
      <c r="AN349" s="4"/>
      <c r="AO349" s="167">
        <v>1155</v>
      </c>
      <c r="AP349" s="215">
        <v>1.6918810453697625E-3</v>
      </c>
      <c r="AQ349" s="190">
        <v>1.4167110838535634E-3</v>
      </c>
      <c r="AR349" s="190">
        <v>1.5746773773083669E-3</v>
      </c>
      <c r="AS349" s="170">
        <v>1.6734921148158612E-3</v>
      </c>
      <c r="AU349" s="216">
        <v>96.906474873024194</v>
      </c>
      <c r="AV349" s="217">
        <v>96.896349349281579</v>
      </c>
      <c r="AW349" s="217">
        <v>94.152319745262901</v>
      </c>
      <c r="AX349" s="217">
        <v>94.35961100040133</v>
      </c>
      <c r="AY349" s="217"/>
      <c r="AZ349" s="218">
        <v>0</v>
      </c>
      <c r="BA349" s="8"/>
      <c r="BB349" s="219"/>
      <c r="BC349" s="220"/>
    </row>
    <row r="350" spans="15:55" x14ac:dyDescent="0.25">
      <c r="O350" s="195">
        <v>1150</v>
      </c>
      <c r="P350" s="202">
        <f t="shared" si="66"/>
        <v>0</v>
      </c>
      <c r="Q350" s="203">
        <f t="shared" si="66"/>
        <v>0</v>
      </c>
      <c r="R350" s="157">
        <f ca="1"/>
        <v>96.888147442921607</v>
      </c>
      <c r="T350" s="204">
        <v>0</v>
      </c>
      <c r="U350" s="206">
        <v>0</v>
      </c>
      <c r="V350" s="206">
        <v>0</v>
      </c>
      <c r="W350" s="206">
        <v>0</v>
      </c>
      <c r="X350" s="206">
        <f t="array" ref="X350">IF(X$78&gt;" ",(X$628:X$1078),"")</f>
        <v>0</v>
      </c>
      <c r="Y350" s="206">
        <f t="array" ref="Y350">IF(Y$78&gt;" ",(Y$628:Y$1078),"")</f>
        <v>0</v>
      </c>
      <c r="Z350" s="206">
        <f t="array" ref="Z350">IF(Z$78&gt;" ",(Z$628:Z$1078),"")</f>
        <v>0</v>
      </c>
      <c r="AA350" s="206">
        <f t="array" ref="AA350">IF(AA$78&gt;" ",(AA$628:AA$1078),"")</f>
        <v>0</v>
      </c>
      <c r="AB350" s="210">
        <v>0</v>
      </c>
      <c r="AC350" s="204">
        <f t="shared" si="67"/>
        <v>0</v>
      </c>
      <c r="AD350" s="206">
        <f t="shared" si="68"/>
        <v>0</v>
      </c>
      <c r="AE350" s="206">
        <f t="shared" si="69"/>
        <v>0</v>
      </c>
      <c r="AF350" s="206">
        <f t="shared" si="70"/>
        <v>0</v>
      </c>
      <c r="AG350" s="206">
        <f t="shared" si="71"/>
        <v>0</v>
      </c>
      <c r="AH350" s="206">
        <f t="shared" si="72"/>
        <v>0</v>
      </c>
      <c r="AI350" s="206">
        <f t="shared" si="73"/>
        <v>0</v>
      </c>
      <c r="AJ350" s="206">
        <f t="shared" si="74"/>
        <v>0</v>
      </c>
      <c r="AK350" s="206">
        <f t="shared" si="75"/>
        <v>0</v>
      </c>
      <c r="AL350" s="206">
        <f t="shared" si="76"/>
        <v>0</v>
      </c>
      <c r="AM350" s="214">
        <f t="shared" si="77"/>
        <v>0</v>
      </c>
      <c r="AN350" s="4"/>
      <c r="AO350" s="167">
        <v>1150</v>
      </c>
      <c r="AP350" s="215">
        <v>1.4397174393495991E-3</v>
      </c>
      <c r="AQ350" s="190">
        <v>1.3234362419733295E-3</v>
      </c>
      <c r="AR350" s="190">
        <v>6.1164821872458088E-4</v>
      </c>
      <c r="AS350" s="170">
        <v>6.5186891460305486E-4</v>
      </c>
      <c r="AU350" s="216">
        <v>96.90143606325455</v>
      </c>
      <c r="AV350" s="217">
        <v>96.888147442921607</v>
      </c>
      <c r="AW350" s="217">
        <v>94.133521329593066</v>
      </c>
      <c r="AX350" s="217">
        <v>94.345656536760842</v>
      </c>
      <c r="AY350" s="217"/>
      <c r="AZ350" s="218">
        <v>0</v>
      </c>
      <c r="BA350" s="8"/>
      <c r="BB350" s="219"/>
      <c r="BC350" s="220"/>
    </row>
    <row r="351" spans="15:55" x14ac:dyDescent="0.25">
      <c r="O351" s="195">
        <v>1145</v>
      </c>
      <c r="P351" s="202">
        <f t="shared" si="66"/>
        <v>0</v>
      </c>
      <c r="Q351" s="203">
        <f t="shared" si="66"/>
        <v>0</v>
      </c>
      <c r="R351" s="157">
        <f ca="1"/>
        <v>96.888805245509289</v>
      </c>
      <c r="T351" s="204">
        <v>0</v>
      </c>
      <c r="U351" s="206">
        <v>0</v>
      </c>
      <c r="V351" s="206">
        <v>0</v>
      </c>
      <c r="W351" s="206">
        <v>0</v>
      </c>
      <c r="X351" s="206">
        <f t="array" ref="X351">IF(X$78&gt;" ",(X$628:X$1078),"")</f>
        <v>0</v>
      </c>
      <c r="Y351" s="206">
        <f t="array" ref="Y351">IF(Y$78&gt;" ",(Y$628:Y$1078),"")</f>
        <v>0</v>
      </c>
      <c r="Z351" s="206">
        <f t="array" ref="Z351">IF(Z$78&gt;" ",(Z$628:Z$1078),"")</f>
        <v>0</v>
      </c>
      <c r="AA351" s="206">
        <f t="array" ref="AA351">IF(AA$78&gt;" ",(AA$628:AA$1078),"")</f>
        <v>0</v>
      </c>
      <c r="AB351" s="210">
        <v>0</v>
      </c>
      <c r="AC351" s="204">
        <f t="shared" si="67"/>
        <v>0</v>
      </c>
      <c r="AD351" s="206">
        <f t="shared" si="68"/>
        <v>0</v>
      </c>
      <c r="AE351" s="206">
        <f t="shared" si="69"/>
        <v>0</v>
      </c>
      <c r="AF351" s="206">
        <f t="shared" si="70"/>
        <v>0</v>
      </c>
      <c r="AG351" s="206">
        <f t="shared" si="71"/>
        <v>0</v>
      </c>
      <c r="AH351" s="206">
        <f t="shared" si="72"/>
        <v>0</v>
      </c>
      <c r="AI351" s="206">
        <f t="shared" si="73"/>
        <v>0</v>
      </c>
      <c r="AJ351" s="206">
        <f t="shared" si="74"/>
        <v>0</v>
      </c>
      <c r="AK351" s="206">
        <f t="shared" si="75"/>
        <v>0</v>
      </c>
      <c r="AL351" s="206">
        <f t="shared" si="76"/>
        <v>0</v>
      </c>
      <c r="AM351" s="214">
        <f t="shared" si="77"/>
        <v>0</v>
      </c>
      <c r="AN351" s="4"/>
      <c r="AO351" s="167">
        <v>1145</v>
      </c>
      <c r="AP351" s="215">
        <v>1.1876198966267949E-3</v>
      </c>
      <c r="AQ351" s="190">
        <v>1.3797933356461127E-3</v>
      </c>
      <c r="AR351" s="190">
        <v>7.3433990350655861E-4</v>
      </c>
      <c r="AS351" s="170">
        <v>7.8215315509034124E-4</v>
      </c>
      <c r="AU351" s="216">
        <v>96.909393982881468</v>
      </c>
      <c r="AV351" s="217">
        <v>96.888805245509289</v>
      </c>
      <c r="AW351" s="217">
        <v>94.160205678562477</v>
      </c>
      <c r="AX351" s="217">
        <v>94.3489877655431</v>
      </c>
      <c r="AY351" s="217"/>
      <c r="AZ351" s="218">
        <v>0</v>
      </c>
      <c r="BA351" s="8"/>
      <c r="BB351" s="219"/>
      <c r="BC351" s="220"/>
    </row>
    <row r="352" spans="15:55" x14ac:dyDescent="0.25">
      <c r="O352" s="195">
        <v>1140</v>
      </c>
      <c r="P352" s="202">
        <f t="shared" ref="P352:Q367" si="78">P900</f>
        <v>0</v>
      </c>
      <c r="Q352" s="203">
        <f t="shared" si="78"/>
        <v>0</v>
      </c>
      <c r="R352" s="157">
        <f ca="1"/>
        <v>96.889744402390306</v>
      </c>
      <c r="T352" s="204">
        <v>0</v>
      </c>
      <c r="U352" s="206">
        <v>0</v>
      </c>
      <c r="V352" s="206">
        <v>0</v>
      </c>
      <c r="W352" s="206">
        <v>0</v>
      </c>
      <c r="X352" s="206">
        <f t="array" ref="X352">IF(X$78&gt;" ",(X$628:X$1078),"")</f>
        <v>0</v>
      </c>
      <c r="Y352" s="206">
        <f t="array" ref="Y352">IF(Y$78&gt;" ",(Y$628:Y$1078),"")</f>
        <v>0</v>
      </c>
      <c r="Z352" s="206">
        <f t="array" ref="Z352">IF(Z$78&gt;" ",(Z$628:Z$1078),"")</f>
        <v>0</v>
      </c>
      <c r="AA352" s="206">
        <f t="array" ref="AA352">IF(AA$78&gt;" ",(AA$628:AA$1078),"")</f>
        <v>0</v>
      </c>
      <c r="AB352" s="210">
        <v>0</v>
      </c>
      <c r="AC352" s="204">
        <f t="shared" si="67"/>
        <v>0</v>
      </c>
      <c r="AD352" s="206">
        <f t="shared" si="68"/>
        <v>0</v>
      </c>
      <c r="AE352" s="206">
        <f t="shared" si="69"/>
        <v>0</v>
      </c>
      <c r="AF352" s="206">
        <f t="shared" si="70"/>
        <v>0</v>
      </c>
      <c r="AG352" s="206">
        <f t="shared" si="71"/>
        <v>0</v>
      </c>
      <c r="AH352" s="206">
        <f t="shared" si="72"/>
        <v>0</v>
      </c>
      <c r="AI352" s="206">
        <f t="shared" si="73"/>
        <v>0</v>
      </c>
      <c r="AJ352" s="206">
        <f t="shared" si="74"/>
        <v>0</v>
      </c>
      <c r="AK352" s="206">
        <f t="shared" si="75"/>
        <v>0</v>
      </c>
      <c r="AL352" s="206">
        <f t="shared" si="76"/>
        <v>0</v>
      </c>
      <c r="AM352" s="214">
        <f t="shared" si="77"/>
        <v>0</v>
      </c>
      <c r="AN352" s="4"/>
      <c r="AO352" s="167">
        <v>1140</v>
      </c>
      <c r="AP352" s="215">
        <v>9.3545629060663162E-4</v>
      </c>
      <c r="AQ352" s="190">
        <v>1.4361504293188959E-3</v>
      </c>
      <c r="AR352" s="190">
        <v>1.2872067371860034E-3</v>
      </c>
      <c r="AS352" s="170">
        <v>1.3681524171789907E-3</v>
      </c>
      <c r="AU352" s="216">
        <v>96.898059126088242</v>
      </c>
      <c r="AV352" s="217">
        <v>96.889744402390306</v>
      </c>
      <c r="AW352" s="217">
        <v>94.156787866373762</v>
      </c>
      <c r="AX352" s="217">
        <v>94.358733925072727</v>
      </c>
      <c r="AY352" s="217"/>
      <c r="AZ352" s="218">
        <v>0</v>
      </c>
      <c r="BA352" s="8"/>
      <c r="BB352" s="219"/>
      <c r="BC352" s="220"/>
    </row>
    <row r="353" spans="15:55" x14ac:dyDescent="0.25">
      <c r="O353" s="195">
        <v>1135</v>
      </c>
      <c r="P353" s="202">
        <f t="shared" si="78"/>
        <v>0</v>
      </c>
      <c r="Q353" s="203">
        <f t="shared" si="78"/>
        <v>0</v>
      </c>
      <c r="R353" s="157">
        <f ca="1"/>
        <v>96.896217414970991</v>
      </c>
      <c r="T353" s="204">
        <v>0</v>
      </c>
      <c r="U353" s="206">
        <v>0</v>
      </c>
      <c r="V353" s="206">
        <v>0</v>
      </c>
      <c r="W353" s="206">
        <v>0</v>
      </c>
      <c r="X353" s="206">
        <f t="array" ref="X353">IF(X$78&gt;" ",(X$628:X$1078),"")</f>
        <v>0</v>
      </c>
      <c r="Y353" s="206">
        <f t="array" ref="Y353">IF(Y$78&gt;" ",(Y$628:Y$1078),"")</f>
        <v>0</v>
      </c>
      <c r="Z353" s="206">
        <f t="array" ref="Z353">IF(Z$78&gt;" ",(Z$628:Z$1078),"")</f>
        <v>0</v>
      </c>
      <c r="AA353" s="206">
        <f t="array" ref="AA353">IF(AA$78&gt;" ",(AA$628:AA$1078),"")</f>
        <v>0</v>
      </c>
      <c r="AB353" s="210">
        <v>0</v>
      </c>
      <c r="AC353" s="204">
        <f t="shared" si="67"/>
        <v>0</v>
      </c>
      <c r="AD353" s="206">
        <f t="shared" si="68"/>
        <v>0</v>
      </c>
      <c r="AE353" s="206">
        <f t="shared" si="69"/>
        <v>0</v>
      </c>
      <c r="AF353" s="206">
        <f t="shared" si="70"/>
        <v>0</v>
      </c>
      <c r="AG353" s="206">
        <f t="shared" si="71"/>
        <v>0</v>
      </c>
      <c r="AH353" s="206">
        <f t="shared" si="72"/>
        <v>0</v>
      </c>
      <c r="AI353" s="206">
        <f t="shared" si="73"/>
        <v>0</v>
      </c>
      <c r="AJ353" s="206">
        <f t="shared" si="74"/>
        <v>0</v>
      </c>
      <c r="AK353" s="206">
        <f t="shared" si="75"/>
        <v>0</v>
      </c>
      <c r="AL353" s="206">
        <f t="shared" si="76"/>
        <v>0</v>
      </c>
      <c r="AM353" s="214">
        <f t="shared" si="77"/>
        <v>0</v>
      </c>
      <c r="AN353" s="4"/>
      <c r="AO353" s="167">
        <v>1135</v>
      </c>
      <c r="AP353" s="215">
        <v>8.800291841222416E-4</v>
      </c>
      <c r="AQ353" s="190">
        <v>1.4925075229916792E-3</v>
      </c>
      <c r="AR353" s="190">
        <v>7.7748312708972948E-5</v>
      </c>
      <c r="AS353" s="170">
        <v>8.2933082464823748E-5</v>
      </c>
      <c r="AU353" s="216">
        <v>96.890454377815459</v>
      </c>
      <c r="AV353" s="217">
        <v>96.896217414970991</v>
      </c>
      <c r="AW353" s="217">
        <v>94.158869174559911</v>
      </c>
      <c r="AX353" s="217">
        <v>94.361298063776374</v>
      </c>
      <c r="AY353" s="217"/>
      <c r="AZ353" s="218">
        <v>0</v>
      </c>
      <c r="BA353" s="8"/>
      <c r="BB353" s="219"/>
      <c r="BC353" s="220"/>
    </row>
    <row r="354" spans="15:55" x14ac:dyDescent="0.25">
      <c r="O354" s="195">
        <v>1130</v>
      </c>
      <c r="P354" s="202">
        <f t="shared" si="78"/>
        <v>0</v>
      </c>
      <c r="Q354" s="203">
        <f t="shared" si="78"/>
        <v>0</v>
      </c>
      <c r="R354" s="157">
        <f ca="1"/>
        <v>96.877271977880568</v>
      </c>
      <c r="T354" s="204">
        <v>0</v>
      </c>
      <c r="U354" s="206">
        <v>0</v>
      </c>
      <c r="V354" s="206">
        <v>0</v>
      </c>
      <c r="W354" s="206">
        <v>0</v>
      </c>
      <c r="X354" s="206">
        <f t="array" ref="X354">IF(X$78&gt;" ",(X$628:X$1078),"")</f>
        <v>0</v>
      </c>
      <c r="Y354" s="206">
        <f t="array" ref="Y354">IF(Y$78&gt;" ",(Y$628:Y$1078),"")</f>
        <v>0</v>
      </c>
      <c r="Z354" s="206">
        <f t="array" ref="Z354">IF(Z$78&gt;" ",(Z$628:Z$1078),"")</f>
        <v>0</v>
      </c>
      <c r="AA354" s="206">
        <f t="array" ref="AA354">IF(AA$78&gt;" ",(AA$628:AA$1078),"")</f>
        <v>0</v>
      </c>
      <c r="AB354" s="210">
        <v>0</v>
      </c>
      <c r="AC354" s="204">
        <f t="shared" si="67"/>
        <v>0</v>
      </c>
      <c r="AD354" s="206">
        <f t="shared" si="68"/>
        <v>0</v>
      </c>
      <c r="AE354" s="206">
        <f t="shared" si="69"/>
        <v>0</v>
      </c>
      <c r="AF354" s="206">
        <f t="shared" si="70"/>
        <v>0</v>
      </c>
      <c r="AG354" s="206">
        <f t="shared" si="71"/>
        <v>0</v>
      </c>
      <c r="AH354" s="206">
        <f t="shared" si="72"/>
        <v>0</v>
      </c>
      <c r="AI354" s="206">
        <f t="shared" si="73"/>
        <v>0</v>
      </c>
      <c r="AJ354" s="206">
        <f t="shared" si="74"/>
        <v>0</v>
      </c>
      <c r="AK354" s="206">
        <f t="shared" si="75"/>
        <v>0</v>
      </c>
      <c r="AL354" s="206">
        <f t="shared" si="76"/>
        <v>0</v>
      </c>
      <c r="AM354" s="214">
        <f t="shared" si="77"/>
        <v>0</v>
      </c>
      <c r="AN354" s="4"/>
      <c r="AO354" s="167">
        <v>1130</v>
      </c>
      <c r="AP354" s="215">
        <v>1.1197728902388705E-3</v>
      </c>
      <c r="AQ354" s="190">
        <v>1.5488646166644624E-3</v>
      </c>
      <c r="AR354" s="190">
        <v>3.548706131886597E-4</v>
      </c>
      <c r="AS354" s="170">
        <v>3.7813769592976657E-4</v>
      </c>
      <c r="AU354" s="216">
        <v>96.904723497618249</v>
      </c>
      <c r="AV354" s="217">
        <v>96.877271977880568</v>
      </c>
      <c r="AW354" s="217">
        <v>94.141666788943539</v>
      </c>
      <c r="AX354" s="217">
        <v>94.34933697856826</v>
      </c>
      <c r="AY354" s="217"/>
      <c r="AZ354" s="218">
        <v>0</v>
      </c>
      <c r="BA354" s="8"/>
      <c r="BB354" s="219"/>
      <c r="BC354" s="220"/>
    </row>
    <row r="355" spans="15:55" x14ac:dyDescent="0.25">
      <c r="O355" s="195">
        <v>1125</v>
      </c>
      <c r="P355" s="202">
        <f t="shared" si="78"/>
        <v>0</v>
      </c>
      <c r="Q355" s="203">
        <f t="shared" si="78"/>
        <v>0</v>
      </c>
      <c r="R355" s="157">
        <f ca="1"/>
        <v>96.878771816111296</v>
      </c>
      <c r="T355" s="204">
        <v>0</v>
      </c>
      <c r="U355" s="206">
        <v>0</v>
      </c>
      <c r="V355" s="206">
        <v>0</v>
      </c>
      <c r="W355" s="206">
        <v>0</v>
      </c>
      <c r="X355" s="206">
        <f t="array" ref="X355">IF(X$78&gt;" ",(X$628:X$1078),"")</f>
        <v>0</v>
      </c>
      <c r="Y355" s="206">
        <f t="array" ref="Y355">IF(Y$78&gt;" ",(Y$628:Y$1078),"")</f>
        <v>0</v>
      </c>
      <c r="Z355" s="206">
        <f t="array" ref="Z355">IF(Z$78&gt;" ",(Z$628:Z$1078),"")</f>
        <v>0</v>
      </c>
      <c r="AA355" s="206">
        <f t="array" ref="AA355">IF(AA$78&gt;" ",(AA$628:AA$1078),"")</f>
        <v>0</v>
      </c>
      <c r="AB355" s="210">
        <v>0</v>
      </c>
      <c r="AC355" s="204">
        <f t="shared" si="67"/>
        <v>0</v>
      </c>
      <c r="AD355" s="206">
        <f t="shared" si="68"/>
        <v>0</v>
      </c>
      <c r="AE355" s="206">
        <f t="shared" si="69"/>
        <v>0</v>
      </c>
      <c r="AF355" s="206">
        <f t="shared" si="70"/>
        <v>0</v>
      </c>
      <c r="AG355" s="206">
        <f t="shared" si="71"/>
        <v>0</v>
      </c>
      <c r="AH355" s="206">
        <f t="shared" si="72"/>
        <v>0</v>
      </c>
      <c r="AI355" s="206">
        <f t="shared" si="73"/>
        <v>0</v>
      </c>
      <c r="AJ355" s="206">
        <f t="shared" si="74"/>
        <v>0</v>
      </c>
      <c r="AK355" s="206">
        <f t="shared" si="75"/>
        <v>0</v>
      </c>
      <c r="AL355" s="206">
        <f t="shared" si="76"/>
        <v>0</v>
      </c>
      <c r="AM355" s="214">
        <f t="shared" si="77"/>
        <v>0</v>
      </c>
      <c r="AN355" s="4"/>
      <c r="AO355" s="167">
        <v>1125</v>
      </c>
      <c r="AP355" s="215">
        <v>8.8392691866643594E-4</v>
      </c>
      <c r="AQ355" s="190">
        <v>1.6052217103372456E-3</v>
      </c>
      <c r="AR355" s="190">
        <v>7.2549001148949791E-4</v>
      </c>
      <c r="AS355" s="170">
        <v>7.7196770329966864E-4</v>
      </c>
      <c r="AU355" s="216">
        <v>96.880858250153935</v>
      </c>
      <c r="AV355" s="217">
        <v>96.878771816111296</v>
      </c>
      <c r="AW355" s="217">
        <v>94.14180772931779</v>
      </c>
      <c r="AX355" s="217">
        <v>94.343351597217136</v>
      </c>
      <c r="AY355" s="217"/>
      <c r="AZ355" s="218">
        <v>0</v>
      </c>
      <c r="BA355" s="8"/>
      <c r="BB355" s="219"/>
      <c r="BC355" s="220"/>
    </row>
    <row r="356" spans="15:55" x14ac:dyDescent="0.25">
      <c r="O356" s="195">
        <v>1120</v>
      </c>
      <c r="P356" s="202">
        <f t="shared" si="78"/>
        <v>0</v>
      </c>
      <c r="Q356" s="203">
        <f t="shared" si="78"/>
        <v>0</v>
      </c>
      <c r="R356" s="157">
        <f ca="1"/>
        <v>96.868901156768402</v>
      </c>
      <c r="T356" s="204">
        <v>0</v>
      </c>
      <c r="U356" s="206">
        <v>0</v>
      </c>
      <c r="V356" s="206">
        <v>0</v>
      </c>
      <c r="W356" s="206">
        <v>0</v>
      </c>
      <c r="X356" s="206">
        <f t="array" ref="X356">IF(X$78&gt;" ",(X$628:X$1078),"")</f>
        <v>0</v>
      </c>
      <c r="Y356" s="206">
        <f t="array" ref="Y356">IF(Y$78&gt;" ",(Y$628:Y$1078),"")</f>
        <v>0</v>
      </c>
      <c r="Z356" s="206">
        <f t="array" ref="Z356">IF(Z$78&gt;" ",(Z$628:Z$1078),"")</f>
        <v>0</v>
      </c>
      <c r="AA356" s="206">
        <f t="array" ref="AA356">IF(AA$78&gt;" ",(AA$628:AA$1078),"")</f>
        <v>0</v>
      </c>
      <c r="AB356" s="210">
        <v>0</v>
      </c>
      <c r="AC356" s="204">
        <f t="shared" si="67"/>
        <v>0</v>
      </c>
      <c r="AD356" s="206">
        <f t="shared" si="68"/>
        <v>0</v>
      </c>
      <c r="AE356" s="206">
        <f t="shared" si="69"/>
        <v>0</v>
      </c>
      <c r="AF356" s="206">
        <f t="shared" si="70"/>
        <v>0</v>
      </c>
      <c r="AG356" s="206">
        <f t="shared" si="71"/>
        <v>0</v>
      </c>
      <c r="AH356" s="206">
        <f t="shared" si="72"/>
        <v>0</v>
      </c>
      <c r="AI356" s="206">
        <f t="shared" si="73"/>
        <v>0</v>
      </c>
      <c r="AJ356" s="206">
        <f t="shared" si="74"/>
        <v>0</v>
      </c>
      <c r="AK356" s="206">
        <f t="shared" si="75"/>
        <v>0</v>
      </c>
      <c r="AL356" s="206">
        <f t="shared" si="76"/>
        <v>0</v>
      </c>
      <c r="AM356" s="214">
        <f t="shared" si="77"/>
        <v>0</v>
      </c>
      <c r="AN356" s="4"/>
      <c r="AO356" s="167">
        <v>1120</v>
      </c>
      <c r="AP356" s="215">
        <v>6.4808094709400109E-4</v>
      </c>
      <c r="AQ356" s="190">
        <v>1.6615788040100288E-3</v>
      </c>
      <c r="AR356" s="190">
        <v>7.134722603981484E-4</v>
      </c>
      <c r="AS356" s="170">
        <v>7.5898405046760209E-4</v>
      </c>
      <c r="AU356" s="216">
        <v>96.892600659566185</v>
      </c>
      <c r="AV356" s="217">
        <v>96.868901156768402</v>
      </c>
      <c r="AW356" s="217">
        <v>94.116066336188794</v>
      </c>
      <c r="AX356" s="217">
        <v>94.325862623579454</v>
      </c>
      <c r="AY356" s="217"/>
      <c r="AZ356" s="218">
        <v>0</v>
      </c>
      <c r="BA356" s="8"/>
      <c r="BB356" s="219"/>
      <c r="BC356" s="220"/>
    </row>
    <row r="357" spans="15:55" x14ac:dyDescent="0.25">
      <c r="O357" s="195">
        <v>1115</v>
      </c>
      <c r="P357" s="202">
        <f t="shared" si="78"/>
        <v>0</v>
      </c>
      <c r="Q357" s="203">
        <f t="shared" si="78"/>
        <v>0</v>
      </c>
      <c r="R357" s="157">
        <f ca="1"/>
        <v>96.877749524626282</v>
      </c>
      <c r="T357" s="204">
        <v>0</v>
      </c>
      <c r="U357" s="206">
        <v>0</v>
      </c>
      <c r="V357" s="206">
        <v>0</v>
      </c>
      <c r="W357" s="206">
        <v>0</v>
      </c>
      <c r="X357" s="206">
        <f t="array" ref="X357">IF(X$78&gt;" ",(X$628:X$1078),"")</f>
        <v>0</v>
      </c>
      <c r="Y357" s="206">
        <f t="array" ref="Y357">IF(Y$78&gt;" ",(Y$628:Y$1078),"")</f>
        <v>0</v>
      </c>
      <c r="Z357" s="206">
        <f t="array" ref="Z357">IF(Z$78&gt;" ",(Z$628:Z$1078),"")</f>
        <v>0</v>
      </c>
      <c r="AA357" s="206">
        <f t="array" ref="AA357">IF(AA$78&gt;" ",(AA$628:AA$1078),"")</f>
        <v>0</v>
      </c>
      <c r="AB357" s="210">
        <v>0</v>
      </c>
      <c r="AC357" s="204">
        <f t="shared" si="67"/>
        <v>0</v>
      </c>
      <c r="AD357" s="206">
        <f t="shared" si="68"/>
        <v>0</v>
      </c>
      <c r="AE357" s="206">
        <f t="shared" si="69"/>
        <v>0</v>
      </c>
      <c r="AF357" s="206">
        <f t="shared" si="70"/>
        <v>0</v>
      </c>
      <c r="AG357" s="206">
        <f t="shared" si="71"/>
        <v>0</v>
      </c>
      <c r="AH357" s="206">
        <f t="shared" si="72"/>
        <v>0</v>
      </c>
      <c r="AI357" s="206">
        <f t="shared" si="73"/>
        <v>0</v>
      </c>
      <c r="AJ357" s="206">
        <f t="shared" si="74"/>
        <v>0</v>
      </c>
      <c r="AK357" s="206">
        <f t="shared" si="75"/>
        <v>0</v>
      </c>
      <c r="AL357" s="206">
        <f t="shared" si="76"/>
        <v>0</v>
      </c>
      <c r="AM357" s="214">
        <f t="shared" si="77"/>
        <v>0</v>
      </c>
      <c r="AN357" s="4"/>
      <c r="AO357" s="167">
        <v>1115</v>
      </c>
      <c r="AP357" s="215">
        <v>1.090903229292889E-3</v>
      </c>
      <c r="AQ357" s="190">
        <v>1.7179358976828116E-3</v>
      </c>
      <c r="AR357" s="190">
        <v>1.2564332490357696E-3</v>
      </c>
      <c r="AS357" s="170">
        <v>1.3337905083906768E-3</v>
      </c>
      <c r="AU357" s="216">
        <v>96.894723329588544</v>
      </c>
      <c r="AV357" s="217">
        <v>96.877749524626282</v>
      </c>
      <c r="AW357" s="217">
        <v>94.138563611395455</v>
      </c>
      <c r="AX357" s="217">
        <v>94.345476679923706</v>
      </c>
      <c r="AY357" s="217"/>
      <c r="AZ357" s="218">
        <v>0</v>
      </c>
      <c r="BA357" s="8"/>
      <c r="BB357" s="219"/>
      <c r="BC357" s="220"/>
    </row>
    <row r="358" spans="15:55" x14ac:dyDescent="0.25">
      <c r="O358" s="195">
        <v>1110</v>
      </c>
      <c r="P358" s="202">
        <f t="shared" si="78"/>
        <v>0</v>
      </c>
      <c r="Q358" s="203">
        <f t="shared" si="78"/>
        <v>0</v>
      </c>
      <c r="R358" s="157">
        <f ca="1"/>
        <v>96.88661869378025</v>
      </c>
      <c r="T358" s="204">
        <v>0</v>
      </c>
      <c r="U358" s="206">
        <v>0</v>
      </c>
      <c r="V358" s="206">
        <v>0</v>
      </c>
      <c r="W358" s="206">
        <v>0</v>
      </c>
      <c r="X358" s="206">
        <f t="array" ref="X358">IF(X$78&gt;" ",(X$628:X$1078),"")</f>
        <v>0</v>
      </c>
      <c r="Y358" s="206">
        <f t="array" ref="Y358">IF(Y$78&gt;" ",(Y$628:Y$1078),"")</f>
        <v>0</v>
      </c>
      <c r="Z358" s="206">
        <f t="array" ref="Z358">IF(Z$78&gt;" ",(Z$628:Z$1078),"")</f>
        <v>0</v>
      </c>
      <c r="AA358" s="206">
        <f t="array" ref="AA358">IF(AA$78&gt;" ",(AA$628:AA$1078),"")</f>
        <v>0</v>
      </c>
      <c r="AB358" s="210">
        <v>0</v>
      </c>
      <c r="AC358" s="204">
        <f t="shared" si="67"/>
        <v>0</v>
      </c>
      <c r="AD358" s="206">
        <f t="shared" si="68"/>
        <v>0</v>
      </c>
      <c r="AE358" s="206">
        <f t="shared" si="69"/>
        <v>0</v>
      </c>
      <c r="AF358" s="206">
        <f t="shared" si="70"/>
        <v>0</v>
      </c>
      <c r="AG358" s="206">
        <f t="shared" si="71"/>
        <v>0</v>
      </c>
      <c r="AH358" s="206">
        <f t="shared" si="72"/>
        <v>0</v>
      </c>
      <c r="AI358" s="206">
        <f t="shared" si="73"/>
        <v>0</v>
      </c>
      <c r="AJ358" s="206">
        <f t="shared" si="74"/>
        <v>0</v>
      </c>
      <c r="AK358" s="206">
        <f t="shared" si="75"/>
        <v>0</v>
      </c>
      <c r="AL358" s="206">
        <f t="shared" si="76"/>
        <v>0</v>
      </c>
      <c r="AM358" s="214">
        <f t="shared" si="77"/>
        <v>0</v>
      </c>
      <c r="AN358" s="4"/>
      <c r="AO358" s="167">
        <v>1110</v>
      </c>
      <c r="AP358" s="215">
        <v>1.5336594481944177E-3</v>
      </c>
      <c r="AQ358" s="190">
        <v>1.7742929913555955E-3</v>
      </c>
      <c r="AR358" s="190">
        <v>2.4085282825294886E-3</v>
      </c>
      <c r="AS358" s="170">
        <v>2.5461390915848714E-3</v>
      </c>
      <c r="AU358" s="216">
        <v>96.911669142032665</v>
      </c>
      <c r="AV358" s="217">
        <v>96.88661869378025</v>
      </c>
      <c r="AW358" s="217">
        <v>94.132851611732164</v>
      </c>
      <c r="AX358" s="217">
        <v>94.342835368139433</v>
      </c>
      <c r="AY358" s="217"/>
      <c r="AZ358" s="218">
        <v>0</v>
      </c>
      <c r="BA358" s="8"/>
      <c r="BB358" s="219"/>
      <c r="BC358" s="220"/>
    </row>
    <row r="359" spans="15:55" x14ac:dyDescent="0.25">
      <c r="O359" s="195">
        <v>1105</v>
      </c>
      <c r="P359" s="202">
        <f t="shared" si="78"/>
        <v>0</v>
      </c>
      <c r="Q359" s="203">
        <f t="shared" si="78"/>
        <v>0</v>
      </c>
      <c r="R359" s="157">
        <f ca="1"/>
        <v>96.861107610032761</v>
      </c>
      <c r="T359" s="204">
        <v>0</v>
      </c>
      <c r="U359" s="206">
        <v>0</v>
      </c>
      <c r="V359" s="206">
        <v>0</v>
      </c>
      <c r="W359" s="206">
        <v>0</v>
      </c>
      <c r="X359" s="206">
        <f t="array" ref="X359">IF(X$78&gt;" ",(X$628:X$1078),"")</f>
        <v>0</v>
      </c>
      <c r="Y359" s="206">
        <f t="array" ref="Y359">IF(Y$78&gt;" ",(Y$628:Y$1078),"")</f>
        <v>0</v>
      </c>
      <c r="Z359" s="206">
        <f t="array" ref="Z359">IF(Z$78&gt;" ",(Z$628:Z$1078),"")</f>
        <v>0</v>
      </c>
      <c r="AA359" s="206">
        <f t="array" ref="AA359">IF(AA$78&gt;" ",(AA$628:AA$1078),"")</f>
        <v>0</v>
      </c>
      <c r="AB359" s="210">
        <v>0</v>
      </c>
      <c r="AC359" s="204">
        <f t="shared" si="67"/>
        <v>0</v>
      </c>
      <c r="AD359" s="206">
        <f t="shared" si="68"/>
        <v>0</v>
      </c>
      <c r="AE359" s="206">
        <f t="shared" si="69"/>
        <v>0</v>
      </c>
      <c r="AF359" s="206">
        <f t="shared" si="70"/>
        <v>0</v>
      </c>
      <c r="AG359" s="206">
        <f t="shared" si="71"/>
        <v>0</v>
      </c>
      <c r="AH359" s="206">
        <f t="shared" si="72"/>
        <v>0</v>
      </c>
      <c r="AI359" s="206">
        <f t="shared" si="73"/>
        <v>0</v>
      </c>
      <c r="AJ359" s="206">
        <f t="shared" si="74"/>
        <v>0</v>
      </c>
      <c r="AK359" s="206">
        <f t="shared" si="75"/>
        <v>0</v>
      </c>
      <c r="AL359" s="206">
        <f t="shared" si="76"/>
        <v>0</v>
      </c>
      <c r="AM359" s="214">
        <f t="shared" si="77"/>
        <v>0</v>
      </c>
      <c r="AN359" s="4"/>
      <c r="AO359" s="167">
        <v>1105</v>
      </c>
      <c r="AP359" s="215">
        <v>1.9764156670959462E-3</v>
      </c>
      <c r="AQ359" s="190">
        <v>1.8306500850283783E-3</v>
      </c>
      <c r="AR359" s="190">
        <v>2.5465564279092134E-3</v>
      </c>
      <c r="AS359" s="170">
        <v>2.6899106610916751E-3</v>
      </c>
      <c r="AU359" s="216">
        <v>96.889283200155703</v>
      </c>
      <c r="AV359" s="217">
        <v>96.861107610032761</v>
      </c>
      <c r="AW359" s="217">
        <v>94.137879192274951</v>
      </c>
      <c r="AX359" s="217">
        <v>94.338554381619403</v>
      </c>
      <c r="AY359" s="217"/>
      <c r="AZ359" s="218">
        <v>0</v>
      </c>
      <c r="BA359" s="8"/>
      <c r="BB359" s="219"/>
      <c r="BC359" s="220"/>
    </row>
    <row r="360" spans="15:55" x14ac:dyDescent="0.25">
      <c r="O360" s="195">
        <v>1100</v>
      </c>
      <c r="P360" s="202">
        <f t="shared" si="78"/>
        <v>0</v>
      </c>
      <c r="Q360" s="203">
        <f t="shared" si="78"/>
        <v>0</v>
      </c>
      <c r="R360" s="157">
        <f ca="1"/>
        <v>96.859921560328857</v>
      </c>
      <c r="T360" s="204">
        <v>0</v>
      </c>
      <c r="U360" s="206">
        <v>0</v>
      </c>
      <c r="V360" s="206">
        <v>0</v>
      </c>
      <c r="W360" s="206">
        <v>0</v>
      </c>
      <c r="X360" s="206">
        <f t="array" ref="X360">IF(X$78&gt;" ",(X$628:X$1078),"")</f>
        <v>0</v>
      </c>
      <c r="Y360" s="206">
        <f t="array" ref="Y360">IF(Y$78&gt;" ",(Y$628:Y$1078),"")</f>
        <v>0</v>
      </c>
      <c r="Z360" s="206">
        <f t="array" ref="Z360">IF(Z$78&gt;" ",(Z$628:Z$1078),"")</f>
        <v>0</v>
      </c>
      <c r="AA360" s="206">
        <f t="array" ref="AA360">IF(AA$78&gt;" ",(AA$628:AA$1078),"")</f>
        <v>0</v>
      </c>
      <c r="AB360" s="210">
        <v>0</v>
      </c>
      <c r="AC360" s="204">
        <f t="shared" si="67"/>
        <v>0</v>
      </c>
      <c r="AD360" s="206">
        <f t="shared" si="68"/>
        <v>0</v>
      </c>
      <c r="AE360" s="206">
        <f t="shared" si="69"/>
        <v>0</v>
      </c>
      <c r="AF360" s="206">
        <f t="shared" si="70"/>
        <v>0</v>
      </c>
      <c r="AG360" s="206">
        <f t="shared" si="71"/>
        <v>0</v>
      </c>
      <c r="AH360" s="206">
        <f t="shared" si="72"/>
        <v>0</v>
      </c>
      <c r="AI360" s="206">
        <f t="shared" si="73"/>
        <v>0</v>
      </c>
      <c r="AJ360" s="206">
        <f t="shared" si="74"/>
        <v>0</v>
      </c>
      <c r="AK360" s="206">
        <f t="shared" si="75"/>
        <v>0</v>
      </c>
      <c r="AL360" s="206">
        <f t="shared" si="76"/>
        <v>0</v>
      </c>
      <c r="AM360" s="214">
        <f t="shared" si="77"/>
        <v>0</v>
      </c>
      <c r="AN360" s="4"/>
      <c r="AO360" s="167">
        <v>1100</v>
      </c>
      <c r="AP360" s="215">
        <v>2.419237949294834E-3</v>
      </c>
      <c r="AQ360" s="190">
        <v>1.8870071787011615E-3</v>
      </c>
      <c r="AR360" s="190">
        <v>2.44262048018612E-3</v>
      </c>
      <c r="AS360" s="170">
        <v>2.5806688924356683E-3</v>
      </c>
      <c r="AU360" s="216">
        <v>96.887615968794805</v>
      </c>
      <c r="AV360" s="217">
        <v>96.859921560328857</v>
      </c>
      <c r="AW360" s="217">
        <v>94.126082079557236</v>
      </c>
      <c r="AX360" s="217">
        <v>94.326475068657999</v>
      </c>
      <c r="AY360" s="217"/>
      <c r="AZ360" s="218">
        <v>0</v>
      </c>
      <c r="BA360" s="8"/>
      <c r="BB360" s="219"/>
      <c r="BC360" s="220"/>
    </row>
    <row r="361" spans="15:55" x14ac:dyDescent="0.25">
      <c r="O361" s="195">
        <v>1095</v>
      </c>
      <c r="P361" s="202">
        <f t="shared" si="78"/>
        <v>0</v>
      </c>
      <c r="Q361" s="203">
        <f t="shared" si="78"/>
        <v>0</v>
      </c>
      <c r="R361" s="157">
        <f ca="1"/>
        <v>96.850683259355534</v>
      </c>
      <c r="T361" s="204">
        <v>0</v>
      </c>
      <c r="U361" s="206">
        <v>0</v>
      </c>
      <c r="V361" s="206">
        <v>0</v>
      </c>
      <c r="W361" s="206">
        <v>0</v>
      </c>
      <c r="X361" s="206">
        <f t="array" ref="X361">IF(X$78&gt;" ",(X$628:X$1078),"")</f>
        <v>0</v>
      </c>
      <c r="Y361" s="206">
        <f t="array" ref="Y361">IF(Y$78&gt;" ",(Y$628:Y$1078),"")</f>
        <v>0</v>
      </c>
      <c r="Z361" s="206">
        <f t="array" ref="Z361">IF(Z$78&gt;" ",(Z$628:Z$1078),"")</f>
        <v>0</v>
      </c>
      <c r="AA361" s="206">
        <f t="array" ref="AA361">IF(AA$78&gt;" ",(AA$628:AA$1078),"")</f>
        <v>0</v>
      </c>
      <c r="AB361" s="210">
        <v>0</v>
      </c>
      <c r="AC361" s="204">
        <f t="shared" si="67"/>
        <v>0</v>
      </c>
      <c r="AD361" s="206">
        <f t="shared" si="68"/>
        <v>0</v>
      </c>
      <c r="AE361" s="206">
        <f t="shared" si="69"/>
        <v>0</v>
      </c>
      <c r="AF361" s="206">
        <f t="shared" si="70"/>
        <v>0</v>
      </c>
      <c r="AG361" s="206">
        <f t="shared" si="71"/>
        <v>0</v>
      </c>
      <c r="AH361" s="206">
        <f t="shared" si="72"/>
        <v>0</v>
      </c>
      <c r="AI361" s="206">
        <f t="shared" si="73"/>
        <v>0</v>
      </c>
      <c r="AJ361" s="206">
        <f t="shared" si="74"/>
        <v>0</v>
      </c>
      <c r="AK361" s="206">
        <f t="shared" si="75"/>
        <v>0</v>
      </c>
      <c r="AL361" s="206">
        <f t="shared" si="76"/>
        <v>0</v>
      </c>
      <c r="AM361" s="214">
        <f t="shared" si="77"/>
        <v>0</v>
      </c>
      <c r="AN361" s="4"/>
      <c r="AO361" s="167">
        <v>1095</v>
      </c>
      <c r="AP361" s="215">
        <v>2.610293005257714E-3</v>
      </c>
      <c r="AQ361" s="190">
        <v>2.039570523529188E-3</v>
      </c>
      <c r="AR361" s="190">
        <v>2.6181098162062436E-3</v>
      </c>
      <c r="AS361" s="170">
        <v>2.7625519601262535E-3</v>
      </c>
      <c r="AU361" s="216">
        <v>96.882286191779144</v>
      </c>
      <c r="AV361" s="217">
        <v>96.850683259355534</v>
      </c>
      <c r="AW361" s="217">
        <v>94.128997883512966</v>
      </c>
      <c r="AX361" s="217">
        <v>94.336560713490954</v>
      </c>
      <c r="AY361" s="217"/>
      <c r="AZ361" s="218">
        <v>0</v>
      </c>
      <c r="BA361" s="8"/>
      <c r="BB361" s="219"/>
      <c r="BC361" s="220"/>
    </row>
    <row r="362" spans="15:55" x14ac:dyDescent="0.25">
      <c r="O362" s="195">
        <v>1090</v>
      </c>
      <c r="P362" s="202">
        <f t="shared" si="78"/>
        <v>0</v>
      </c>
      <c r="Q362" s="203">
        <f t="shared" si="78"/>
        <v>0</v>
      </c>
      <c r="R362" s="157">
        <f ca="1"/>
        <v>96.837929576170382</v>
      </c>
      <c r="T362" s="204">
        <v>0</v>
      </c>
      <c r="U362" s="206">
        <v>0</v>
      </c>
      <c r="V362" s="206">
        <v>0</v>
      </c>
      <c r="W362" s="206">
        <v>0</v>
      </c>
      <c r="X362" s="206">
        <f t="array" ref="X362">IF(X$78&gt;" ",(X$628:X$1078),"")</f>
        <v>0</v>
      </c>
      <c r="Y362" s="206">
        <f t="array" ref="Y362">IF(Y$78&gt;" ",(Y$628:Y$1078),"")</f>
        <v>0</v>
      </c>
      <c r="Z362" s="206">
        <f t="array" ref="Z362">IF(Z$78&gt;" ",(Z$628:Z$1078),"")</f>
        <v>0</v>
      </c>
      <c r="AA362" s="206">
        <f t="array" ref="AA362">IF(AA$78&gt;" ",(AA$628:AA$1078),"")</f>
        <v>0</v>
      </c>
      <c r="AB362" s="210">
        <v>0</v>
      </c>
      <c r="AC362" s="204">
        <f t="shared" si="67"/>
        <v>0</v>
      </c>
      <c r="AD362" s="206">
        <f t="shared" si="68"/>
        <v>0</v>
      </c>
      <c r="AE362" s="206">
        <f t="shared" si="69"/>
        <v>0</v>
      </c>
      <c r="AF362" s="206">
        <f t="shared" si="70"/>
        <v>0</v>
      </c>
      <c r="AG362" s="206">
        <f t="shared" si="71"/>
        <v>0</v>
      </c>
      <c r="AH362" s="206">
        <f t="shared" si="72"/>
        <v>0</v>
      </c>
      <c r="AI362" s="206">
        <f t="shared" si="73"/>
        <v>0</v>
      </c>
      <c r="AJ362" s="206">
        <f t="shared" si="74"/>
        <v>0</v>
      </c>
      <c r="AK362" s="206">
        <f t="shared" si="75"/>
        <v>0</v>
      </c>
      <c r="AL362" s="206">
        <f t="shared" si="76"/>
        <v>0</v>
      </c>
      <c r="AM362" s="214">
        <f t="shared" si="77"/>
        <v>0</v>
      </c>
      <c r="AN362" s="4"/>
      <c r="AO362" s="167">
        <v>1090</v>
      </c>
      <c r="AP362" s="215">
        <v>2.8012819979232341E-3</v>
      </c>
      <c r="AQ362" s="190">
        <v>2.192133868357214E-3</v>
      </c>
      <c r="AR362" s="190">
        <v>2.794403687864282E-3</v>
      </c>
      <c r="AS362" s="170">
        <v>2.9468414807124364E-3</v>
      </c>
      <c r="AU362" s="216">
        <v>96.87216468883571</v>
      </c>
      <c r="AV362" s="217">
        <v>96.837929576170382</v>
      </c>
      <c r="AW362" s="217">
        <v>94.132114907241771</v>
      </c>
      <c r="AX362" s="217">
        <v>94.335531483547811</v>
      </c>
      <c r="AY362" s="217"/>
      <c r="AZ362" s="218">
        <v>0</v>
      </c>
      <c r="BA362" s="8"/>
      <c r="BB362" s="219"/>
      <c r="BC362" s="220"/>
    </row>
    <row r="363" spans="15:55" x14ac:dyDescent="0.25">
      <c r="O363" s="195">
        <v>1085</v>
      </c>
      <c r="P363" s="202">
        <f t="shared" si="78"/>
        <v>0</v>
      </c>
      <c r="Q363" s="203">
        <f t="shared" si="78"/>
        <v>0</v>
      </c>
      <c r="R363" s="157">
        <f ca="1"/>
        <v>96.860247655969019</v>
      </c>
      <c r="T363" s="204">
        <v>0</v>
      </c>
      <c r="U363" s="206">
        <v>0</v>
      </c>
      <c r="V363" s="206">
        <v>0</v>
      </c>
      <c r="W363" s="206">
        <v>0</v>
      </c>
      <c r="X363" s="206">
        <f t="array" ref="X363">IF(X$78&gt;" ",(X$628:X$1078),"")</f>
        <v>0</v>
      </c>
      <c r="Y363" s="206">
        <f t="array" ref="Y363">IF(Y$78&gt;" ",(Y$628:Y$1078),"")</f>
        <v>0</v>
      </c>
      <c r="Z363" s="206">
        <f t="array" ref="Z363">IF(Z$78&gt;" ",(Z$628:Z$1078),"")</f>
        <v>0</v>
      </c>
      <c r="AA363" s="206">
        <f t="array" ref="AA363">IF(AA$78&gt;" ",(AA$628:AA$1078),"")</f>
        <v>0</v>
      </c>
      <c r="AB363" s="210">
        <v>0</v>
      </c>
      <c r="AC363" s="204">
        <f t="shared" si="67"/>
        <v>0</v>
      </c>
      <c r="AD363" s="206">
        <f t="shared" si="68"/>
        <v>0</v>
      </c>
      <c r="AE363" s="206">
        <f t="shared" si="69"/>
        <v>0</v>
      </c>
      <c r="AF363" s="206">
        <f t="shared" si="70"/>
        <v>0</v>
      </c>
      <c r="AG363" s="206">
        <f t="shared" si="71"/>
        <v>0</v>
      </c>
      <c r="AH363" s="206">
        <f t="shared" si="72"/>
        <v>0</v>
      </c>
      <c r="AI363" s="206">
        <f t="shared" si="73"/>
        <v>0</v>
      </c>
      <c r="AJ363" s="206">
        <f t="shared" si="74"/>
        <v>0</v>
      </c>
      <c r="AK363" s="206">
        <f t="shared" si="75"/>
        <v>0</v>
      </c>
      <c r="AL363" s="206">
        <f t="shared" si="76"/>
        <v>0</v>
      </c>
      <c r="AM363" s="214">
        <f t="shared" si="77"/>
        <v>0</v>
      </c>
      <c r="AN363" s="4"/>
      <c r="AO363" s="167">
        <v>1085</v>
      </c>
      <c r="AP363" s="215">
        <v>2.9923370538861142E-3</v>
      </c>
      <c r="AQ363" s="190">
        <v>2.34469721318524E-3</v>
      </c>
      <c r="AR363" s="190">
        <v>2.9833187123421067E-3</v>
      </c>
      <c r="AS363" s="170">
        <v>3.1431073017557836E-3</v>
      </c>
      <c r="AU363" s="216">
        <v>96.860311830466614</v>
      </c>
      <c r="AV363" s="217">
        <v>96.860247655969019</v>
      </c>
      <c r="AW363" s="217">
        <v>94.125684739828259</v>
      </c>
      <c r="AX363" s="217">
        <v>94.331127023437872</v>
      </c>
      <c r="AY363" s="217"/>
      <c r="AZ363" s="218">
        <v>0</v>
      </c>
      <c r="BA363" s="8"/>
      <c r="BB363" s="219"/>
      <c r="BC363" s="220"/>
    </row>
    <row r="364" spans="15:55" x14ac:dyDescent="0.25">
      <c r="O364" s="195">
        <v>1080</v>
      </c>
      <c r="P364" s="202">
        <f t="shared" si="78"/>
        <v>0</v>
      </c>
      <c r="Q364" s="203">
        <f t="shared" si="78"/>
        <v>0</v>
      </c>
      <c r="R364" s="157">
        <f ca="1"/>
        <v>96.86552495242772</v>
      </c>
      <c r="T364" s="204">
        <v>0</v>
      </c>
      <c r="U364" s="206">
        <v>0</v>
      </c>
      <c r="V364" s="206">
        <v>0</v>
      </c>
      <c r="W364" s="206">
        <v>0</v>
      </c>
      <c r="X364" s="206">
        <f t="array" ref="X364">IF(X$78&gt;" ",(X$628:X$1078),"")</f>
        <v>0</v>
      </c>
      <c r="Y364" s="206">
        <f t="array" ref="Y364">IF(Y$78&gt;" ",(Y$628:Y$1078),"")</f>
        <v>0</v>
      </c>
      <c r="Z364" s="206">
        <f t="array" ref="Z364">IF(Z$78&gt;" ",(Z$628:Z$1078),"")</f>
        <v>0</v>
      </c>
      <c r="AA364" s="206">
        <f t="array" ref="AA364">IF(AA$78&gt;" ",(AA$628:AA$1078),"")</f>
        <v>0</v>
      </c>
      <c r="AB364" s="210">
        <v>0</v>
      </c>
      <c r="AC364" s="204">
        <f t="shared" si="67"/>
        <v>0</v>
      </c>
      <c r="AD364" s="206">
        <f t="shared" si="68"/>
        <v>0</v>
      </c>
      <c r="AE364" s="206">
        <f t="shared" si="69"/>
        <v>0</v>
      </c>
      <c r="AF364" s="206">
        <f t="shared" si="70"/>
        <v>0</v>
      </c>
      <c r="AG364" s="206">
        <f t="shared" si="71"/>
        <v>0</v>
      </c>
      <c r="AH364" s="206">
        <f t="shared" si="72"/>
        <v>0</v>
      </c>
      <c r="AI364" s="206">
        <f t="shared" si="73"/>
        <v>0</v>
      </c>
      <c r="AJ364" s="206">
        <f t="shared" si="74"/>
        <v>0</v>
      </c>
      <c r="AK364" s="206">
        <f t="shared" si="75"/>
        <v>0</v>
      </c>
      <c r="AL364" s="206">
        <f t="shared" si="76"/>
        <v>0</v>
      </c>
      <c r="AM364" s="214">
        <f t="shared" si="77"/>
        <v>0</v>
      </c>
      <c r="AN364" s="4"/>
      <c r="AO364" s="167">
        <v>1080</v>
      </c>
      <c r="AP364" s="215">
        <v>3.1833921098489942E-3</v>
      </c>
      <c r="AQ364" s="190">
        <v>2.4972605580132661E-3</v>
      </c>
      <c r="AR364" s="190">
        <v>3.0030298354710139E-3</v>
      </c>
      <c r="AS364" s="170">
        <v>3.1630304931705064E-3</v>
      </c>
      <c r="AU364" s="216">
        <v>96.864170785887211</v>
      </c>
      <c r="AV364" s="217">
        <v>96.86552495242772</v>
      </c>
      <c r="AW364" s="217">
        <v>94.127853165458831</v>
      </c>
      <c r="AX364" s="217">
        <v>94.346254014653994</v>
      </c>
      <c r="AY364" s="217"/>
      <c r="AZ364" s="218">
        <v>0</v>
      </c>
      <c r="BA364" s="8"/>
      <c r="BB364" s="219"/>
      <c r="BC364" s="220"/>
    </row>
    <row r="365" spans="15:55" x14ac:dyDescent="0.25">
      <c r="O365" s="195">
        <v>1075</v>
      </c>
      <c r="P365" s="202">
        <f t="shared" si="78"/>
        <v>0</v>
      </c>
      <c r="Q365" s="203">
        <f t="shared" si="78"/>
        <v>0</v>
      </c>
      <c r="R365" s="157">
        <f ca="1"/>
        <v>96.842734820727742</v>
      </c>
      <c r="T365" s="204">
        <v>0</v>
      </c>
      <c r="U365" s="206">
        <v>0</v>
      </c>
      <c r="V365" s="206">
        <v>0</v>
      </c>
      <c r="W365" s="206">
        <v>0</v>
      </c>
      <c r="X365" s="206">
        <f t="array" ref="X365">IF(X$78&gt;" ",(X$628:X$1078),"")</f>
        <v>0</v>
      </c>
      <c r="Y365" s="206">
        <f t="array" ref="Y365">IF(Y$78&gt;" ",(Y$628:Y$1078),"")</f>
        <v>0</v>
      </c>
      <c r="Z365" s="206">
        <f t="array" ref="Z365">IF(Z$78&gt;" ",(Z$628:Z$1078),"")</f>
        <v>0</v>
      </c>
      <c r="AA365" s="206">
        <f t="array" ref="AA365">IF(AA$78&gt;" ",(AA$628:AA$1078),"")</f>
        <v>0</v>
      </c>
      <c r="AB365" s="210">
        <v>0</v>
      </c>
      <c r="AC365" s="204">
        <f t="shared" si="67"/>
        <v>0</v>
      </c>
      <c r="AD365" s="206">
        <f t="shared" si="68"/>
        <v>0</v>
      </c>
      <c r="AE365" s="206">
        <f t="shared" si="69"/>
        <v>0</v>
      </c>
      <c r="AF365" s="206">
        <f t="shared" si="70"/>
        <v>0</v>
      </c>
      <c r="AG365" s="206">
        <f t="shared" si="71"/>
        <v>0</v>
      </c>
      <c r="AH365" s="206">
        <f t="shared" si="72"/>
        <v>0</v>
      </c>
      <c r="AI365" s="206">
        <f t="shared" si="73"/>
        <v>0</v>
      </c>
      <c r="AJ365" s="206">
        <f t="shared" si="74"/>
        <v>0</v>
      </c>
      <c r="AK365" s="206">
        <f t="shared" si="75"/>
        <v>0</v>
      </c>
      <c r="AL365" s="206">
        <f t="shared" si="76"/>
        <v>0</v>
      </c>
      <c r="AM365" s="214">
        <f t="shared" si="77"/>
        <v>0</v>
      </c>
      <c r="AN365" s="4"/>
      <c r="AO365" s="167">
        <v>1075</v>
      </c>
      <c r="AP365" s="215">
        <v>3.3743811025145148E-3</v>
      </c>
      <c r="AQ365" s="190">
        <v>2.6498239028412925E-3</v>
      </c>
      <c r="AR365" s="190">
        <v>2.9793966011072729E-3</v>
      </c>
      <c r="AS365" s="170">
        <v>3.1370072234855459E-3</v>
      </c>
      <c r="AU365" s="216">
        <v>96.849673714918552</v>
      </c>
      <c r="AV365" s="217">
        <v>96.842734820727742</v>
      </c>
      <c r="AW365" s="217">
        <v>94.120022738180651</v>
      </c>
      <c r="AX365" s="217">
        <v>94.337357101751408</v>
      </c>
      <c r="AY365" s="217"/>
      <c r="AZ365" s="218">
        <v>0</v>
      </c>
      <c r="BA365" s="8"/>
      <c r="BB365" s="219"/>
      <c r="BC365" s="220"/>
    </row>
    <row r="366" spans="15:55" x14ac:dyDescent="0.25">
      <c r="O366" s="195">
        <v>1070</v>
      </c>
      <c r="P366" s="202">
        <f t="shared" si="78"/>
        <v>0</v>
      </c>
      <c r="Q366" s="203">
        <f t="shared" si="78"/>
        <v>0</v>
      </c>
      <c r="R366" s="157">
        <f ca="1"/>
        <v>96.83472173493476</v>
      </c>
      <c r="T366" s="204">
        <v>0</v>
      </c>
      <c r="U366" s="206">
        <v>0</v>
      </c>
      <c r="V366" s="206">
        <v>0</v>
      </c>
      <c r="W366" s="206">
        <v>0</v>
      </c>
      <c r="X366" s="206">
        <f t="array" ref="X366">IF(X$78&gt;" ",(X$628:X$1078),"")</f>
        <v>0</v>
      </c>
      <c r="Y366" s="206">
        <f t="array" ref="Y366">IF(Y$78&gt;" ",(Y$628:Y$1078),"")</f>
        <v>0</v>
      </c>
      <c r="Z366" s="206">
        <f t="array" ref="Z366">IF(Z$78&gt;" ",(Z$628:Z$1078),"")</f>
        <v>0</v>
      </c>
      <c r="AA366" s="206">
        <f t="array" ref="AA366">IF(AA$78&gt;" ",(AA$628:AA$1078),"")</f>
        <v>0</v>
      </c>
      <c r="AB366" s="210">
        <v>0</v>
      </c>
      <c r="AC366" s="204">
        <f t="shared" si="67"/>
        <v>0</v>
      </c>
      <c r="AD366" s="206">
        <f t="shared" si="68"/>
        <v>0</v>
      </c>
      <c r="AE366" s="206">
        <f t="shared" si="69"/>
        <v>0</v>
      </c>
      <c r="AF366" s="206">
        <f t="shared" si="70"/>
        <v>0</v>
      </c>
      <c r="AG366" s="206">
        <f t="shared" si="71"/>
        <v>0</v>
      </c>
      <c r="AH366" s="206">
        <f t="shared" si="72"/>
        <v>0</v>
      </c>
      <c r="AI366" s="206">
        <f t="shared" si="73"/>
        <v>0</v>
      </c>
      <c r="AJ366" s="206">
        <f t="shared" si="74"/>
        <v>0</v>
      </c>
      <c r="AK366" s="206">
        <f t="shared" si="75"/>
        <v>0</v>
      </c>
      <c r="AL366" s="206">
        <f t="shared" si="76"/>
        <v>0</v>
      </c>
      <c r="AM366" s="214">
        <f t="shared" si="77"/>
        <v>0</v>
      </c>
      <c r="AN366" s="4"/>
      <c r="AO366" s="167">
        <v>1070</v>
      </c>
      <c r="AP366" s="215">
        <v>3.5654361584773948E-3</v>
      </c>
      <c r="AQ366" s="190">
        <v>2.8023872476693186E-3</v>
      </c>
      <c r="AR366" s="190">
        <v>3.0405915930661522E-3</v>
      </c>
      <c r="AS366" s="170">
        <v>3.1999107828960737E-3</v>
      </c>
      <c r="AU366" s="216">
        <v>96.842372839215201</v>
      </c>
      <c r="AV366" s="217">
        <v>96.83472173493476</v>
      </c>
      <c r="AW366" s="217">
        <v>94.115871491975852</v>
      </c>
      <c r="AX366" s="217">
        <v>94.328793111257752</v>
      </c>
      <c r="AY366" s="217"/>
      <c r="AZ366" s="218">
        <v>0</v>
      </c>
      <c r="BA366" s="8"/>
      <c r="BB366" s="219"/>
      <c r="BC366" s="220"/>
    </row>
    <row r="367" spans="15:55" x14ac:dyDescent="0.25">
      <c r="O367" s="195">
        <v>1065</v>
      </c>
      <c r="P367" s="202">
        <f t="shared" si="78"/>
        <v>0</v>
      </c>
      <c r="Q367" s="203">
        <f t="shared" si="78"/>
        <v>0</v>
      </c>
      <c r="R367" s="157">
        <f ca="1"/>
        <v>96.860467575367849</v>
      </c>
      <c r="T367" s="204">
        <v>0</v>
      </c>
      <c r="U367" s="206">
        <v>0</v>
      </c>
      <c r="V367" s="206">
        <v>0</v>
      </c>
      <c r="W367" s="206">
        <v>0</v>
      </c>
      <c r="X367" s="206">
        <f t="array" ref="X367">IF(X$78&gt;" ",(X$628:X$1078),"")</f>
        <v>0</v>
      </c>
      <c r="Y367" s="206">
        <f t="array" ref="Y367">IF(Y$78&gt;" ",(Y$628:Y$1078),"")</f>
        <v>0</v>
      </c>
      <c r="Z367" s="206">
        <f t="array" ref="Z367">IF(Z$78&gt;" ",(Z$628:Z$1078),"")</f>
        <v>0</v>
      </c>
      <c r="AA367" s="206">
        <f t="array" ref="AA367">IF(AA$78&gt;" ",(AA$628:AA$1078),"")</f>
        <v>0</v>
      </c>
      <c r="AB367" s="210">
        <v>0</v>
      </c>
      <c r="AC367" s="204">
        <f t="shared" si="67"/>
        <v>0</v>
      </c>
      <c r="AD367" s="206">
        <f t="shared" si="68"/>
        <v>0</v>
      </c>
      <c r="AE367" s="206">
        <f t="shared" si="69"/>
        <v>0</v>
      </c>
      <c r="AF367" s="206">
        <f t="shared" si="70"/>
        <v>0</v>
      </c>
      <c r="AG367" s="206">
        <f t="shared" si="71"/>
        <v>0</v>
      </c>
      <c r="AH367" s="206">
        <f t="shared" si="72"/>
        <v>0</v>
      </c>
      <c r="AI367" s="206">
        <f t="shared" si="73"/>
        <v>0</v>
      </c>
      <c r="AJ367" s="206">
        <f t="shared" si="74"/>
        <v>0</v>
      </c>
      <c r="AK367" s="206">
        <f t="shared" si="75"/>
        <v>0</v>
      </c>
      <c r="AL367" s="206">
        <f t="shared" si="76"/>
        <v>0</v>
      </c>
      <c r="AM367" s="214">
        <f t="shared" si="77"/>
        <v>0</v>
      </c>
      <c r="AN367" s="4"/>
      <c r="AO367" s="167">
        <v>1065</v>
      </c>
      <c r="AP367" s="215">
        <v>3.613001732576037E-3</v>
      </c>
      <c r="AQ367" s="190">
        <v>2.9549505924973446E-3</v>
      </c>
      <c r="AR367" s="190">
        <v>3.1634844117576087E-3</v>
      </c>
      <c r="AS367" s="170">
        <v>3.3276766424461062E-3</v>
      </c>
      <c r="AU367" s="216">
        <v>96.851554235526336</v>
      </c>
      <c r="AV367" s="217">
        <v>96.860467575367849</v>
      </c>
      <c r="AW367" s="217">
        <v>94.113199885852453</v>
      </c>
      <c r="AX367" s="217">
        <v>94.336933561628385</v>
      </c>
      <c r="AY367" s="217"/>
      <c r="AZ367" s="218">
        <v>0</v>
      </c>
      <c r="BA367" s="8"/>
      <c r="BB367" s="219"/>
      <c r="BC367" s="220"/>
    </row>
    <row r="368" spans="15:55" x14ac:dyDescent="0.25">
      <c r="O368" s="195">
        <v>1060</v>
      </c>
      <c r="P368" s="202">
        <f t="shared" ref="P368:Q383" si="79">P916</f>
        <v>0</v>
      </c>
      <c r="Q368" s="203">
        <f t="shared" si="79"/>
        <v>0</v>
      </c>
      <c r="R368" s="157">
        <f ca="1"/>
        <v>96.83861914434199</v>
      </c>
      <c r="T368" s="204">
        <v>0</v>
      </c>
      <c r="U368" s="206">
        <v>0</v>
      </c>
      <c r="V368" s="206">
        <v>0</v>
      </c>
      <c r="W368" s="206">
        <v>0</v>
      </c>
      <c r="X368" s="206">
        <f t="array" ref="X368">IF(X$78&gt;" ",(X$628:X$1078),"")</f>
        <v>0</v>
      </c>
      <c r="Y368" s="206">
        <f t="array" ref="Y368">IF(Y$78&gt;" ",(Y$628:Y$1078),"")</f>
        <v>0</v>
      </c>
      <c r="Z368" s="206">
        <f t="array" ref="Z368">IF(Z$78&gt;" ",(Z$628:Z$1078),"")</f>
        <v>0</v>
      </c>
      <c r="AA368" s="206">
        <f t="array" ref="AA368">IF(AA$78&gt;" ",(AA$628:AA$1078),"")</f>
        <v>0</v>
      </c>
      <c r="AB368" s="210">
        <v>0</v>
      </c>
      <c r="AC368" s="204">
        <f t="shared" si="67"/>
        <v>0</v>
      </c>
      <c r="AD368" s="206">
        <f t="shared" si="68"/>
        <v>0</v>
      </c>
      <c r="AE368" s="206">
        <f t="shared" si="69"/>
        <v>0</v>
      </c>
      <c r="AF368" s="206">
        <f t="shared" si="70"/>
        <v>0</v>
      </c>
      <c r="AG368" s="206">
        <f t="shared" si="71"/>
        <v>0</v>
      </c>
      <c r="AH368" s="206">
        <f t="shared" si="72"/>
        <v>0</v>
      </c>
      <c r="AI368" s="206">
        <f t="shared" si="73"/>
        <v>0</v>
      </c>
      <c r="AJ368" s="206">
        <f t="shared" si="74"/>
        <v>0</v>
      </c>
      <c r="AK368" s="206">
        <f t="shared" si="75"/>
        <v>0</v>
      </c>
      <c r="AL368" s="206">
        <f t="shared" si="76"/>
        <v>0</v>
      </c>
      <c r="AM368" s="214">
        <f t="shared" si="77"/>
        <v>0</v>
      </c>
      <c r="AN368" s="4"/>
      <c r="AO368" s="167">
        <v>1060</v>
      </c>
      <c r="AP368" s="215">
        <v>3.6605673066746796E-3</v>
      </c>
      <c r="AQ368" s="190">
        <v>3.1075139373253715E-3</v>
      </c>
      <c r="AR368" s="190">
        <v>3.1972749085500225E-3</v>
      </c>
      <c r="AS368" s="170">
        <v>3.3619266231927638E-3</v>
      </c>
      <c r="AU368" s="216">
        <v>96.868512296336561</v>
      </c>
      <c r="AV368" s="217">
        <v>96.83861914434199</v>
      </c>
      <c r="AW368" s="217">
        <v>94.129580164991594</v>
      </c>
      <c r="AX368" s="217">
        <v>94.335283539629913</v>
      </c>
      <c r="AY368" s="217"/>
      <c r="AZ368" s="218">
        <v>0</v>
      </c>
      <c r="BA368" s="8"/>
      <c r="BB368" s="219"/>
      <c r="BC368" s="220"/>
    </row>
    <row r="369" spans="15:55" x14ac:dyDescent="0.25">
      <c r="O369" s="195">
        <v>1055</v>
      </c>
      <c r="P369" s="202">
        <f t="shared" si="79"/>
        <v>0</v>
      </c>
      <c r="Q369" s="203">
        <f t="shared" si="79"/>
        <v>0</v>
      </c>
      <c r="R369" s="157">
        <f ca="1"/>
        <v>96.833421335443859</v>
      </c>
      <c r="T369" s="204">
        <v>0</v>
      </c>
      <c r="U369" s="206">
        <v>0</v>
      </c>
      <c r="V369" s="206">
        <v>0</v>
      </c>
      <c r="W369" s="206">
        <v>0</v>
      </c>
      <c r="X369" s="206">
        <f t="array" ref="X369">IF(X$78&gt;" ",(X$628:X$1078),"")</f>
        <v>0</v>
      </c>
      <c r="Y369" s="206">
        <f t="array" ref="Y369">IF(Y$78&gt;" ",(Y$628:Y$1078),"")</f>
        <v>0</v>
      </c>
      <c r="Z369" s="206">
        <f t="array" ref="Z369">IF(Z$78&gt;" ",(Z$628:Z$1078),"")</f>
        <v>0</v>
      </c>
      <c r="AA369" s="206">
        <f t="array" ref="AA369">IF(AA$78&gt;" ",(AA$628:AA$1078),"")</f>
        <v>0</v>
      </c>
      <c r="AB369" s="210">
        <v>0</v>
      </c>
      <c r="AC369" s="204">
        <f t="shared" si="67"/>
        <v>0</v>
      </c>
      <c r="AD369" s="206">
        <f t="shared" si="68"/>
        <v>0</v>
      </c>
      <c r="AE369" s="206">
        <f t="shared" si="69"/>
        <v>0</v>
      </c>
      <c r="AF369" s="206">
        <f t="shared" si="70"/>
        <v>0</v>
      </c>
      <c r="AG369" s="206">
        <f t="shared" si="71"/>
        <v>0</v>
      </c>
      <c r="AH369" s="206">
        <f t="shared" si="72"/>
        <v>0</v>
      </c>
      <c r="AI369" s="206">
        <f t="shared" si="73"/>
        <v>0</v>
      </c>
      <c r="AJ369" s="206">
        <f t="shared" si="74"/>
        <v>0</v>
      </c>
      <c r="AK369" s="206">
        <f t="shared" si="75"/>
        <v>0</v>
      </c>
      <c r="AL369" s="206">
        <f t="shared" si="76"/>
        <v>0</v>
      </c>
      <c r="AM369" s="214">
        <f t="shared" si="77"/>
        <v>0</v>
      </c>
      <c r="AN369" s="4"/>
      <c r="AO369" s="167">
        <v>1055</v>
      </c>
      <c r="AP369" s="215">
        <v>3.7081328807733213E-3</v>
      </c>
      <c r="AQ369" s="190">
        <v>3.2600772821533975E-3</v>
      </c>
      <c r="AR369" s="190">
        <v>3.2607326569905372E-3</v>
      </c>
      <c r="AS369" s="170">
        <v>3.4273485635405465E-3</v>
      </c>
      <c r="AU369" s="216">
        <v>96.855376163627838</v>
      </c>
      <c r="AV369" s="217">
        <v>96.833421335443859</v>
      </c>
      <c r="AW369" s="217">
        <v>94.129755535244712</v>
      </c>
      <c r="AX369" s="217">
        <v>94.343631986464501</v>
      </c>
      <c r="AY369" s="217"/>
      <c r="AZ369" s="218">
        <v>0</v>
      </c>
      <c r="BA369" s="8"/>
      <c r="BB369" s="219"/>
      <c r="BC369" s="220"/>
    </row>
    <row r="370" spans="15:55" x14ac:dyDescent="0.25">
      <c r="O370" s="195">
        <v>1050</v>
      </c>
      <c r="P370" s="202">
        <f t="shared" si="79"/>
        <v>0</v>
      </c>
      <c r="Q370" s="203">
        <f t="shared" si="79"/>
        <v>0</v>
      </c>
      <c r="R370" s="157">
        <f ca="1"/>
        <v>96.847024235138463</v>
      </c>
      <c r="T370" s="204">
        <v>0</v>
      </c>
      <c r="U370" s="206">
        <v>0</v>
      </c>
      <c r="V370" s="206">
        <v>0</v>
      </c>
      <c r="W370" s="206">
        <v>0</v>
      </c>
      <c r="X370" s="206">
        <f t="array" ref="X370">IF(X$78&gt;" ",(X$628:X$1078),"")</f>
        <v>0</v>
      </c>
      <c r="Y370" s="206">
        <f t="array" ref="Y370">IF(Y$78&gt;" ",(Y$628:Y$1078),"")</f>
        <v>0</v>
      </c>
      <c r="Z370" s="206">
        <f t="array" ref="Z370">IF(Z$78&gt;" ",(Z$628:Z$1078),"")</f>
        <v>0</v>
      </c>
      <c r="AA370" s="206">
        <f t="array" ref="AA370">IF(AA$78&gt;" ",(AA$628:AA$1078),"")</f>
        <v>0</v>
      </c>
      <c r="AB370" s="210">
        <v>0</v>
      </c>
      <c r="AC370" s="204">
        <f t="shared" si="67"/>
        <v>0</v>
      </c>
      <c r="AD370" s="206">
        <f t="shared" si="68"/>
        <v>0</v>
      </c>
      <c r="AE370" s="206">
        <f t="shared" si="69"/>
        <v>0</v>
      </c>
      <c r="AF370" s="206">
        <f t="shared" si="70"/>
        <v>0</v>
      </c>
      <c r="AG370" s="206">
        <f t="shared" si="71"/>
        <v>0</v>
      </c>
      <c r="AH370" s="206">
        <f t="shared" si="72"/>
        <v>0</v>
      </c>
      <c r="AI370" s="206">
        <f t="shared" si="73"/>
        <v>0</v>
      </c>
      <c r="AJ370" s="206">
        <f t="shared" si="74"/>
        <v>0</v>
      </c>
      <c r="AK370" s="206">
        <f t="shared" si="75"/>
        <v>0</v>
      </c>
      <c r="AL370" s="206">
        <f t="shared" si="76"/>
        <v>0</v>
      </c>
      <c r="AM370" s="214">
        <f t="shared" si="77"/>
        <v>0</v>
      </c>
      <c r="AN370" s="4"/>
      <c r="AO370" s="167">
        <v>1050</v>
      </c>
      <c r="AP370" s="215">
        <v>3.7556984548719639E-3</v>
      </c>
      <c r="AQ370" s="190">
        <v>3.4126406269814231E-3</v>
      </c>
      <c r="AR370" s="190">
        <v>3.29170727905025E-3</v>
      </c>
      <c r="AS370" s="170">
        <v>3.458688415204155E-3</v>
      </c>
      <c r="AU370" s="216">
        <v>96.841201488847005</v>
      </c>
      <c r="AV370" s="217">
        <v>96.847024235138463</v>
      </c>
      <c r="AW370" s="217">
        <v>94.139090022457992</v>
      </c>
      <c r="AX370" s="217">
        <v>94.357076923101957</v>
      </c>
      <c r="AY370" s="217"/>
      <c r="AZ370" s="218">
        <v>0</v>
      </c>
      <c r="BA370" s="8"/>
      <c r="BB370" s="219"/>
      <c r="BC370" s="220"/>
    </row>
    <row r="371" spans="15:55" x14ac:dyDescent="0.25">
      <c r="O371" s="195">
        <v>1045</v>
      </c>
      <c r="P371" s="202">
        <f t="shared" si="79"/>
        <v>0</v>
      </c>
      <c r="Q371" s="203">
        <f t="shared" si="79"/>
        <v>0</v>
      </c>
      <c r="R371" s="157">
        <f ca="1"/>
        <v>96.832903945356918</v>
      </c>
      <c r="T371" s="204">
        <v>0</v>
      </c>
      <c r="U371" s="206">
        <v>0</v>
      </c>
      <c r="V371" s="206">
        <v>0</v>
      </c>
      <c r="W371" s="206">
        <v>0</v>
      </c>
      <c r="X371" s="206">
        <f t="array" ref="X371">IF(X$78&gt;" ",(X$628:X$1078),"")</f>
        <v>0</v>
      </c>
      <c r="Y371" s="206">
        <f t="array" ref="Y371">IF(Y$78&gt;" ",(Y$628:Y$1078),"")</f>
        <v>0</v>
      </c>
      <c r="Z371" s="206">
        <f t="array" ref="Z371">IF(Z$78&gt;" ",(Z$628:Z$1078),"")</f>
        <v>0</v>
      </c>
      <c r="AA371" s="206">
        <f t="array" ref="AA371">IF(AA$78&gt;" ",(AA$628:AA$1078),"")</f>
        <v>0</v>
      </c>
      <c r="AB371" s="210">
        <v>0</v>
      </c>
      <c r="AC371" s="204">
        <f t="shared" si="67"/>
        <v>0</v>
      </c>
      <c r="AD371" s="206">
        <f t="shared" si="68"/>
        <v>0</v>
      </c>
      <c r="AE371" s="206">
        <f t="shared" si="69"/>
        <v>0</v>
      </c>
      <c r="AF371" s="206">
        <f t="shared" si="70"/>
        <v>0</v>
      </c>
      <c r="AG371" s="206">
        <f t="shared" si="71"/>
        <v>0</v>
      </c>
      <c r="AH371" s="206">
        <f t="shared" si="72"/>
        <v>0</v>
      </c>
      <c r="AI371" s="206">
        <f t="shared" si="73"/>
        <v>0</v>
      </c>
      <c r="AJ371" s="206">
        <f t="shared" si="74"/>
        <v>0</v>
      </c>
      <c r="AK371" s="206">
        <f t="shared" si="75"/>
        <v>0</v>
      </c>
      <c r="AL371" s="206">
        <f t="shared" si="76"/>
        <v>0</v>
      </c>
      <c r="AM371" s="214">
        <f t="shared" si="77"/>
        <v>0</v>
      </c>
      <c r="AN371" s="4"/>
      <c r="AO371" s="167">
        <v>1045</v>
      </c>
      <c r="AP371" s="215">
        <v>3.8032640289706065E-3</v>
      </c>
      <c r="AQ371" s="190">
        <v>3.4325201840784978E-3</v>
      </c>
      <c r="AR371" s="190">
        <v>3.3414376381688464E-3</v>
      </c>
      <c r="AS371" s="170">
        <v>3.5096156741575187E-3</v>
      </c>
      <c r="AU371" s="216">
        <v>96.838841425461723</v>
      </c>
      <c r="AV371" s="217">
        <v>96.832903945356918</v>
      </c>
      <c r="AW371" s="217">
        <v>94.131705119977312</v>
      </c>
      <c r="AX371" s="217">
        <v>94.339419929724002</v>
      </c>
      <c r="AY371" s="217"/>
      <c r="AZ371" s="218">
        <v>0</v>
      </c>
      <c r="BA371" s="8"/>
      <c r="BB371" s="219"/>
      <c r="BC371" s="220"/>
    </row>
    <row r="372" spans="15:55" x14ac:dyDescent="0.25">
      <c r="O372" s="195">
        <v>1040</v>
      </c>
      <c r="P372" s="202">
        <f t="shared" si="79"/>
        <v>0</v>
      </c>
      <c r="Q372" s="203">
        <f t="shared" si="79"/>
        <v>0</v>
      </c>
      <c r="R372" s="157">
        <f ca="1"/>
        <v>96.828394355954813</v>
      </c>
      <c r="T372" s="204">
        <v>0</v>
      </c>
      <c r="U372" s="206">
        <v>0</v>
      </c>
      <c r="V372" s="206">
        <v>0</v>
      </c>
      <c r="W372" s="206">
        <v>0</v>
      </c>
      <c r="X372" s="206">
        <f t="array" ref="X372">IF(X$78&gt;" ",(X$628:X$1078),"")</f>
        <v>0</v>
      </c>
      <c r="Y372" s="206">
        <f t="array" ref="Y372">IF(Y$78&gt;" ",(Y$628:Y$1078),"")</f>
        <v>0</v>
      </c>
      <c r="Z372" s="206">
        <f t="array" ref="Z372">IF(Z$78&gt;" ",(Z$628:Z$1078),"")</f>
        <v>0</v>
      </c>
      <c r="AA372" s="206">
        <f t="array" ref="AA372">IF(AA$78&gt;" ",(AA$628:AA$1078),"")</f>
        <v>0</v>
      </c>
      <c r="AB372" s="210">
        <v>0</v>
      </c>
      <c r="AC372" s="204">
        <f t="shared" si="67"/>
        <v>0</v>
      </c>
      <c r="AD372" s="206">
        <f t="shared" si="68"/>
        <v>0</v>
      </c>
      <c r="AE372" s="206">
        <f t="shared" si="69"/>
        <v>0</v>
      </c>
      <c r="AF372" s="206">
        <f t="shared" si="70"/>
        <v>0</v>
      </c>
      <c r="AG372" s="206">
        <f t="shared" si="71"/>
        <v>0</v>
      </c>
      <c r="AH372" s="206">
        <f t="shared" si="72"/>
        <v>0</v>
      </c>
      <c r="AI372" s="206">
        <f t="shared" si="73"/>
        <v>0</v>
      </c>
      <c r="AJ372" s="206">
        <f t="shared" si="74"/>
        <v>0</v>
      </c>
      <c r="AK372" s="206">
        <f t="shared" si="75"/>
        <v>0</v>
      </c>
      <c r="AL372" s="206">
        <f t="shared" si="76"/>
        <v>0</v>
      </c>
      <c r="AM372" s="214">
        <f t="shared" si="77"/>
        <v>0</v>
      </c>
      <c r="AN372" s="4"/>
      <c r="AO372" s="167">
        <v>1040</v>
      </c>
      <c r="AP372" s="215">
        <v>3.8508296030692482E-3</v>
      </c>
      <c r="AQ372" s="190">
        <v>3.452399741175572E-3</v>
      </c>
      <c r="AR372" s="190">
        <v>3.377541174920264E-3</v>
      </c>
      <c r="AS372" s="170">
        <v>3.5462161437789471E-3</v>
      </c>
      <c r="AU372" s="216">
        <v>96.841916411387729</v>
      </c>
      <c r="AV372" s="217">
        <v>96.828394355954813</v>
      </c>
      <c r="AW372" s="217">
        <v>94.147391858981791</v>
      </c>
      <c r="AX372" s="217">
        <v>94.358110170474319</v>
      </c>
      <c r="AY372" s="217"/>
      <c r="AZ372" s="218">
        <v>0</v>
      </c>
      <c r="BA372" s="8"/>
      <c r="BB372" s="219"/>
      <c r="BC372" s="220"/>
    </row>
    <row r="373" spans="15:55" x14ac:dyDescent="0.25">
      <c r="O373" s="195">
        <v>1035</v>
      </c>
      <c r="P373" s="202">
        <f t="shared" si="79"/>
        <v>0</v>
      </c>
      <c r="Q373" s="203">
        <f t="shared" si="79"/>
        <v>0</v>
      </c>
      <c r="R373" s="157">
        <f ca="1"/>
        <v>96.825745185526785</v>
      </c>
      <c r="T373" s="204">
        <v>0</v>
      </c>
      <c r="U373" s="206">
        <v>0</v>
      </c>
      <c r="V373" s="206">
        <v>0</v>
      </c>
      <c r="W373" s="206">
        <v>0</v>
      </c>
      <c r="X373" s="206">
        <f t="array" ref="X373">IF(X$78&gt;" ",(X$628:X$1078),"")</f>
        <v>0</v>
      </c>
      <c r="Y373" s="206">
        <f t="array" ref="Y373">IF(Y$78&gt;" ",(Y$628:Y$1078),"")</f>
        <v>0</v>
      </c>
      <c r="Z373" s="206">
        <f t="array" ref="Z373">IF(Z$78&gt;" ",(Z$628:Z$1078),"")</f>
        <v>0</v>
      </c>
      <c r="AA373" s="206">
        <f t="array" ref="AA373">IF(AA$78&gt;" ",(AA$628:AA$1078),"")</f>
        <v>0</v>
      </c>
      <c r="AB373" s="210">
        <v>0</v>
      </c>
      <c r="AC373" s="204">
        <f t="shared" si="67"/>
        <v>0</v>
      </c>
      <c r="AD373" s="206">
        <f t="shared" si="68"/>
        <v>0</v>
      </c>
      <c r="AE373" s="206">
        <f t="shared" si="69"/>
        <v>0</v>
      </c>
      <c r="AF373" s="206">
        <f t="shared" si="70"/>
        <v>0</v>
      </c>
      <c r="AG373" s="206">
        <f t="shared" si="71"/>
        <v>0</v>
      </c>
      <c r="AH373" s="206">
        <f t="shared" si="72"/>
        <v>0</v>
      </c>
      <c r="AI373" s="206">
        <f t="shared" si="73"/>
        <v>0</v>
      </c>
      <c r="AJ373" s="206">
        <f t="shared" si="74"/>
        <v>0</v>
      </c>
      <c r="AK373" s="206">
        <f t="shared" si="75"/>
        <v>0</v>
      </c>
      <c r="AL373" s="206">
        <f t="shared" si="76"/>
        <v>0</v>
      </c>
      <c r="AM373" s="214">
        <f t="shared" si="77"/>
        <v>0</v>
      </c>
      <c r="AN373" s="4"/>
      <c r="AO373" s="167">
        <v>1035</v>
      </c>
      <c r="AP373" s="215">
        <v>3.8843897581277349E-3</v>
      </c>
      <c r="AQ373" s="190">
        <v>3.4722792982726462E-3</v>
      </c>
      <c r="AR373" s="190">
        <v>3.4310427948415854E-3</v>
      </c>
      <c r="AS373" s="170">
        <v>3.6011728122319177E-3</v>
      </c>
      <c r="AU373" s="216">
        <v>96.829398993142263</v>
      </c>
      <c r="AV373" s="217">
        <v>96.825745185526785</v>
      </c>
      <c r="AW373" s="217">
        <v>94.148449193572972</v>
      </c>
      <c r="AX373" s="217">
        <v>94.35999368594679</v>
      </c>
      <c r="AY373" s="217"/>
      <c r="AZ373" s="218">
        <v>0</v>
      </c>
      <c r="BA373" s="8"/>
      <c r="BB373" s="219"/>
      <c r="BC373" s="220"/>
    </row>
    <row r="374" spans="15:55" x14ac:dyDescent="0.25">
      <c r="O374" s="195">
        <v>1030</v>
      </c>
      <c r="P374" s="202">
        <f t="shared" si="79"/>
        <v>0</v>
      </c>
      <c r="Q374" s="203">
        <f t="shared" si="79"/>
        <v>0</v>
      </c>
      <c r="R374" s="157">
        <f ca="1"/>
        <v>96.820510153988153</v>
      </c>
      <c r="T374" s="204">
        <v>0</v>
      </c>
      <c r="U374" s="206">
        <v>0</v>
      </c>
      <c r="V374" s="206">
        <v>0</v>
      </c>
      <c r="W374" s="206">
        <v>0</v>
      </c>
      <c r="X374" s="206">
        <f t="array" ref="X374">IF(X$78&gt;" ",(X$628:X$1078),"")</f>
        <v>0</v>
      </c>
      <c r="Y374" s="206">
        <f t="array" ref="Y374">IF(Y$78&gt;" ",(Y$628:Y$1078),"")</f>
        <v>0</v>
      </c>
      <c r="Z374" s="206">
        <f t="array" ref="Z374">IF(Z$78&gt;" ",(Z$628:Z$1078),"")</f>
        <v>0</v>
      </c>
      <c r="AA374" s="206">
        <f t="array" ref="AA374">IF(AA$78&gt;" ",(AA$628:AA$1078),"")</f>
        <v>0</v>
      </c>
      <c r="AB374" s="210">
        <v>0</v>
      </c>
      <c r="AC374" s="204">
        <f t="shared" si="67"/>
        <v>0</v>
      </c>
      <c r="AD374" s="206">
        <f t="shared" si="68"/>
        <v>0</v>
      </c>
      <c r="AE374" s="206">
        <f t="shared" si="69"/>
        <v>0</v>
      </c>
      <c r="AF374" s="206">
        <f t="shared" si="70"/>
        <v>0</v>
      </c>
      <c r="AG374" s="206">
        <f t="shared" si="71"/>
        <v>0</v>
      </c>
      <c r="AH374" s="206">
        <f t="shared" si="72"/>
        <v>0</v>
      </c>
      <c r="AI374" s="206">
        <f t="shared" si="73"/>
        <v>0</v>
      </c>
      <c r="AJ374" s="206">
        <f t="shared" si="74"/>
        <v>0</v>
      </c>
      <c r="AK374" s="206">
        <f t="shared" si="75"/>
        <v>0</v>
      </c>
      <c r="AL374" s="206">
        <f t="shared" si="76"/>
        <v>0</v>
      </c>
      <c r="AM374" s="214">
        <f t="shared" si="77"/>
        <v>0</v>
      </c>
      <c r="AN374" s="4"/>
      <c r="AO374" s="167">
        <v>1030</v>
      </c>
      <c r="AP374" s="215">
        <v>3.917883849888862E-3</v>
      </c>
      <c r="AQ374" s="190">
        <v>3.4921588553697212E-3</v>
      </c>
      <c r="AR374" s="190">
        <v>3.4723255297620793E-3</v>
      </c>
      <c r="AS374" s="170">
        <v>3.6428100437278549E-3</v>
      </c>
      <c r="AU374" s="216">
        <v>96.83859618354343</v>
      </c>
      <c r="AV374" s="217">
        <v>96.820510153988153</v>
      </c>
      <c r="AW374" s="217">
        <v>94.130120722069378</v>
      </c>
      <c r="AX374" s="217">
        <v>94.348350205273263</v>
      </c>
      <c r="AY374" s="217"/>
      <c r="AZ374" s="218">
        <v>0</v>
      </c>
      <c r="BA374" s="8"/>
      <c r="BB374" s="219"/>
      <c r="BC374" s="220"/>
    </row>
    <row r="375" spans="15:55" x14ac:dyDescent="0.25">
      <c r="O375" s="195">
        <v>1025</v>
      </c>
      <c r="P375" s="202">
        <f t="shared" si="79"/>
        <v>0</v>
      </c>
      <c r="Q375" s="203">
        <f t="shared" si="79"/>
        <v>0</v>
      </c>
      <c r="R375" s="157">
        <f ca="1"/>
        <v>96.839402761613982</v>
      </c>
      <c r="T375" s="204">
        <v>0</v>
      </c>
      <c r="U375" s="206">
        <v>0</v>
      </c>
      <c r="V375" s="206">
        <v>0</v>
      </c>
      <c r="W375" s="206">
        <v>0</v>
      </c>
      <c r="X375" s="206">
        <f t="array" ref="X375">IF(X$78&gt;" ",(X$628:X$1078),"")</f>
        <v>0</v>
      </c>
      <c r="Y375" s="206">
        <f t="array" ref="Y375">IF(Y$78&gt;" ",(Y$628:Y$1078),"")</f>
        <v>0</v>
      </c>
      <c r="Z375" s="206">
        <f t="array" ref="Z375">IF(Z$78&gt;" ",(Z$628:Z$1078),"")</f>
        <v>0</v>
      </c>
      <c r="AA375" s="206">
        <f t="array" ref="AA375">IF(AA$78&gt;" ",(AA$628:AA$1078),"")</f>
        <v>0</v>
      </c>
      <c r="AB375" s="210">
        <v>0</v>
      </c>
      <c r="AC375" s="204">
        <f t="shared" si="67"/>
        <v>0</v>
      </c>
      <c r="AD375" s="206">
        <f t="shared" si="68"/>
        <v>0</v>
      </c>
      <c r="AE375" s="206">
        <f t="shared" si="69"/>
        <v>0</v>
      </c>
      <c r="AF375" s="206">
        <f t="shared" si="70"/>
        <v>0</v>
      </c>
      <c r="AG375" s="206">
        <f t="shared" si="71"/>
        <v>0</v>
      </c>
      <c r="AH375" s="206">
        <f t="shared" si="72"/>
        <v>0</v>
      </c>
      <c r="AI375" s="206">
        <f t="shared" si="73"/>
        <v>0</v>
      </c>
      <c r="AJ375" s="206">
        <f t="shared" si="74"/>
        <v>0</v>
      </c>
      <c r="AK375" s="206">
        <f t="shared" si="75"/>
        <v>0</v>
      </c>
      <c r="AL375" s="206">
        <f t="shared" si="76"/>
        <v>0</v>
      </c>
      <c r="AM375" s="214">
        <f t="shared" si="77"/>
        <v>0</v>
      </c>
      <c r="AN375" s="4"/>
      <c r="AO375" s="167">
        <v>1025</v>
      </c>
      <c r="AP375" s="215">
        <v>3.9514440049473491E-3</v>
      </c>
      <c r="AQ375" s="190">
        <v>3.512038412466795E-3</v>
      </c>
      <c r="AR375" s="190">
        <v>3.507423396966104E-3</v>
      </c>
      <c r="AS375" s="170">
        <v>3.6783471969535535E-3</v>
      </c>
      <c r="AU375" s="216">
        <v>96.827486263497249</v>
      </c>
      <c r="AV375" s="217">
        <v>96.839402761613982</v>
      </c>
      <c r="AW375" s="217">
        <v>94.157458946719785</v>
      </c>
      <c r="AX375" s="217">
        <v>94.375805082441858</v>
      </c>
      <c r="AY375" s="217"/>
      <c r="AZ375" s="218">
        <v>0</v>
      </c>
      <c r="BA375" s="8"/>
      <c r="BB375" s="219"/>
      <c r="BC375" s="220"/>
    </row>
    <row r="376" spans="15:55" x14ac:dyDescent="0.25">
      <c r="O376" s="195">
        <v>1020</v>
      </c>
      <c r="P376" s="202">
        <f t="shared" si="79"/>
        <v>0</v>
      </c>
      <c r="Q376" s="203">
        <f t="shared" si="79"/>
        <v>0</v>
      </c>
      <c r="R376" s="157">
        <f ca="1"/>
        <v>96.83900152853046</v>
      </c>
      <c r="T376" s="204">
        <v>0</v>
      </c>
      <c r="U376" s="206">
        <v>0</v>
      </c>
      <c r="V376" s="206">
        <v>0</v>
      </c>
      <c r="W376" s="206">
        <v>0</v>
      </c>
      <c r="X376" s="206">
        <f t="array" ref="X376">IF(X$78&gt;" ",(X$628:X$1078),"")</f>
        <v>0</v>
      </c>
      <c r="Y376" s="206">
        <f t="array" ref="Y376">IF(Y$78&gt;" ",(Y$628:Y$1078),"")</f>
        <v>0</v>
      </c>
      <c r="Z376" s="206">
        <f t="array" ref="Z376">IF(Z$78&gt;" ",(Z$628:Z$1078),"")</f>
        <v>0</v>
      </c>
      <c r="AA376" s="206">
        <f t="array" ref="AA376">IF(AA$78&gt;" ",(AA$628:AA$1078),"")</f>
        <v>0</v>
      </c>
      <c r="AB376" s="210">
        <v>0</v>
      </c>
      <c r="AC376" s="204">
        <f t="shared" si="67"/>
        <v>0</v>
      </c>
      <c r="AD376" s="206">
        <f t="shared" si="68"/>
        <v>0</v>
      </c>
      <c r="AE376" s="206">
        <f t="shared" si="69"/>
        <v>0</v>
      </c>
      <c r="AF376" s="206">
        <f t="shared" si="70"/>
        <v>0</v>
      </c>
      <c r="AG376" s="206">
        <f t="shared" si="71"/>
        <v>0</v>
      </c>
      <c r="AH376" s="206">
        <f t="shared" si="72"/>
        <v>0</v>
      </c>
      <c r="AI376" s="206">
        <f t="shared" si="73"/>
        <v>0</v>
      </c>
      <c r="AJ376" s="206">
        <f t="shared" si="74"/>
        <v>0</v>
      </c>
      <c r="AK376" s="206">
        <f t="shared" si="75"/>
        <v>0</v>
      </c>
      <c r="AL376" s="206">
        <f t="shared" si="76"/>
        <v>0</v>
      </c>
      <c r="AM376" s="214">
        <f t="shared" si="77"/>
        <v>0</v>
      </c>
      <c r="AN376" s="4"/>
      <c r="AO376" s="167">
        <v>1020</v>
      </c>
      <c r="AP376" s="215">
        <v>3.9849380967084767E-3</v>
      </c>
      <c r="AQ376" s="190">
        <v>3.5319179695638692E-3</v>
      </c>
      <c r="AR376" s="190">
        <v>3.5146139342299657E-3</v>
      </c>
      <c r="AS376" s="170">
        <v>3.6846151672862747E-3</v>
      </c>
      <c r="AU376" s="216">
        <v>96.833502531976322</v>
      </c>
      <c r="AV376" s="217">
        <v>96.83900152853046</v>
      </c>
      <c r="AW376" s="217">
        <v>94.158000722217636</v>
      </c>
      <c r="AX376" s="217">
        <v>94.373538124851564</v>
      </c>
      <c r="AY376" s="217"/>
      <c r="AZ376" s="218">
        <v>0</v>
      </c>
      <c r="BA376" s="8"/>
      <c r="BB376" s="219"/>
      <c r="BC376" s="220"/>
    </row>
    <row r="377" spans="15:55" x14ac:dyDescent="0.25">
      <c r="O377" s="195">
        <v>1015</v>
      </c>
      <c r="P377" s="202">
        <f t="shared" si="79"/>
        <v>0</v>
      </c>
      <c r="Q377" s="203">
        <f t="shared" si="79"/>
        <v>0</v>
      </c>
      <c r="R377" s="157">
        <f ca="1"/>
        <v>96.823062895996941</v>
      </c>
      <c r="T377" s="204">
        <v>0</v>
      </c>
      <c r="U377" s="206">
        <v>0</v>
      </c>
      <c r="V377" s="206">
        <v>0</v>
      </c>
      <c r="W377" s="206">
        <v>0</v>
      </c>
      <c r="X377" s="206">
        <f t="array" ref="X377">IF(X$78&gt;" ",(X$628:X$1078),"")</f>
        <v>0</v>
      </c>
      <c r="Y377" s="206">
        <f t="array" ref="Y377">IF(Y$78&gt;" ",(Y$628:Y$1078),"")</f>
        <v>0</v>
      </c>
      <c r="Z377" s="206">
        <f t="array" ref="Z377">IF(Z$78&gt;" ",(Z$628:Z$1078),"")</f>
        <v>0</v>
      </c>
      <c r="AA377" s="206">
        <f t="array" ref="AA377">IF(AA$78&gt;" ",(AA$628:AA$1078),"")</f>
        <v>0</v>
      </c>
      <c r="AB377" s="210">
        <v>0</v>
      </c>
      <c r="AC377" s="204">
        <f t="shared" si="67"/>
        <v>0</v>
      </c>
      <c r="AD377" s="206">
        <f t="shared" si="68"/>
        <v>0</v>
      </c>
      <c r="AE377" s="206">
        <f t="shared" si="69"/>
        <v>0</v>
      </c>
      <c r="AF377" s="206">
        <f t="shared" si="70"/>
        <v>0</v>
      </c>
      <c r="AG377" s="206">
        <f t="shared" si="71"/>
        <v>0</v>
      </c>
      <c r="AH377" s="206">
        <f t="shared" si="72"/>
        <v>0</v>
      </c>
      <c r="AI377" s="206">
        <f t="shared" si="73"/>
        <v>0</v>
      </c>
      <c r="AJ377" s="206">
        <f t="shared" si="74"/>
        <v>0</v>
      </c>
      <c r="AK377" s="206">
        <f t="shared" si="75"/>
        <v>0</v>
      </c>
      <c r="AL377" s="206">
        <f t="shared" si="76"/>
        <v>0</v>
      </c>
      <c r="AM377" s="214">
        <f t="shared" si="77"/>
        <v>0</v>
      </c>
      <c r="AN377" s="4"/>
      <c r="AO377" s="167">
        <v>1015</v>
      </c>
      <c r="AP377" s="215">
        <v>4.018498251766962E-3</v>
      </c>
      <c r="AQ377" s="190">
        <v>3.5517975266609434E-3</v>
      </c>
      <c r="AR377" s="190">
        <v>3.560925016887425E-3</v>
      </c>
      <c r="AS377" s="170">
        <v>3.7314570527192041E-3</v>
      </c>
      <c r="AU377" s="216">
        <v>96.816647346543178</v>
      </c>
      <c r="AV377" s="217">
        <v>96.823062895996941</v>
      </c>
      <c r="AW377" s="217">
        <v>94.160674750216245</v>
      </c>
      <c r="AX377" s="217">
        <v>94.372496286516579</v>
      </c>
      <c r="AY377" s="217"/>
      <c r="AZ377" s="218">
        <v>0</v>
      </c>
      <c r="BA377" s="8"/>
      <c r="BB377" s="219"/>
      <c r="BC377" s="220"/>
    </row>
    <row r="378" spans="15:55" x14ac:dyDescent="0.25">
      <c r="O378" s="195">
        <v>1010</v>
      </c>
      <c r="P378" s="202">
        <f t="shared" si="79"/>
        <v>0</v>
      </c>
      <c r="Q378" s="203">
        <f t="shared" si="79"/>
        <v>0</v>
      </c>
      <c r="R378" s="157">
        <f ca="1"/>
        <v>96.828988890568326</v>
      </c>
      <c r="T378" s="204">
        <v>0</v>
      </c>
      <c r="U378" s="206">
        <v>0</v>
      </c>
      <c r="V378" s="206">
        <v>0</v>
      </c>
      <c r="W378" s="206">
        <v>0</v>
      </c>
      <c r="X378" s="206">
        <f t="array" ref="X378">IF(X$78&gt;" ",(X$628:X$1078),"")</f>
        <v>0</v>
      </c>
      <c r="Y378" s="206">
        <f t="array" ref="Y378">IF(Y$78&gt;" ",(Y$628:Y$1078),"")</f>
        <v>0</v>
      </c>
      <c r="Z378" s="206">
        <f t="array" ref="Z378">IF(Z$78&gt;" ",(Z$628:Z$1078),"")</f>
        <v>0</v>
      </c>
      <c r="AA378" s="206">
        <f t="array" ref="AA378">IF(AA$78&gt;" ",(AA$628:AA$1078),"")</f>
        <v>0</v>
      </c>
      <c r="AB378" s="210">
        <v>0</v>
      </c>
      <c r="AC378" s="204">
        <f t="shared" si="67"/>
        <v>0</v>
      </c>
      <c r="AD378" s="206">
        <f t="shared" si="68"/>
        <v>0</v>
      </c>
      <c r="AE378" s="206">
        <f t="shared" si="69"/>
        <v>0</v>
      </c>
      <c r="AF378" s="206">
        <f t="shared" si="70"/>
        <v>0</v>
      </c>
      <c r="AG378" s="206">
        <f t="shared" si="71"/>
        <v>0</v>
      </c>
      <c r="AH378" s="206">
        <f t="shared" si="72"/>
        <v>0</v>
      </c>
      <c r="AI378" s="206">
        <f t="shared" si="73"/>
        <v>0</v>
      </c>
      <c r="AJ378" s="206">
        <f t="shared" si="74"/>
        <v>0</v>
      </c>
      <c r="AK378" s="206">
        <f t="shared" si="75"/>
        <v>0</v>
      </c>
      <c r="AL378" s="206">
        <f t="shared" si="76"/>
        <v>0</v>
      </c>
      <c r="AM378" s="214">
        <f t="shared" si="77"/>
        <v>0</v>
      </c>
      <c r="AN378" s="4"/>
      <c r="AO378" s="167">
        <v>1010</v>
      </c>
      <c r="AP378" s="215">
        <v>4.0519923435280896E-3</v>
      </c>
      <c r="AQ378" s="190">
        <v>3.5716770837580184E-3</v>
      </c>
      <c r="AR378" s="190">
        <v>3.6160859915619456E-3</v>
      </c>
      <c r="AS378" s="170">
        <v>3.7884843899428059E-3</v>
      </c>
      <c r="AU378" s="216">
        <v>96.820071667058755</v>
      </c>
      <c r="AV378" s="217">
        <v>96.828988890568326</v>
      </c>
      <c r="AW378" s="217">
        <v>94.177380149946671</v>
      </c>
      <c r="AX378" s="217">
        <v>94.385612481272787</v>
      </c>
      <c r="AY378" s="217"/>
      <c r="AZ378" s="218">
        <v>0</v>
      </c>
      <c r="BA378" s="8"/>
      <c r="BB378" s="219"/>
      <c r="BC378" s="220"/>
    </row>
    <row r="379" spans="15:55" x14ac:dyDescent="0.25">
      <c r="O379" s="195">
        <v>1005</v>
      </c>
      <c r="P379" s="202">
        <f t="shared" si="79"/>
        <v>0</v>
      </c>
      <c r="Q379" s="203">
        <f t="shared" si="79"/>
        <v>0</v>
      </c>
      <c r="R379" s="157">
        <f ca="1"/>
        <v>96.805855783687022</v>
      </c>
      <c r="T379" s="204">
        <v>0</v>
      </c>
      <c r="U379" s="206">
        <v>0</v>
      </c>
      <c r="V379" s="206">
        <v>0</v>
      </c>
      <c r="W379" s="206">
        <v>0</v>
      </c>
      <c r="X379" s="206">
        <f t="array" ref="X379">IF(X$78&gt;" ",(X$628:X$1078),"")</f>
        <v>0</v>
      </c>
      <c r="Y379" s="206">
        <f t="array" ref="Y379">IF(Y$78&gt;" ",(Y$628:Y$1078),"")</f>
        <v>0</v>
      </c>
      <c r="Z379" s="206">
        <f t="array" ref="Z379">IF(Z$78&gt;" ",(Z$628:Z$1078),"")</f>
        <v>0</v>
      </c>
      <c r="AA379" s="206">
        <f t="array" ref="AA379">IF(AA$78&gt;" ",(AA$628:AA$1078),"")</f>
        <v>0</v>
      </c>
      <c r="AB379" s="210">
        <v>0</v>
      </c>
      <c r="AC379" s="204">
        <f t="shared" si="67"/>
        <v>0</v>
      </c>
      <c r="AD379" s="206">
        <f t="shared" si="68"/>
        <v>0</v>
      </c>
      <c r="AE379" s="206">
        <f t="shared" si="69"/>
        <v>0</v>
      </c>
      <c r="AF379" s="206">
        <f t="shared" si="70"/>
        <v>0</v>
      </c>
      <c r="AG379" s="206">
        <f t="shared" si="71"/>
        <v>0</v>
      </c>
      <c r="AH379" s="206">
        <f t="shared" si="72"/>
        <v>0</v>
      </c>
      <c r="AI379" s="206">
        <f t="shared" si="73"/>
        <v>0</v>
      </c>
      <c r="AJ379" s="206">
        <f t="shared" si="74"/>
        <v>0</v>
      </c>
      <c r="AK379" s="206">
        <f t="shared" si="75"/>
        <v>0</v>
      </c>
      <c r="AL379" s="206">
        <f t="shared" si="76"/>
        <v>0</v>
      </c>
      <c r="AM379" s="214">
        <f t="shared" si="77"/>
        <v>0</v>
      </c>
      <c r="AN379" s="4"/>
      <c r="AO379" s="167">
        <v>1005</v>
      </c>
      <c r="AP379" s="215">
        <v>4.0855524985865758E-3</v>
      </c>
      <c r="AQ379" s="190">
        <v>3.5915566408550926E-3</v>
      </c>
      <c r="AR379" s="190">
        <v>3.4280257861994063E-3</v>
      </c>
      <c r="AS379" s="170">
        <v>3.58953229589972E-3</v>
      </c>
      <c r="AU379" s="216">
        <v>96.818374912218303</v>
      </c>
      <c r="AV379" s="217">
        <v>96.805855783687022</v>
      </c>
      <c r="AW379" s="217">
        <v>94.171043061511469</v>
      </c>
      <c r="AX379" s="217">
        <v>94.389166856441463</v>
      </c>
      <c r="AY379" s="217"/>
      <c r="AZ379" s="218">
        <v>0</v>
      </c>
      <c r="BA379" s="8"/>
      <c r="BB379" s="219"/>
      <c r="BC379" s="220"/>
    </row>
    <row r="380" spans="15:55" x14ac:dyDescent="0.25">
      <c r="O380" s="195">
        <v>1000</v>
      </c>
      <c r="P380" s="202">
        <f t="shared" si="79"/>
        <v>0</v>
      </c>
      <c r="Q380" s="203">
        <f t="shared" si="79"/>
        <v>0</v>
      </c>
      <c r="R380" s="157">
        <f ca="1"/>
        <v>96.804835260248012</v>
      </c>
      <c r="T380" s="204">
        <v>0</v>
      </c>
      <c r="U380" s="206">
        <v>0</v>
      </c>
      <c r="V380" s="206">
        <v>0</v>
      </c>
      <c r="W380" s="206">
        <v>0</v>
      </c>
      <c r="X380" s="206">
        <f t="array" ref="X380">IF(X$78&gt;" ",(X$628:X$1078),"")</f>
        <v>0</v>
      </c>
      <c r="Y380" s="206">
        <f t="array" ref="Y380">IF(Y$78&gt;" ",(Y$628:Y$1078),"")</f>
        <v>0</v>
      </c>
      <c r="Z380" s="206">
        <f t="array" ref="Z380">IF(Z$78&gt;" ",(Z$628:Z$1078),"")</f>
        <v>0</v>
      </c>
      <c r="AA380" s="206">
        <f t="array" ref="AA380">IF(AA$78&gt;" ",(AA$628:AA$1078),"")</f>
        <v>0</v>
      </c>
      <c r="AB380" s="210">
        <v>0</v>
      </c>
      <c r="AC380" s="204">
        <f t="shared" si="67"/>
        <v>0</v>
      </c>
      <c r="AD380" s="206">
        <f t="shared" si="68"/>
        <v>0</v>
      </c>
      <c r="AE380" s="206">
        <f t="shared" si="69"/>
        <v>0</v>
      </c>
      <c r="AF380" s="206">
        <f t="shared" si="70"/>
        <v>0</v>
      </c>
      <c r="AG380" s="206">
        <f t="shared" si="71"/>
        <v>0</v>
      </c>
      <c r="AH380" s="206">
        <f t="shared" si="72"/>
        <v>0</v>
      </c>
      <c r="AI380" s="206">
        <f t="shared" si="73"/>
        <v>0</v>
      </c>
      <c r="AJ380" s="206">
        <f t="shared" si="74"/>
        <v>0</v>
      </c>
      <c r="AK380" s="206">
        <f t="shared" si="75"/>
        <v>0</v>
      </c>
      <c r="AL380" s="206">
        <f t="shared" si="76"/>
        <v>0</v>
      </c>
      <c r="AM380" s="214">
        <f t="shared" si="77"/>
        <v>0</v>
      </c>
      <c r="AN380" s="4"/>
      <c r="AO380" s="167">
        <v>1000</v>
      </c>
      <c r="AP380" s="215">
        <v>4.1190465903477034E-3</v>
      </c>
      <c r="AQ380" s="190">
        <v>3.6114361979521672E-3</v>
      </c>
      <c r="AR380" s="190">
        <v>3.6974446579460603E-3</v>
      </c>
      <c r="AS380" s="170">
        <v>3.8704157164348107E-3</v>
      </c>
      <c r="AU380" s="216">
        <v>96.828662291168328</v>
      </c>
      <c r="AV380" s="217">
        <v>96.804835260248012</v>
      </c>
      <c r="AW380" s="217">
        <v>94.176814198033881</v>
      </c>
      <c r="AX380" s="217">
        <v>94.384460010056003</v>
      </c>
      <c r="AY380" s="217"/>
      <c r="AZ380" s="218">
        <v>0</v>
      </c>
      <c r="BA380" s="8"/>
      <c r="BB380" s="219"/>
      <c r="BC380" s="220"/>
    </row>
    <row r="381" spans="15:55" x14ac:dyDescent="0.25">
      <c r="O381" s="195">
        <v>995</v>
      </c>
      <c r="P381" s="202">
        <f t="shared" si="79"/>
        <v>0</v>
      </c>
      <c r="Q381" s="203">
        <f t="shared" si="79"/>
        <v>0</v>
      </c>
      <c r="R381" s="157">
        <f ca="1"/>
        <v>96.795014454817988</v>
      </c>
      <c r="T381" s="204">
        <v>0</v>
      </c>
      <c r="U381" s="206">
        <v>0</v>
      </c>
      <c r="V381" s="206">
        <v>0</v>
      </c>
      <c r="W381" s="206">
        <v>0</v>
      </c>
      <c r="X381" s="206">
        <f t="array" ref="X381">IF(X$78&gt;" ",(X$628:X$1078),"")</f>
        <v>0</v>
      </c>
      <c r="Y381" s="206">
        <f t="array" ref="Y381">IF(Y$78&gt;" ",(Y$628:Y$1078),"")</f>
        <v>0</v>
      </c>
      <c r="Z381" s="206">
        <f t="array" ref="Z381">IF(Z$78&gt;" ",(Z$628:Z$1078),"")</f>
        <v>0</v>
      </c>
      <c r="AA381" s="206">
        <f t="array" ref="AA381">IF(AA$78&gt;" ",(AA$628:AA$1078),"")</f>
        <v>0</v>
      </c>
      <c r="AB381" s="210">
        <v>0</v>
      </c>
      <c r="AC381" s="204">
        <f t="shared" si="67"/>
        <v>0</v>
      </c>
      <c r="AD381" s="206">
        <f t="shared" si="68"/>
        <v>0</v>
      </c>
      <c r="AE381" s="206">
        <f t="shared" si="69"/>
        <v>0</v>
      </c>
      <c r="AF381" s="206">
        <f t="shared" si="70"/>
        <v>0</v>
      </c>
      <c r="AG381" s="206">
        <f t="shared" si="71"/>
        <v>0</v>
      </c>
      <c r="AH381" s="206">
        <f t="shared" si="72"/>
        <v>0</v>
      </c>
      <c r="AI381" s="206">
        <f t="shared" si="73"/>
        <v>0</v>
      </c>
      <c r="AJ381" s="206">
        <f t="shared" si="74"/>
        <v>0</v>
      </c>
      <c r="AK381" s="206">
        <f t="shared" si="75"/>
        <v>0</v>
      </c>
      <c r="AL381" s="206">
        <f t="shared" si="76"/>
        <v>0</v>
      </c>
      <c r="AM381" s="214">
        <f t="shared" si="77"/>
        <v>0</v>
      </c>
      <c r="AN381" s="4"/>
      <c r="AO381" s="167">
        <v>995</v>
      </c>
      <c r="AP381" s="215">
        <v>4.1526067454061904E-3</v>
      </c>
      <c r="AQ381" s="190">
        <v>3.4642354311835433E-3</v>
      </c>
      <c r="AR381" s="190">
        <v>3.7801106947417864E-3</v>
      </c>
      <c r="AS381" s="170">
        <v>3.9551452439682087E-3</v>
      </c>
      <c r="AU381" s="216">
        <v>96.814029701272943</v>
      </c>
      <c r="AV381" s="217">
        <v>96.795014454817988</v>
      </c>
      <c r="AW381" s="217">
        <v>94.182618460353424</v>
      </c>
      <c r="AX381" s="217">
        <v>94.399667211757404</v>
      </c>
      <c r="AY381" s="217"/>
      <c r="AZ381" s="218">
        <v>0</v>
      </c>
      <c r="BA381" s="8"/>
      <c r="BB381" s="219"/>
      <c r="BC381" s="220"/>
    </row>
    <row r="382" spans="15:55" x14ac:dyDescent="0.25">
      <c r="O382" s="195">
        <v>990</v>
      </c>
      <c r="P382" s="202">
        <f t="shared" si="79"/>
        <v>0</v>
      </c>
      <c r="Q382" s="203">
        <f t="shared" si="79"/>
        <v>0</v>
      </c>
      <c r="R382" s="157">
        <f ca="1"/>
        <v>96.796548542573646</v>
      </c>
      <c r="T382" s="204">
        <v>0</v>
      </c>
      <c r="U382" s="206">
        <v>0</v>
      </c>
      <c r="V382" s="206">
        <v>0</v>
      </c>
      <c r="W382" s="206">
        <v>0</v>
      </c>
      <c r="X382" s="206">
        <f t="array" ref="X382">IF(X$78&gt;" ",(X$628:X$1078),"")</f>
        <v>0</v>
      </c>
      <c r="Y382" s="206">
        <f t="array" ref="Y382">IF(Y$78&gt;" ",(Y$628:Y$1078),"")</f>
        <v>0</v>
      </c>
      <c r="Z382" s="206">
        <f t="array" ref="Z382">IF(Z$78&gt;" ",(Z$628:Z$1078),"")</f>
        <v>0</v>
      </c>
      <c r="AA382" s="206">
        <f t="array" ref="AA382">IF(AA$78&gt;" ",(AA$628:AA$1078),"")</f>
        <v>0</v>
      </c>
      <c r="AB382" s="210">
        <v>0</v>
      </c>
      <c r="AC382" s="204">
        <f t="shared" si="67"/>
        <v>0</v>
      </c>
      <c r="AD382" s="206">
        <f t="shared" si="68"/>
        <v>0</v>
      </c>
      <c r="AE382" s="206">
        <f t="shared" si="69"/>
        <v>0</v>
      </c>
      <c r="AF382" s="206">
        <f t="shared" si="70"/>
        <v>0</v>
      </c>
      <c r="AG382" s="206">
        <f t="shared" si="71"/>
        <v>0</v>
      </c>
      <c r="AH382" s="206">
        <f t="shared" si="72"/>
        <v>0</v>
      </c>
      <c r="AI382" s="206">
        <f t="shared" si="73"/>
        <v>0</v>
      </c>
      <c r="AJ382" s="206">
        <f t="shared" si="74"/>
        <v>0</v>
      </c>
      <c r="AK382" s="206">
        <f t="shared" si="75"/>
        <v>0</v>
      </c>
      <c r="AL382" s="206">
        <f t="shared" si="76"/>
        <v>0</v>
      </c>
      <c r="AM382" s="214">
        <f t="shared" si="77"/>
        <v>0</v>
      </c>
      <c r="AN382" s="4"/>
      <c r="AO382" s="167">
        <v>990</v>
      </c>
      <c r="AP382" s="215">
        <v>4.0249724549081666E-3</v>
      </c>
      <c r="AQ382" s="190">
        <v>3.3170346644149189E-3</v>
      </c>
      <c r="AR382" s="190">
        <v>3.6821081973483129E-3</v>
      </c>
      <c r="AS382" s="170">
        <v>3.8527310858532029E-3</v>
      </c>
      <c r="AU382" s="216">
        <v>96.821083978387023</v>
      </c>
      <c r="AV382" s="217">
        <v>96.796548542573646</v>
      </c>
      <c r="AW382" s="217">
        <v>94.182631723634813</v>
      </c>
      <c r="AX382" s="217">
        <v>94.39891768748619</v>
      </c>
      <c r="AY382" s="217"/>
      <c r="AZ382" s="218">
        <v>0</v>
      </c>
      <c r="BA382" s="8"/>
      <c r="BB382" s="219"/>
      <c r="BC382" s="220"/>
    </row>
    <row r="383" spans="15:55" x14ac:dyDescent="0.25">
      <c r="O383" s="195">
        <v>985</v>
      </c>
      <c r="P383" s="202">
        <f t="shared" si="79"/>
        <v>0</v>
      </c>
      <c r="Q383" s="203">
        <f t="shared" si="79"/>
        <v>0</v>
      </c>
      <c r="R383" s="157">
        <f ca="1"/>
        <v>96.786976780680916</v>
      </c>
      <c r="T383" s="204">
        <v>0</v>
      </c>
      <c r="U383" s="206">
        <v>0</v>
      </c>
      <c r="V383" s="206">
        <v>0</v>
      </c>
      <c r="W383" s="206">
        <v>0</v>
      </c>
      <c r="X383" s="206">
        <f t="array" ref="X383">IF(X$78&gt;" ",(X$628:X$1078),"")</f>
        <v>0</v>
      </c>
      <c r="Y383" s="206">
        <f t="array" ref="Y383">IF(Y$78&gt;" ",(Y$628:Y$1078),"")</f>
        <v>0</v>
      </c>
      <c r="Z383" s="206">
        <f t="array" ref="Z383">IF(Z$78&gt;" ",(Z$628:Z$1078),"")</f>
        <v>0</v>
      </c>
      <c r="AA383" s="206">
        <f t="array" ref="AA383">IF(AA$78&gt;" ",(AA$628:AA$1078),"")</f>
        <v>0</v>
      </c>
      <c r="AB383" s="210">
        <v>0</v>
      </c>
      <c r="AC383" s="204">
        <f t="shared" si="67"/>
        <v>0</v>
      </c>
      <c r="AD383" s="206">
        <f t="shared" si="68"/>
        <v>0</v>
      </c>
      <c r="AE383" s="206">
        <f t="shared" si="69"/>
        <v>0</v>
      </c>
      <c r="AF383" s="206">
        <f t="shared" si="70"/>
        <v>0</v>
      </c>
      <c r="AG383" s="206">
        <f t="shared" si="71"/>
        <v>0</v>
      </c>
      <c r="AH383" s="206">
        <f t="shared" si="72"/>
        <v>0</v>
      </c>
      <c r="AI383" s="206">
        <f t="shared" si="73"/>
        <v>0</v>
      </c>
      <c r="AJ383" s="206">
        <f t="shared" si="74"/>
        <v>0</v>
      </c>
      <c r="AK383" s="206">
        <f t="shared" si="75"/>
        <v>0</v>
      </c>
      <c r="AL383" s="206">
        <f t="shared" si="76"/>
        <v>0</v>
      </c>
      <c r="AM383" s="214">
        <f t="shared" si="77"/>
        <v>0</v>
      </c>
      <c r="AN383" s="4"/>
      <c r="AO383" s="167">
        <v>985</v>
      </c>
      <c r="AP383" s="215">
        <v>3.8282359553723933E-3</v>
      </c>
      <c r="AQ383" s="190">
        <v>3.1698338976462945E-3</v>
      </c>
      <c r="AR383" s="190">
        <v>3.4603580621480989E-3</v>
      </c>
      <c r="AS383" s="170">
        <v>3.6227749242714767E-3</v>
      </c>
      <c r="AU383" s="216">
        <v>96.814666661201628</v>
      </c>
      <c r="AV383" s="217">
        <v>96.786976780680916</v>
      </c>
      <c r="AW383" s="217">
        <v>94.167855217326334</v>
      </c>
      <c r="AX383" s="217">
        <v>94.388344943996742</v>
      </c>
      <c r="AY383" s="217"/>
      <c r="AZ383" s="218">
        <v>0</v>
      </c>
      <c r="BA383" s="8"/>
      <c r="BB383" s="219"/>
      <c r="BC383" s="220"/>
    </row>
    <row r="384" spans="15:55" x14ac:dyDescent="0.25">
      <c r="O384" s="195">
        <v>980</v>
      </c>
      <c r="P384" s="202">
        <f t="shared" ref="P384:Q399" si="80">P932</f>
        <v>0</v>
      </c>
      <c r="Q384" s="203">
        <f t="shared" si="80"/>
        <v>0</v>
      </c>
      <c r="R384" s="157">
        <f ca="1"/>
        <v>96.786841461101702</v>
      </c>
      <c r="T384" s="204">
        <v>0</v>
      </c>
      <c r="U384" s="206">
        <v>0</v>
      </c>
      <c r="V384" s="206">
        <v>0</v>
      </c>
      <c r="W384" s="206">
        <v>0</v>
      </c>
      <c r="X384" s="206">
        <f t="array" ref="X384">IF(X$78&gt;" ",(X$628:X$1078),"")</f>
        <v>0</v>
      </c>
      <c r="Y384" s="206">
        <f t="array" ref="Y384">IF(Y$78&gt;" ",(Y$628:Y$1078),"")</f>
        <v>0</v>
      </c>
      <c r="Z384" s="206">
        <f t="array" ref="Z384">IF(Z$78&gt;" ",(Z$628:Z$1078),"")</f>
        <v>0</v>
      </c>
      <c r="AA384" s="206">
        <f t="array" ref="AA384">IF(AA$78&gt;" ",(AA$628:AA$1078),"")</f>
        <v>0</v>
      </c>
      <c r="AB384" s="210">
        <v>0</v>
      </c>
      <c r="AC384" s="204">
        <f t="shared" si="67"/>
        <v>0</v>
      </c>
      <c r="AD384" s="206">
        <f t="shared" si="68"/>
        <v>0</v>
      </c>
      <c r="AE384" s="206">
        <f t="shared" si="69"/>
        <v>0</v>
      </c>
      <c r="AF384" s="206">
        <f t="shared" si="70"/>
        <v>0</v>
      </c>
      <c r="AG384" s="206">
        <f t="shared" si="71"/>
        <v>0</v>
      </c>
      <c r="AH384" s="206">
        <f t="shared" si="72"/>
        <v>0</v>
      </c>
      <c r="AI384" s="206">
        <f t="shared" si="73"/>
        <v>0</v>
      </c>
      <c r="AJ384" s="206">
        <f t="shared" si="74"/>
        <v>0</v>
      </c>
      <c r="AK384" s="206">
        <f t="shared" si="75"/>
        <v>0</v>
      </c>
      <c r="AL384" s="206">
        <f t="shared" si="76"/>
        <v>0</v>
      </c>
      <c r="AM384" s="214">
        <f t="shared" si="77"/>
        <v>0</v>
      </c>
      <c r="AN384" s="4"/>
      <c r="AO384" s="167">
        <v>980</v>
      </c>
      <c r="AP384" s="215">
        <v>3.6314994558366205E-3</v>
      </c>
      <c r="AQ384" s="190">
        <v>3.0226331308776709E-3</v>
      </c>
      <c r="AR384" s="190">
        <v>3.0405413095887829E-3</v>
      </c>
      <c r="AS384" s="170">
        <v>3.1866473099598685E-3</v>
      </c>
      <c r="AU384" s="216">
        <v>96.795618184305326</v>
      </c>
      <c r="AV384" s="217">
        <v>96.786841461101702</v>
      </c>
      <c r="AW384" s="217">
        <v>94.161157464060196</v>
      </c>
      <c r="AX384" s="217">
        <v>94.372483420776902</v>
      </c>
      <c r="AY384" s="217"/>
      <c r="AZ384" s="218">
        <v>0</v>
      </c>
      <c r="BA384" s="8"/>
      <c r="BB384" s="219"/>
      <c r="BC384" s="220"/>
    </row>
    <row r="385" spans="15:55" x14ac:dyDescent="0.25">
      <c r="O385" s="195">
        <v>975</v>
      </c>
      <c r="P385" s="202">
        <f t="shared" si="80"/>
        <v>0</v>
      </c>
      <c r="Q385" s="203">
        <f t="shared" si="80"/>
        <v>0</v>
      </c>
      <c r="R385" s="157">
        <f ca="1"/>
        <v>96.799306061631526</v>
      </c>
      <c r="T385" s="204">
        <v>0</v>
      </c>
      <c r="U385" s="206">
        <v>0</v>
      </c>
      <c r="V385" s="206">
        <v>0</v>
      </c>
      <c r="W385" s="206">
        <v>0</v>
      </c>
      <c r="X385" s="206">
        <f t="array" ref="X385">IF(X$78&gt;" ",(X$628:X$1078),"")</f>
        <v>0</v>
      </c>
      <c r="Y385" s="206">
        <f t="array" ref="Y385">IF(Y$78&gt;" ",(Y$628:Y$1078),"")</f>
        <v>0</v>
      </c>
      <c r="Z385" s="206">
        <f t="array" ref="Z385">IF(Z$78&gt;" ",(Z$628:Z$1078),"")</f>
        <v>0</v>
      </c>
      <c r="AA385" s="206">
        <f t="array" ref="AA385">IF(AA$78&gt;" ",(AA$628:AA$1078),"")</f>
        <v>0</v>
      </c>
      <c r="AB385" s="210">
        <v>0</v>
      </c>
      <c r="AC385" s="204">
        <f t="shared" si="67"/>
        <v>0</v>
      </c>
      <c r="AD385" s="206">
        <f t="shared" si="68"/>
        <v>0</v>
      </c>
      <c r="AE385" s="206">
        <f t="shared" si="69"/>
        <v>0</v>
      </c>
      <c r="AF385" s="206">
        <f t="shared" si="70"/>
        <v>0</v>
      </c>
      <c r="AG385" s="206">
        <f t="shared" si="71"/>
        <v>0</v>
      </c>
      <c r="AH385" s="206">
        <f t="shared" si="72"/>
        <v>0</v>
      </c>
      <c r="AI385" s="206">
        <f t="shared" si="73"/>
        <v>0</v>
      </c>
      <c r="AJ385" s="206">
        <f t="shared" si="74"/>
        <v>0</v>
      </c>
      <c r="AK385" s="206">
        <f t="shared" si="75"/>
        <v>0</v>
      </c>
      <c r="AL385" s="206">
        <f t="shared" si="76"/>
        <v>0</v>
      </c>
      <c r="AM385" s="214">
        <f t="shared" si="77"/>
        <v>0</v>
      </c>
      <c r="AN385" s="4"/>
      <c r="AO385" s="167">
        <v>975</v>
      </c>
      <c r="AP385" s="215">
        <v>3.4146136506062832E-3</v>
      </c>
      <c r="AQ385" s="190">
        <v>2.8754323641090465E-3</v>
      </c>
      <c r="AR385" s="190">
        <v>2.9660714796043118E-3</v>
      </c>
      <c r="AS385" s="170">
        <v>3.1080178606967082E-3</v>
      </c>
      <c r="AU385" s="216">
        <v>96.798891522365366</v>
      </c>
      <c r="AV385" s="217">
        <v>96.799306061631526</v>
      </c>
      <c r="AW385" s="217">
        <v>94.162799358853931</v>
      </c>
      <c r="AX385" s="217">
        <v>94.386723153259936</v>
      </c>
      <c r="AY385" s="217"/>
      <c r="AZ385" s="218">
        <v>0</v>
      </c>
      <c r="BA385" s="8"/>
      <c r="BB385" s="219"/>
      <c r="BC385" s="220"/>
    </row>
    <row r="386" spans="15:55" x14ac:dyDescent="0.25">
      <c r="O386" s="195">
        <v>970</v>
      </c>
      <c r="P386" s="202">
        <f t="shared" si="80"/>
        <v>0</v>
      </c>
      <c r="Q386" s="203">
        <f t="shared" si="80"/>
        <v>0</v>
      </c>
      <c r="R386" s="157">
        <f ca="1"/>
        <v>96.785239533175243</v>
      </c>
      <c r="T386" s="204">
        <v>0</v>
      </c>
      <c r="U386" s="206">
        <v>0</v>
      </c>
      <c r="V386" s="206">
        <v>0</v>
      </c>
      <c r="W386" s="206">
        <v>0</v>
      </c>
      <c r="X386" s="206">
        <f t="array" ref="X386">IF(X$78&gt;" ",(X$628:X$1078),"")</f>
        <v>0</v>
      </c>
      <c r="Y386" s="206">
        <f t="array" ref="Y386">IF(Y$78&gt;" ",(Y$628:Y$1078),"")</f>
        <v>0</v>
      </c>
      <c r="Z386" s="206">
        <f t="array" ref="Z386">IF(Z$78&gt;" ",(Z$628:Z$1078),"")</f>
        <v>0</v>
      </c>
      <c r="AA386" s="206">
        <f t="array" ref="AA386">IF(AA$78&gt;" ",(AA$628:AA$1078),"")</f>
        <v>0</v>
      </c>
      <c r="AB386" s="210">
        <v>0</v>
      </c>
      <c r="AC386" s="204">
        <f t="shared" si="67"/>
        <v>0</v>
      </c>
      <c r="AD386" s="206">
        <f t="shared" si="68"/>
        <v>0</v>
      </c>
      <c r="AE386" s="206">
        <f t="shared" si="69"/>
        <v>0</v>
      </c>
      <c r="AF386" s="206">
        <f t="shared" si="70"/>
        <v>0</v>
      </c>
      <c r="AG386" s="206">
        <f t="shared" si="71"/>
        <v>0</v>
      </c>
      <c r="AH386" s="206">
        <f t="shared" si="72"/>
        <v>0</v>
      </c>
      <c r="AI386" s="206">
        <f t="shared" si="73"/>
        <v>0</v>
      </c>
      <c r="AJ386" s="206">
        <f t="shared" si="74"/>
        <v>0</v>
      </c>
      <c r="AK386" s="206">
        <f t="shared" si="75"/>
        <v>0</v>
      </c>
      <c r="AL386" s="206">
        <f t="shared" si="76"/>
        <v>0</v>
      </c>
      <c r="AM386" s="214">
        <f t="shared" si="77"/>
        <v>0</v>
      </c>
      <c r="AN386" s="4"/>
      <c r="AO386" s="167">
        <v>970</v>
      </c>
      <c r="AP386" s="215">
        <v>3.1976617820785869E-3</v>
      </c>
      <c r="AQ386" s="190">
        <v>2.7282315973404226E-3</v>
      </c>
      <c r="AR386" s="190">
        <v>3.1910397573561844E-3</v>
      </c>
      <c r="AS386" s="170">
        <v>3.3404364391948615E-3</v>
      </c>
      <c r="AU386" s="216">
        <v>96.795662664524343</v>
      </c>
      <c r="AV386" s="217">
        <v>96.785239533175243</v>
      </c>
      <c r="AW386" s="217">
        <v>94.181091289481898</v>
      </c>
      <c r="AX386" s="217">
        <v>94.400999719059527</v>
      </c>
      <c r="AY386" s="217"/>
      <c r="AZ386" s="218">
        <v>0</v>
      </c>
      <c r="BA386" s="8"/>
      <c r="BB386" s="219"/>
      <c r="BC386" s="220"/>
    </row>
    <row r="387" spans="15:55" x14ac:dyDescent="0.25">
      <c r="O387" s="195">
        <v>965</v>
      </c>
      <c r="P387" s="202">
        <f t="shared" si="80"/>
        <v>0</v>
      </c>
      <c r="Q387" s="203">
        <f t="shared" si="80"/>
        <v>0</v>
      </c>
      <c r="R387" s="157">
        <f ca="1"/>
        <v>96.781760876790258</v>
      </c>
      <c r="T387" s="204">
        <v>0</v>
      </c>
      <c r="U387" s="206">
        <v>0</v>
      </c>
      <c r="V387" s="206">
        <v>0</v>
      </c>
      <c r="W387" s="206">
        <v>0</v>
      </c>
      <c r="X387" s="206">
        <f t="array" ref="X387">IF(X$78&gt;" ",(X$628:X$1078),"")</f>
        <v>0</v>
      </c>
      <c r="Y387" s="206">
        <f t="array" ref="Y387">IF(Y$78&gt;" ",(Y$628:Y$1078),"")</f>
        <v>0</v>
      </c>
      <c r="Z387" s="206">
        <f t="array" ref="Z387">IF(Z$78&gt;" ",(Z$628:Z$1078),"")</f>
        <v>0</v>
      </c>
      <c r="AA387" s="206">
        <f t="array" ref="AA387">IF(AA$78&gt;" ",(AA$628:AA$1078),"")</f>
        <v>0</v>
      </c>
      <c r="AB387" s="210">
        <v>0</v>
      </c>
      <c r="AC387" s="204">
        <f t="shared" si="67"/>
        <v>0</v>
      </c>
      <c r="AD387" s="206">
        <f t="shared" si="68"/>
        <v>0</v>
      </c>
      <c r="AE387" s="206">
        <f t="shared" si="69"/>
        <v>0</v>
      </c>
      <c r="AF387" s="206">
        <f t="shared" si="70"/>
        <v>0</v>
      </c>
      <c r="AG387" s="206">
        <f t="shared" si="71"/>
        <v>0</v>
      </c>
      <c r="AH387" s="206">
        <f t="shared" si="72"/>
        <v>0</v>
      </c>
      <c r="AI387" s="206">
        <f t="shared" si="73"/>
        <v>0</v>
      </c>
      <c r="AJ387" s="206">
        <f t="shared" si="74"/>
        <v>0</v>
      </c>
      <c r="AK387" s="206">
        <f t="shared" si="75"/>
        <v>0</v>
      </c>
      <c r="AL387" s="206">
        <f t="shared" si="76"/>
        <v>0</v>
      </c>
      <c r="AM387" s="214">
        <f t="shared" si="77"/>
        <v>0</v>
      </c>
      <c r="AN387" s="4"/>
      <c r="AO387" s="167">
        <v>965</v>
      </c>
      <c r="AP387" s="215">
        <v>2.98077597684825E-3</v>
      </c>
      <c r="AQ387" s="190">
        <v>2.5810308305717982E-3</v>
      </c>
      <c r="AR387" s="190">
        <v>2.5329798890194044E-3</v>
      </c>
      <c r="AS387" s="170">
        <v>2.6565561046782635E-3</v>
      </c>
      <c r="AU387" s="216">
        <v>96.802777437458602</v>
      </c>
      <c r="AV387" s="217">
        <v>96.781760876790258</v>
      </c>
      <c r="AW387" s="217">
        <v>94.205456894687117</v>
      </c>
      <c r="AX387" s="217">
        <v>94.424627796181824</v>
      </c>
      <c r="AY387" s="217"/>
      <c r="AZ387" s="218">
        <v>0</v>
      </c>
      <c r="BA387" s="8"/>
      <c r="BB387" s="219"/>
      <c r="BC387" s="220"/>
    </row>
    <row r="388" spans="15:55" x14ac:dyDescent="0.25">
      <c r="O388" s="195">
        <v>960</v>
      </c>
      <c r="P388" s="202">
        <f t="shared" si="80"/>
        <v>0</v>
      </c>
      <c r="Q388" s="203">
        <f t="shared" si="80"/>
        <v>0</v>
      </c>
      <c r="R388" s="157">
        <f ca="1"/>
        <v>96.793006239207998</v>
      </c>
      <c r="T388" s="204">
        <v>0</v>
      </c>
      <c r="U388" s="206">
        <v>0</v>
      </c>
      <c r="V388" s="206">
        <v>0</v>
      </c>
      <c r="W388" s="206">
        <v>0</v>
      </c>
      <c r="X388" s="206">
        <f t="array" ref="X388">IF(X$78&gt;" ",(X$628:X$1078),"")</f>
        <v>0</v>
      </c>
      <c r="Y388" s="206">
        <f t="array" ref="Y388">IF(Y$78&gt;" ",(Y$628:Y$1078),"")</f>
        <v>0</v>
      </c>
      <c r="Z388" s="206">
        <f t="array" ref="Z388">IF(Z$78&gt;" ",(Z$628:Z$1078),"")</f>
        <v>0</v>
      </c>
      <c r="AA388" s="206">
        <f t="array" ref="AA388">IF(AA$78&gt;" ",(AA$628:AA$1078),"")</f>
        <v>0</v>
      </c>
      <c r="AB388" s="210">
        <v>0</v>
      </c>
      <c r="AC388" s="204">
        <f t="shared" si="67"/>
        <v>0</v>
      </c>
      <c r="AD388" s="206">
        <f t="shared" si="68"/>
        <v>0</v>
      </c>
      <c r="AE388" s="206">
        <f t="shared" si="69"/>
        <v>0</v>
      </c>
      <c r="AF388" s="206">
        <f t="shared" si="70"/>
        <v>0</v>
      </c>
      <c r="AG388" s="206">
        <f t="shared" si="71"/>
        <v>0</v>
      </c>
      <c r="AH388" s="206">
        <f t="shared" si="72"/>
        <v>0</v>
      </c>
      <c r="AI388" s="206">
        <f t="shared" si="73"/>
        <v>0</v>
      </c>
      <c r="AJ388" s="206">
        <f t="shared" si="74"/>
        <v>0</v>
      </c>
      <c r="AK388" s="206">
        <f t="shared" si="75"/>
        <v>0</v>
      </c>
      <c r="AL388" s="206">
        <f t="shared" si="76"/>
        <v>0</v>
      </c>
      <c r="AM388" s="214">
        <f t="shared" si="77"/>
        <v>0</v>
      </c>
      <c r="AN388" s="4"/>
      <c r="AO388" s="167">
        <v>960</v>
      </c>
      <c r="AP388" s="215">
        <v>2.6314332604126661E-3</v>
      </c>
      <c r="AQ388" s="190">
        <v>2.4338300638031747E-3</v>
      </c>
      <c r="AR388" s="190">
        <v>2.1152247590322439E-3</v>
      </c>
      <c r="AS388" s="170">
        <v>2.2209321665541066E-3</v>
      </c>
      <c r="AU388" s="216">
        <v>96.796121879397205</v>
      </c>
      <c r="AV388" s="217">
        <v>96.793006239207998</v>
      </c>
      <c r="AW388" s="217">
        <v>94.228784820443551</v>
      </c>
      <c r="AX388" s="217">
        <v>94.448881827620653</v>
      </c>
      <c r="AY388" s="217"/>
      <c r="AZ388" s="218">
        <v>0</v>
      </c>
      <c r="BA388" s="8"/>
      <c r="BB388" s="219"/>
      <c r="BC388" s="220"/>
    </row>
    <row r="389" spans="15:55" x14ac:dyDescent="0.25">
      <c r="O389" s="195">
        <v>955</v>
      </c>
      <c r="P389" s="202">
        <f t="shared" si="80"/>
        <v>0</v>
      </c>
      <c r="Q389" s="203">
        <f t="shared" si="80"/>
        <v>0</v>
      </c>
      <c r="R389" s="157">
        <f ca="1"/>
        <v>96.791621445347872</v>
      </c>
      <c r="T389" s="204">
        <v>0</v>
      </c>
      <c r="U389" s="206">
        <v>0</v>
      </c>
      <c r="V389" s="206">
        <v>0</v>
      </c>
      <c r="W389" s="206">
        <v>0</v>
      </c>
      <c r="X389" s="206">
        <f t="array" ref="X389">IF(X$78&gt;" ",(X$628:X$1078),"")</f>
        <v>0</v>
      </c>
      <c r="Y389" s="206">
        <f t="array" ref="Y389">IF(Y$78&gt;" ",(Y$628:Y$1078),"")</f>
        <v>0</v>
      </c>
      <c r="Z389" s="206">
        <f t="array" ref="Z389">IF(Z$78&gt;" ",(Z$628:Z$1078),"")</f>
        <v>0</v>
      </c>
      <c r="AA389" s="206">
        <f t="array" ref="AA389">IF(AA$78&gt;" ",(AA$628:AA$1078),"")</f>
        <v>0</v>
      </c>
      <c r="AB389" s="210">
        <v>0</v>
      </c>
      <c r="AC389" s="204">
        <f t="shared" si="67"/>
        <v>0</v>
      </c>
      <c r="AD389" s="206">
        <f t="shared" si="68"/>
        <v>0</v>
      </c>
      <c r="AE389" s="206">
        <f t="shared" si="69"/>
        <v>0</v>
      </c>
      <c r="AF389" s="206">
        <f t="shared" si="70"/>
        <v>0</v>
      </c>
      <c r="AG389" s="206">
        <f t="shared" si="71"/>
        <v>0</v>
      </c>
      <c r="AH389" s="206">
        <f t="shared" si="72"/>
        <v>0</v>
      </c>
      <c r="AI389" s="206">
        <f t="shared" si="73"/>
        <v>0</v>
      </c>
      <c r="AJ389" s="206">
        <f t="shared" si="74"/>
        <v>0</v>
      </c>
      <c r="AK389" s="206">
        <f t="shared" si="75"/>
        <v>0</v>
      </c>
      <c r="AL389" s="206">
        <f t="shared" si="76"/>
        <v>0</v>
      </c>
      <c r="AM389" s="214">
        <f t="shared" si="77"/>
        <v>0</v>
      </c>
      <c r="AN389" s="4"/>
      <c r="AO389" s="167">
        <v>955</v>
      </c>
      <c r="AP389" s="215">
        <v>2.2820905439770822E-3</v>
      </c>
      <c r="AQ389" s="190">
        <v>2.2866292970345507E-3</v>
      </c>
      <c r="AR389" s="190">
        <v>1.7155213974207927E-3</v>
      </c>
      <c r="AS389" s="170">
        <v>1.8022653267407947E-3</v>
      </c>
      <c r="AU389" s="216">
        <v>96.800557648181623</v>
      </c>
      <c r="AV389" s="217">
        <v>96.791621445347872</v>
      </c>
      <c r="AW389" s="217">
        <v>94.241277283185752</v>
      </c>
      <c r="AX389" s="217">
        <v>94.460412366214982</v>
      </c>
      <c r="AY389" s="217"/>
      <c r="AZ389" s="218">
        <v>0</v>
      </c>
      <c r="BA389" s="8"/>
      <c r="BB389" s="219"/>
      <c r="BC389" s="220"/>
    </row>
    <row r="390" spans="15:55" x14ac:dyDescent="0.25">
      <c r="O390" s="195">
        <v>950</v>
      </c>
      <c r="P390" s="202">
        <f t="shared" si="80"/>
        <v>0</v>
      </c>
      <c r="Q390" s="203">
        <f t="shared" si="80"/>
        <v>0</v>
      </c>
      <c r="R390" s="157">
        <f ca="1"/>
        <v>96.791298326548898</v>
      </c>
      <c r="T390" s="204">
        <v>0</v>
      </c>
      <c r="U390" s="206">
        <v>0</v>
      </c>
      <c r="V390" s="206">
        <v>0</v>
      </c>
      <c r="W390" s="206">
        <v>0</v>
      </c>
      <c r="X390" s="206">
        <f t="array" ref="X390">IF(X$78&gt;" ",(X$628:X$1078),"")</f>
        <v>0</v>
      </c>
      <c r="Y390" s="206">
        <f t="array" ref="Y390">IF(Y$78&gt;" ",(Y$628:Y$1078),"")</f>
        <v>0</v>
      </c>
      <c r="Z390" s="206">
        <f t="array" ref="Z390">IF(Z$78&gt;" ",(Z$628:Z$1078),"")</f>
        <v>0</v>
      </c>
      <c r="AA390" s="206">
        <f t="array" ref="AA390">IF(AA$78&gt;" ",(AA$628:AA$1078),"")</f>
        <v>0</v>
      </c>
      <c r="AB390" s="210">
        <v>0</v>
      </c>
      <c r="AC390" s="204">
        <f t="shared" si="67"/>
        <v>0</v>
      </c>
      <c r="AD390" s="206">
        <f t="shared" si="68"/>
        <v>0</v>
      </c>
      <c r="AE390" s="206">
        <f t="shared" si="69"/>
        <v>0</v>
      </c>
      <c r="AF390" s="206">
        <f t="shared" si="70"/>
        <v>0</v>
      </c>
      <c r="AG390" s="206">
        <f t="shared" si="71"/>
        <v>0</v>
      </c>
      <c r="AH390" s="206">
        <f t="shared" si="72"/>
        <v>0</v>
      </c>
      <c r="AI390" s="206">
        <f t="shared" si="73"/>
        <v>0</v>
      </c>
      <c r="AJ390" s="206">
        <f t="shared" si="74"/>
        <v>0</v>
      </c>
      <c r="AK390" s="206">
        <f t="shared" si="75"/>
        <v>0</v>
      </c>
      <c r="AL390" s="206">
        <f t="shared" si="76"/>
        <v>0</v>
      </c>
      <c r="AM390" s="214">
        <f t="shared" si="77"/>
        <v>0</v>
      </c>
      <c r="AN390" s="4"/>
      <c r="AO390" s="167">
        <v>950</v>
      </c>
      <c r="AP390" s="215">
        <v>1.932681764244139E-3</v>
      </c>
      <c r="AQ390" s="190">
        <v>2.1394285302659267E-3</v>
      </c>
      <c r="AR390" s="190">
        <v>7.4047448774565753E-4</v>
      </c>
      <c r="AS390" s="170">
        <v>7.8036230642384934E-4</v>
      </c>
      <c r="AU390" s="216">
        <v>96.799560537054859</v>
      </c>
      <c r="AV390" s="217">
        <v>96.791298326548898</v>
      </c>
      <c r="AW390" s="217">
        <v>94.254807581137641</v>
      </c>
      <c r="AX390" s="217">
        <v>94.475104140389405</v>
      </c>
      <c r="AY390" s="217"/>
      <c r="AZ390" s="218">
        <v>0</v>
      </c>
      <c r="BA390" s="8"/>
      <c r="BB390" s="219"/>
      <c r="BC390" s="220"/>
    </row>
    <row r="391" spans="15:55" x14ac:dyDescent="0.25">
      <c r="O391" s="195">
        <v>945</v>
      </c>
      <c r="P391" s="202">
        <f t="shared" si="80"/>
        <v>0</v>
      </c>
      <c r="Q391" s="203">
        <f t="shared" si="80"/>
        <v>0</v>
      </c>
      <c r="R391" s="157">
        <f ca="1"/>
        <v>96.792742514728502</v>
      </c>
      <c r="T391" s="204">
        <v>0</v>
      </c>
      <c r="U391" s="206">
        <v>0</v>
      </c>
      <c r="V391" s="206">
        <v>0</v>
      </c>
      <c r="W391" s="206">
        <v>0</v>
      </c>
      <c r="X391" s="206">
        <f t="array" ref="X391">IF(X$78&gt;" ",(X$628:X$1078),"")</f>
        <v>0</v>
      </c>
      <c r="Y391" s="206">
        <f t="array" ref="Y391">IF(Y$78&gt;" ",(Y$628:Y$1078),"")</f>
        <v>0</v>
      </c>
      <c r="Z391" s="206">
        <f t="array" ref="Z391">IF(Z$78&gt;" ",(Z$628:Z$1078),"")</f>
        <v>0</v>
      </c>
      <c r="AA391" s="206">
        <f t="array" ref="AA391">IF(AA$78&gt;" ",(AA$628:AA$1078),"")</f>
        <v>0</v>
      </c>
      <c r="AB391" s="210">
        <v>0</v>
      </c>
      <c r="AC391" s="204">
        <f t="shared" si="67"/>
        <v>0</v>
      </c>
      <c r="AD391" s="206">
        <f t="shared" si="68"/>
        <v>0</v>
      </c>
      <c r="AE391" s="206">
        <f t="shared" si="69"/>
        <v>0</v>
      </c>
      <c r="AF391" s="206">
        <f t="shared" si="70"/>
        <v>0</v>
      </c>
      <c r="AG391" s="206">
        <f t="shared" si="71"/>
        <v>0</v>
      </c>
      <c r="AH391" s="206">
        <f t="shared" si="72"/>
        <v>0</v>
      </c>
      <c r="AI391" s="206">
        <f t="shared" si="73"/>
        <v>0</v>
      </c>
      <c r="AJ391" s="206">
        <f t="shared" si="74"/>
        <v>0</v>
      </c>
      <c r="AK391" s="206">
        <f t="shared" si="75"/>
        <v>0</v>
      </c>
      <c r="AL391" s="206">
        <f t="shared" si="76"/>
        <v>0</v>
      </c>
      <c r="AM391" s="214">
        <f t="shared" si="77"/>
        <v>0</v>
      </c>
      <c r="AN391" s="4"/>
      <c r="AO391" s="167">
        <v>945</v>
      </c>
      <c r="AP391" s="215">
        <v>1.707934426628054E-3</v>
      </c>
      <c r="AQ391" s="190">
        <v>2.3286494982462831E-3</v>
      </c>
      <c r="AR391" s="190">
        <v>1.8514879202283616E-3</v>
      </c>
      <c r="AS391" s="170">
        <v>1.943574479331172E-3</v>
      </c>
      <c r="AU391" s="216">
        <v>96.797278371279091</v>
      </c>
      <c r="AV391" s="217">
        <v>96.792742514728502</v>
      </c>
      <c r="AW391" s="217">
        <v>94.278942924487637</v>
      </c>
      <c r="AX391" s="217">
        <v>94.495508633837588</v>
      </c>
      <c r="AY391" s="217"/>
      <c r="AZ391" s="218">
        <v>0</v>
      </c>
      <c r="BA391" s="8"/>
      <c r="BB391" s="219"/>
      <c r="BC391" s="220"/>
    </row>
    <row r="392" spans="15:55" x14ac:dyDescent="0.25">
      <c r="O392" s="195">
        <v>940</v>
      </c>
      <c r="P392" s="202">
        <f t="shared" si="80"/>
        <v>0</v>
      </c>
      <c r="Q392" s="203">
        <f t="shared" si="80"/>
        <v>0</v>
      </c>
      <c r="R392" s="157">
        <f ca="1"/>
        <v>96.806225286335362</v>
      </c>
      <c r="T392" s="204">
        <v>0</v>
      </c>
      <c r="U392" s="206">
        <v>0</v>
      </c>
      <c r="V392" s="206">
        <v>0</v>
      </c>
      <c r="W392" s="206">
        <v>0</v>
      </c>
      <c r="X392" s="206">
        <f t="array" ref="X392">IF(X$78&gt;" ",(X$628:X$1078),"")</f>
        <v>0</v>
      </c>
      <c r="Y392" s="206">
        <f t="array" ref="Y392">IF(Y$78&gt;" ",(Y$628:Y$1078),"")</f>
        <v>0</v>
      </c>
      <c r="Z392" s="206">
        <f t="array" ref="Z392">IF(Z$78&gt;" ",(Z$628:Z$1078),"")</f>
        <v>0</v>
      </c>
      <c r="AA392" s="206">
        <f t="array" ref="AA392">IF(AA$78&gt;" ",(AA$628:AA$1078),"")</f>
        <v>0</v>
      </c>
      <c r="AB392" s="210">
        <v>0</v>
      </c>
      <c r="AC392" s="204">
        <f t="shared" si="67"/>
        <v>0</v>
      </c>
      <c r="AD392" s="206">
        <f t="shared" si="68"/>
        <v>0</v>
      </c>
      <c r="AE392" s="206">
        <f t="shared" si="69"/>
        <v>0</v>
      </c>
      <c r="AF392" s="206">
        <f t="shared" si="70"/>
        <v>0</v>
      </c>
      <c r="AG392" s="206">
        <f t="shared" si="71"/>
        <v>0</v>
      </c>
      <c r="AH392" s="206">
        <f t="shared" si="72"/>
        <v>0</v>
      </c>
      <c r="AI392" s="206">
        <f t="shared" si="73"/>
        <v>0</v>
      </c>
      <c r="AJ392" s="206">
        <f t="shared" si="74"/>
        <v>0</v>
      </c>
      <c r="AK392" s="206">
        <f t="shared" si="75"/>
        <v>0</v>
      </c>
      <c r="AL392" s="206">
        <f t="shared" si="76"/>
        <v>0</v>
      </c>
      <c r="AM392" s="214">
        <f t="shared" si="77"/>
        <v>0</v>
      </c>
      <c r="AN392" s="4"/>
      <c r="AO392" s="167">
        <v>940</v>
      </c>
      <c r="AP392" s="215">
        <v>1.5661625904951565E-3</v>
      </c>
      <c r="AQ392" s="190">
        <v>2.5178704662266399E-3</v>
      </c>
      <c r="AR392" s="190">
        <v>2.3724247457780705E-3</v>
      </c>
      <c r="AS392" s="170">
        <v>2.4854181289866305E-3</v>
      </c>
      <c r="AU392" s="216">
        <v>96.806381905871106</v>
      </c>
      <c r="AV392" s="217">
        <v>96.806225286335362</v>
      </c>
      <c r="AW392" s="217">
        <v>94.298627951865114</v>
      </c>
      <c r="AX392" s="217">
        <v>94.517972430689255</v>
      </c>
      <c r="AY392" s="217"/>
      <c r="AZ392" s="218">
        <v>0</v>
      </c>
      <c r="BA392" s="8"/>
      <c r="BB392" s="219"/>
      <c r="BC392" s="220"/>
    </row>
    <row r="393" spans="15:55" x14ac:dyDescent="0.25">
      <c r="O393" s="195">
        <v>935</v>
      </c>
      <c r="P393" s="202">
        <f t="shared" si="80"/>
        <v>0</v>
      </c>
      <c r="Q393" s="203">
        <f t="shared" si="80"/>
        <v>0</v>
      </c>
      <c r="R393" s="157">
        <f ca="1"/>
        <v>96.79955430040259</v>
      </c>
      <c r="T393" s="204">
        <v>0</v>
      </c>
      <c r="U393" s="206">
        <v>0</v>
      </c>
      <c r="V393" s="206">
        <v>0</v>
      </c>
      <c r="W393" s="206">
        <v>0</v>
      </c>
      <c r="X393" s="206">
        <f t="array" ref="X393">IF(X$78&gt;" ",(X$628:X$1078),"")</f>
        <v>0</v>
      </c>
      <c r="Y393" s="206">
        <f t="array" ref="Y393">IF(Y$78&gt;" ",(Y$628:Y$1078),"")</f>
        <v>0</v>
      </c>
      <c r="Z393" s="206">
        <f t="array" ref="Z393">IF(Z$78&gt;" ",(Z$628:Z$1078),"")</f>
        <v>0</v>
      </c>
      <c r="AA393" s="206">
        <f t="array" ref="AA393">IF(AA$78&gt;" ",(AA$628:AA$1078),"")</f>
        <v>0</v>
      </c>
      <c r="AB393" s="210">
        <v>0</v>
      </c>
      <c r="AC393" s="204">
        <f t="shared" si="67"/>
        <v>0</v>
      </c>
      <c r="AD393" s="206">
        <f t="shared" si="68"/>
        <v>0</v>
      </c>
      <c r="AE393" s="206">
        <f t="shared" si="69"/>
        <v>0</v>
      </c>
      <c r="AF393" s="206">
        <f t="shared" si="70"/>
        <v>0</v>
      </c>
      <c r="AG393" s="206">
        <f t="shared" si="71"/>
        <v>0</v>
      </c>
      <c r="AH393" s="206">
        <f t="shared" si="72"/>
        <v>0</v>
      </c>
      <c r="AI393" s="206">
        <f t="shared" si="73"/>
        <v>0</v>
      </c>
      <c r="AJ393" s="206">
        <f t="shared" si="74"/>
        <v>0</v>
      </c>
      <c r="AK393" s="206">
        <f t="shared" si="75"/>
        <v>0</v>
      </c>
      <c r="AL393" s="206">
        <f t="shared" si="76"/>
        <v>0</v>
      </c>
      <c r="AM393" s="214">
        <f t="shared" si="77"/>
        <v>0</v>
      </c>
      <c r="AN393" s="4"/>
      <c r="AO393" s="167">
        <v>935</v>
      </c>
      <c r="AP393" s="215">
        <v>1.7150031994454915E-3</v>
      </c>
      <c r="AQ393" s="190">
        <v>2.7070914342069968E-3</v>
      </c>
      <c r="AR393" s="190">
        <v>1.261310746340627E-3</v>
      </c>
      <c r="AS393" s="170">
        <v>1.3257876534122914E-3</v>
      </c>
      <c r="AU393" s="216">
        <v>96.79054245027244</v>
      </c>
      <c r="AV393" s="217">
        <v>96.79955430040259</v>
      </c>
      <c r="AW393" s="217">
        <v>94.318459044150089</v>
      </c>
      <c r="AX393" s="217">
        <v>94.535421258044494</v>
      </c>
      <c r="AY393" s="217"/>
      <c r="AZ393" s="218">
        <v>0</v>
      </c>
      <c r="BA393" s="8"/>
      <c r="BB393" s="219"/>
      <c r="BC393" s="220"/>
    </row>
    <row r="394" spans="15:55" x14ac:dyDescent="0.25">
      <c r="O394" s="195">
        <v>930</v>
      </c>
      <c r="P394" s="202">
        <f t="shared" si="80"/>
        <v>0</v>
      </c>
      <c r="Q394" s="203">
        <f t="shared" si="80"/>
        <v>0</v>
      </c>
      <c r="R394" s="157">
        <f ca="1"/>
        <v>96.792385805268722</v>
      </c>
      <c r="T394" s="204">
        <v>0</v>
      </c>
      <c r="U394" s="206">
        <v>0</v>
      </c>
      <c r="V394" s="206">
        <v>0</v>
      </c>
      <c r="W394" s="206">
        <v>0</v>
      </c>
      <c r="X394" s="206">
        <f t="array" ref="X394">IF(X$78&gt;" ",(X$628:X$1078),"")</f>
        <v>0</v>
      </c>
      <c r="Y394" s="206">
        <f t="array" ref="Y394">IF(Y$78&gt;" ",(Y$628:Y$1078),"")</f>
        <v>0</v>
      </c>
      <c r="Z394" s="206">
        <f t="array" ref="Z394">IF(Z$78&gt;" ",(Z$628:Z$1078),"")</f>
        <v>0</v>
      </c>
      <c r="AA394" s="206">
        <f t="array" ref="AA394">IF(AA$78&gt;" ",(AA$628:AA$1078),"")</f>
        <v>0</v>
      </c>
      <c r="AB394" s="210">
        <v>0</v>
      </c>
      <c r="AC394" s="204">
        <f t="shared" si="67"/>
        <v>0</v>
      </c>
      <c r="AD394" s="206">
        <f t="shared" si="68"/>
        <v>0</v>
      </c>
      <c r="AE394" s="206">
        <f t="shared" si="69"/>
        <v>0</v>
      </c>
      <c r="AF394" s="206">
        <f t="shared" si="70"/>
        <v>0</v>
      </c>
      <c r="AG394" s="206">
        <f t="shared" si="71"/>
        <v>0</v>
      </c>
      <c r="AH394" s="206">
        <f t="shared" si="72"/>
        <v>0</v>
      </c>
      <c r="AI394" s="206">
        <f t="shared" si="73"/>
        <v>0</v>
      </c>
      <c r="AJ394" s="206">
        <f t="shared" si="74"/>
        <v>0</v>
      </c>
      <c r="AK394" s="206">
        <f t="shared" si="75"/>
        <v>0</v>
      </c>
      <c r="AL394" s="206">
        <f t="shared" si="76"/>
        <v>0</v>
      </c>
      <c r="AM394" s="214">
        <f t="shared" si="77"/>
        <v>0</v>
      </c>
      <c r="AN394" s="4"/>
      <c r="AO394" s="167">
        <v>930</v>
      </c>
      <c r="AP394" s="215">
        <v>2.2996633810746362E-3</v>
      </c>
      <c r="AQ394" s="190">
        <v>2.8963124021873527E-3</v>
      </c>
      <c r="AR394" s="190">
        <v>2.1727490571431386E-3</v>
      </c>
      <c r="AS394" s="170">
        <v>2.2765604032570115E-3</v>
      </c>
      <c r="AU394" s="216">
        <v>96.788674057499449</v>
      </c>
      <c r="AV394" s="217">
        <v>96.792385805268722</v>
      </c>
      <c r="AW394" s="217">
        <v>94.332105589348615</v>
      </c>
      <c r="AX394" s="217">
        <v>94.558565998978494</v>
      </c>
      <c r="AY394" s="217"/>
      <c r="AZ394" s="218">
        <v>0</v>
      </c>
      <c r="BA394" s="8"/>
      <c r="BB394" s="219"/>
      <c r="BC394" s="220"/>
    </row>
    <row r="395" spans="15:55" x14ac:dyDescent="0.25">
      <c r="O395" s="195">
        <v>925</v>
      </c>
      <c r="P395" s="202">
        <f t="shared" si="80"/>
        <v>0</v>
      </c>
      <c r="Q395" s="203">
        <f t="shared" si="80"/>
        <v>0</v>
      </c>
      <c r="R395" s="157">
        <f ca="1"/>
        <v>96.790645085863332</v>
      </c>
      <c r="T395" s="204">
        <v>0</v>
      </c>
      <c r="U395" s="206">
        <v>0</v>
      </c>
      <c r="V395" s="206">
        <v>0</v>
      </c>
      <c r="W395" s="206">
        <v>0</v>
      </c>
      <c r="X395" s="206">
        <f t="array" ref="X395">IF(X$78&gt;" ",(X$628:X$1078),"")</f>
        <v>0</v>
      </c>
      <c r="Y395" s="206">
        <f t="array" ref="Y395">IF(Y$78&gt;" ",(Y$628:Y$1078),"")</f>
        <v>0</v>
      </c>
      <c r="Z395" s="206">
        <f t="array" ref="Z395">IF(Z$78&gt;" ",(Z$628:Z$1078),"")</f>
        <v>0</v>
      </c>
      <c r="AA395" s="206">
        <f t="array" ref="AA395">IF(AA$78&gt;" ",(AA$628:AA$1078),"")</f>
        <v>0</v>
      </c>
      <c r="AB395" s="210">
        <v>0</v>
      </c>
      <c r="AC395" s="204">
        <f t="shared" si="67"/>
        <v>0</v>
      </c>
      <c r="AD395" s="206">
        <f t="shared" si="68"/>
        <v>0</v>
      </c>
      <c r="AE395" s="206">
        <f t="shared" si="69"/>
        <v>0</v>
      </c>
      <c r="AF395" s="206">
        <f t="shared" si="70"/>
        <v>0</v>
      </c>
      <c r="AG395" s="206">
        <f t="shared" si="71"/>
        <v>0</v>
      </c>
      <c r="AH395" s="206">
        <f t="shared" si="72"/>
        <v>0</v>
      </c>
      <c r="AI395" s="206">
        <f t="shared" si="73"/>
        <v>0</v>
      </c>
      <c r="AJ395" s="206">
        <f t="shared" si="74"/>
        <v>0</v>
      </c>
      <c r="AK395" s="206">
        <f t="shared" si="75"/>
        <v>0</v>
      </c>
      <c r="AL395" s="206">
        <f t="shared" si="76"/>
        <v>0</v>
      </c>
      <c r="AM395" s="214">
        <f t="shared" si="77"/>
        <v>0</v>
      </c>
      <c r="AN395" s="4"/>
      <c r="AO395" s="167">
        <v>925</v>
      </c>
      <c r="AP395" s="215">
        <v>3.873951757144977E-3</v>
      </c>
      <c r="AQ395" s="190">
        <v>3.0855333701677095E-3</v>
      </c>
      <c r="AR395" s="190">
        <v>3.5756580757567366E-3</v>
      </c>
      <c r="AS395" s="170">
        <v>3.7283790315736707E-3</v>
      </c>
      <c r="AU395" s="216">
        <v>96.796606048555574</v>
      </c>
      <c r="AV395" s="217">
        <v>96.790645085863332</v>
      </c>
      <c r="AW395" s="217">
        <v>94.346528249210465</v>
      </c>
      <c r="AX395" s="217">
        <v>94.572651498194887</v>
      </c>
      <c r="AY395" s="217"/>
      <c r="AZ395" s="218">
        <v>0</v>
      </c>
      <c r="BA395" s="8"/>
      <c r="BB395" s="219"/>
      <c r="BC395" s="220"/>
    </row>
    <row r="396" spans="15:55" x14ac:dyDescent="0.25">
      <c r="O396" s="195">
        <v>920</v>
      </c>
      <c r="P396" s="202">
        <f t="shared" si="80"/>
        <v>0</v>
      </c>
      <c r="Q396" s="203">
        <f t="shared" si="80"/>
        <v>0</v>
      </c>
      <c r="R396" s="157">
        <f ca="1"/>
        <v>96.796199744615365</v>
      </c>
      <c r="T396" s="204">
        <v>0</v>
      </c>
      <c r="U396" s="206">
        <v>0</v>
      </c>
      <c r="V396" s="206">
        <v>0</v>
      </c>
      <c r="W396" s="206">
        <v>0</v>
      </c>
      <c r="X396" s="206">
        <f t="array" ref="X396">IF(X$78&gt;" ",(X$628:X$1078),"")</f>
        <v>0</v>
      </c>
      <c r="Y396" s="206">
        <f t="array" ref="Y396">IF(Y$78&gt;" ",(Y$628:Y$1078),"")</f>
        <v>0</v>
      </c>
      <c r="Z396" s="206">
        <f t="array" ref="Z396">IF(Z$78&gt;" ",(Z$628:Z$1078),"")</f>
        <v>0</v>
      </c>
      <c r="AA396" s="206">
        <f t="array" ref="AA396">IF(AA$78&gt;" ",(AA$628:AA$1078),"")</f>
        <v>0</v>
      </c>
      <c r="AB396" s="210">
        <v>0</v>
      </c>
      <c r="AC396" s="204">
        <f t="shared" si="67"/>
        <v>0</v>
      </c>
      <c r="AD396" s="206">
        <f t="shared" si="68"/>
        <v>0</v>
      </c>
      <c r="AE396" s="206">
        <f t="shared" si="69"/>
        <v>0</v>
      </c>
      <c r="AF396" s="206">
        <f t="shared" si="70"/>
        <v>0</v>
      </c>
      <c r="AG396" s="206">
        <f t="shared" si="71"/>
        <v>0</v>
      </c>
      <c r="AH396" s="206">
        <f t="shared" si="72"/>
        <v>0</v>
      </c>
      <c r="AI396" s="206">
        <f t="shared" si="73"/>
        <v>0</v>
      </c>
      <c r="AJ396" s="206">
        <f t="shared" si="74"/>
        <v>0</v>
      </c>
      <c r="AK396" s="206">
        <f t="shared" si="75"/>
        <v>0</v>
      </c>
      <c r="AL396" s="206">
        <f t="shared" si="76"/>
        <v>0</v>
      </c>
      <c r="AM396" s="214">
        <f t="shared" si="77"/>
        <v>0</v>
      </c>
      <c r="AN396" s="4"/>
      <c r="AO396" s="167">
        <v>920</v>
      </c>
      <c r="AP396" s="215">
        <v>3.803924661944198E-3</v>
      </c>
      <c r="AQ396" s="190">
        <v>3.2747543381480664E-3</v>
      </c>
      <c r="AR396" s="190">
        <v>3.7417946849861035E-3</v>
      </c>
      <c r="AS396" s="170">
        <v>3.8982857988070908E-3</v>
      </c>
      <c r="AU396" s="216">
        <v>96.782155519701291</v>
      </c>
      <c r="AV396" s="217">
        <v>96.796199744615365</v>
      </c>
      <c r="AW396" s="217">
        <v>94.36242506003407</v>
      </c>
      <c r="AX396" s="217">
        <v>94.585432480899769</v>
      </c>
      <c r="AY396" s="217"/>
      <c r="AZ396" s="218">
        <v>0</v>
      </c>
      <c r="BA396" s="8"/>
      <c r="BB396" s="219"/>
      <c r="BC396" s="220"/>
    </row>
    <row r="397" spans="15:55" x14ac:dyDescent="0.25">
      <c r="O397" s="195">
        <v>915</v>
      </c>
      <c r="P397" s="202">
        <f t="shared" si="80"/>
        <v>0</v>
      </c>
      <c r="Q397" s="203">
        <f t="shared" si="80"/>
        <v>0</v>
      </c>
      <c r="R397" s="157">
        <f ca="1"/>
        <v>96.793544519122676</v>
      </c>
      <c r="T397" s="204">
        <v>0</v>
      </c>
      <c r="U397" s="206">
        <v>0</v>
      </c>
      <c r="V397" s="206">
        <v>0</v>
      </c>
      <c r="W397" s="206">
        <v>0</v>
      </c>
      <c r="X397" s="206">
        <f t="array" ref="X397">IF(X$78&gt;" ",(X$628:X$1078),"")</f>
        <v>0</v>
      </c>
      <c r="Y397" s="206">
        <f t="array" ref="Y397">IF(Y$78&gt;" ",(Y$628:Y$1078),"")</f>
        <v>0</v>
      </c>
      <c r="Z397" s="206">
        <f t="array" ref="Z397">IF(Z$78&gt;" ",(Z$628:Z$1078),"")</f>
        <v>0</v>
      </c>
      <c r="AA397" s="206">
        <f t="array" ref="AA397">IF(AA$78&gt;" ",(AA$628:AA$1078),"")</f>
        <v>0</v>
      </c>
      <c r="AB397" s="210">
        <v>0</v>
      </c>
      <c r="AC397" s="204">
        <f t="shared" si="67"/>
        <v>0</v>
      </c>
      <c r="AD397" s="206">
        <f t="shared" si="68"/>
        <v>0</v>
      </c>
      <c r="AE397" s="206">
        <f t="shared" si="69"/>
        <v>0</v>
      </c>
      <c r="AF397" s="206">
        <f t="shared" si="70"/>
        <v>0</v>
      </c>
      <c r="AG397" s="206">
        <f t="shared" si="71"/>
        <v>0</v>
      </c>
      <c r="AH397" s="206">
        <f t="shared" si="72"/>
        <v>0</v>
      </c>
      <c r="AI397" s="206">
        <f t="shared" si="73"/>
        <v>0</v>
      </c>
      <c r="AJ397" s="206">
        <f t="shared" si="74"/>
        <v>0</v>
      </c>
      <c r="AK397" s="206">
        <f t="shared" si="75"/>
        <v>0</v>
      </c>
      <c r="AL397" s="206">
        <f t="shared" si="76"/>
        <v>0</v>
      </c>
      <c r="AM397" s="214">
        <f t="shared" si="77"/>
        <v>0</v>
      </c>
      <c r="AN397" s="4"/>
      <c r="AO397" s="167">
        <v>915</v>
      </c>
      <c r="AP397" s="215">
        <v>3.7338975667434199E-3</v>
      </c>
      <c r="AQ397" s="190">
        <v>3.4639753061284227E-3</v>
      </c>
      <c r="AR397" s="190">
        <v>3.4110299708484597E-3</v>
      </c>
      <c r="AS397" s="170">
        <v>3.5565135236112753E-3</v>
      </c>
      <c r="AU397" s="216">
        <v>96.78447146278377</v>
      </c>
      <c r="AV397" s="217">
        <v>96.793544519122676</v>
      </c>
      <c r="AW397" s="217">
        <v>94.389529142227559</v>
      </c>
      <c r="AX397" s="217">
        <v>94.618080678062185</v>
      </c>
      <c r="AY397" s="217"/>
      <c r="AZ397" s="218">
        <v>0</v>
      </c>
      <c r="BA397" s="8"/>
      <c r="BB397" s="219"/>
      <c r="BC397" s="220"/>
    </row>
    <row r="398" spans="15:55" x14ac:dyDescent="0.25">
      <c r="O398" s="195">
        <v>910</v>
      </c>
      <c r="P398" s="202">
        <f t="shared" si="80"/>
        <v>0</v>
      </c>
      <c r="Q398" s="203">
        <f t="shared" si="80"/>
        <v>0</v>
      </c>
      <c r="R398" s="157">
        <f ca="1"/>
        <v>96.78991948785341</v>
      </c>
      <c r="T398" s="204">
        <v>0</v>
      </c>
      <c r="U398" s="206">
        <v>0</v>
      </c>
      <c r="V398" s="206">
        <v>0</v>
      </c>
      <c r="W398" s="206">
        <v>0</v>
      </c>
      <c r="X398" s="206">
        <f t="array" ref="X398">IF(X$78&gt;" ",(X$628:X$1078),"")</f>
        <v>0</v>
      </c>
      <c r="Y398" s="206">
        <f t="array" ref="Y398">IF(Y$78&gt;" ",(Y$628:Y$1078),"")</f>
        <v>0</v>
      </c>
      <c r="Z398" s="206">
        <f t="array" ref="Z398">IF(Z$78&gt;" ",(Z$628:Z$1078),"")</f>
        <v>0</v>
      </c>
      <c r="AA398" s="206">
        <f t="array" ref="AA398">IF(AA$78&gt;" ",(AA$628:AA$1078),"")</f>
        <v>0</v>
      </c>
      <c r="AB398" s="210">
        <v>0</v>
      </c>
      <c r="AC398" s="204">
        <f t="shared" si="67"/>
        <v>0</v>
      </c>
      <c r="AD398" s="206">
        <f t="shared" si="68"/>
        <v>0</v>
      </c>
      <c r="AE398" s="206">
        <f t="shared" si="69"/>
        <v>0</v>
      </c>
      <c r="AF398" s="206">
        <f t="shared" si="70"/>
        <v>0</v>
      </c>
      <c r="AG398" s="206">
        <f t="shared" si="71"/>
        <v>0</v>
      </c>
      <c r="AH398" s="206">
        <f t="shared" si="72"/>
        <v>0</v>
      </c>
      <c r="AI398" s="206">
        <f t="shared" si="73"/>
        <v>0</v>
      </c>
      <c r="AJ398" s="206">
        <f t="shared" si="74"/>
        <v>0</v>
      </c>
      <c r="AK398" s="206">
        <f t="shared" si="75"/>
        <v>0</v>
      </c>
      <c r="AL398" s="206">
        <f t="shared" si="76"/>
        <v>0</v>
      </c>
      <c r="AM398" s="214">
        <f t="shared" si="77"/>
        <v>0</v>
      </c>
      <c r="AN398" s="4"/>
      <c r="AO398" s="167">
        <v>910</v>
      </c>
      <c r="AP398" s="215">
        <v>3.9492639161344944E-3</v>
      </c>
      <c r="AQ398" s="190">
        <v>3.65319627410878E-3</v>
      </c>
      <c r="AR398" s="190">
        <v>3.1410579808507388E-3</v>
      </c>
      <c r="AS398" s="170">
        <v>3.2768613115343984E-3</v>
      </c>
      <c r="AU398" s="216">
        <v>96.781664197759881</v>
      </c>
      <c r="AV398" s="217">
        <v>96.78991948785341</v>
      </c>
      <c r="AW398" s="217">
        <v>94.413411246497802</v>
      </c>
      <c r="AX398" s="217">
        <v>94.634405765216911</v>
      </c>
      <c r="AY398" s="217"/>
      <c r="AZ398" s="218">
        <v>0</v>
      </c>
      <c r="BA398" s="8"/>
      <c r="BB398" s="219"/>
      <c r="BC398" s="220"/>
    </row>
    <row r="399" spans="15:55" x14ac:dyDescent="0.25">
      <c r="O399" s="195">
        <v>905</v>
      </c>
      <c r="P399" s="202">
        <f t="shared" si="80"/>
        <v>0</v>
      </c>
      <c r="Q399" s="203">
        <f t="shared" si="80"/>
        <v>0</v>
      </c>
      <c r="R399" s="157">
        <f ca="1"/>
        <v>96.80179771484147</v>
      </c>
      <c r="T399" s="204">
        <v>0</v>
      </c>
      <c r="U399" s="206">
        <v>0</v>
      </c>
      <c r="V399" s="206">
        <v>0</v>
      </c>
      <c r="W399" s="206">
        <v>0</v>
      </c>
      <c r="X399" s="206">
        <f t="array" ref="X399">IF(X$78&gt;" ",(X$628:X$1078),"")</f>
        <v>0</v>
      </c>
      <c r="Y399" s="206">
        <f t="array" ref="Y399">IF(Y$78&gt;" ",(Y$628:Y$1078),"")</f>
        <v>0</v>
      </c>
      <c r="Z399" s="206">
        <f t="array" ref="Z399">IF(Z$78&gt;" ",(Z$628:Z$1078),"")</f>
        <v>0</v>
      </c>
      <c r="AA399" s="206">
        <f t="array" ref="AA399">IF(AA$78&gt;" ",(AA$628:AA$1078),"")</f>
        <v>0</v>
      </c>
      <c r="AB399" s="210">
        <v>0</v>
      </c>
      <c r="AC399" s="204">
        <f t="shared" si="67"/>
        <v>0</v>
      </c>
      <c r="AD399" s="206">
        <f t="shared" si="68"/>
        <v>0</v>
      </c>
      <c r="AE399" s="206">
        <f t="shared" si="69"/>
        <v>0</v>
      </c>
      <c r="AF399" s="206">
        <f t="shared" si="70"/>
        <v>0</v>
      </c>
      <c r="AG399" s="206">
        <f t="shared" si="71"/>
        <v>0</v>
      </c>
      <c r="AH399" s="206">
        <f t="shared" si="72"/>
        <v>0</v>
      </c>
      <c r="AI399" s="206">
        <f t="shared" si="73"/>
        <v>0</v>
      </c>
      <c r="AJ399" s="206">
        <f t="shared" si="74"/>
        <v>0</v>
      </c>
      <c r="AK399" s="206">
        <f t="shared" si="75"/>
        <v>0</v>
      </c>
      <c r="AL399" s="206">
        <f t="shared" si="76"/>
        <v>0</v>
      </c>
      <c r="AM399" s="214">
        <f t="shared" si="77"/>
        <v>0</v>
      </c>
      <c r="AN399" s="4"/>
      <c r="AO399" s="167">
        <v>905</v>
      </c>
      <c r="AP399" s="215">
        <v>4.1646302655255693E-3</v>
      </c>
      <c r="AQ399" s="190">
        <v>3.8424172420891368E-3</v>
      </c>
      <c r="AR399" s="190">
        <v>4.1086126523977948E-3</v>
      </c>
      <c r="AS399" s="170">
        <v>4.2721254579372774E-3</v>
      </c>
      <c r="AU399" s="216">
        <v>96.786913113555173</v>
      </c>
      <c r="AV399" s="217">
        <v>96.80179771484147</v>
      </c>
      <c r="AW399" s="217">
        <v>94.430207674806638</v>
      </c>
      <c r="AX399" s="217">
        <v>94.6574283060326</v>
      </c>
      <c r="AY399" s="217"/>
      <c r="AZ399" s="218">
        <v>0</v>
      </c>
      <c r="BA399" s="8"/>
      <c r="BB399" s="219"/>
      <c r="BC399" s="220"/>
    </row>
    <row r="400" spans="15:55" x14ac:dyDescent="0.25">
      <c r="O400" s="195">
        <v>900</v>
      </c>
      <c r="P400" s="202">
        <f t="shared" ref="P400:Q415" si="81">P948</f>
        <v>0</v>
      </c>
      <c r="Q400" s="203">
        <f t="shared" si="81"/>
        <v>0</v>
      </c>
      <c r="R400" s="157">
        <f ca="1"/>
        <v>96.812576366438108</v>
      </c>
      <c r="T400" s="204">
        <v>0</v>
      </c>
      <c r="U400" s="206">
        <v>0</v>
      </c>
      <c r="V400" s="206">
        <v>0</v>
      </c>
      <c r="W400" s="206">
        <v>0</v>
      </c>
      <c r="X400" s="206">
        <f t="array" ref="X400">IF(X$78&gt;" ",(X$628:X$1078),"")</f>
        <v>0</v>
      </c>
      <c r="Y400" s="206">
        <f t="array" ref="Y400">IF(Y$78&gt;" ",(Y$628:Y$1078),"")</f>
        <v>0</v>
      </c>
      <c r="Z400" s="206">
        <f t="array" ref="Z400">IF(Z$78&gt;" ",(Z$628:Z$1078),"")</f>
        <v>0</v>
      </c>
      <c r="AA400" s="206">
        <f t="array" ref="AA400">IF(AA$78&gt;" ",(AA$628:AA$1078),"")</f>
        <v>0</v>
      </c>
      <c r="AB400" s="210">
        <v>0</v>
      </c>
      <c r="AC400" s="204">
        <f t="shared" si="67"/>
        <v>0</v>
      </c>
      <c r="AD400" s="206">
        <f t="shared" si="68"/>
        <v>0</v>
      </c>
      <c r="AE400" s="206">
        <f t="shared" si="69"/>
        <v>0</v>
      </c>
      <c r="AF400" s="206">
        <f t="shared" si="70"/>
        <v>0</v>
      </c>
      <c r="AG400" s="206">
        <f t="shared" si="71"/>
        <v>0</v>
      </c>
      <c r="AH400" s="206">
        <f t="shared" si="72"/>
        <v>0</v>
      </c>
      <c r="AI400" s="206">
        <f t="shared" si="73"/>
        <v>0</v>
      </c>
      <c r="AJ400" s="206">
        <f t="shared" si="74"/>
        <v>0</v>
      </c>
      <c r="AK400" s="206">
        <f t="shared" si="75"/>
        <v>0</v>
      </c>
      <c r="AL400" s="206">
        <f t="shared" si="76"/>
        <v>0</v>
      </c>
      <c r="AM400" s="214">
        <f t="shared" si="77"/>
        <v>0</v>
      </c>
      <c r="AN400" s="4"/>
      <c r="AO400" s="167">
        <v>900</v>
      </c>
      <c r="AP400" s="215">
        <v>4.3600454991141579E-3</v>
      </c>
      <c r="AQ400" s="190">
        <v>4.0316382100694928E-3</v>
      </c>
      <c r="AR400" s="190">
        <v>3.7340510294711755E-3</v>
      </c>
      <c r="AS400" s="170">
        <v>3.8855260020583355E-3</v>
      </c>
      <c r="AU400" s="216">
        <v>96.791240092235498</v>
      </c>
      <c r="AV400" s="217">
        <v>96.812576366438108</v>
      </c>
      <c r="AW400" s="217">
        <v>94.448903788688725</v>
      </c>
      <c r="AX400" s="217">
        <v>94.674860558613389</v>
      </c>
      <c r="AY400" s="217"/>
      <c r="AZ400" s="218">
        <v>0</v>
      </c>
      <c r="BA400" s="8"/>
      <c r="BB400" s="219"/>
      <c r="BC400" s="220"/>
    </row>
    <row r="401" spans="15:55" x14ac:dyDescent="0.25">
      <c r="O401" s="195">
        <v>895</v>
      </c>
      <c r="P401" s="202">
        <f t="shared" si="81"/>
        <v>0</v>
      </c>
      <c r="Q401" s="203">
        <f t="shared" si="81"/>
        <v>0</v>
      </c>
      <c r="R401" s="157">
        <f ca="1"/>
        <v>96.80855092256229</v>
      </c>
      <c r="T401" s="204">
        <v>0</v>
      </c>
      <c r="U401" s="206">
        <v>0</v>
      </c>
      <c r="V401" s="206">
        <v>0</v>
      </c>
      <c r="W401" s="206">
        <v>0</v>
      </c>
      <c r="X401" s="206">
        <f t="array" ref="X401">IF(X$78&gt;" ",(X$628:X$1078),"")</f>
        <v>0</v>
      </c>
      <c r="Y401" s="206">
        <f t="array" ref="Y401">IF(Y$78&gt;" ",(Y$628:Y$1078),"")</f>
        <v>0</v>
      </c>
      <c r="Z401" s="206">
        <f t="array" ref="Z401">IF(Z$78&gt;" ",(Z$628:Z$1078),"")</f>
        <v>0</v>
      </c>
      <c r="AA401" s="206">
        <f t="array" ref="AA401">IF(AA$78&gt;" ",(AA$628:AA$1078),"")</f>
        <v>0</v>
      </c>
      <c r="AB401" s="210">
        <v>0</v>
      </c>
      <c r="AC401" s="204">
        <f t="shared" ref="AC401:AC464" si="82">T401</f>
        <v>0</v>
      </c>
      <c r="AD401" s="206">
        <f t="shared" ref="AD401:AD464" si="83">U401</f>
        <v>0</v>
      </c>
      <c r="AE401" s="206">
        <f t="shared" ref="AE401:AE464" si="84">V401</f>
        <v>0</v>
      </c>
      <c r="AF401" s="206">
        <f t="shared" ref="AF401:AF464" si="85">W401</f>
        <v>0</v>
      </c>
      <c r="AG401" s="206">
        <f t="shared" ref="AG401:AG464" si="86">X401</f>
        <v>0</v>
      </c>
      <c r="AH401" s="206">
        <f t="shared" ref="AH401:AH464" si="87">Y401</f>
        <v>0</v>
      </c>
      <c r="AI401" s="206">
        <f t="shared" ref="AI401:AI464" si="88">Z401</f>
        <v>0</v>
      </c>
      <c r="AJ401" s="206">
        <f t="shared" ref="AJ401:AJ464" si="89">AA401</f>
        <v>0</v>
      </c>
      <c r="AK401" s="206">
        <f t="shared" ref="AK401:AK464" si="90">AB401</f>
        <v>0</v>
      </c>
      <c r="AL401" s="206">
        <f t="shared" ref="AL401:AL464" si="91">AVERAGE(AC401:AK401)</f>
        <v>0</v>
      </c>
      <c r="AM401" s="214">
        <f t="shared" ref="AM401:AM464" si="92">AL401/100</f>
        <v>0</v>
      </c>
      <c r="AN401" s="4"/>
      <c r="AO401" s="167">
        <v>895</v>
      </c>
      <c r="AP401" s="215">
        <v>4.5554607327027465E-3</v>
      </c>
      <c r="AQ401" s="190">
        <v>4.1111064144087293E-3</v>
      </c>
      <c r="AR401" s="190">
        <v>4.0909128683636739E-3</v>
      </c>
      <c r="AS401" s="170">
        <v>4.2508031660018581E-3</v>
      </c>
      <c r="AU401" s="216">
        <v>96.784055882332268</v>
      </c>
      <c r="AV401" s="217">
        <v>96.80855092256229</v>
      </c>
      <c r="AW401" s="217">
        <v>94.482139675814096</v>
      </c>
      <c r="AX401" s="217">
        <v>94.700102545229413</v>
      </c>
      <c r="AY401" s="217"/>
      <c r="AZ401" s="218">
        <v>0</v>
      </c>
      <c r="BA401" s="8"/>
      <c r="BB401" s="219"/>
      <c r="BC401" s="220"/>
    </row>
    <row r="402" spans="15:55" x14ac:dyDescent="0.25">
      <c r="O402" s="195">
        <v>890</v>
      </c>
      <c r="P402" s="202">
        <f t="shared" si="81"/>
        <v>0</v>
      </c>
      <c r="Q402" s="203">
        <f t="shared" si="81"/>
        <v>0</v>
      </c>
      <c r="R402" s="157">
        <f ca="1"/>
        <v>96.794984614689966</v>
      </c>
      <c r="T402" s="204">
        <v>0</v>
      </c>
      <c r="U402" s="206">
        <v>0</v>
      </c>
      <c r="V402" s="206">
        <v>0</v>
      </c>
      <c r="W402" s="206">
        <v>0</v>
      </c>
      <c r="X402" s="206">
        <f t="array" ref="X402">IF(X$78&gt;" ",(X$628:X$1078),"")</f>
        <v>0</v>
      </c>
      <c r="Y402" s="206">
        <f t="array" ref="Y402">IF(Y$78&gt;" ",(Y$628:Y$1078),"")</f>
        <v>0</v>
      </c>
      <c r="Z402" s="206">
        <f t="array" ref="Z402">IF(Z$78&gt;" ",(Z$628:Z$1078),"")</f>
        <v>0</v>
      </c>
      <c r="AA402" s="206">
        <f t="array" ref="AA402">IF(AA$78&gt;" ",(AA$628:AA$1078),"")</f>
        <v>0</v>
      </c>
      <c r="AB402" s="210">
        <v>0</v>
      </c>
      <c r="AC402" s="204">
        <f t="shared" si="82"/>
        <v>0</v>
      </c>
      <c r="AD402" s="206">
        <f t="shared" si="83"/>
        <v>0</v>
      </c>
      <c r="AE402" s="206">
        <f t="shared" si="84"/>
        <v>0</v>
      </c>
      <c r="AF402" s="206">
        <f t="shared" si="85"/>
        <v>0</v>
      </c>
      <c r="AG402" s="206">
        <f t="shared" si="86"/>
        <v>0</v>
      </c>
      <c r="AH402" s="206">
        <f t="shared" si="87"/>
        <v>0</v>
      </c>
      <c r="AI402" s="206">
        <f t="shared" si="88"/>
        <v>0</v>
      </c>
      <c r="AJ402" s="206">
        <f t="shared" si="89"/>
        <v>0</v>
      </c>
      <c r="AK402" s="206">
        <f t="shared" si="90"/>
        <v>0</v>
      </c>
      <c r="AL402" s="206">
        <f t="shared" si="91"/>
        <v>0</v>
      </c>
      <c r="AM402" s="214">
        <f t="shared" si="92"/>
        <v>0</v>
      </c>
      <c r="AN402" s="4"/>
      <c r="AO402" s="167">
        <v>890</v>
      </c>
      <c r="AP402" s="215">
        <v>4.750875966291335E-3</v>
      </c>
      <c r="AQ402" s="190">
        <v>4.1905746187479651E-3</v>
      </c>
      <c r="AR402" s="190">
        <v>4.6458413246152743E-3</v>
      </c>
      <c r="AS402" s="170">
        <v>4.8172709848215796E-3</v>
      </c>
      <c r="AU402" s="216">
        <v>96.772704841222449</v>
      </c>
      <c r="AV402" s="217">
        <v>96.794984614689966</v>
      </c>
      <c r="AW402" s="217">
        <v>94.497127021474057</v>
      </c>
      <c r="AX402" s="217">
        <v>94.721965876317697</v>
      </c>
      <c r="AY402" s="217"/>
      <c r="AZ402" s="218">
        <v>0</v>
      </c>
      <c r="BA402" s="8"/>
      <c r="BB402" s="219"/>
      <c r="BC402" s="220"/>
    </row>
    <row r="403" spans="15:55" x14ac:dyDescent="0.25">
      <c r="O403" s="195">
        <v>885</v>
      </c>
      <c r="P403" s="202">
        <f t="shared" si="81"/>
        <v>0</v>
      </c>
      <c r="Q403" s="203">
        <f t="shared" si="81"/>
        <v>0</v>
      </c>
      <c r="R403" s="157">
        <f ca="1"/>
        <v>96.801530065999316</v>
      </c>
      <c r="T403" s="204">
        <v>0</v>
      </c>
      <c r="U403" s="206">
        <v>0</v>
      </c>
      <c r="V403" s="206">
        <v>0</v>
      </c>
      <c r="W403" s="206">
        <v>0</v>
      </c>
      <c r="X403" s="206">
        <f t="array" ref="X403">IF(X$78&gt;" ",(X$628:X$1078),"")</f>
        <v>0</v>
      </c>
      <c r="Y403" s="206">
        <f t="array" ref="Y403">IF(Y$78&gt;" ",(Y$628:Y$1078),"")</f>
        <v>0</v>
      </c>
      <c r="Z403" s="206">
        <f t="array" ref="Z403">IF(Z$78&gt;" ",(Z$628:Z$1078),"")</f>
        <v>0</v>
      </c>
      <c r="AA403" s="206">
        <f t="array" ref="AA403">IF(AA$78&gt;" ",(AA$628:AA$1078),"")</f>
        <v>0</v>
      </c>
      <c r="AB403" s="210">
        <v>0</v>
      </c>
      <c r="AC403" s="204">
        <f t="shared" si="82"/>
        <v>0</v>
      </c>
      <c r="AD403" s="206">
        <f t="shared" si="83"/>
        <v>0</v>
      </c>
      <c r="AE403" s="206">
        <f t="shared" si="84"/>
        <v>0</v>
      </c>
      <c r="AF403" s="206">
        <f t="shared" si="85"/>
        <v>0</v>
      </c>
      <c r="AG403" s="206">
        <f t="shared" si="86"/>
        <v>0</v>
      </c>
      <c r="AH403" s="206">
        <f t="shared" si="87"/>
        <v>0</v>
      </c>
      <c r="AI403" s="206">
        <f t="shared" si="88"/>
        <v>0</v>
      </c>
      <c r="AJ403" s="206">
        <f t="shared" si="89"/>
        <v>0</v>
      </c>
      <c r="AK403" s="206">
        <f t="shared" si="90"/>
        <v>0</v>
      </c>
      <c r="AL403" s="206">
        <f t="shared" si="91"/>
        <v>0</v>
      </c>
      <c r="AM403" s="214">
        <f t="shared" si="92"/>
        <v>0</v>
      </c>
      <c r="AN403" s="4"/>
      <c r="AO403" s="167">
        <v>885</v>
      </c>
      <c r="AP403" s="215">
        <v>4.9462911998799245E-3</v>
      </c>
      <c r="AQ403" s="190">
        <v>4.2700428230872008E-3</v>
      </c>
      <c r="AR403" s="190">
        <v>4.7479167836756908E-3</v>
      </c>
      <c r="AS403" s="170">
        <v>4.9199649630407242E-3</v>
      </c>
      <c r="AU403" s="216">
        <v>96.775774517672303</v>
      </c>
      <c r="AV403" s="217">
        <v>96.801530065999316</v>
      </c>
      <c r="AW403" s="217">
        <v>94.512316526804298</v>
      </c>
      <c r="AX403" s="217">
        <v>94.733457838024378</v>
      </c>
      <c r="AY403" s="217"/>
      <c r="AZ403" s="218">
        <v>0</v>
      </c>
      <c r="BA403" s="8"/>
      <c r="BB403" s="219"/>
      <c r="BC403" s="220"/>
    </row>
    <row r="404" spans="15:55" x14ac:dyDescent="0.25">
      <c r="O404" s="195">
        <v>880</v>
      </c>
      <c r="P404" s="202">
        <f t="shared" si="81"/>
        <v>0</v>
      </c>
      <c r="Q404" s="203">
        <f t="shared" si="81"/>
        <v>0</v>
      </c>
      <c r="R404" s="157">
        <f ca="1"/>
        <v>96.81386961255113</v>
      </c>
      <c r="T404" s="204">
        <v>0</v>
      </c>
      <c r="U404" s="206">
        <v>0</v>
      </c>
      <c r="V404" s="206">
        <v>0</v>
      </c>
      <c r="W404" s="206">
        <v>0</v>
      </c>
      <c r="X404" s="206">
        <f t="array" ref="X404">IF(X$78&gt;" ",(X$628:X$1078),"")</f>
        <v>0</v>
      </c>
      <c r="Y404" s="206">
        <f t="array" ref="Y404">IF(Y$78&gt;" ",(Y$628:Y$1078),"")</f>
        <v>0</v>
      </c>
      <c r="Z404" s="206">
        <f t="array" ref="Z404">IF(Z$78&gt;" ",(Z$628:Z$1078),"")</f>
        <v>0</v>
      </c>
      <c r="AA404" s="206">
        <f t="array" ref="AA404">IF(AA$78&gt;" ",(AA$628:AA$1078),"")</f>
        <v>0</v>
      </c>
      <c r="AB404" s="210">
        <v>0</v>
      </c>
      <c r="AC404" s="204">
        <f t="shared" si="82"/>
        <v>0</v>
      </c>
      <c r="AD404" s="206">
        <f t="shared" si="83"/>
        <v>0</v>
      </c>
      <c r="AE404" s="206">
        <f t="shared" si="84"/>
        <v>0</v>
      </c>
      <c r="AF404" s="206">
        <f t="shared" si="85"/>
        <v>0</v>
      </c>
      <c r="AG404" s="206">
        <f t="shared" si="86"/>
        <v>0</v>
      </c>
      <c r="AH404" s="206">
        <f t="shared" si="87"/>
        <v>0</v>
      </c>
      <c r="AI404" s="206">
        <f t="shared" si="88"/>
        <v>0</v>
      </c>
      <c r="AJ404" s="206">
        <f t="shared" si="89"/>
        <v>0</v>
      </c>
      <c r="AK404" s="206">
        <f t="shared" si="90"/>
        <v>0</v>
      </c>
      <c r="AL404" s="206">
        <f t="shared" si="91"/>
        <v>0</v>
      </c>
      <c r="AM404" s="214">
        <f t="shared" si="92"/>
        <v>0</v>
      </c>
      <c r="AN404" s="4"/>
      <c r="AO404" s="167">
        <v>880</v>
      </c>
      <c r="AP404" s="215">
        <v>5.1417064334685122E-3</v>
      </c>
      <c r="AQ404" s="190">
        <v>4.3495110274264382E-3</v>
      </c>
      <c r="AR404" s="190">
        <v>4.7244846832214275E-3</v>
      </c>
      <c r="AS404" s="170">
        <v>4.8931581970641748E-3</v>
      </c>
      <c r="AU404" s="216">
        <v>96.777274573626372</v>
      </c>
      <c r="AV404" s="217">
        <v>96.81386961255113</v>
      </c>
      <c r="AW404" s="217">
        <v>94.528167335184619</v>
      </c>
      <c r="AX404" s="217">
        <v>94.752680701135731</v>
      </c>
      <c r="AY404" s="217"/>
      <c r="AZ404" s="218">
        <v>0</v>
      </c>
      <c r="BA404" s="8"/>
      <c r="BB404" s="219"/>
      <c r="BC404" s="220"/>
    </row>
    <row r="405" spans="15:55" x14ac:dyDescent="0.25">
      <c r="O405" s="195">
        <v>875</v>
      </c>
      <c r="P405" s="202">
        <f t="shared" si="81"/>
        <v>0</v>
      </c>
      <c r="Q405" s="203">
        <f t="shared" si="81"/>
        <v>0</v>
      </c>
      <c r="R405" s="157">
        <f ca="1"/>
        <v>96.798981035215618</v>
      </c>
      <c r="T405" s="204">
        <v>0</v>
      </c>
      <c r="U405" s="206">
        <v>0</v>
      </c>
      <c r="V405" s="206">
        <v>0</v>
      </c>
      <c r="W405" s="206">
        <v>0</v>
      </c>
      <c r="X405" s="206">
        <f t="array" ref="X405">IF(X$78&gt;" ",(X$628:X$1078),"")</f>
        <v>0</v>
      </c>
      <c r="Y405" s="206">
        <f t="array" ref="Y405">IF(Y$78&gt;" ",(Y$628:Y$1078),"")</f>
        <v>0</v>
      </c>
      <c r="Z405" s="206">
        <f t="array" ref="Z405">IF(Z$78&gt;" ",(Z$628:Z$1078),"")</f>
        <v>0</v>
      </c>
      <c r="AA405" s="206">
        <f t="array" ref="AA405">IF(AA$78&gt;" ",(AA$628:AA$1078),"")</f>
        <v>0</v>
      </c>
      <c r="AB405" s="210">
        <v>0</v>
      </c>
      <c r="AC405" s="204">
        <f t="shared" si="82"/>
        <v>0</v>
      </c>
      <c r="AD405" s="206">
        <f t="shared" si="83"/>
        <v>0</v>
      </c>
      <c r="AE405" s="206">
        <f t="shared" si="84"/>
        <v>0</v>
      </c>
      <c r="AF405" s="206">
        <f t="shared" si="85"/>
        <v>0</v>
      </c>
      <c r="AG405" s="206">
        <f t="shared" si="86"/>
        <v>0</v>
      </c>
      <c r="AH405" s="206">
        <f t="shared" si="87"/>
        <v>0</v>
      </c>
      <c r="AI405" s="206">
        <f t="shared" si="88"/>
        <v>0</v>
      </c>
      <c r="AJ405" s="206">
        <f t="shared" si="89"/>
        <v>0</v>
      </c>
      <c r="AK405" s="206">
        <f t="shared" si="90"/>
        <v>0</v>
      </c>
      <c r="AL405" s="206">
        <f t="shared" si="91"/>
        <v>0</v>
      </c>
      <c r="AM405" s="214">
        <f t="shared" si="92"/>
        <v>0</v>
      </c>
      <c r="AN405" s="4"/>
      <c r="AO405" s="167">
        <v>875</v>
      </c>
      <c r="AP405" s="215">
        <v>5.2026828569310775E-3</v>
      </c>
      <c r="AQ405" s="190">
        <v>4.4289792317656739E-3</v>
      </c>
      <c r="AR405" s="190">
        <v>4.6606246669619556E-3</v>
      </c>
      <c r="AS405" s="170">
        <v>4.8243224514458918E-3</v>
      </c>
      <c r="AU405" s="216">
        <v>96.768679323443848</v>
      </c>
      <c r="AV405" s="217">
        <v>96.798981035215618</v>
      </c>
      <c r="AW405" s="217">
        <v>94.536561621033073</v>
      </c>
      <c r="AX405" s="217">
        <v>94.762311538242315</v>
      </c>
      <c r="AY405" s="217"/>
      <c r="AZ405" s="218">
        <v>0</v>
      </c>
      <c r="BA405" s="8"/>
      <c r="BB405" s="219"/>
      <c r="BC405" s="220"/>
    </row>
    <row r="406" spans="15:55" x14ac:dyDescent="0.25">
      <c r="O406" s="195">
        <v>870</v>
      </c>
      <c r="P406" s="202">
        <f t="shared" si="81"/>
        <v>0</v>
      </c>
      <c r="Q406" s="203">
        <f t="shared" si="81"/>
        <v>0</v>
      </c>
      <c r="R406" s="157">
        <f ca="1"/>
        <v>96.786904087766246</v>
      </c>
      <c r="T406" s="204">
        <v>0</v>
      </c>
      <c r="U406" s="206">
        <v>0</v>
      </c>
      <c r="V406" s="206">
        <v>0</v>
      </c>
      <c r="W406" s="206">
        <v>0</v>
      </c>
      <c r="X406" s="206">
        <f t="array" ref="X406">IF(X$78&gt;" ",(X$628:X$1078),"")</f>
        <v>0</v>
      </c>
      <c r="Y406" s="206">
        <f t="array" ref="Y406">IF(Y$78&gt;" ",(Y$628:Y$1078),"")</f>
        <v>0</v>
      </c>
      <c r="Z406" s="206">
        <f t="array" ref="Z406">IF(Z$78&gt;" ",(Z$628:Z$1078),"")</f>
        <v>0</v>
      </c>
      <c r="AA406" s="206">
        <f t="array" ref="AA406">IF(AA$78&gt;" ",(AA$628:AA$1078),"")</f>
        <v>0</v>
      </c>
      <c r="AB406" s="210">
        <v>0</v>
      </c>
      <c r="AC406" s="204">
        <f t="shared" si="82"/>
        <v>0</v>
      </c>
      <c r="AD406" s="206">
        <f t="shared" si="83"/>
        <v>0</v>
      </c>
      <c r="AE406" s="206">
        <f t="shared" si="84"/>
        <v>0</v>
      </c>
      <c r="AF406" s="206">
        <f t="shared" si="85"/>
        <v>0</v>
      </c>
      <c r="AG406" s="206">
        <f t="shared" si="86"/>
        <v>0</v>
      </c>
      <c r="AH406" s="206">
        <f t="shared" si="87"/>
        <v>0</v>
      </c>
      <c r="AI406" s="206">
        <f t="shared" si="88"/>
        <v>0</v>
      </c>
      <c r="AJ406" s="206">
        <f t="shared" si="89"/>
        <v>0</v>
      </c>
      <c r="AK406" s="206">
        <f t="shared" si="90"/>
        <v>0</v>
      </c>
      <c r="AL406" s="206">
        <f t="shared" si="91"/>
        <v>0</v>
      </c>
      <c r="AM406" s="214">
        <f t="shared" si="92"/>
        <v>0</v>
      </c>
      <c r="AN406" s="4"/>
      <c r="AO406" s="167">
        <v>870</v>
      </c>
      <c r="AP406" s="215">
        <v>5.2635932170962832E-3</v>
      </c>
      <c r="AQ406" s="190">
        <v>4.5084474361049096E-3</v>
      </c>
      <c r="AR406" s="190">
        <v>4.8651778529017449E-3</v>
      </c>
      <c r="AS406" s="170">
        <v>5.033012285113026E-3</v>
      </c>
      <c r="AU406" s="216">
        <v>96.752080914229865</v>
      </c>
      <c r="AV406" s="217">
        <v>96.786904087766246</v>
      </c>
      <c r="AW406" s="217">
        <v>94.557991702410561</v>
      </c>
      <c r="AX406" s="217">
        <v>94.781144921630968</v>
      </c>
      <c r="AY406" s="217"/>
      <c r="AZ406" s="218">
        <v>0</v>
      </c>
      <c r="BA406" s="8"/>
      <c r="BB406" s="219"/>
      <c r="BC406" s="220"/>
    </row>
    <row r="407" spans="15:55" x14ac:dyDescent="0.25">
      <c r="O407" s="195">
        <v>865</v>
      </c>
      <c r="P407" s="202">
        <f t="shared" si="81"/>
        <v>0</v>
      </c>
      <c r="Q407" s="203">
        <f t="shared" si="81"/>
        <v>0</v>
      </c>
      <c r="R407" s="157">
        <f ca="1"/>
        <v>96.775059704782095</v>
      </c>
      <c r="T407" s="204">
        <v>0</v>
      </c>
      <c r="U407" s="206">
        <v>0</v>
      </c>
      <c r="V407" s="206">
        <v>0</v>
      </c>
      <c r="W407" s="206">
        <v>0</v>
      </c>
      <c r="X407" s="206">
        <f t="array" ref="X407">IF(X$78&gt;" ",(X$628:X$1078),"")</f>
        <v>0</v>
      </c>
      <c r="Y407" s="206">
        <f t="array" ref="Y407">IF(Y$78&gt;" ",(Y$628:Y$1078),"")</f>
        <v>0</v>
      </c>
      <c r="Z407" s="206">
        <f t="array" ref="Z407">IF(Z$78&gt;" ",(Z$628:Z$1078),"")</f>
        <v>0</v>
      </c>
      <c r="AA407" s="206">
        <f t="array" ref="AA407">IF(AA$78&gt;" ",(AA$628:AA$1078),"")</f>
        <v>0</v>
      </c>
      <c r="AB407" s="210">
        <v>0</v>
      </c>
      <c r="AC407" s="204">
        <f t="shared" si="82"/>
        <v>0</v>
      </c>
      <c r="AD407" s="206">
        <f t="shared" si="83"/>
        <v>0</v>
      </c>
      <c r="AE407" s="206">
        <f t="shared" si="84"/>
        <v>0</v>
      </c>
      <c r="AF407" s="206">
        <f t="shared" si="85"/>
        <v>0</v>
      </c>
      <c r="AG407" s="206">
        <f t="shared" si="86"/>
        <v>0</v>
      </c>
      <c r="AH407" s="206">
        <f t="shared" si="87"/>
        <v>0</v>
      </c>
      <c r="AI407" s="206">
        <f t="shared" si="88"/>
        <v>0</v>
      </c>
      <c r="AJ407" s="206">
        <f t="shared" si="89"/>
        <v>0</v>
      </c>
      <c r="AK407" s="206">
        <f t="shared" si="90"/>
        <v>0</v>
      </c>
      <c r="AL407" s="206">
        <f t="shared" si="91"/>
        <v>0</v>
      </c>
      <c r="AM407" s="214">
        <f t="shared" si="92"/>
        <v>0</v>
      </c>
      <c r="AN407" s="4"/>
      <c r="AO407" s="167">
        <v>865</v>
      </c>
      <c r="AP407" s="215">
        <v>5.3245035772614899E-3</v>
      </c>
      <c r="AQ407" s="190">
        <v>4.5879156404441453E-3</v>
      </c>
      <c r="AR407" s="190">
        <v>4.8435056741554195E-3</v>
      </c>
      <c r="AS407" s="170">
        <v>5.0080523318237966E-3</v>
      </c>
      <c r="AU407" s="216">
        <v>96.745615538391917</v>
      </c>
      <c r="AV407" s="217">
        <v>96.775059704782095</v>
      </c>
      <c r="AW407" s="217">
        <v>94.570940302271595</v>
      </c>
      <c r="AX407" s="217">
        <v>94.789342080498116</v>
      </c>
      <c r="AY407" s="217"/>
      <c r="AZ407" s="218">
        <v>0</v>
      </c>
      <c r="BA407" s="8"/>
      <c r="BB407" s="219"/>
      <c r="BC407" s="220"/>
    </row>
    <row r="408" spans="15:55" x14ac:dyDescent="0.25">
      <c r="O408" s="195">
        <v>860</v>
      </c>
      <c r="P408" s="202">
        <f t="shared" si="81"/>
        <v>0</v>
      </c>
      <c r="Q408" s="203">
        <f t="shared" si="81"/>
        <v>0</v>
      </c>
      <c r="R408" s="157">
        <f ca="1"/>
        <v>96.776481719685705</v>
      </c>
      <c r="T408" s="204">
        <v>0</v>
      </c>
      <c r="U408" s="206">
        <v>0</v>
      </c>
      <c r="V408" s="206">
        <v>0</v>
      </c>
      <c r="W408" s="206">
        <v>0</v>
      </c>
      <c r="X408" s="206">
        <f t="array" ref="X408">IF(X$78&gt;" ",(X$628:X$1078),"")</f>
        <v>0</v>
      </c>
      <c r="Y408" s="206">
        <f t="array" ref="Y408">IF(Y$78&gt;" ",(Y$628:Y$1078),"")</f>
        <v>0</v>
      </c>
      <c r="Z408" s="206">
        <f t="array" ref="Z408">IF(Z$78&gt;" ",(Z$628:Z$1078),"")</f>
        <v>0</v>
      </c>
      <c r="AA408" s="206">
        <f t="array" ref="AA408">IF(AA$78&gt;" ",(AA$628:AA$1078),"")</f>
        <v>0</v>
      </c>
      <c r="AB408" s="210">
        <v>0</v>
      </c>
      <c r="AC408" s="204">
        <f t="shared" si="82"/>
        <v>0</v>
      </c>
      <c r="AD408" s="206">
        <f t="shared" si="83"/>
        <v>0</v>
      </c>
      <c r="AE408" s="206">
        <f t="shared" si="84"/>
        <v>0</v>
      </c>
      <c r="AF408" s="206">
        <f t="shared" si="85"/>
        <v>0</v>
      </c>
      <c r="AG408" s="206">
        <f t="shared" si="86"/>
        <v>0</v>
      </c>
      <c r="AH408" s="206">
        <f t="shared" si="87"/>
        <v>0</v>
      </c>
      <c r="AI408" s="206">
        <f t="shared" si="88"/>
        <v>0</v>
      </c>
      <c r="AJ408" s="206">
        <f t="shared" si="89"/>
        <v>0</v>
      </c>
      <c r="AK408" s="206">
        <f t="shared" si="90"/>
        <v>0</v>
      </c>
      <c r="AL408" s="206">
        <f t="shared" si="91"/>
        <v>0</v>
      </c>
      <c r="AM408" s="214">
        <f t="shared" si="92"/>
        <v>0</v>
      </c>
      <c r="AN408" s="4"/>
      <c r="AO408" s="167">
        <v>860</v>
      </c>
      <c r="AP408" s="215">
        <v>5.3854800007240543E-3</v>
      </c>
      <c r="AQ408" s="190">
        <v>4.6673838447833828E-3</v>
      </c>
      <c r="AR408" s="190">
        <v>4.9688120997606203E-3</v>
      </c>
      <c r="AS408" s="170">
        <v>5.1354824072488607E-3</v>
      </c>
      <c r="AU408" s="216">
        <v>96.734214332506269</v>
      </c>
      <c r="AV408" s="217">
        <v>96.776481719685705</v>
      </c>
      <c r="AW408" s="217">
        <v>94.592849128538433</v>
      </c>
      <c r="AX408" s="217">
        <v>94.819112890141085</v>
      </c>
      <c r="AY408" s="217"/>
      <c r="AZ408" s="218">
        <v>0</v>
      </c>
      <c r="BA408" s="8"/>
      <c r="BB408" s="219"/>
      <c r="BC408" s="220"/>
    </row>
    <row r="409" spans="15:55" x14ac:dyDescent="0.25">
      <c r="O409" s="195">
        <v>855</v>
      </c>
      <c r="P409" s="202">
        <f t="shared" si="81"/>
        <v>0</v>
      </c>
      <c r="Q409" s="203">
        <f t="shared" si="81"/>
        <v>0</v>
      </c>
      <c r="R409" s="157">
        <f ca="1"/>
        <v>96.785263395063041</v>
      </c>
      <c r="T409" s="204">
        <v>0</v>
      </c>
      <c r="U409" s="206">
        <v>0</v>
      </c>
      <c r="V409" s="206">
        <v>0</v>
      </c>
      <c r="W409" s="206">
        <v>0</v>
      </c>
      <c r="X409" s="206">
        <f t="array" ref="X409">IF(X$78&gt;" ",(X$628:X$1078),"")</f>
        <v>0</v>
      </c>
      <c r="Y409" s="206">
        <f t="array" ref="Y409">IF(Y$78&gt;" ",(Y$628:Y$1078),"")</f>
        <v>0</v>
      </c>
      <c r="Z409" s="206">
        <f t="array" ref="Z409">IF(Z$78&gt;" ",(Z$628:Z$1078),"")</f>
        <v>0</v>
      </c>
      <c r="AA409" s="206">
        <f t="array" ref="AA409">IF(AA$78&gt;" ",(AA$628:AA$1078),"")</f>
        <v>0</v>
      </c>
      <c r="AB409" s="210">
        <v>0</v>
      </c>
      <c r="AC409" s="204">
        <f t="shared" si="82"/>
        <v>0</v>
      </c>
      <c r="AD409" s="206">
        <f t="shared" si="83"/>
        <v>0</v>
      </c>
      <c r="AE409" s="206">
        <f t="shared" si="84"/>
        <v>0</v>
      </c>
      <c r="AF409" s="206">
        <f t="shared" si="85"/>
        <v>0</v>
      </c>
      <c r="AG409" s="206">
        <f t="shared" si="86"/>
        <v>0</v>
      </c>
      <c r="AH409" s="206">
        <f t="shared" si="87"/>
        <v>0</v>
      </c>
      <c r="AI409" s="206">
        <f t="shared" si="88"/>
        <v>0</v>
      </c>
      <c r="AJ409" s="206">
        <f t="shared" si="89"/>
        <v>0</v>
      </c>
      <c r="AK409" s="206">
        <f t="shared" si="90"/>
        <v>0</v>
      </c>
      <c r="AL409" s="206">
        <f t="shared" si="91"/>
        <v>0</v>
      </c>
      <c r="AM409" s="214">
        <f t="shared" si="92"/>
        <v>0</v>
      </c>
      <c r="AN409" s="4"/>
      <c r="AO409" s="167">
        <v>855</v>
      </c>
      <c r="AP409" s="215">
        <v>5.3600456312407532E-3</v>
      </c>
      <c r="AQ409" s="190">
        <v>4.7468520491226185E-3</v>
      </c>
      <c r="AR409" s="190">
        <v>4.5908814838502331E-3</v>
      </c>
      <c r="AS409" s="170">
        <v>4.7427269090788539E-3</v>
      </c>
      <c r="AU409" s="216">
        <v>96.728463781737972</v>
      </c>
      <c r="AV409" s="217">
        <v>96.785263395063041</v>
      </c>
      <c r="AW409" s="217">
        <v>94.630293662508663</v>
      </c>
      <c r="AX409" s="217">
        <v>94.858120247570028</v>
      </c>
      <c r="AY409" s="217"/>
      <c r="AZ409" s="218">
        <v>0</v>
      </c>
      <c r="BA409" s="8"/>
      <c r="BB409" s="219"/>
      <c r="BC409" s="220"/>
    </row>
    <row r="410" spans="15:55" x14ac:dyDescent="0.25">
      <c r="O410" s="195">
        <v>850</v>
      </c>
      <c r="P410" s="202">
        <f t="shared" si="81"/>
        <v>0</v>
      </c>
      <c r="Q410" s="203">
        <f t="shared" si="81"/>
        <v>0</v>
      </c>
      <c r="R410" s="157">
        <f ca="1"/>
        <v>96.777263011018064</v>
      </c>
      <c r="T410" s="204">
        <v>0</v>
      </c>
      <c r="U410" s="206">
        <v>0</v>
      </c>
      <c r="V410" s="206">
        <v>0</v>
      </c>
      <c r="W410" s="206">
        <v>0</v>
      </c>
      <c r="X410" s="206">
        <f t="array" ref="X410">IF(X$78&gt;" ",(X$628:X$1078),"")</f>
        <v>0</v>
      </c>
      <c r="Y410" s="206">
        <f t="array" ref="Y410">IF(Y$78&gt;" ",(Y$628:Y$1078),"")</f>
        <v>0</v>
      </c>
      <c r="Z410" s="206">
        <f t="array" ref="Z410">IF(Z$78&gt;" ",(Z$628:Z$1078),"")</f>
        <v>0</v>
      </c>
      <c r="AA410" s="206">
        <f t="array" ref="AA410">IF(AA$78&gt;" ",(AA$628:AA$1078),"")</f>
        <v>0</v>
      </c>
      <c r="AB410" s="210">
        <v>0</v>
      </c>
      <c r="AC410" s="204">
        <f t="shared" si="82"/>
        <v>0</v>
      </c>
      <c r="AD410" s="206">
        <f t="shared" si="83"/>
        <v>0</v>
      </c>
      <c r="AE410" s="206">
        <f t="shared" si="84"/>
        <v>0</v>
      </c>
      <c r="AF410" s="206">
        <f t="shared" si="85"/>
        <v>0</v>
      </c>
      <c r="AG410" s="206">
        <f t="shared" si="86"/>
        <v>0</v>
      </c>
      <c r="AH410" s="206">
        <f t="shared" si="87"/>
        <v>0</v>
      </c>
      <c r="AI410" s="206">
        <f t="shared" si="88"/>
        <v>0</v>
      </c>
      <c r="AJ410" s="206">
        <f t="shared" si="89"/>
        <v>0</v>
      </c>
      <c r="AK410" s="206">
        <f t="shared" si="90"/>
        <v>0</v>
      </c>
      <c r="AL410" s="206">
        <f t="shared" si="91"/>
        <v>0</v>
      </c>
      <c r="AM410" s="214">
        <f t="shared" si="92"/>
        <v>0</v>
      </c>
      <c r="AN410" s="4"/>
      <c r="AO410" s="167">
        <v>850</v>
      </c>
      <c r="AP410" s="215">
        <v>5.3346112617574512E-3</v>
      </c>
      <c r="AQ410" s="190">
        <v>4.8263202534618542E-3</v>
      </c>
      <c r="AR410" s="190">
        <v>4.4939349394815227E-3</v>
      </c>
      <c r="AS410" s="170">
        <v>4.6394173266306018E-3</v>
      </c>
      <c r="AU410" s="216">
        <v>96.713643874128664</v>
      </c>
      <c r="AV410" s="217">
        <v>96.777263011018064</v>
      </c>
      <c r="AW410" s="217">
        <v>94.681967519117734</v>
      </c>
      <c r="AX410" s="217">
        <v>94.912185110924881</v>
      </c>
      <c r="AY410" s="217"/>
      <c r="AZ410" s="218">
        <v>0</v>
      </c>
      <c r="BA410" s="8"/>
      <c r="BB410" s="219"/>
      <c r="BC410" s="220"/>
    </row>
    <row r="411" spans="15:55" x14ac:dyDescent="0.25">
      <c r="O411" s="195">
        <v>845</v>
      </c>
      <c r="P411" s="202">
        <f t="shared" si="81"/>
        <v>0</v>
      </c>
      <c r="Q411" s="203">
        <f t="shared" si="81"/>
        <v>0</v>
      </c>
      <c r="R411" s="157">
        <f ca="1"/>
        <v>96.779630474342738</v>
      </c>
      <c r="T411" s="204">
        <v>0</v>
      </c>
      <c r="U411" s="206">
        <v>0</v>
      </c>
      <c r="V411" s="206">
        <v>0</v>
      </c>
      <c r="W411" s="206">
        <v>0</v>
      </c>
      <c r="X411" s="206">
        <f t="array" ref="X411">IF(X$78&gt;" ",(X$628:X$1078),"")</f>
        <v>0</v>
      </c>
      <c r="Y411" s="206">
        <f t="array" ref="Y411">IF(Y$78&gt;" ",(Y$628:Y$1078),"")</f>
        <v>0</v>
      </c>
      <c r="Z411" s="206">
        <f t="array" ref="Z411">IF(Z$78&gt;" ",(Z$628:Z$1078),"")</f>
        <v>0</v>
      </c>
      <c r="AA411" s="206">
        <f t="array" ref="AA411">IF(AA$78&gt;" ",(AA$628:AA$1078),"")</f>
        <v>0</v>
      </c>
      <c r="AB411" s="210">
        <v>0</v>
      </c>
      <c r="AC411" s="204">
        <f t="shared" si="82"/>
        <v>0</v>
      </c>
      <c r="AD411" s="206">
        <f t="shared" si="83"/>
        <v>0</v>
      </c>
      <c r="AE411" s="206">
        <f t="shared" si="84"/>
        <v>0</v>
      </c>
      <c r="AF411" s="206">
        <f t="shared" si="85"/>
        <v>0</v>
      </c>
      <c r="AG411" s="206">
        <f t="shared" si="86"/>
        <v>0</v>
      </c>
      <c r="AH411" s="206">
        <f t="shared" si="87"/>
        <v>0</v>
      </c>
      <c r="AI411" s="206">
        <f t="shared" si="88"/>
        <v>0</v>
      </c>
      <c r="AJ411" s="206">
        <f t="shared" si="89"/>
        <v>0</v>
      </c>
      <c r="AK411" s="206">
        <f t="shared" si="90"/>
        <v>0</v>
      </c>
      <c r="AL411" s="206">
        <f t="shared" si="91"/>
        <v>0</v>
      </c>
      <c r="AM411" s="214">
        <f t="shared" si="92"/>
        <v>0</v>
      </c>
      <c r="AN411" s="4"/>
      <c r="AO411" s="167">
        <v>845</v>
      </c>
      <c r="AP411" s="215">
        <v>5.3091768922741492E-3</v>
      </c>
      <c r="AQ411" s="190">
        <v>4.8225517750992153E-3</v>
      </c>
      <c r="AR411" s="190">
        <v>5.1113154746262445E-3</v>
      </c>
      <c r="AS411" s="170">
        <v>5.2732658265270812E-3</v>
      </c>
      <c r="AU411" s="216">
        <v>96.718749893149933</v>
      </c>
      <c r="AV411" s="217">
        <v>96.779630474342738</v>
      </c>
      <c r="AW411" s="217">
        <v>94.637271024193907</v>
      </c>
      <c r="AX411" s="217">
        <v>94.884445488334379</v>
      </c>
      <c r="AY411" s="217"/>
      <c r="AZ411" s="218">
        <v>0</v>
      </c>
      <c r="BA411" s="8"/>
      <c r="BB411" s="219"/>
      <c r="BC411" s="220"/>
    </row>
    <row r="412" spans="15:55" x14ac:dyDescent="0.25">
      <c r="O412" s="195">
        <v>840</v>
      </c>
      <c r="P412" s="202">
        <f t="shared" si="81"/>
        <v>0</v>
      </c>
      <c r="Q412" s="203">
        <f t="shared" si="81"/>
        <v>0</v>
      </c>
      <c r="R412" s="157">
        <f ca="1"/>
        <v>96.821578545330908</v>
      </c>
      <c r="T412" s="204">
        <v>0</v>
      </c>
      <c r="U412" s="206">
        <v>0</v>
      </c>
      <c r="V412" s="206">
        <v>0</v>
      </c>
      <c r="W412" s="206">
        <v>0</v>
      </c>
      <c r="X412" s="206">
        <f t="array" ref="X412">IF(X$78&gt;" ",(X$628:X$1078),"")</f>
        <v>0</v>
      </c>
      <c r="Y412" s="206">
        <f t="array" ref="Y412">IF(Y$78&gt;" ",(Y$628:Y$1078),"")</f>
        <v>0</v>
      </c>
      <c r="Z412" s="206">
        <f t="array" ref="Z412">IF(Z$78&gt;" ",(Z$628:Z$1078),"")</f>
        <v>0</v>
      </c>
      <c r="AA412" s="206">
        <f t="array" ref="AA412">IF(AA$78&gt;" ",(AA$628:AA$1078),"")</f>
        <v>0</v>
      </c>
      <c r="AB412" s="210">
        <v>0</v>
      </c>
      <c r="AC412" s="204">
        <f t="shared" si="82"/>
        <v>0</v>
      </c>
      <c r="AD412" s="206">
        <f t="shared" si="83"/>
        <v>0</v>
      </c>
      <c r="AE412" s="206">
        <f t="shared" si="84"/>
        <v>0</v>
      </c>
      <c r="AF412" s="206">
        <f t="shared" si="85"/>
        <v>0</v>
      </c>
      <c r="AG412" s="206">
        <f t="shared" si="86"/>
        <v>0</v>
      </c>
      <c r="AH412" s="206">
        <f t="shared" si="87"/>
        <v>0</v>
      </c>
      <c r="AI412" s="206">
        <f t="shared" si="88"/>
        <v>0</v>
      </c>
      <c r="AJ412" s="206">
        <f t="shared" si="89"/>
        <v>0</v>
      </c>
      <c r="AK412" s="206">
        <f t="shared" si="90"/>
        <v>0</v>
      </c>
      <c r="AL412" s="206">
        <f t="shared" si="91"/>
        <v>0</v>
      </c>
      <c r="AM412" s="214">
        <f t="shared" si="92"/>
        <v>0</v>
      </c>
      <c r="AN412" s="4"/>
      <c r="AO412" s="167">
        <v>840</v>
      </c>
      <c r="AP412" s="215">
        <v>5.2837425227908472E-3</v>
      </c>
      <c r="AQ412" s="190">
        <v>4.8187832967365755E-3</v>
      </c>
      <c r="AR412" s="190">
        <v>5.1072927964366721E-3</v>
      </c>
      <c r="AS412" s="170">
        <v>5.2675574964026386E-3</v>
      </c>
      <c r="AU412" s="216">
        <v>96.706941059261581</v>
      </c>
      <c r="AV412" s="217">
        <v>96.821578545330908</v>
      </c>
      <c r="AW412" s="217">
        <v>94.635296048253736</v>
      </c>
      <c r="AX412" s="217">
        <v>94.870563305095814</v>
      </c>
      <c r="AY412" s="217"/>
      <c r="AZ412" s="218">
        <v>0</v>
      </c>
      <c r="BA412" s="8"/>
      <c r="BB412" s="219"/>
      <c r="BC412" s="220"/>
    </row>
    <row r="413" spans="15:55" x14ac:dyDescent="0.25">
      <c r="O413" s="195">
        <v>835</v>
      </c>
      <c r="P413" s="202">
        <f t="shared" si="81"/>
        <v>0</v>
      </c>
      <c r="Q413" s="203">
        <f t="shared" si="81"/>
        <v>0</v>
      </c>
      <c r="R413" s="157">
        <f ca="1"/>
        <v>96.835562049718234</v>
      </c>
      <c r="T413" s="204">
        <v>0</v>
      </c>
      <c r="U413" s="206">
        <v>0</v>
      </c>
      <c r="V413" s="206">
        <v>0</v>
      </c>
      <c r="W413" s="206">
        <v>0</v>
      </c>
      <c r="X413" s="206">
        <f t="array" ref="X413">IF(X$78&gt;" ",(X$628:X$1078),"")</f>
        <v>0</v>
      </c>
      <c r="Y413" s="206">
        <f t="array" ref="Y413">IF(Y$78&gt;" ",(Y$628:Y$1078),"")</f>
        <v>0</v>
      </c>
      <c r="Z413" s="206">
        <f t="array" ref="Z413">IF(Z$78&gt;" ",(Z$628:Z$1078),"")</f>
        <v>0</v>
      </c>
      <c r="AA413" s="206">
        <f t="array" ref="AA413">IF(AA$78&gt;" ",(AA$628:AA$1078),"")</f>
        <v>0</v>
      </c>
      <c r="AB413" s="210">
        <v>0</v>
      </c>
      <c r="AC413" s="204">
        <f t="shared" si="82"/>
        <v>0</v>
      </c>
      <c r="AD413" s="206">
        <f t="shared" si="83"/>
        <v>0</v>
      </c>
      <c r="AE413" s="206">
        <f t="shared" si="84"/>
        <v>0</v>
      </c>
      <c r="AF413" s="206">
        <f t="shared" si="85"/>
        <v>0</v>
      </c>
      <c r="AG413" s="206">
        <f t="shared" si="86"/>
        <v>0</v>
      </c>
      <c r="AH413" s="206">
        <f t="shared" si="87"/>
        <v>0</v>
      </c>
      <c r="AI413" s="206">
        <f t="shared" si="88"/>
        <v>0</v>
      </c>
      <c r="AJ413" s="206">
        <f t="shared" si="89"/>
        <v>0</v>
      </c>
      <c r="AK413" s="206">
        <f t="shared" si="90"/>
        <v>0</v>
      </c>
      <c r="AL413" s="206">
        <f t="shared" si="91"/>
        <v>0</v>
      </c>
      <c r="AM413" s="214">
        <f t="shared" si="92"/>
        <v>0</v>
      </c>
      <c r="AN413" s="4"/>
      <c r="AO413" s="167">
        <v>835</v>
      </c>
      <c r="AP413" s="215">
        <v>5.1504267887199301E-3</v>
      </c>
      <c r="AQ413" s="190">
        <v>4.8150148183739357E-3</v>
      </c>
      <c r="AR413" s="190">
        <v>5.0444384497245935E-3</v>
      </c>
      <c r="AS413" s="170">
        <v>5.200008923263397E-3</v>
      </c>
      <c r="AU413" s="216">
        <v>96.709496757028489</v>
      </c>
      <c r="AV413" s="217">
        <v>96.835562049718234</v>
      </c>
      <c r="AW413" s="217">
        <v>94.648939899571829</v>
      </c>
      <c r="AX413" s="217">
        <v>94.889230030655654</v>
      </c>
      <c r="AY413" s="217"/>
      <c r="AZ413" s="218">
        <v>0</v>
      </c>
      <c r="BA413" s="8"/>
      <c r="BB413" s="219"/>
      <c r="BC413" s="220"/>
    </row>
    <row r="414" spans="15:55" x14ac:dyDescent="0.25">
      <c r="O414" s="195">
        <v>830</v>
      </c>
      <c r="P414" s="202">
        <f t="shared" si="81"/>
        <v>0</v>
      </c>
      <c r="Q414" s="203">
        <f t="shared" si="81"/>
        <v>0</v>
      </c>
      <c r="R414" s="157">
        <f ca="1"/>
        <v>96.779312601034292</v>
      </c>
      <c r="T414" s="204">
        <v>0</v>
      </c>
      <c r="U414" s="206">
        <v>0</v>
      </c>
      <c r="V414" s="206">
        <v>0</v>
      </c>
      <c r="W414" s="206">
        <v>0</v>
      </c>
      <c r="X414" s="206">
        <f t="array" ref="X414">IF(X$78&gt;" ",(X$628:X$1078),"")</f>
        <v>0</v>
      </c>
      <c r="Y414" s="206">
        <f t="array" ref="Y414">IF(Y$78&gt;" ",(Y$628:Y$1078),"")</f>
        <v>0</v>
      </c>
      <c r="Z414" s="206">
        <f t="array" ref="Z414">IF(Z$78&gt;" ",(Z$628:Z$1078),"")</f>
        <v>0</v>
      </c>
      <c r="AA414" s="206">
        <f t="array" ref="AA414">IF(AA$78&gt;" ",(AA$628:AA$1078),"")</f>
        <v>0</v>
      </c>
      <c r="AB414" s="210">
        <v>0</v>
      </c>
      <c r="AC414" s="204">
        <f t="shared" si="82"/>
        <v>0</v>
      </c>
      <c r="AD414" s="206">
        <f t="shared" si="83"/>
        <v>0</v>
      </c>
      <c r="AE414" s="206">
        <f t="shared" si="84"/>
        <v>0</v>
      </c>
      <c r="AF414" s="206">
        <f t="shared" si="85"/>
        <v>0</v>
      </c>
      <c r="AG414" s="206">
        <f t="shared" si="86"/>
        <v>0</v>
      </c>
      <c r="AH414" s="206">
        <f t="shared" si="87"/>
        <v>0</v>
      </c>
      <c r="AI414" s="206">
        <f t="shared" si="88"/>
        <v>0</v>
      </c>
      <c r="AJ414" s="206">
        <f t="shared" si="89"/>
        <v>0</v>
      </c>
      <c r="AK414" s="206">
        <f t="shared" si="90"/>
        <v>0</v>
      </c>
      <c r="AL414" s="206">
        <f t="shared" si="91"/>
        <v>0</v>
      </c>
      <c r="AM414" s="214">
        <f t="shared" si="92"/>
        <v>0</v>
      </c>
      <c r="AN414" s="4"/>
      <c r="AO414" s="167">
        <v>830</v>
      </c>
      <c r="AP414" s="215">
        <v>4.9233672356962729E-3</v>
      </c>
      <c r="AQ414" s="190">
        <v>4.8112463400112968E-3</v>
      </c>
      <c r="AR414" s="190">
        <v>4.606016810538501E-3</v>
      </c>
      <c r="AS414" s="170">
        <v>4.7530242889111821E-3</v>
      </c>
      <c r="AU414" s="216">
        <v>96.748109252742395</v>
      </c>
      <c r="AV414" s="217">
        <v>96.779312601034292</v>
      </c>
      <c r="AW414" s="217">
        <v>94.693170435674645</v>
      </c>
      <c r="AX414" s="217">
        <v>94.949546794926277</v>
      </c>
      <c r="AY414" s="217"/>
      <c r="AZ414" s="218">
        <v>0</v>
      </c>
      <c r="BA414" s="8"/>
      <c r="BB414" s="219"/>
      <c r="BC414" s="220"/>
    </row>
    <row r="415" spans="15:55" x14ac:dyDescent="0.25">
      <c r="O415" s="195">
        <v>825</v>
      </c>
      <c r="P415" s="202">
        <f t="shared" si="81"/>
        <v>0</v>
      </c>
      <c r="Q415" s="203">
        <f t="shared" si="81"/>
        <v>0</v>
      </c>
      <c r="R415" s="157">
        <f ca="1"/>
        <v>96.749740798638939</v>
      </c>
      <c r="T415" s="204">
        <v>0</v>
      </c>
      <c r="U415" s="206">
        <v>0</v>
      </c>
      <c r="V415" s="206">
        <v>0</v>
      </c>
      <c r="W415" s="206">
        <v>0</v>
      </c>
      <c r="X415" s="206">
        <f t="array" ref="X415">IF(X$78&gt;" ",(X$628:X$1078),"")</f>
        <v>0</v>
      </c>
      <c r="Y415" s="206">
        <f t="array" ref="Y415">IF(Y$78&gt;" ",(Y$628:Y$1078),"")</f>
        <v>0</v>
      </c>
      <c r="Z415" s="206">
        <f t="array" ref="Z415">IF(Z$78&gt;" ",(Z$628:Z$1078),"")</f>
        <v>0</v>
      </c>
      <c r="AA415" s="206">
        <f t="array" ref="AA415">IF(AA$78&gt;" ",(AA$628:AA$1078),"")</f>
        <v>0</v>
      </c>
      <c r="AB415" s="210">
        <v>0</v>
      </c>
      <c r="AC415" s="204">
        <f t="shared" si="82"/>
        <v>0</v>
      </c>
      <c r="AD415" s="206">
        <f t="shared" si="83"/>
        <v>0</v>
      </c>
      <c r="AE415" s="206">
        <f t="shared" si="84"/>
        <v>0</v>
      </c>
      <c r="AF415" s="206">
        <f t="shared" si="85"/>
        <v>0</v>
      </c>
      <c r="AG415" s="206">
        <f t="shared" si="86"/>
        <v>0</v>
      </c>
      <c r="AH415" s="206">
        <f t="shared" si="87"/>
        <v>0</v>
      </c>
      <c r="AI415" s="206">
        <f t="shared" si="88"/>
        <v>0</v>
      </c>
      <c r="AJ415" s="206">
        <f t="shared" si="89"/>
        <v>0</v>
      </c>
      <c r="AK415" s="206">
        <f t="shared" si="90"/>
        <v>0</v>
      </c>
      <c r="AL415" s="206">
        <f t="shared" si="91"/>
        <v>0</v>
      </c>
      <c r="AM415" s="214">
        <f t="shared" si="92"/>
        <v>0</v>
      </c>
      <c r="AN415" s="4"/>
      <c r="AO415" s="167">
        <v>825</v>
      </c>
      <c r="AP415" s="215">
        <v>4.4774399785215014E-3</v>
      </c>
      <c r="AQ415" s="190">
        <v>4.807477861648657E-3</v>
      </c>
      <c r="AR415" s="190">
        <v>4.874228878828284E-3</v>
      </c>
      <c r="AS415" s="170">
        <v>5.0228827973431821E-3</v>
      </c>
      <c r="AU415" s="216">
        <v>96.715126550846364</v>
      </c>
      <c r="AV415" s="217">
        <v>96.749740798638939</v>
      </c>
      <c r="AW415" s="217">
        <v>94.738748700578412</v>
      </c>
      <c r="AX415" s="217">
        <v>94.954890478841648</v>
      </c>
      <c r="AY415" s="217"/>
      <c r="AZ415" s="218">
        <v>0</v>
      </c>
      <c r="BA415" s="8"/>
      <c r="BB415" s="219"/>
      <c r="BC415" s="220"/>
    </row>
    <row r="416" spans="15:55" x14ac:dyDescent="0.25">
      <c r="O416" s="195">
        <v>820</v>
      </c>
      <c r="P416" s="202">
        <f t="shared" ref="P416:Q431" si="93">P964</f>
        <v>0</v>
      </c>
      <c r="Q416" s="203">
        <f t="shared" si="93"/>
        <v>0</v>
      </c>
      <c r="R416" s="157">
        <f ca="1"/>
        <v>96.715323437590087</v>
      </c>
      <c r="T416" s="204">
        <v>0</v>
      </c>
      <c r="U416" s="206">
        <v>0</v>
      </c>
      <c r="V416" s="206">
        <v>0</v>
      </c>
      <c r="W416" s="206">
        <v>0</v>
      </c>
      <c r="X416" s="206">
        <f t="array" ref="X416">IF(X$78&gt;" ",(X$628:X$1078),"")</f>
        <v>0</v>
      </c>
      <c r="Y416" s="206">
        <f t="array" ref="Y416">IF(Y$78&gt;" ",(Y$628:Y$1078),"")</f>
        <v>0</v>
      </c>
      <c r="Z416" s="206">
        <f t="array" ref="Z416">IF(Z$78&gt;" ",(Z$628:Z$1078),"")</f>
        <v>0</v>
      </c>
      <c r="AA416" s="206">
        <f t="array" ref="AA416">IF(AA$78&gt;" ",(AA$628:AA$1078),"")</f>
        <v>0</v>
      </c>
      <c r="AB416" s="210">
        <v>0</v>
      </c>
      <c r="AC416" s="204">
        <f t="shared" si="82"/>
        <v>0</v>
      </c>
      <c r="AD416" s="206">
        <f t="shared" si="83"/>
        <v>0</v>
      </c>
      <c r="AE416" s="206">
        <f t="shared" si="84"/>
        <v>0</v>
      </c>
      <c r="AF416" s="206">
        <f t="shared" si="85"/>
        <v>0</v>
      </c>
      <c r="AG416" s="206">
        <f t="shared" si="86"/>
        <v>0</v>
      </c>
      <c r="AH416" s="206">
        <f t="shared" si="87"/>
        <v>0</v>
      </c>
      <c r="AI416" s="206">
        <f t="shared" si="88"/>
        <v>0</v>
      </c>
      <c r="AJ416" s="206">
        <f t="shared" si="89"/>
        <v>0</v>
      </c>
      <c r="AK416" s="206">
        <f t="shared" si="90"/>
        <v>0</v>
      </c>
      <c r="AL416" s="206">
        <f t="shared" si="91"/>
        <v>0</v>
      </c>
      <c r="AM416" s="214">
        <f t="shared" si="92"/>
        <v>0</v>
      </c>
      <c r="AN416" s="4"/>
      <c r="AO416" s="167">
        <v>820</v>
      </c>
      <c r="AP416" s="215">
        <v>4.525930438783173E-3</v>
      </c>
      <c r="AQ416" s="190">
        <v>4.8037093832860173E-3</v>
      </c>
      <c r="AR416" s="190">
        <v>4.3338323475365153E-3</v>
      </c>
      <c r="AS416" s="170">
        <v>4.4714693001261571E-3</v>
      </c>
      <c r="AU416" s="216">
        <v>96.69138126999394</v>
      </c>
      <c r="AV416" s="217">
        <v>96.715323437590087</v>
      </c>
      <c r="AW416" s="217">
        <v>94.749604497382606</v>
      </c>
      <c r="AX416" s="217">
        <v>94.959771145488233</v>
      </c>
      <c r="AY416" s="217"/>
      <c r="AZ416" s="218">
        <v>0</v>
      </c>
      <c r="BA416" s="8"/>
      <c r="BB416" s="219"/>
      <c r="BC416" s="220"/>
    </row>
    <row r="417" spans="15:55" x14ac:dyDescent="0.25">
      <c r="O417" s="195">
        <v>815</v>
      </c>
      <c r="P417" s="202">
        <f t="shared" si="93"/>
        <v>0</v>
      </c>
      <c r="Q417" s="203">
        <f t="shared" si="93"/>
        <v>0</v>
      </c>
      <c r="R417" s="157">
        <f ca="1"/>
        <v>96.699015438454452</v>
      </c>
      <c r="T417" s="204">
        <v>0</v>
      </c>
      <c r="U417" s="206">
        <v>0</v>
      </c>
      <c r="V417" s="206">
        <v>0</v>
      </c>
      <c r="W417" s="206">
        <v>0</v>
      </c>
      <c r="X417" s="206">
        <f t="array" ref="X417">IF(X$78&gt;" ",(X$628:X$1078),"")</f>
        <v>0</v>
      </c>
      <c r="Y417" s="206">
        <f t="array" ref="Y417">IF(Y$78&gt;" ",(Y$628:Y$1078),"")</f>
        <v>0</v>
      </c>
      <c r="Z417" s="206">
        <f t="array" ref="Z417">IF(Z$78&gt;" ",(Z$628:Z$1078),"")</f>
        <v>0</v>
      </c>
      <c r="AA417" s="206">
        <f t="array" ref="AA417">IF(AA$78&gt;" ",(AA$628:AA$1078),"")</f>
        <v>0</v>
      </c>
      <c r="AB417" s="210">
        <v>0</v>
      </c>
      <c r="AC417" s="204">
        <f t="shared" si="82"/>
        <v>0</v>
      </c>
      <c r="AD417" s="206">
        <f t="shared" si="83"/>
        <v>0</v>
      </c>
      <c r="AE417" s="206">
        <f t="shared" si="84"/>
        <v>0</v>
      </c>
      <c r="AF417" s="206">
        <f t="shared" si="85"/>
        <v>0</v>
      </c>
      <c r="AG417" s="206">
        <f t="shared" si="86"/>
        <v>0</v>
      </c>
      <c r="AH417" s="206">
        <f t="shared" si="87"/>
        <v>0</v>
      </c>
      <c r="AI417" s="206">
        <f t="shared" si="88"/>
        <v>0</v>
      </c>
      <c r="AJ417" s="206">
        <f t="shared" si="89"/>
        <v>0</v>
      </c>
      <c r="AK417" s="206">
        <f t="shared" si="90"/>
        <v>0</v>
      </c>
      <c r="AL417" s="206">
        <f t="shared" si="91"/>
        <v>0</v>
      </c>
      <c r="AM417" s="214">
        <f t="shared" si="92"/>
        <v>0</v>
      </c>
      <c r="AN417" s="4"/>
      <c r="AO417" s="167">
        <v>815</v>
      </c>
      <c r="AP417" s="215">
        <v>4.7703646390123066E-3</v>
      </c>
      <c r="AQ417" s="190">
        <v>4.7999409049233775E-3</v>
      </c>
      <c r="AR417" s="190">
        <v>4.5015277445643416E-3</v>
      </c>
      <c r="AS417" s="170">
        <v>4.6409283551929539E-3</v>
      </c>
      <c r="AU417" s="216">
        <v>96.702204782024296</v>
      </c>
      <c r="AV417" s="217">
        <v>96.699015438454452</v>
      </c>
      <c r="AW417" s="217">
        <v>94.807495033576743</v>
      </c>
      <c r="AX417" s="217">
        <v>95.02318331344209</v>
      </c>
      <c r="AY417" s="217"/>
      <c r="AZ417" s="218">
        <v>0</v>
      </c>
      <c r="BA417" s="8"/>
      <c r="BB417" s="219"/>
      <c r="BC417" s="220"/>
    </row>
    <row r="418" spans="15:55" x14ac:dyDescent="0.25">
      <c r="O418" s="195">
        <v>810</v>
      </c>
      <c r="P418" s="202">
        <f t="shared" si="93"/>
        <v>0</v>
      </c>
      <c r="Q418" s="203">
        <f t="shared" si="93"/>
        <v>0</v>
      </c>
      <c r="R418" s="157">
        <f ca="1"/>
        <v>96.746103081753631</v>
      </c>
      <c r="T418" s="204">
        <v>0</v>
      </c>
      <c r="U418" s="206">
        <v>0</v>
      </c>
      <c r="V418" s="206">
        <v>0</v>
      </c>
      <c r="W418" s="206">
        <v>0</v>
      </c>
      <c r="X418" s="206">
        <f t="array" ref="X418">IF(X$78&gt;" ",(X$628:X$1078),"")</f>
        <v>0</v>
      </c>
      <c r="Y418" s="206">
        <f t="array" ref="Y418">IF(Y$78&gt;" ",(Y$628:Y$1078),"")</f>
        <v>0</v>
      </c>
      <c r="Z418" s="206">
        <f t="array" ref="Z418">IF(Z$78&gt;" ",(Z$628:Z$1078),"")</f>
        <v>0</v>
      </c>
      <c r="AA418" s="206">
        <f t="array" ref="AA418">IF(AA$78&gt;" ",(AA$628:AA$1078),"")</f>
        <v>0</v>
      </c>
      <c r="AB418" s="210">
        <v>0</v>
      </c>
      <c r="AC418" s="204">
        <f t="shared" si="82"/>
        <v>0</v>
      </c>
      <c r="AD418" s="206">
        <f t="shared" si="83"/>
        <v>0</v>
      </c>
      <c r="AE418" s="206">
        <f t="shared" si="84"/>
        <v>0</v>
      </c>
      <c r="AF418" s="206">
        <f t="shared" si="85"/>
        <v>0</v>
      </c>
      <c r="AG418" s="206">
        <f t="shared" si="86"/>
        <v>0</v>
      </c>
      <c r="AH418" s="206">
        <f t="shared" si="87"/>
        <v>0</v>
      </c>
      <c r="AI418" s="206">
        <f t="shared" si="88"/>
        <v>0</v>
      </c>
      <c r="AJ418" s="206">
        <f t="shared" si="89"/>
        <v>0</v>
      </c>
      <c r="AK418" s="206">
        <f t="shared" si="90"/>
        <v>0</v>
      </c>
      <c r="AL418" s="206">
        <f t="shared" si="91"/>
        <v>0</v>
      </c>
      <c r="AM418" s="214">
        <f t="shared" si="92"/>
        <v>0</v>
      </c>
      <c r="AN418" s="4"/>
      <c r="AO418" s="167">
        <v>810</v>
      </c>
      <c r="AP418" s="215">
        <v>5.1035879108922398E-3</v>
      </c>
      <c r="AQ418" s="190">
        <v>4.7961724265607394E-3</v>
      </c>
      <c r="AR418" s="190">
        <v>5.3094323754627176E-3</v>
      </c>
      <c r="AS418" s="170">
        <v>5.4558204624676008E-3</v>
      </c>
      <c r="AU418" s="216">
        <v>96.716850728099345</v>
      </c>
      <c r="AV418" s="217">
        <v>96.746103081753631</v>
      </c>
      <c r="AW418" s="217">
        <v>94.819803314222966</v>
      </c>
      <c r="AX418" s="217">
        <v>95.040319330438649</v>
      </c>
      <c r="AY418" s="217"/>
      <c r="AZ418" s="218">
        <v>0</v>
      </c>
      <c r="BA418" s="8"/>
      <c r="BB418" s="219"/>
      <c r="BC418" s="220"/>
    </row>
    <row r="419" spans="15:55" x14ac:dyDescent="0.25">
      <c r="O419" s="195">
        <v>805</v>
      </c>
      <c r="P419" s="202">
        <f t="shared" si="93"/>
        <v>0</v>
      </c>
      <c r="Q419" s="203">
        <f t="shared" si="93"/>
        <v>0</v>
      </c>
      <c r="R419" s="157">
        <f ca="1"/>
        <v>96.733601801657301</v>
      </c>
      <c r="T419" s="204">
        <v>0</v>
      </c>
      <c r="U419" s="206">
        <v>0</v>
      </c>
      <c r="V419" s="206">
        <v>0</v>
      </c>
      <c r="W419" s="206">
        <v>0</v>
      </c>
      <c r="X419" s="206">
        <f t="array" ref="X419">IF(X$78&gt;" ",(X$628:X$1078),"")</f>
        <v>0</v>
      </c>
      <c r="Y419" s="206">
        <f t="array" ref="Y419">IF(Y$78&gt;" ",(Y$628:Y$1078),"")</f>
        <v>0</v>
      </c>
      <c r="Z419" s="206">
        <f t="array" ref="Z419">IF(Z$78&gt;" ",(Z$628:Z$1078),"")</f>
        <v>0</v>
      </c>
      <c r="AA419" s="206">
        <f t="array" ref="AA419">IF(AA$78&gt;" ",(AA$628:AA$1078),"")</f>
        <v>0</v>
      </c>
      <c r="AB419" s="210">
        <v>0</v>
      </c>
      <c r="AC419" s="204">
        <f t="shared" si="82"/>
        <v>0</v>
      </c>
      <c r="AD419" s="206">
        <f t="shared" si="83"/>
        <v>0</v>
      </c>
      <c r="AE419" s="206">
        <f t="shared" si="84"/>
        <v>0</v>
      </c>
      <c r="AF419" s="206">
        <f t="shared" si="85"/>
        <v>0</v>
      </c>
      <c r="AG419" s="206">
        <f t="shared" si="86"/>
        <v>0</v>
      </c>
      <c r="AH419" s="206">
        <f t="shared" si="87"/>
        <v>0</v>
      </c>
      <c r="AI419" s="206">
        <f t="shared" si="88"/>
        <v>0</v>
      </c>
      <c r="AJ419" s="206">
        <f t="shared" si="89"/>
        <v>0</v>
      </c>
      <c r="AK419" s="206">
        <f t="shared" si="90"/>
        <v>0</v>
      </c>
      <c r="AL419" s="206">
        <f t="shared" si="91"/>
        <v>0</v>
      </c>
      <c r="AM419" s="214">
        <f t="shared" si="92"/>
        <v>0</v>
      </c>
      <c r="AN419" s="4"/>
      <c r="AO419" s="167">
        <v>805</v>
      </c>
      <c r="AP419" s="215">
        <v>5.4367451194748135E-3</v>
      </c>
      <c r="AQ419" s="190">
        <v>4.7924039481980997E-3</v>
      </c>
      <c r="AR419" s="190">
        <v>5.3023926886309643E-3</v>
      </c>
      <c r="AS419" s="170">
        <v>5.4436203059271245E-3</v>
      </c>
      <c r="AU419" s="216">
        <v>96.694710117979596</v>
      </c>
      <c r="AV419" s="217">
        <v>96.733601801657301</v>
      </c>
      <c r="AW419" s="217">
        <v>94.815150368152146</v>
      </c>
      <c r="AX419" s="217">
        <v>95.051086360102758</v>
      </c>
      <c r="AY419" s="217"/>
      <c r="AZ419" s="218">
        <v>0</v>
      </c>
      <c r="BA419" s="8"/>
      <c r="BB419" s="219"/>
      <c r="BC419" s="220"/>
    </row>
    <row r="420" spans="15:55" x14ac:dyDescent="0.25">
      <c r="O420" s="195">
        <v>800</v>
      </c>
      <c r="P420" s="202">
        <f t="shared" si="93"/>
        <v>0</v>
      </c>
      <c r="Q420" s="203">
        <f t="shared" si="93"/>
        <v>0</v>
      </c>
      <c r="R420" s="157">
        <f ca="1"/>
        <v>96.72852896922889</v>
      </c>
      <c r="T420" s="204">
        <v>0</v>
      </c>
      <c r="U420" s="206">
        <v>0</v>
      </c>
      <c r="V420" s="206">
        <v>0</v>
      </c>
      <c r="W420" s="206">
        <v>0</v>
      </c>
      <c r="X420" s="206">
        <f t="array" ref="X420">IF(X$78&gt;" ",(X$628:X$1078),"")</f>
        <v>0</v>
      </c>
      <c r="Y420" s="206">
        <f t="array" ref="Y420">IF(Y$78&gt;" ",(Y$628:Y$1078),"")</f>
        <v>0</v>
      </c>
      <c r="Z420" s="206">
        <f t="array" ref="Z420">IF(Z$78&gt;" ",(Z$628:Z$1078),"")</f>
        <v>0</v>
      </c>
      <c r="AA420" s="206">
        <f t="array" ref="AA420">IF(AA$78&gt;" ",(AA$628:AA$1078),"")</f>
        <v>0</v>
      </c>
      <c r="AB420" s="210">
        <v>0</v>
      </c>
      <c r="AC420" s="204">
        <f t="shared" si="82"/>
        <v>0</v>
      </c>
      <c r="AD420" s="206">
        <f t="shared" si="83"/>
        <v>0</v>
      </c>
      <c r="AE420" s="206">
        <f t="shared" si="84"/>
        <v>0</v>
      </c>
      <c r="AF420" s="206">
        <f t="shared" si="85"/>
        <v>0</v>
      </c>
      <c r="AG420" s="206">
        <f t="shared" si="86"/>
        <v>0</v>
      </c>
      <c r="AH420" s="206">
        <f t="shared" si="87"/>
        <v>0</v>
      </c>
      <c r="AI420" s="206">
        <f t="shared" si="88"/>
        <v>0</v>
      </c>
      <c r="AJ420" s="206">
        <f t="shared" si="89"/>
        <v>0</v>
      </c>
      <c r="AK420" s="206">
        <f t="shared" si="90"/>
        <v>0</v>
      </c>
      <c r="AL420" s="206">
        <f t="shared" si="91"/>
        <v>0</v>
      </c>
      <c r="AM420" s="214">
        <f t="shared" si="92"/>
        <v>0</v>
      </c>
      <c r="AN420" s="4"/>
      <c r="AO420" s="167">
        <v>800</v>
      </c>
      <c r="AP420" s="215">
        <v>5.7699683913547458E-3</v>
      </c>
      <c r="AQ420" s="190">
        <v>4.7886354698354599E-3</v>
      </c>
      <c r="AR420" s="190">
        <v>5.3929029478963575E-3</v>
      </c>
      <c r="AS420" s="170">
        <v>5.5325471350226134E-3</v>
      </c>
      <c r="AU420" s="216">
        <v>96.692736895329674</v>
      </c>
      <c r="AV420" s="217">
        <v>96.72852896922889</v>
      </c>
      <c r="AW420" s="217">
        <v>94.854078601930382</v>
      </c>
      <c r="AX420" s="217">
        <v>95.112904453343432</v>
      </c>
      <c r="AY420" s="217"/>
      <c r="AZ420" s="218">
        <v>0</v>
      </c>
      <c r="BA420" s="8"/>
      <c r="BB420" s="219"/>
      <c r="BC420" s="220"/>
    </row>
    <row r="421" spans="15:55" x14ac:dyDescent="0.25">
      <c r="O421" s="195">
        <v>795</v>
      </c>
      <c r="P421" s="202">
        <f t="shared" si="93"/>
        <v>0</v>
      </c>
      <c r="Q421" s="203">
        <f t="shared" si="93"/>
        <v>0</v>
      </c>
      <c r="R421" s="157">
        <f ca="1"/>
        <v>96.735078617161165</v>
      </c>
      <c r="T421" s="204">
        <v>0</v>
      </c>
      <c r="U421" s="206">
        <v>0</v>
      </c>
      <c r="V421" s="206">
        <v>0</v>
      </c>
      <c r="W421" s="206">
        <v>0</v>
      </c>
      <c r="X421" s="206">
        <f t="array" ref="X421">IF(X$78&gt;" ",(X$628:X$1078),"")</f>
        <v>0</v>
      </c>
      <c r="Y421" s="206">
        <f t="array" ref="Y421">IF(Y$78&gt;" ",(Y$628:Y$1078),"")</f>
        <v>0</v>
      </c>
      <c r="Z421" s="206">
        <f t="array" ref="Z421">IF(Z$78&gt;" ",(Z$628:Z$1078),"")</f>
        <v>0</v>
      </c>
      <c r="AA421" s="206">
        <f t="array" ref="AA421">IF(AA$78&gt;" ",(AA$628:AA$1078),"")</f>
        <v>0</v>
      </c>
      <c r="AB421" s="210">
        <v>0</v>
      </c>
      <c r="AC421" s="204">
        <f t="shared" si="82"/>
        <v>0</v>
      </c>
      <c r="AD421" s="206">
        <f t="shared" si="83"/>
        <v>0</v>
      </c>
      <c r="AE421" s="206">
        <f t="shared" si="84"/>
        <v>0</v>
      </c>
      <c r="AF421" s="206">
        <f t="shared" si="85"/>
        <v>0</v>
      </c>
      <c r="AG421" s="206">
        <f t="shared" si="86"/>
        <v>0</v>
      </c>
      <c r="AH421" s="206">
        <f t="shared" si="87"/>
        <v>0</v>
      </c>
      <c r="AI421" s="206">
        <f t="shared" si="88"/>
        <v>0</v>
      </c>
      <c r="AJ421" s="206">
        <f t="shared" si="89"/>
        <v>0</v>
      </c>
      <c r="AK421" s="206">
        <f t="shared" si="90"/>
        <v>0</v>
      </c>
      <c r="AL421" s="206">
        <f t="shared" si="91"/>
        <v>0</v>
      </c>
      <c r="AM421" s="214">
        <f t="shared" si="92"/>
        <v>0</v>
      </c>
      <c r="AN421" s="4"/>
      <c r="AO421" s="167">
        <v>795</v>
      </c>
      <c r="AP421" s="215">
        <v>5.8286325994097382E-3</v>
      </c>
      <c r="AQ421" s="190">
        <v>5.2111719375756583E-3</v>
      </c>
      <c r="AR421" s="190">
        <v>5.4969897460515598E-3</v>
      </c>
      <c r="AS421" s="170">
        <v>5.6333383365336116E-3</v>
      </c>
      <c r="AU421" s="216">
        <v>96.706338602233942</v>
      </c>
      <c r="AV421" s="217">
        <v>96.735078617161165</v>
      </c>
      <c r="AW421" s="217">
        <v>94.900480059044114</v>
      </c>
      <c r="AX421" s="217">
        <v>95.141154747735797</v>
      </c>
      <c r="AY421" s="217"/>
      <c r="AZ421" s="218">
        <v>0</v>
      </c>
      <c r="BA421" s="8"/>
      <c r="BB421" s="219"/>
      <c r="BC421" s="220"/>
    </row>
    <row r="422" spans="15:55" x14ac:dyDescent="0.25">
      <c r="O422" s="195">
        <v>790</v>
      </c>
      <c r="P422" s="202">
        <f t="shared" si="93"/>
        <v>0</v>
      </c>
      <c r="Q422" s="203">
        <f t="shared" si="93"/>
        <v>0</v>
      </c>
      <c r="R422" s="157">
        <f ca="1"/>
        <v>96.716975031246861</v>
      </c>
      <c r="T422" s="204">
        <v>0</v>
      </c>
      <c r="U422" s="206">
        <v>0</v>
      </c>
      <c r="V422" s="206">
        <v>0</v>
      </c>
      <c r="W422" s="206">
        <v>0</v>
      </c>
      <c r="X422" s="206">
        <f t="array" ref="X422">IF(X$78&gt;" ",(X$628:X$1078),"")</f>
        <v>0</v>
      </c>
      <c r="Y422" s="206">
        <f t="array" ref="Y422">IF(Y$78&gt;" ",(Y$628:Y$1078),"")</f>
        <v>0</v>
      </c>
      <c r="Z422" s="206">
        <f t="array" ref="Z422">IF(Z$78&gt;" ",(Z$628:Z$1078),"")</f>
        <v>0</v>
      </c>
      <c r="AA422" s="206">
        <f t="array" ref="AA422">IF(AA$78&gt;" ",(AA$628:AA$1078),"")</f>
        <v>0</v>
      </c>
      <c r="AB422" s="210">
        <v>0</v>
      </c>
      <c r="AC422" s="204">
        <f t="shared" si="82"/>
        <v>0</v>
      </c>
      <c r="AD422" s="206">
        <f t="shared" si="83"/>
        <v>0</v>
      </c>
      <c r="AE422" s="206">
        <f t="shared" si="84"/>
        <v>0</v>
      </c>
      <c r="AF422" s="206">
        <f t="shared" si="85"/>
        <v>0</v>
      </c>
      <c r="AG422" s="206">
        <f t="shared" si="86"/>
        <v>0</v>
      </c>
      <c r="AH422" s="206">
        <f t="shared" si="87"/>
        <v>0</v>
      </c>
      <c r="AI422" s="206">
        <f t="shared" si="88"/>
        <v>0</v>
      </c>
      <c r="AJ422" s="206">
        <f t="shared" si="89"/>
        <v>0</v>
      </c>
      <c r="AK422" s="206">
        <f t="shared" si="90"/>
        <v>0</v>
      </c>
      <c r="AL422" s="206">
        <f t="shared" si="91"/>
        <v>0</v>
      </c>
      <c r="AM422" s="214">
        <f t="shared" si="92"/>
        <v>0</v>
      </c>
      <c r="AN422" s="4"/>
      <c r="AO422" s="167">
        <v>790</v>
      </c>
      <c r="AP422" s="215">
        <v>5.8872307441673712E-3</v>
      </c>
      <c r="AQ422" s="190">
        <v>5.6337084053158576E-3</v>
      </c>
      <c r="AR422" s="190">
        <v>5.4859273810302341E-3</v>
      </c>
      <c r="AS422" s="170">
        <v>5.6215858921597577E-3</v>
      </c>
      <c r="AU422" s="216">
        <v>96.686262471439065</v>
      </c>
      <c r="AV422" s="217">
        <v>96.716975031246861</v>
      </c>
      <c r="AW422" s="217">
        <v>94.963478861725093</v>
      </c>
      <c r="AX422" s="217">
        <v>95.209034980422231</v>
      </c>
      <c r="AY422" s="217"/>
      <c r="AZ422" s="218">
        <v>0</v>
      </c>
      <c r="BA422" s="8"/>
      <c r="BB422" s="219"/>
      <c r="BC422" s="220"/>
    </row>
    <row r="423" spans="15:55" x14ac:dyDescent="0.25">
      <c r="O423" s="195">
        <v>785</v>
      </c>
      <c r="P423" s="202">
        <f t="shared" si="93"/>
        <v>0</v>
      </c>
      <c r="Q423" s="203">
        <f t="shared" si="93"/>
        <v>0</v>
      </c>
      <c r="R423" s="157">
        <f ca="1"/>
        <v>96.756808969256141</v>
      </c>
      <c r="T423" s="204">
        <v>0</v>
      </c>
      <c r="U423" s="206">
        <v>0</v>
      </c>
      <c r="V423" s="206">
        <v>0</v>
      </c>
      <c r="W423" s="206">
        <v>0</v>
      </c>
      <c r="X423" s="206">
        <f t="array" ref="X423">IF(X$78&gt;" ",(X$628:X$1078),"")</f>
        <v>0</v>
      </c>
      <c r="Y423" s="206">
        <f t="array" ref="Y423">IF(Y$78&gt;" ",(Y$628:Y$1078),"")</f>
        <v>0</v>
      </c>
      <c r="Z423" s="206">
        <f t="array" ref="Z423">IF(Z$78&gt;" ",(Z$628:Z$1078),"")</f>
        <v>0</v>
      </c>
      <c r="AA423" s="206">
        <f t="array" ref="AA423">IF(AA$78&gt;" ",(AA$628:AA$1078),"")</f>
        <v>0</v>
      </c>
      <c r="AB423" s="210">
        <v>0</v>
      </c>
      <c r="AC423" s="204">
        <f t="shared" si="82"/>
        <v>0</v>
      </c>
      <c r="AD423" s="206">
        <f t="shared" si="83"/>
        <v>0</v>
      </c>
      <c r="AE423" s="206">
        <f t="shared" si="84"/>
        <v>0</v>
      </c>
      <c r="AF423" s="206">
        <f t="shared" si="85"/>
        <v>0</v>
      </c>
      <c r="AG423" s="206">
        <f t="shared" si="86"/>
        <v>0</v>
      </c>
      <c r="AH423" s="206">
        <f t="shared" si="87"/>
        <v>0</v>
      </c>
      <c r="AI423" s="206">
        <f t="shared" si="88"/>
        <v>0</v>
      </c>
      <c r="AJ423" s="206">
        <f t="shared" si="89"/>
        <v>0</v>
      </c>
      <c r="AK423" s="206">
        <f t="shared" si="90"/>
        <v>0</v>
      </c>
      <c r="AL423" s="206">
        <f t="shared" si="91"/>
        <v>0</v>
      </c>
      <c r="AM423" s="214">
        <f t="shared" si="92"/>
        <v>0</v>
      </c>
      <c r="AN423" s="4"/>
      <c r="AO423" s="167">
        <v>785</v>
      </c>
      <c r="AP423" s="215">
        <v>5.9458949522223636E-3</v>
      </c>
      <c r="AQ423" s="190">
        <v>5.6634727145075028E-3</v>
      </c>
      <c r="AR423" s="190">
        <v>5.8258436880491565E-3</v>
      </c>
      <c r="AS423" s="170">
        <v>5.959608577960105E-3</v>
      </c>
      <c r="AU423" s="216">
        <v>96.68306826237</v>
      </c>
      <c r="AV423" s="217">
        <v>96.756808969256141</v>
      </c>
      <c r="AW423" s="217">
        <v>94.947567645505231</v>
      </c>
      <c r="AX423" s="217">
        <v>95.202058712678436</v>
      </c>
      <c r="AY423" s="217"/>
      <c r="AZ423" s="218">
        <v>0</v>
      </c>
      <c r="BA423" s="8"/>
      <c r="BB423" s="219"/>
      <c r="BC423" s="220"/>
    </row>
    <row r="424" spans="15:55" x14ac:dyDescent="0.25">
      <c r="O424" s="195">
        <v>780</v>
      </c>
      <c r="P424" s="202">
        <f t="shared" si="93"/>
        <v>0</v>
      </c>
      <c r="Q424" s="203">
        <f t="shared" si="93"/>
        <v>0</v>
      </c>
      <c r="R424" s="157">
        <f ca="1"/>
        <v>96.791404746683725</v>
      </c>
      <c r="T424" s="204">
        <v>0</v>
      </c>
      <c r="U424" s="206">
        <v>0</v>
      </c>
      <c r="V424" s="206">
        <v>0</v>
      </c>
      <c r="W424" s="206">
        <v>0</v>
      </c>
      <c r="X424" s="206">
        <f t="array" ref="X424">IF(X$78&gt;" ",(X$628:X$1078),"")</f>
        <v>0</v>
      </c>
      <c r="Y424" s="206">
        <f t="array" ref="Y424">IF(Y$78&gt;" ",(Y$628:Y$1078),"")</f>
        <v>0</v>
      </c>
      <c r="Z424" s="206">
        <f t="array" ref="Z424">IF(Z$78&gt;" ",(Z$628:Z$1078),"")</f>
        <v>0</v>
      </c>
      <c r="AA424" s="206">
        <f t="array" ref="AA424">IF(AA$78&gt;" ",(AA$628:AA$1078),"")</f>
        <v>0</v>
      </c>
      <c r="AB424" s="210">
        <v>0</v>
      </c>
      <c r="AC424" s="204">
        <f t="shared" si="82"/>
        <v>0</v>
      </c>
      <c r="AD424" s="206">
        <f t="shared" si="83"/>
        <v>0</v>
      </c>
      <c r="AE424" s="206">
        <f t="shared" si="84"/>
        <v>0</v>
      </c>
      <c r="AF424" s="206">
        <f t="shared" si="85"/>
        <v>0</v>
      </c>
      <c r="AG424" s="206">
        <f t="shared" si="86"/>
        <v>0</v>
      </c>
      <c r="AH424" s="206">
        <f t="shared" si="87"/>
        <v>0</v>
      </c>
      <c r="AI424" s="206">
        <f t="shared" si="88"/>
        <v>0</v>
      </c>
      <c r="AJ424" s="206">
        <f t="shared" si="89"/>
        <v>0</v>
      </c>
      <c r="AK424" s="206">
        <f t="shared" si="90"/>
        <v>0</v>
      </c>
      <c r="AL424" s="206">
        <f t="shared" si="91"/>
        <v>0</v>
      </c>
      <c r="AM424" s="214">
        <f t="shared" si="92"/>
        <v>0</v>
      </c>
      <c r="AN424" s="4"/>
      <c r="AO424" s="167">
        <v>780</v>
      </c>
      <c r="AP424" s="215">
        <v>6.0044930969799966E-3</v>
      </c>
      <c r="AQ424" s="190">
        <v>5.6932370236991471E-3</v>
      </c>
      <c r="AR424" s="190">
        <v>5.8509854267339879E-3</v>
      </c>
      <c r="AS424" s="170">
        <v>5.980874905874697E-3</v>
      </c>
      <c r="AU424" s="216">
        <v>96.693456373099295</v>
      </c>
      <c r="AV424" s="217">
        <v>96.791404746683725</v>
      </c>
      <c r="AW424" s="217">
        <v>94.934118782713767</v>
      </c>
      <c r="AX424" s="217">
        <v>95.192054100844089</v>
      </c>
      <c r="AY424" s="217"/>
      <c r="AZ424" s="218">
        <v>0</v>
      </c>
      <c r="BA424" s="8"/>
      <c r="BB424" s="219"/>
      <c r="BC424" s="220"/>
    </row>
    <row r="425" spans="15:55" x14ac:dyDescent="0.25">
      <c r="O425" s="195">
        <v>775</v>
      </c>
      <c r="P425" s="202">
        <f t="shared" si="93"/>
        <v>0</v>
      </c>
      <c r="Q425" s="203">
        <f t="shared" si="93"/>
        <v>0</v>
      </c>
      <c r="R425" s="157">
        <f ca="1"/>
        <v>96.737718079260659</v>
      </c>
      <c r="T425" s="204">
        <v>0</v>
      </c>
      <c r="U425" s="206">
        <v>0</v>
      </c>
      <c r="V425" s="206">
        <v>0</v>
      </c>
      <c r="W425" s="206">
        <v>0</v>
      </c>
      <c r="X425" s="206">
        <f t="array" ref="X425">IF(X$78&gt;" ",(X$628:X$1078),"")</f>
        <v>0</v>
      </c>
      <c r="Y425" s="206">
        <f t="array" ref="Y425">IF(Y$78&gt;" ",(Y$628:Y$1078),"")</f>
        <v>0</v>
      </c>
      <c r="Z425" s="206">
        <f t="array" ref="Z425">IF(Z$78&gt;" ",(Z$628:Z$1078),"")</f>
        <v>0</v>
      </c>
      <c r="AA425" s="206">
        <f t="array" ref="AA425">IF(AA$78&gt;" ",(AA$628:AA$1078),"")</f>
        <v>0</v>
      </c>
      <c r="AB425" s="210">
        <v>0</v>
      </c>
      <c r="AC425" s="204">
        <f t="shared" si="82"/>
        <v>0</v>
      </c>
      <c r="AD425" s="206">
        <f t="shared" si="83"/>
        <v>0</v>
      </c>
      <c r="AE425" s="206">
        <f t="shared" si="84"/>
        <v>0</v>
      </c>
      <c r="AF425" s="206">
        <f t="shared" si="85"/>
        <v>0</v>
      </c>
      <c r="AG425" s="206">
        <f t="shared" si="86"/>
        <v>0</v>
      </c>
      <c r="AH425" s="206">
        <f t="shared" si="87"/>
        <v>0</v>
      </c>
      <c r="AI425" s="206">
        <f t="shared" si="88"/>
        <v>0</v>
      </c>
      <c r="AJ425" s="206">
        <f t="shared" si="89"/>
        <v>0</v>
      </c>
      <c r="AK425" s="206">
        <f t="shared" si="90"/>
        <v>0</v>
      </c>
      <c r="AL425" s="206">
        <f t="shared" si="91"/>
        <v>0</v>
      </c>
      <c r="AM425" s="214">
        <f t="shared" si="92"/>
        <v>0</v>
      </c>
      <c r="AN425" s="4"/>
      <c r="AO425" s="167">
        <v>775</v>
      </c>
      <c r="AP425" s="215">
        <v>5.7978471028403396E-3</v>
      </c>
      <c r="AQ425" s="190">
        <v>5.4676285624313918E-3</v>
      </c>
      <c r="AR425" s="190">
        <v>5.9188681211830331E-3</v>
      </c>
      <c r="AS425" s="170">
        <v>6.0446738896184722E-3</v>
      </c>
      <c r="AU425" s="216">
        <v>96.677145401428234</v>
      </c>
      <c r="AV425" s="217">
        <v>96.737718079260659</v>
      </c>
      <c r="AW425" s="217">
        <v>95.037507359366472</v>
      </c>
      <c r="AX425" s="217">
        <v>95.2805373465484</v>
      </c>
      <c r="AY425" s="217"/>
      <c r="AZ425" s="218">
        <v>0</v>
      </c>
      <c r="BA425" s="8"/>
      <c r="BB425" s="219"/>
      <c r="BC425" s="220"/>
    </row>
    <row r="426" spans="15:55" x14ac:dyDescent="0.25">
      <c r="O426" s="195">
        <v>770</v>
      </c>
      <c r="P426" s="202">
        <f t="shared" si="93"/>
        <v>0</v>
      </c>
      <c r="Q426" s="203">
        <f t="shared" si="93"/>
        <v>0</v>
      </c>
      <c r="R426" s="157">
        <f ca="1"/>
        <v>96.736544689681651</v>
      </c>
      <c r="T426" s="204">
        <v>0</v>
      </c>
      <c r="U426" s="206">
        <v>0</v>
      </c>
      <c r="V426" s="206">
        <v>0</v>
      </c>
      <c r="W426" s="206">
        <v>0</v>
      </c>
      <c r="X426" s="206">
        <f t="array" ref="X426">IF(X$78&gt;" ",(X$628:X$1078),"")</f>
        <v>0</v>
      </c>
      <c r="Y426" s="206">
        <f t="array" ref="Y426">IF(Y$78&gt;" ",(Y$628:Y$1078),"")</f>
        <v>0</v>
      </c>
      <c r="Z426" s="206">
        <f t="array" ref="Z426">IF(Z$78&gt;" ",(Z$628:Z$1078),"")</f>
        <v>0</v>
      </c>
      <c r="AA426" s="206">
        <f t="array" ref="AA426">IF(AA$78&gt;" ",(AA$628:AA$1078),"")</f>
        <v>0</v>
      </c>
      <c r="AB426" s="210">
        <v>0</v>
      </c>
      <c r="AC426" s="204">
        <f t="shared" si="82"/>
        <v>0</v>
      </c>
      <c r="AD426" s="206">
        <f t="shared" si="83"/>
        <v>0</v>
      </c>
      <c r="AE426" s="206">
        <f t="shared" si="84"/>
        <v>0</v>
      </c>
      <c r="AF426" s="206">
        <f t="shared" si="85"/>
        <v>0</v>
      </c>
      <c r="AG426" s="206">
        <f t="shared" si="86"/>
        <v>0</v>
      </c>
      <c r="AH426" s="206">
        <f t="shared" si="87"/>
        <v>0</v>
      </c>
      <c r="AI426" s="206">
        <f t="shared" si="88"/>
        <v>0</v>
      </c>
      <c r="AJ426" s="206">
        <f t="shared" si="89"/>
        <v>0</v>
      </c>
      <c r="AK426" s="206">
        <f t="shared" si="90"/>
        <v>0</v>
      </c>
      <c r="AL426" s="206">
        <f t="shared" si="91"/>
        <v>0</v>
      </c>
      <c r="AM426" s="214">
        <f t="shared" si="92"/>
        <v>0</v>
      </c>
      <c r="AN426" s="4"/>
      <c r="AO426" s="167">
        <v>770</v>
      </c>
      <c r="AP426" s="215">
        <v>5.5912011087006826E-3</v>
      </c>
      <c r="AQ426" s="190">
        <v>5.2420201011636374E-3</v>
      </c>
      <c r="AR426" s="190">
        <v>5.8369060530704822E-3</v>
      </c>
      <c r="AS426" s="170">
        <v>5.9579296573352694E-3</v>
      </c>
      <c r="AU426" s="216">
        <v>96.68443860826018</v>
      </c>
      <c r="AV426" s="217">
        <v>96.736544689681651</v>
      </c>
      <c r="AW426" s="217">
        <v>95.126180161566708</v>
      </c>
      <c r="AX426" s="217">
        <v>95.370549317599583</v>
      </c>
      <c r="AY426" s="217"/>
      <c r="AZ426" s="218">
        <v>0</v>
      </c>
      <c r="BA426" s="8"/>
      <c r="BB426" s="219"/>
      <c r="BC426" s="220"/>
    </row>
    <row r="427" spans="15:55" x14ac:dyDescent="0.25">
      <c r="O427" s="195">
        <v>765</v>
      </c>
      <c r="P427" s="202">
        <f t="shared" si="93"/>
        <v>0</v>
      </c>
      <c r="Q427" s="203">
        <f t="shared" si="93"/>
        <v>0</v>
      </c>
      <c r="R427" s="157">
        <f ca="1"/>
        <v>96.729896514263785</v>
      </c>
      <c r="T427" s="204">
        <v>0</v>
      </c>
      <c r="U427" s="206">
        <v>0</v>
      </c>
      <c r="V427" s="206">
        <v>0</v>
      </c>
      <c r="W427" s="206">
        <v>0</v>
      </c>
      <c r="X427" s="206">
        <f t="array" ref="X427">IF(X$78&gt;" ",(X$628:X$1078),"")</f>
        <v>0</v>
      </c>
      <c r="Y427" s="206">
        <f t="array" ref="Y427">IF(Y$78&gt;" ",(Y$628:Y$1078),"")</f>
        <v>0</v>
      </c>
      <c r="Z427" s="206">
        <f t="array" ref="Z427">IF(Z$78&gt;" ",(Z$628:Z$1078),"")</f>
        <v>0</v>
      </c>
      <c r="AA427" s="206">
        <f t="array" ref="AA427">IF(AA$78&gt;" ",(AA$628:AA$1078),"")</f>
        <v>0</v>
      </c>
      <c r="AB427" s="210">
        <v>0</v>
      </c>
      <c r="AC427" s="204">
        <f t="shared" si="82"/>
        <v>0</v>
      </c>
      <c r="AD427" s="206">
        <f t="shared" si="83"/>
        <v>0</v>
      </c>
      <c r="AE427" s="206">
        <f t="shared" si="84"/>
        <v>0</v>
      </c>
      <c r="AF427" s="206">
        <f t="shared" si="85"/>
        <v>0</v>
      </c>
      <c r="AG427" s="206">
        <f t="shared" si="86"/>
        <v>0</v>
      </c>
      <c r="AH427" s="206">
        <f t="shared" si="87"/>
        <v>0</v>
      </c>
      <c r="AI427" s="206">
        <f t="shared" si="88"/>
        <v>0</v>
      </c>
      <c r="AJ427" s="206">
        <f t="shared" si="89"/>
        <v>0</v>
      </c>
      <c r="AK427" s="206">
        <f t="shared" si="90"/>
        <v>0</v>
      </c>
      <c r="AL427" s="206">
        <f t="shared" si="91"/>
        <v>0</v>
      </c>
      <c r="AM427" s="214">
        <f t="shared" si="92"/>
        <v>0</v>
      </c>
      <c r="AN427" s="4"/>
      <c r="AO427" s="167">
        <v>765</v>
      </c>
      <c r="AP427" s="215">
        <v>4.4774399785215014E-3</v>
      </c>
      <c r="AQ427" s="190">
        <v>5.0009041846867906E-3</v>
      </c>
      <c r="AR427" s="190">
        <v>3.4494968310362522E-3</v>
      </c>
      <c r="AS427" s="170">
        <v>3.5468317480080534E-3</v>
      </c>
      <c r="AU427" s="216">
        <v>96.632031383361053</v>
      </c>
      <c r="AV427" s="217">
        <v>96.729896514263785</v>
      </c>
      <c r="AW427" s="217">
        <v>95.122160947276825</v>
      </c>
      <c r="AX427" s="217">
        <v>95.36827594217975</v>
      </c>
      <c r="AY427" s="217"/>
      <c r="AZ427" s="218">
        <v>0</v>
      </c>
      <c r="BA427" s="8"/>
      <c r="BB427" s="219"/>
      <c r="BC427" s="220"/>
    </row>
    <row r="428" spans="15:55" x14ac:dyDescent="0.25">
      <c r="O428" s="195">
        <v>760</v>
      </c>
      <c r="P428" s="202">
        <f t="shared" si="93"/>
        <v>0</v>
      </c>
      <c r="Q428" s="203">
        <f t="shared" si="93"/>
        <v>0</v>
      </c>
      <c r="R428" s="157">
        <f ca="1"/>
        <v>96.710805026072137</v>
      </c>
      <c r="T428" s="204">
        <v>0</v>
      </c>
      <c r="U428" s="206">
        <v>0</v>
      </c>
      <c r="V428" s="206">
        <v>0</v>
      </c>
      <c r="W428" s="206">
        <v>0</v>
      </c>
      <c r="X428" s="206">
        <f t="array" ref="X428">IF(X$78&gt;" ",(X$628:X$1078),"")</f>
        <v>0</v>
      </c>
      <c r="Y428" s="206">
        <f t="array" ref="Y428">IF(Y$78&gt;" ",(Y$628:Y$1078),"")</f>
        <v>0</v>
      </c>
      <c r="Z428" s="206">
        <f t="array" ref="Z428">IF(Z$78&gt;" ",(Z$628:Z$1078),"")</f>
        <v>0</v>
      </c>
      <c r="AA428" s="206">
        <f t="array" ref="AA428">IF(AA$78&gt;" ",(AA$628:AA$1078),"")</f>
        <v>0</v>
      </c>
      <c r="AB428" s="210">
        <v>0</v>
      </c>
      <c r="AC428" s="204">
        <f t="shared" si="82"/>
        <v>0</v>
      </c>
      <c r="AD428" s="206">
        <f t="shared" si="83"/>
        <v>0</v>
      </c>
      <c r="AE428" s="206">
        <f t="shared" si="84"/>
        <v>0</v>
      </c>
      <c r="AF428" s="206">
        <f t="shared" si="85"/>
        <v>0</v>
      </c>
      <c r="AG428" s="206">
        <f t="shared" si="86"/>
        <v>0</v>
      </c>
      <c r="AH428" s="206">
        <f t="shared" si="87"/>
        <v>0</v>
      </c>
      <c r="AI428" s="206">
        <f t="shared" si="88"/>
        <v>0</v>
      </c>
      <c r="AJ428" s="206">
        <f t="shared" si="89"/>
        <v>0</v>
      </c>
      <c r="AK428" s="206">
        <f t="shared" si="90"/>
        <v>0</v>
      </c>
      <c r="AL428" s="206">
        <f t="shared" si="91"/>
        <v>0</v>
      </c>
      <c r="AM428" s="214">
        <f t="shared" si="92"/>
        <v>0</v>
      </c>
      <c r="AN428" s="4"/>
      <c r="AO428" s="167">
        <v>760</v>
      </c>
      <c r="AP428" s="215">
        <v>4.8457428612991831E-3</v>
      </c>
      <c r="AQ428" s="190">
        <v>4.7597882682099447E-3</v>
      </c>
      <c r="AR428" s="190">
        <v>1.3377416319425147E-3</v>
      </c>
      <c r="AS428" s="170">
        <v>1.3832067387816881E-3</v>
      </c>
      <c r="AU428" s="216">
        <v>96.638507862152267</v>
      </c>
      <c r="AV428" s="217">
        <v>96.710805026072137</v>
      </c>
      <c r="AW428" s="217">
        <v>95.131360861483486</v>
      </c>
      <c r="AX428" s="217">
        <v>95.390753811110429</v>
      </c>
      <c r="AY428" s="217"/>
      <c r="AZ428" s="218">
        <v>0</v>
      </c>
      <c r="BA428" s="8"/>
      <c r="BB428" s="219"/>
      <c r="BC428" s="220"/>
    </row>
    <row r="429" spans="15:55" x14ac:dyDescent="0.25">
      <c r="O429" s="195">
        <v>755</v>
      </c>
      <c r="P429" s="202">
        <f t="shared" si="93"/>
        <v>0</v>
      </c>
      <c r="Q429" s="203">
        <f t="shared" si="93"/>
        <v>0</v>
      </c>
      <c r="R429" s="157">
        <f ca="1"/>
        <v>96.67218753258264</v>
      </c>
      <c r="T429" s="204">
        <v>0</v>
      </c>
      <c r="U429" s="206">
        <v>0</v>
      </c>
      <c r="V429" s="206">
        <v>0</v>
      </c>
      <c r="W429" s="206">
        <v>0</v>
      </c>
      <c r="X429" s="206">
        <f t="array" ref="X429">IF(X$78&gt;" ",(X$628:X$1078),"")</f>
        <v>0</v>
      </c>
      <c r="Y429" s="206">
        <f t="array" ref="Y429">IF(Y$78&gt;" ",(Y$628:Y$1078),"")</f>
        <v>0</v>
      </c>
      <c r="Z429" s="206">
        <f t="array" ref="Z429">IF(Z$78&gt;" ",(Z$628:Z$1078),"")</f>
        <v>0</v>
      </c>
      <c r="AA429" s="206">
        <f t="array" ref="AA429">IF(AA$78&gt;" ",(AA$628:AA$1078),"")</f>
        <v>0</v>
      </c>
      <c r="AB429" s="210">
        <v>0</v>
      </c>
      <c r="AC429" s="204">
        <f t="shared" si="82"/>
        <v>0</v>
      </c>
      <c r="AD429" s="206">
        <f t="shared" si="83"/>
        <v>0</v>
      </c>
      <c r="AE429" s="206">
        <f t="shared" si="84"/>
        <v>0</v>
      </c>
      <c r="AF429" s="206">
        <f t="shared" si="85"/>
        <v>0</v>
      </c>
      <c r="AG429" s="206">
        <f t="shared" si="86"/>
        <v>0</v>
      </c>
      <c r="AH429" s="206">
        <f t="shared" si="87"/>
        <v>0</v>
      </c>
      <c r="AI429" s="206">
        <f t="shared" si="88"/>
        <v>0</v>
      </c>
      <c r="AJ429" s="206">
        <f t="shared" si="89"/>
        <v>0</v>
      </c>
      <c r="AK429" s="206">
        <f t="shared" si="90"/>
        <v>0</v>
      </c>
      <c r="AL429" s="206">
        <f t="shared" si="91"/>
        <v>0</v>
      </c>
      <c r="AM429" s="214">
        <f t="shared" si="92"/>
        <v>0</v>
      </c>
      <c r="AN429" s="4"/>
      <c r="AO429" s="167">
        <v>755</v>
      </c>
      <c r="AP429" s="215">
        <v>6.2710585018244712E-3</v>
      </c>
      <c r="AQ429" s="190">
        <v>5.4266088422008909E-3</v>
      </c>
      <c r="AR429" s="190">
        <v>6.22660300268537E-3</v>
      </c>
      <c r="AS429" s="170">
        <v>6.3356867979234071E-3</v>
      </c>
      <c r="AU429" s="216">
        <v>96.642062968993585</v>
      </c>
      <c r="AV429" s="217">
        <v>96.67218753258264</v>
      </c>
      <c r="AW429" s="217">
        <v>95.16512333634337</v>
      </c>
      <c r="AX429" s="217">
        <v>95.428173557215132</v>
      </c>
      <c r="AY429" s="217"/>
      <c r="AZ429" s="218">
        <v>0</v>
      </c>
      <c r="BA429" s="8"/>
      <c r="BB429" s="219"/>
      <c r="BC429" s="220"/>
    </row>
    <row r="430" spans="15:55" x14ac:dyDescent="0.25">
      <c r="O430" s="195">
        <v>750</v>
      </c>
      <c r="P430" s="202">
        <f t="shared" si="93"/>
        <v>0</v>
      </c>
      <c r="Q430" s="203">
        <f t="shared" si="93"/>
        <v>0</v>
      </c>
      <c r="R430" s="157">
        <f ca="1"/>
        <v>96.643766092047599</v>
      </c>
      <c r="T430" s="204">
        <v>0</v>
      </c>
      <c r="U430" s="206">
        <v>0</v>
      </c>
      <c r="V430" s="206">
        <v>0</v>
      </c>
      <c r="W430" s="206">
        <v>0</v>
      </c>
      <c r="X430" s="206">
        <f t="array" ref="X430">IF(X$78&gt;" ",(X$628:X$1078),"")</f>
        <v>0</v>
      </c>
      <c r="Y430" s="206">
        <f t="array" ref="Y430">IF(Y$78&gt;" ",(Y$628:Y$1078),"")</f>
        <v>0</v>
      </c>
      <c r="Z430" s="206">
        <f t="array" ref="Z430">IF(Z$78&gt;" ",(Z$628:Z$1078),"")</f>
        <v>0</v>
      </c>
      <c r="AA430" s="206">
        <f t="array" ref="AA430">IF(AA$78&gt;" ",(AA$628:AA$1078),"")</f>
        <v>0</v>
      </c>
      <c r="AB430" s="210">
        <v>0</v>
      </c>
      <c r="AC430" s="204">
        <f t="shared" si="82"/>
        <v>0</v>
      </c>
      <c r="AD430" s="206">
        <f t="shared" si="83"/>
        <v>0</v>
      </c>
      <c r="AE430" s="206">
        <f t="shared" si="84"/>
        <v>0</v>
      </c>
      <c r="AF430" s="206">
        <f t="shared" si="85"/>
        <v>0</v>
      </c>
      <c r="AG430" s="206">
        <f t="shared" si="86"/>
        <v>0</v>
      </c>
      <c r="AH430" s="206">
        <f t="shared" si="87"/>
        <v>0</v>
      </c>
      <c r="AI430" s="206">
        <f t="shared" si="88"/>
        <v>0</v>
      </c>
      <c r="AJ430" s="206">
        <f t="shared" si="89"/>
        <v>0</v>
      </c>
      <c r="AK430" s="206">
        <f t="shared" si="90"/>
        <v>0</v>
      </c>
      <c r="AL430" s="206">
        <f t="shared" si="91"/>
        <v>0</v>
      </c>
      <c r="AM430" s="214">
        <f t="shared" si="92"/>
        <v>0</v>
      </c>
      <c r="AN430" s="4"/>
      <c r="AO430" s="167">
        <v>750</v>
      </c>
      <c r="AP430" s="215">
        <v>6.3370557358863374E-3</v>
      </c>
      <c r="AQ430" s="190">
        <v>6.0934294161918388E-3</v>
      </c>
      <c r="AR430" s="190">
        <v>6.2054839421901119E-3</v>
      </c>
      <c r="AS430" s="170">
        <v>6.3088240679260279E-3</v>
      </c>
      <c r="AU430" s="216">
        <v>96.601545066247354</v>
      </c>
      <c r="AV430" s="217">
        <v>96.643766092047599</v>
      </c>
      <c r="AW430" s="217">
        <v>95.218458981059811</v>
      </c>
      <c r="AX430" s="217">
        <v>95.471316327510991</v>
      </c>
      <c r="AY430" s="217"/>
      <c r="AZ430" s="218">
        <v>0</v>
      </c>
      <c r="BA430" s="8"/>
      <c r="BB430" s="219"/>
      <c r="BC430" s="220"/>
    </row>
    <row r="431" spans="15:55" x14ac:dyDescent="0.25">
      <c r="O431" s="195">
        <v>745</v>
      </c>
      <c r="P431" s="202">
        <f t="shared" si="93"/>
        <v>0</v>
      </c>
      <c r="Q431" s="203">
        <f t="shared" si="93"/>
        <v>0</v>
      </c>
      <c r="R431" s="157">
        <f ca="1"/>
        <v>96.70445064984898</v>
      </c>
      <c r="T431" s="204">
        <v>0</v>
      </c>
      <c r="U431" s="206">
        <v>0</v>
      </c>
      <c r="V431" s="206">
        <v>0</v>
      </c>
      <c r="W431" s="206">
        <v>0</v>
      </c>
      <c r="X431" s="206">
        <f t="array" ref="X431">IF(X$78&gt;" ",(X$628:X$1078),"")</f>
        <v>0</v>
      </c>
      <c r="Y431" s="206">
        <f t="array" ref="Y431">IF(Y$78&gt;" ",(Y$628:Y$1078),"")</f>
        <v>0</v>
      </c>
      <c r="Z431" s="206">
        <f t="array" ref="Z431">IF(Z$78&gt;" ",(Z$628:Z$1078),"")</f>
        <v>0</v>
      </c>
      <c r="AA431" s="206">
        <f t="array" ref="AA431">IF(AA$78&gt;" ",(AA$628:AA$1078),"")</f>
        <v>0</v>
      </c>
      <c r="AB431" s="210">
        <v>0</v>
      </c>
      <c r="AC431" s="204">
        <f t="shared" si="82"/>
        <v>0</v>
      </c>
      <c r="AD431" s="206">
        <f t="shared" si="83"/>
        <v>0</v>
      </c>
      <c r="AE431" s="206">
        <f t="shared" si="84"/>
        <v>0</v>
      </c>
      <c r="AF431" s="206">
        <f t="shared" si="85"/>
        <v>0</v>
      </c>
      <c r="AG431" s="206">
        <f t="shared" si="86"/>
        <v>0</v>
      </c>
      <c r="AH431" s="206">
        <f t="shared" si="87"/>
        <v>0</v>
      </c>
      <c r="AI431" s="206">
        <f t="shared" si="88"/>
        <v>0</v>
      </c>
      <c r="AJ431" s="206">
        <f t="shared" si="89"/>
        <v>0</v>
      </c>
      <c r="AK431" s="206">
        <f t="shared" si="90"/>
        <v>0</v>
      </c>
      <c r="AL431" s="206">
        <f t="shared" si="91"/>
        <v>0</v>
      </c>
      <c r="AM431" s="214">
        <f t="shared" si="92"/>
        <v>0</v>
      </c>
      <c r="AN431" s="4"/>
      <c r="AO431" s="167">
        <v>745</v>
      </c>
      <c r="AP431" s="215">
        <v>6.3759009547335616E-3</v>
      </c>
      <c r="AQ431" s="190">
        <v>6.0919286947199898E-3</v>
      </c>
      <c r="AR431" s="190">
        <v>6.2839261668867861E-3</v>
      </c>
      <c r="AS431" s="170">
        <v>6.3821369352105419E-3</v>
      </c>
      <c r="AU431" s="216">
        <v>96.586356197017892</v>
      </c>
      <c r="AV431" s="217">
        <v>96.70445064984898</v>
      </c>
      <c r="AW431" s="217">
        <v>95.224401067677604</v>
      </c>
      <c r="AX431" s="217">
        <v>95.48843916054507</v>
      </c>
      <c r="AY431" s="217"/>
      <c r="AZ431" s="218">
        <v>0</v>
      </c>
      <c r="BA431" s="8"/>
      <c r="BB431" s="219"/>
      <c r="BC431" s="220"/>
    </row>
    <row r="432" spans="15:55" x14ac:dyDescent="0.25">
      <c r="O432" s="195">
        <v>740</v>
      </c>
      <c r="P432" s="202">
        <f t="shared" ref="P432:Q447" si="94">P980</f>
        <v>0</v>
      </c>
      <c r="Q432" s="203">
        <f t="shared" si="94"/>
        <v>0</v>
      </c>
      <c r="R432" s="157">
        <f ca="1"/>
        <v>96.690758227896296</v>
      </c>
      <c r="T432" s="204">
        <v>0</v>
      </c>
      <c r="U432" s="206">
        <v>0</v>
      </c>
      <c r="V432" s="206">
        <v>0</v>
      </c>
      <c r="W432" s="206">
        <v>0</v>
      </c>
      <c r="X432" s="206">
        <f t="array" ref="X432">IF(X$78&gt;" ",(X$628:X$1078),"")</f>
        <v>0</v>
      </c>
      <c r="Y432" s="206">
        <f t="array" ref="Y432">IF(Y$78&gt;" ",(Y$628:Y$1078),"")</f>
        <v>0</v>
      </c>
      <c r="Z432" s="206">
        <f t="array" ref="Z432">IF(Z$78&gt;" ",(Z$628:Z$1078),"")</f>
        <v>0</v>
      </c>
      <c r="AA432" s="206">
        <f t="array" ref="AA432">IF(AA$78&gt;" ",(AA$628:AA$1078),"")</f>
        <v>0</v>
      </c>
      <c r="AB432" s="210">
        <v>0</v>
      </c>
      <c r="AC432" s="204">
        <f t="shared" si="82"/>
        <v>0</v>
      </c>
      <c r="AD432" s="206">
        <f t="shared" si="83"/>
        <v>0</v>
      </c>
      <c r="AE432" s="206">
        <f t="shared" si="84"/>
        <v>0</v>
      </c>
      <c r="AF432" s="206">
        <f t="shared" si="85"/>
        <v>0</v>
      </c>
      <c r="AG432" s="206">
        <f t="shared" si="86"/>
        <v>0</v>
      </c>
      <c r="AH432" s="206">
        <f t="shared" si="87"/>
        <v>0</v>
      </c>
      <c r="AI432" s="206">
        <f t="shared" si="88"/>
        <v>0</v>
      </c>
      <c r="AJ432" s="206">
        <f t="shared" si="89"/>
        <v>0</v>
      </c>
      <c r="AK432" s="206">
        <f t="shared" si="90"/>
        <v>0</v>
      </c>
      <c r="AL432" s="206">
        <f t="shared" si="91"/>
        <v>0</v>
      </c>
      <c r="AM432" s="214">
        <f t="shared" si="92"/>
        <v>0</v>
      </c>
      <c r="AN432" s="4"/>
      <c r="AO432" s="167">
        <v>740</v>
      </c>
      <c r="AP432" s="215">
        <v>6.4147461735807858E-3</v>
      </c>
      <c r="AQ432" s="190">
        <v>6.0904279732481425E-3</v>
      </c>
      <c r="AR432" s="190">
        <v>6.1320700652304043E-3</v>
      </c>
      <c r="AS432" s="170">
        <v>6.2226394758511062E-3</v>
      </c>
      <c r="AU432" s="216">
        <v>96.590261454331127</v>
      </c>
      <c r="AV432" s="217">
        <v>96.690758227896296</v>
      </c>
      <c r="AW432" s="217">
        <v>95.213974144682538</v>
      </c>
      <c r="AX432" s="217">
        <v>95.467608974460049</v>
      </c>
      <c r="AY432" s="217"/>
      <c r="AZ432" s="218">
        <v>0</v>
      </c>
      <c r="BA432" s="8"/>
      <c r="BB432" s="219"/>
      <c r="BC432" s="220"/>
    </row>
    <row r="433" spans="4:55" x14ac:dyDescent="0.25">
      <c r="O433" s="195">
        <v>735</v>
      </c>
      <c r="P433" s="202">
        <f t="shared" si="94"/>
        <v>0</v>
      </c>
      <c r="Q433" s="203">
        <f t="shared" si="94"/>
        <v>0</v>
      </c>
      <c r="R433" s="157">
        <f ca="1"/>
        <v>96.645125851875719</v>
      </c>
      <c r="T433" s="204">
        <v>0</v>
      </c>
      <c r="U433" s="206">
        <v>0</v>
      </c>
      <c r="V433" s="206">
        <v>0</v>
      </c>
      <c r="W433" s="206">
        <v>0</v>
      </c>
      <c r="X433" s="206">
        <f t="array" ref="X433">IF(X$78&gt;" ",(X$628:X$1078),"")</f>
        <v>0</v>
      </c>
      <c r="Y433" s="206">
        <f t="array" ref="Y433">IF(Y$78&gt;" ",(Y$628:Y$1078),"")</f>
        <v>0</v>
      </c>
      <c r="Z433" s="206">
        <f t="array" ref="Z433">IF(Z$78&gt;" ",(Z$628:Z$1078),"")</f>
        <v>0</v>
      </c>
      <c r="AA433" s="206">
        <f t="array" ref="AA433">IF(AA$78&gt;" ",(AA$628:AA$1078),"")</f>
        <v>0</v>
      </c>
      <c r="AB433" s="210">
        <v>0</v>
      </c>
      <c r="AC433" s="204">
        <f t="shared" si="82"/>
        <v>0</v>
      </c>
      <c r="AD433" s="206">
        <f t="shared" si="83"/>
        <v>0</v>
      </c>
      <c r="AE433" s="206">
        <f t="shared" si="84"/>
        <v>0</v>
      </c>
      <c r="AF433" s="206">
        <f t="shared" si="85"/>
        <v>0</v>
      </c>
      <c r="AG433" s="206">
        <f t="shared" si="86"/>
        <v>0</v>
      </c>
      <c r="AH433" s="206">
        <f t="shared" si="87"/>
        <v>0</v>
      </c>
      <c r="AI433" s="206">
        <f t="shared" si="88"/>
        <v>0</v>
      </c>
      <c r="AJ433" s="206">
        <f t="shared" si="89"/>
        <v>0</v>
      </c>
      <c r="AK433" s="206">
        <f t="shared" si="90"/>
        <v>0</v>
      </c>
      <c r="AL433" s="206">
        <f t="shared" si="91"/>
        <v>0</v>
      </c>
      <c r="AM433" s="214">
        <f t="shared" si="92"/>
        <v>0</v>
      </c>
      <c r="AN433" s="4"/>
      <c r="AO433" s="167">
        <v>735</v>
      </c>
      <c r="AP433" s="215">
        <v>6.1432920847317284E-3</v>
      </c>
      <c r="AQ433" s="190">
        <v>5.8548147021680701E-3</v>
      </c>
      <c r="AR433" s="190">
        <v>6.123521874077561E-3</v>
      </c>
      <c r="AS433" s="170">
        <v>6.2125659521020888E-3</v>
      </c>
      <c r="AU433" s="216">
        <v>96.592787592704497</v>
      </c>
      <c r="AV433" s="217">
        <v>96.645125851875719</v>
      </c>
      <c r="AW433" s="217">
        <v>95.236085143288676</v>
      </c>
      <c r="AX433" s="217">
        <v>95.489489014061675</v>
      </c>
      <c r="AY433" s="217"/>
      <c r="AZ433" s="218">
        <v>0</v>
      </c>
      <c r="BA433" s="8"/>
      <c r="BB433" s="219"/>
      <c r="BC433" s="220"/>
    </row>
    <row r="434" spans="4:55" x14ac:dyDescent="0.25">
      <c r="O434" s="195">
        <v>730</v>
      </c>
      <c r="P434" s="202">
        <f t="shared" si="94"/>
        <v>0</v>
      </c>
      <c r="Q434" s="203">
        <f t="shared" si="94"/>
        <v>0</v>
      </c>
      <c r="R434" s="157">
        <f ca="1"/>
        <v>96.629374210283004</v>
      </c>
      <c r="T434" s="204">
        <v>0</v>
      </c>
      <c r="U434" s="206">
        <v>0</v>
      </c>
      <c r="V434" s="206">
        <v>0</v>
      </c>
      <c r="W434" s="206">
        <v>0</v>
      </c>
      <c r="X434" s="206">
        <f t="array" ref="X434">IF(X$78&gt;" ",(X$628:X$1078),"")</f>
        <v>0</v>
      </c>
      <c r="Y434" s="206">
        <f t="array" ref="Y434">IF(Y$78&gt;" ",(Y$628:Y$1078),"")</f>
        <v>0</v>
      </c>
      <c r="Z434" s="206">
        <f t="array" ref="Z434">IF(Z$78&gt;" ",(Z$628:Z$1078),"")</f>
        <v>0</v>
      </c>
      <c r="AA434" s="206">
        <f t="array" ref="AA434">IF(AA$78&gt;" ",(AA$628:AA$1078),"")</f>
        <v>0</v>
      </c>
      <c r="AB434" s="210">
        <v>0</v>
      </c>
      <c r="AC434" s="204">
        <f t="shared" si="82"/>
        <v>0</v>
      </c>
      <c r="AD434" s="206">
        <f t="shared" si="83"/>
        <v>0</v>
      </c>
      <c r="AE434" s="206">
        <f t="shared" si="84"/>
        <v>0</v>
      </c>
      <c r="AF434" s="206">
        <f t="shared" si="85"/>
        <v>0</v>
      </c>
      <c r="AG434" s="206">
        <f t="shared" si="86"/>
        <v>0</v>
      </c>
      <c r="AH434" s="206">
        <f t="shared" si="87"/>
        <v>0</v>
      </c>
      <c r="AI434" s="206">
        <f t="shared" si="88"/>
        <v>0</v>
      </c>
      <c r="AJ434" s="206">
        <f t="shared" si="89"/>
        <v>0</v>
      </c>
      <c r="AK434" s="206">
        <f t="shared" si="90"/>
        <v>0</v>
      </c>
      <c r="AL434" s="206">
        <f t="shared" si="91"/>
        <v>0</v>
      </c>
      <c r="AM434" s="214">
        <f t="shared" si="92"/>
        <v>0</v>
      </c>
      <c r="AN434" s="4"/>
      <c r="AO434" s="167">
        <v>730</v>
      </c>
      <c r="AP434" s="215">
        <v>5.8718379958826719E-3</v>
      </c>
      <c r="AQ434" s="190">
        <v>5.6192014310879985E-3</v>
      </c>
      <c r="AR434" s="190">
        <v>5.6744904211664705E-3</v>
      </c>
      <c r="AS434" s="170">
        <v>5.7609363040211602E-3</v>
      </c>
      <c r="AU434" s="216">
        <v>96.572739688257954</v>
      </c>
      <c r="AV434" s="217">
        <v>96.629374210283004</v>
      </c>
      <c r="AW434" s="217">
        <v>95.272510359313287</v>
      </c>
      <c r="AX434" s="217">
        <v>95.528556979665154</v>
      </c>
      <c r="AY434" s="217"/>
      <c r="AZ434" s="218">
        <v>0</v>
      </c>
      <c r="BA434" s="8"/>
      <c r="BB434" s="219"/>
      <c r="BC434" s="220"/>
    </row>
    <row r="435" spans="4:55" x14ac:dyDescent="0.25">
      <c r="O435" s="195">
        <v>725</v>
      </c>
      <c r="P435" s="202">
        <f t="shared" si="94"/>
        <v>0</v>
      </c>
      <c r="Q435" s="203">
        <f t="shared" si="94"/>
        <v>0</v>
      </c>
      <c r="R435" s="157">
        <f ca="1"/>
        <v>96.586851585830416</v>
      </c>
      <c r="T435" s="204">
        <v>0</v>
      </c>
      <c r="U435" s="206">
        <v>0</v>
      </c>
      <c r="V435" s="206">
        <v>0</v>
      </c>
      <c r="W435" s="206">
        <v>0</v>
      </c>
      <c r="X435" s="206">
        <f t="array" ref="X435">IF(X$78&gt;" ",(X$628:X$1078),"")</f>
        <v>0</v>
      </c>
      <c r="Y435" s="206">
        <f t="array" ref="Y435">IF(Y$78&gt;" ",(Y$628:Y$1078),"")</f>
        <v>0</v>
      </c>
      <c r="Z435" s="206">
        <f t="array" ref="Z435">IF(Z$78&gt;" ",(Z$628:Z$1078),"")</f>
        <v>0</v>
      </c>
      <c r="AA435" s="206">
        <f t="array" ref="AA435">IF(AA$78&gt;" ",(AA$628:AA$1078),"")</f>
        <v>0</v>
      </c>
      <c r="AB435" s="210">
        <v>0</v>
      </c>
      <c r="AC435" s="204">
        <f t="shared" si="82"/>
        <v>0</v>
      </c>
      <c r="AD435" s="206">
        <f t="shared" si="83"/>
        <v>0</v>
      </c>
      <c r="AE435" s="206">
        <f t="shared" si="84"/>
        <v>0</v>
      </c>
      <c r="AF435" s="206">
        <f t="shared" si="85"/>
        <v>0</v>
      </c>
      <c r="AG435" s="206">
        <f t="shared" si="86"/>
        <v>0</v>
      </c>
      <c r="AH435" s="206">
        <f t="shared" si="87"/>
        <v>0</v>
      </c>
      <c r="AI435" s="206">
        <f t="shared" si="88"/>
        <v>0</v>
      </c>
      <c r="AJ435" s="206">
        <f t="shared" si="89"/>
        <v>0</v>
      </c>
      <c r="AK435" s="206">
        <f t="shared" si="90"/>
        <v>0</v>
      </c>
      <c r="AL435" s="206">
        <f t="shared" si="91"/>
        <v>0</v>
      </c>
      <c r="AM435" s="214">
        <f t="shared" si="92"/>
        <v>0</v>
      </c>
      <c r="AN435" s="4"/>
      <c r="AO435" s="167">
        <v>725</v>
      </c>
      <c r="AP435" s="215">
        <v>5.6003839070336145E-3</v>
      </c>
      <c r="AQ435" s="190">
        <v>5.4581239931096905E-3</v>
      </c>
      <c r="AR435" s="190">
        <v>5.219424950971021E-3</v>
      </c>
      <c r="AS435" s="170">
        <v>5.3020872972534359E-3</v>
      </c>
      <c r="AU435" s="216">
        <v>96.573363462925371</v>
      </c>
      <c r="AV435" s="217">
        <v>96.586851585830416</v>
      </c>
      <c r="AW435" s="217">
        <v>95.29347658919778</v>
      </c>
      <c r="AX435" s="217">
        <v>95.543089097594404</v>
      </c>
      <c r="AY435" s="217"/>
      <c r="AZ435" s="218">
        <v>0</v>
      </c>
      <c r="BA435" s="8"/>
      <c r="BB435" s="219"/>
      <c r="BC435" s="220"/>
    </row>
    <row r="436" spans="4:55" x14ac:dyDescent="0.25">
      <c r="O436" s="195">
        <v>720</v>
      </c>
      <c r="P436" s="202">
        <f t="shared" si="94"/>
        <v>0</v>
      </c>
      <c r="Q436" s="203">
        <f t="shared" si="94"/>
        <v>0</v>
      </c>
      <c r="R436" s="157">
        <f ca="1"/>
        <v>96.584486063860297</v>
      </c>
      <c r="T436" s="204">
        <v>0</v>
      </c>
      <c r="U436" s="206">
        <v>0</v>
      </c>
      <c r="V436" s="206">
        <v>0</v>
      </c>
      <c r="W436" s="206">
        <v>0</v>
      </c>
      <c r="X436" s="206">
        <f t="array" ref="X436">IF(X$78&gt;" ",(X$628:X$1078),"")</f>
        <v>0</v>
      </c>
      <c r="Y436" s="206">
        <f t="array" ref="Y436">IF(Y$78&gt;" ",(Y$628:Y$1078),"")</f>
        <v>0</v>
      </c>
      <c r="Z436" s="206">
        <f t="array" ref="Z436">IF(Z$78&gt;" ",(Z$628:Z$1078),"")</f>
        <v>0</v>
      </c>
      <c r="AA436" s="206">
        <f t="array" ref="AA436">IF(AA$78&gt;" ",(AA$628:AA$1078),"")</f>
        <v>0</v>
      </c>
      <c r="AB436" s="210">
        <v>0</v>
      </c>
      <c r="AC436" s="204">
        <f t="shared" si="82"/>
        <v>0</v>
      </c>
      <c r="AD436" s="206">
        <f t="shared" si="83"/>
        <v>0</v>
      </c>
      <c r="AE436" s="206">
        <f t="shared" si="84"/>
        <v>0</v>
      </c>
      <c r="AF436" s="206">
        <f t="shared" si="85"/>
        <v>0</v>
      </c>
      <c r="AG436" s="206">
        <f t="shared" si="86"/>
        <v>0</v>
      </c>
      <c r="AH436" s="206">
        <f t="shared" si="87"/>
        <v>0</v>
      </c>
      <c r="AI436" s="206">
        <f t="shared" si="88"/>
        <v>0</v>
      </c>
      <c r="AJ436" s="206">
        <f t="shared" si="89"/>
        <v>0</v>
      </c>
      <c r="AK436" s="206">
        <f t="shared" si="90"/>
        <v>0</v>
      </c>
      <c r="AL436" s="206">
        <f t="shared" si="91"/>
        <v>0</v>
      </c>
      <c r="AM436" s="214">
        <f t="shared" si="92"/>
        <v>0</v>
      </c>
      <c r="AN436" s="4"/>
      <c r="AO436" s="167">
        <v>720</v>
      </c>
      <c r="AP436" s="215">
        <v>5.4501559688387357E-3</v>
      </c>
      <c r="AQ436" s="190">
        <v>5.2970465551313824E-3</v>
      </c>
      <c r="AR436" s="190">
        <v>4.9554366947802894E-3</v>
      </c>
      <c r="AS436" s="170">
        <v>5.033404033258821E-3</v>
      </c>
      <c r="AU436" s="216">
        <v>96.540888378931811</v>
      </c>
      <c r="AV436" s="217">
        <v>96.584486063860297</v>
      </c>
      <c r="AW436" s="217">
        <v>95.299657764695823</v>
      </c>
      <c r="AX436" s="217">
        <v>95.551277096418104</v>
      </c>
      <c r="AY436" s="217"/>
      <c r="AZ436" s="218">
        <v>0</v>
      </c>
      <c r="BA436" s="8"/>
      <c r="BB436" s="219"/>
      <c r="BC436" s="220"/>
    </row>
    <row r="437" spans="4:55" x14ac:dyDescent="0.25">
      <c r="O437" s="195">
        <v>715</v>
      </c>
      <c r="P437" s="202">
        <f t="shared" si="94"/>
        <v>0</v>
      </c>
      <c r="Q437" s="203">
        <f t="shared" si="94"/>
        <v>0</v>
      </c>
      <c r="R437" s="157">
        <f ca="1"/>
        <v>96.590086509059617</v>
      </c>
      <c r="T437" s="204">
        <v>0</v>
      </c>
      <c r="U437" s="206">
        <v>0</v>
      </c>
      <c r="V437" s="206">
        <v>0</v>
      </c>
      <c r="W437" s="206">
        <v>0</v>
      </c>
      <c r="X437" s="206">
        <f t="array" ref="X437">IF(X$78&gt;" ",(X$628:X$1078),"")</f>
        <v>0</v>
      </c>
      <c r="Y437" s="206">
        <f t="array" ref="Y437">IF(Y$78&gt;" ",(Y$628:Y$1078),"")</f>
        <v>0</v>
      </c>
      <c r="Z437" s="206">
        <f t="array" ref="Z437">IF(Z$78&gt;" ",(Z$628:Z$1078),"")</f>
        <v>0</v>
      </c>
      <c r="AA437" s="206">
        <f t="array" ref="AA437">IF(AA$78&gt;" ",(AA$628:AA$1078),"")</f>
        <v>0</v>
      </c>
      <c r="AB437" s="210">
        <v>0</v>
      </c>
      <c r="AC437" s="204">
        <f t="shared" si="82"/>
        <v>0</v>
      </c>
      <c r="AD437" s="206">
        <f t="shared" si="83"/>
        <v>0</v>
      </c>
      <c r="AE437" s="206">
        <f t="shared" si="84"/>
        <v>0</v>
      </c>
      <c r="AF437" s="206">
        <f t="shared" si="85"/>
        <v>0</v>
      </c>
      <c r="AG437" s="206">
        <f t="shared" si="86"/>
        <v>0</v>
      </c>
      <c r="AH437" s="206">
        <f t="shared" si="87"/>
        <v>0</v>
      </c>
      <c r="AI437" s="206">
        <f t="shared" si="88"/>
        <v>0</v>
      </c>
      <c r="AJ437" s="206">
        <f t="shared" si="89"/>
        <v>0</v>
      </c>
      <c r="AK437" s="206">
        <f t="shared" si="90"/>
        <v>0</v>
      </c>
      <c r="AL437" s="206">
        <f t="shared" si="91"/>
        <v>0</v>
      </c>
      <c r="AM437" s="214">
        <f t="shared" si="92"/>
        <v>0</v>
      </c>
      <c r="AN437" s="4"/>
      <c r="AO437" s="167">
        <v>715</v>
      </c>
      <c r="AP437" s="215">
        <v>5.8562470577058949E-3</v>
      </c>
      <c r="AQ437" s="190">
        <v>5.8495621770166045E-3</v>
      </c>
      <c r="AR437" s="190">
        <v>6.3291812965194823E-3</v>
      </c>
      <c r="AS437" s="170">
        <v>6.3955683002092307E-3</v>
      </c>
      <c r="AU437" s="216">
        <v>96.517685374572579</v>
      </c>
      <c r="AV437" s="217">
        <v>96.590086509059617</v>
      </c>
      <c r="AW437" s="217">
        <v>95.322136879873071</v>
      </c>
      <c r="AX437" s="217">
        <v>95.575273404539359</v>
      </c>
      <c r="AY437" s="217"/>
      <c r="AZ437" s="218">
        <v>0</v>
      </c>
      <c r="BA437" s="8"/>
      <c r="BB437" s="219"/>
      <c r="BC437" s="220"/>
    </row>
    <row r="438" spans="4:55" x14ac:dyDescent="0.25">
      <c r="O438" s="195">
        <v>710</v>
      </c>
      <c r="P438" s="202">
        <f t="shared" si="94"/>
        <v>0</v>
      </c>
      <c r="Q438" s="203">
        <f t="shared" si="94"/>
        <v>0</v>
      </c>
      <c r="R438" s="157">
        <f ca="1"/>
        <v>96.572079121734944</v>
      </c>
      <c r="T438" s="204">
        <v>0</v>
      </c>
      <c r="U438" s="206">
        <v>0</v>
      </c>
      <c r="V438" s="206">
        <v>0</v>
      </c>
      <c r="W438" s="206">
        <v>0</v>
      </c>
      <c r="X438" s="206">
        <f t="array" ref="X438">IF(X$78&gt;" ",(X$628:X$1078),"")</f>
        <v>0</v>
      </c>
      <c r="Y438" s="206">
        <f t="array" ref="Y438">IF(Y$78&gt;" ",(Y$628:Y$1078),"")</f>
        <v>0</v>
      </c>
      <c r="Z438" s="206">
        <f t="array" ref="Z438">IF(Z$78&gt;" ",(Z$628:Z$1078),"")</f>
        <v>0</v>
      </c>
      <c r="AA438" s="206">
        <f t="array" ref="AA438">IF(AA$78&gt;" ",(AA$628:AA$1078),"")</f>
        <v>0</v>
      </c>
      <c r="AB438" s="210">
        <v>0</v>
      </c>
      <c r="AC438" s="204">
        <f t="shared" si="82"/>
        <v>0</v>
      </c>
      <c r="AD438" s="206">
        <f t="shared" si="83"/>
        <v>0</v>
      </c>
      <c r="AE438" s="206">
        <f t="shared" si="84"/>
        <v>0</v>
      </c>
      <c r="AF438" s="206">
        <f t="shared" si="85"/>
        <v>0</v>
      </c>
      <c r="AG438" s="206">
        <f t="shared" si="86"/>
        <v>0</v>
      </c>
      <c r="AH438" s="206">
        <f t="shared" si="87"/>
        <v>0</v>
      </c>
      <c r="AI438" s="206">
        <f t="shared" si="88"/>
        <v>0</v>
      </c>
      <c r="AJ438" s="206">
        <f t="shared" si="89"/>
        <v>0</v>
      </c>
      <c r="AK438" s="206">
        <f t="shared" si="90"/>
        <v>0</v>
      </c>
      <c r="AL438" s="206">
        <f t="shared" si="91"/>
        <v>0</v>
      </c>
      <c r="AM438" s="214">
        <f t="shared" si="92"/>
        <v>0</v>
      </c>
      <c r="AN438" s="4"/>
      <c r="AO438" s="167">
        <v>710</v>
      </c>
      <c r="AP438" s="215">
        <v>6.6221849272887533E-3</v>
      </c>
      <c r="AQ438" s="190">
        <v>6.4020777989018257E-3</v>
      </c>
      <c r="AR438" s="190">
        <v>6.624848143453101E-3</v>
      </c>
      <c r="AS438" s="170">
        <v>6.6899390497638378E-3</v>
      </c>
      <c r="AU438" s="216">
        <v>96.513013280452697</v>
      </c>
      <c r="AV438" s="217">
        <v>96.572079121734944</v>
      </c>
      <c r="AW438" s="217">
        <v>95.348206057742132</v>
      </c>
      <c r="AX438" s="217">
        <v>95.602413112693128</v>
      </c>
      <c r="AY438" s="217"/>
      <c r="AZ438" s="218">
        <v>0</v>
      </c>
      <c r="BA438" s="8"/>
      <c r="BB438" s="219"/>
      <c r="BC438" s="220"/>
    </row>
    <row r="439" spans="4:55" x14ac:dyDescent="0.25">
      <c r="O439" s="195">
        <v>705</v>
      </c>
      <c r="P439" s="202">
        <f t="shared" si="94"/>
        <v>0</v>
      </c>
      <c r="Q439" s="203">
        <f t="shared" si="94"/>
        <v>0</v>
      </c>
      <c r="R439" s="157">
        <f ca="1"/>
        <v>96.524560549928879</v>
      </c>
      <c r="T439" s="204">
        <v>0</v>
      </c>
      <c r="U439" s="206">
        <v>0</v>
      </c>
      <c r="V439" s="206">
        <v>0</v>
      </c>
      <c r="W439" s="206">
        <v>0</v>
      </c>
      <c r="X439" s="206">
        <f t="array" ref="X439">IF(X$78&gt;" ",(X$628:X$1078),"")</f>
        <v>0</v>
      </c>
      <c r="Y439" s="206">
        <f t="array" ref="Y439">IF(Y$78&gt;" ",(Y$628:Y$1078),"")</f>
        <v>0</v>
      </c>
      <c r="Z439" s="206">
        <f t="array" ref="Z439">IF(Z$78&gt;" ",(Z$628:Z$1078),"")</f>
        <v>0</v>
      </c>
      <c r="AA439" s="206">
        <f t="array" ref="AA439">IF(AA$78&gt;" ",(AA$628:AA$1078),"")</f>
        <v>0</v>
      </c>
      <c r="AB439" s="210">
        <v>0</v>
      </c>
      <c r="AC439" s="204">
        <f t="shared" si="82"/>
        <v>0</v>
      </c>
      <c r="AD439" s="206">
        <f t="shared" si="83"/>
        <v>0</v>
      </c>
      <c r="AE439" s="206">
        <f t="shared" si="84"/>
        <v>0</v>
      </c>
      <c r="AF439" s="206">
        <f t="shared" si="85"/>
        <v>0</v>
      </c>
      <c r="AG439" s="206">
        <f t="shared" si="86"/>
        <v>0</v>
      </c>
      <c r="AH439" s="206">
        <f t="shared" si="87"/>
        <v>0</v>
      </c>
      <c r="AI439" s="206">
        <f t="shared" si="88"/>
        <v>0</v>
      </c>
      <c r="AJ439" s="206">
        <f t="shared" si="89"/>
        <v>0</v>
      </c>
      <c r="AK439" s="206">
        <f t="shared" si="90"/>
        <v>0</v>
      </c>
      <c r="AL439" s="206">
        <f t="shared" si="91"/>
        <v>0</v>
      </c>
      <c r="AM439" s="214">
        <f t="shared" si="92"/>
        <v>0</v>
      </c>
      <c r="AN439" s="4"/>
      <c r="AO439" s="167">
        <v>705</v>
      </c>
      <c r="AP439" s="215">
        <v>6.3856783227427272E-3</v>
      </c>
      <c r="AQ439" s="190">
        <v>6.315786314270589E-3</v>
      </c>
      <c r="AR439" s="190">
        <v>6.64445869962727E-3</v>
      </c>
      <c r="AS439" s="170">
        <v>6.7095264570535933E-3</v>
      </c>
      <c r="AU439" s="216">
        <v>96.472066720497978</v>
      </c>
      <c r="AV439" s="217">
        <v>96.524560549928879</v>
      </c>
      <c r="AW439" s="217">
        <v>95.352653670700263</v>
      </c>
      <c r="AX439" s="217">
        <v>95.606487641423087</v>
      </c>
      <c r="AY439" s="217"/>
      <c r="AZ439" s="218">
        <v>0</v>
      </c>
      <c r="BA439" s="8"/>
      <c r="BB439" s="219"/>
      <c r="BC439" s="220"/>
    </row>
    <row r="440" spans="4:55" x14ac:dyDescent="0.25">
      <c r="O440" s="195">
        <v>700</v>
      </c>
      <c r="P440" s="202">
        <f t="shared" si="94"/>
        <v>0</v>
      </c>
      <c r="Q440" s="203">
        <f t="shared" si="94"/>
        <v>0</v>
      </c>
      <c r="R440" s="157">
        <f ca="1"/>
        <v>96.488324375645831</v>
      </c>
      <c r="T440" s="204">
        <v>0</v>
      </c>
      <c r="U440" s="206">
        <v>0</v>
      </c>
      <c r="V440" s="206">
        <v>0</v>
      </c>
      <c r="W440" s="206">
        <v>0</v>
      </c>
      <c r="X440" s="206">
        <f t="array" ref="X440">IF(X$78&gt;" ",(X$628:X$1078),"")</f>
        <v>0</v>
      </c>
      <c r="Y440" s="206">
        <f t="array" ref="Y440">IF(Y$78&gt;" ",(Y$628:Y$1078),"")</f>
        <v>0</v>
      </c>
      <c r="Z440" s="206">
        <f t="array" ref="Z440">IF(Z$78&gt;" ",(Z$628:Z$1078),"")</f>
        <v>0</v>
      </c>
      <c r="AA440" s="206">
        <f t="array" ref="AA440">IF(AA$78&gt;" ",(AA$628:AA$1078),"")</f>
        <v>0</v>
      </c>
      <c r="AB440" s="210">
        <v>0</v>
      </c>
      <c r="AC440" s="204">
        <f t="shared" si="82"/>
        <v>0</v>
      </c>
      <c r="AD440" s="206">
        <f t="shared" si="83"/>
        <v>0</v>
      </c>
      <c r="AE440" s="206">
        <f t="shared" si="84"/>
        <v>0</v>
      </c>
      <c r="AF440" s="206">
        <f t="shared" si="85"/>
        <v>0</v>
      </c>
      <c r="AG440" s="206">
        <f t="shared" si="86"/>
        <v>0</v>
      </c>
      <c r="AH440" s="206">
        <f t="shared" si="87"/>
        <v>0</v>
      </c>
      <c r="AI440" s="206">
        <f t="shared" si="88"/>
        <v>0</v>
      </c>
      <c r="AJ440" s="206">
        <f t="shared" si="89"/>
        <v>0</v>
      </c>
      <c r="AK440" s="206">
        <f t="shared" si="90"/>
        <v>0</v>
      </c>
      <c r="AL440" s="206">
        <f t="shared" si="91"/>
        <v>0</v>
      </c>
      <c r="AM440" s="214">
        <f t="shared" si="92"/>
        <v>0</v>
      </c>
      <c r="AN440" s="4"/>
      <c r="AO440" s="167">
        <v>700</v>
      </c>
      <c r="AP440" s="215">
        <v>6.1491717181966993E-3</v>
      </c>
      <c r="AQ440" s="190">
        <v>6.2294948296393532E-3</v>
      </c>
      <c r="AR440" s="190">
        <v>6.4478503031118878E-3</v>
      </c>
      <c r="AS440" s="170">
        <v>6.5119734635312038E-3</v>
      </c>
      <c r="AU440" s="216">
        <v>96.468555232259305</v>
      </c>
      <c r="AV440" s="217">
        <v>96.488324375645831</v>
      </c>
      <c r="AW440" s="217">
        <v>95.374402489603298</v>
      </c>
      <c r="AX440" s="217">
        <v>95.631870263934175</v>
      </c>
      <c r="AY440" s="217"/>
      <c r="AZ440" s="218">
        <v>0</v>
      </c>
      <c r="BA440" s="8"/>
      <c r="BB440" s="219"/>
      <c r="BC440" s="220"/>
    </row>
    <row r="441" spans="4:55" x14ac:dyDescent="0.25">
      <c r="O441" s="195">
        <v>695</v>
      </c>
      <c r="P441" s="202">
        <f t="shared" si="94"/>
        <v>0</v>
      </c>
      <c r="Q441" s="203">
        <f t="shared" si="94"/>
        <v>0</v>
      </c>
      <c r="R441" s="157">
        <f ca="1"/>
        <v>96.491510729811225</v>
      </c>
      <c r="T441" s="204">
        <v>0</v>
      </c>
      <c r="U441" s="206">
        <v>0</v>
      </c>
      <c r="V441" s="206">
        <v>0</v>
      </c>
      <c r="W441" s="206">
        <v>0</v>
      </c>
      <c r="X441" s="206">
        <f t="array" ref="X441">IF(X$78&gt;" ",(X$628:X$1078),"")</f>
        <v>0</v>
      </c>
      <c r="Y441" s="206">
        <f t="array" ref="Y441">IF(Y$78&gt;" ",(Y$628:Y$1078),"")</f>
        <v>0</v>
      </c>
      <c r="Z441" s="206">
        <f t="array" ref="Z441">IF(Z$78&gt;" ",(Z$628:Z$1078),"")</f>
        <v>0</v>
      </c>
      <c r="AA441" s="206">
        <f t="array" ref="AA441">IF(AA$78&gt;" ",(AA$628:AA$1078),"")</f>
        <v>0</v>
      </c>
      <c r="AB441" s="210">
        <v>0</v>
      </c>
      <c r="AC441" s="204">
        <f t="shared" si="82"/>
        <v>0</v>
      </c>
      <c r="AD441" s="206">
        <f t="shared" si="83"/>
        <v>0</v>
      </c>
      <c r="AE441" s="206">
        <f t="shared" si="84"/>
        <v>0</v>
      </c>
      <c r="AF441" s="206">
        <f t="shared" si="85"/>
        <v>0</v>
      </c>
      <c r="AG441" s="206">
        <f t="shared" si="86"/>
        <v>0</v>
      </c>
      <c r="AH441" s="206">
        <f t="shared" si="87"/>
        <v>0</v>
      </c>
      <c r="AI441" s="206">
        <f t="shared" si="88"/>
        <v>0</v>
      </c>
      <c r="AJ441" s="206">
        <f t="shared" si="89"/>
        <v>0</v>
      </c>
      <c r="AK441" s="206">
        <f t="shared" si="90"/>
        <v>0</v>
      </c>
      <c r="AL441" s="206">
        <f t="shared" si="91"/>
        <v>0</v>
      </c>
      <c r="AM441" s="214">
        <f t="shared" si="92"/>
        <v>0</v>
      </c>
      <c r="AN441" s="4"/>
      <c r="AO441" s="167">
        <v>695</v>
      </c>
      <c r="AP441" s="215">
        <v>5.9126651136506732E-3</v>
      </c>
      <c r="AQ441" s="190">
        <v>6.0631648665095779E-3</v>
      </c>
      <c r="AR441" s="190">
        <v>6.3930413127789559E-3</v>
      </c>
      <c r="AS441" s="170">
        <v>6.457128723119889E-3</v>
      </c>
      <c r="AU441" s="216">
        <v>96.467134073369564</v>
      </c>
      <c r="AV441" s="217">
        <v>96.491510729811225</v>
      </c>
      <c r="AW441" s="217">
        <v>95.408083468814496</v>
      </c>
      <c r="AX441" s="217">
        <v>95.676926497990394</v>
      </c>
      <c r="AY441" s="217"/>
      <c r="AZ441" s="218">
        <v>0</v>
      </c>
      <c r="BA441" s="8"/>
      <c r="BB441" s="219"/>
      <c r="BC441" s="220"/>
    </row>
    <row r="442" spans="4:55" x14ac:dyDescent="0.25">
      <c r="O442" s="195">
        <v>690</v>
      </c>
      <c r="P442" s="202">
        <f t="shared" si="94"/>
        <v>0</v>
      </c>
      <c r="Q442" s="203">
        <f t="shared" si="94"/>
        <v>0</v>
      </c>
      <c r="R442" s="157">
        <f ca="1"/>
        <v>96.479992149237049</v>
      </c>
      <c r="T442" s="204">
        <v>0</v>
      </c>
      <c r="U442" s="206">
        <v>0</v>
      </c>
      <c r="V442" s="206">
        <v>0</v>
      </c>
      <c r="W442" s="206">
        <v>0</v>
      </c>
      <c r="X442" s="206">
        <f t="array" ref="X442">IF(X$78&gt;" ",(X$628:X$1078),"")</f>
        <v>0</v>
      </c>
      <c r="Y442" s="206">
        <f t="array" ref="Y442">IF(Y$78&gt;" ",(Y$628:Y$1078),"")</f>
        <v>0</v>
      </c>
      <c r="Z442" s="206">
        <f t="array" ref="Z442">IF(Z$78&gt;" ",(Z$628:Z$1078),"")</f>
        <v>0</v>
      </c>
      <c r="AA442" s="206">
        <f t="array" ref="AA442">IF(AA$78&gt;" ",(AA$628:AA$1078),"")</f>
        <v>0</v>
      </c>
      <c r="AB442" s="210">
        <v>0</v>
      </c>
      <c r="AC442" s="204">
        <f t="shared" si="82"/>
        <v>0</v>
      </c>
      <c r="AD442" s="206">
        <f t="shared" si="83"/>
        <v>0</v>
      </c>
      <c r="AE442" s="206">
        <f t="shared" si="84"/>
        <v>0</v>
      </c>
      <c r="AF442" s="206">
        <f t="shared" si="85"/>
        <v>0</v>
      </c>
      <c r="AG442" s="206">
        <f t="shared" si="86"/>
        <v>0</v>
      </c>
      <c r="AH442" s="206">
        <f t="shared" si="87"/>
        <v>0</v>
      </c>
      <c r="AI442" s="206">
        <f t="shared" si="88"/>
        <v>0</v>
      </c>
      <c r="AJ442" s="206">
        <f t="shared" si="89"/>
        <v>0</v>
      </c>
      <c r="AK442" s="206">
        <f t="shared" si="90"/>
        <v>0</v>
      </c>
      <c r="AL442" s="206">
        <f t="shared" si="91"/>
        <v>0</v>
      </c>
      <c r="AM442" s="214">
        <f t="shared" si="92"/>
        <v>0</v>
      </c>
      <c r="AN442" s="4"/>
      <c r="AO442" s="167">
        <v>690</v>
      </c>
      <c r="AP442" s="215">
        <v>5.6761585091046462E-3</v>
      </c>
      <c r="AQ442" s="190">
        <v>5.8968349033798042E-3</v>
      </c>
      <c r="AR442" s="190">
        <v>5.9440098598678636E-3</v>
      </c>
      <c r="AS442" s="170">
        <v>6.0138936781631422E-3</v>
      </c>
      <c r="AU442" s="216">
        <v>96.445698874009395</v>
      </c>
      <c r="AV442" s="217">
        <v>96.479992149237049</v>
      </c>
      <c r="AW442" s="217">
        <v>95.422435971491552</v>
      </c>
      <c r="AX442" s="217">
        <v>95.687699222101642</v>
      </c>
      <c r="AY442" s="217"/>
      <c r="AZ442" s="218">
        <v>0</v>
      </c>
      <c r="BA442" s="8"/>
      <c r="BB442" s="219"/>
      <c r="BC442" s="220"/>
    </row>
    <row r="443" spans="4:55" x14ac:dyDescent="0.25">
      <c r="O443" s="195">
        <v>685</v>
      </c>
      <c r="P443" s="202">
        <f t="shared" si="94"/>
        <v>0</v>
      </c>
      <c r="Q443" s="203">
        <f t="shared" si="94"/>
        <v>0</v>
      </c>
      <c r="R443" s="157">
        <f ca="1"/>
        <v>96.46781305243853</v>
      </c>
      <c r="T443" s="204">
        <v>0</v>
      </c>
      <c r="U443" s="206">
        <v>0</v>
      </c>
      <c r="V443" s="206">
        <v>0</v>
      </c>
      <c r="W443" s="206">
        <v>0</v>
      </c>
      <c r="X443" s="206">
        <f t="array" ref="X443">IF(X$78&gt;" ",(X$628:X$1078),"")</f>
        <v>0</v>
      </c>
      <c r="Y443" s="206">
        <f t="array" ref="Y443">IF(Y$78&gt;" ",(Y$628:Y$1078),"")</f>
        <v>0</v>
      </c>
      <c r="Z443" s="206">
        <f t="array" ref="Z443">IF(Z$78&gt;" ",(Z$628:Z$1078),"")</f>
        <v>0</v>
      </c>
      <c r="AA443" s="206">
        <f t="array" ref="AA443">IF(AA$78&gt;" ",(AA$628:AA$1078),"")</f>
        <v>0</v>
      </c>
      <c r="AB443" s="210">
        <v>0</v>
      </c>
      <c r="AC443" s="204">
        <f t="shared" si="82"/>
        <v>0</v>
      </c>
      <c r="AD443" s="206">
        <f t="shared" si="83"/>
        <v>0</v>
      </c>
      <c r="AE443" s="206">
        <f t="shared" si="84"/>
        <v>0</v>
      </c>
      <c r="AF443" s="206">
        <f t="shared" si="85"/>
        <v>0</v>
      </c>
      <c r="AG443" s="206">
        <f t="shared" si="86"/>
        <v>0</v>
      </c>
      <c r="AH443" s="206">
        <f t="shared" si="87"/>
        <v>0</v>
      </c>
      <c r="AI443" s="206">
        <f t="shared" si="88"/>
        <v>0</v>
      </c>
      <c r="AJ443" s="206">
        <f t="shared" si="89"/>
        <v>0</v>
      </c>
      <c r="AK443" s="206">
        <f t="shared" si="90"/>
        <v>0</v>
      </c>
      <c r="AL443" s="206">
        <f t="shared" si="91"/>
        <v>0</v>
      </c>
      <c r="AM443" s="214">
        <f t="shared" si="92"/>
        <v>0</v>
      </c>
      <c r="AN443" s="4"/>
      <c r="AO443" s="167">
        <v>685</v>
      </c>
      <c r="AP443" s="215">
        <v>5.985004424259025E-3</v>
      </c>
      <c r="AQ443" s="190">
        <v>6.1594611609531317E-3</v>
      </c>
      <c r="AR443" s="190">
        <v>6.9129724687812706E-3</v>
      </c>
      <c r="AS443" s="170">
        <v>6.9697591539031991E-3</v>
      </c>
      <c r="AU443" s="216">
        <v>96.416038830495339</v>
      </c>
      <c r="AV443" s="217">
        <v>96.46781305243853</v>
      </c>
      <c r="AW443" s="217">
        <v>95.431449422876426</v>
      </c>
      <c r="AX443" s="217">
        <v>95.707104699219073</v>
      </c>
      <c r="AY443" s="217"/>
      <c r="AZ443" s="218">
        <v>0</v>
      </c>
      <c r="BA443" s="8"/>
      <c r="BB443" s="219"/>
      <c r="BC443" s="220"/>
    </row>
    <row r="444" spans="4:55" x14ac:dyDescent="0.25">
      <c r="O444" s="195">
        <v>680</v>
      </c>
      <c r="P444" s="202">
        <f t="shared" si="94"/>
        <v>0</v>
      </c>
      <c r="Q444" s="203">
        <f t="shared" si="94"/>
        <v>0</v>
      </c>
      <c r="R444" s="157">
        <f ca="1"/>
        <v>96.456647366498558</v>
      </c>
      <c r="T444" s="204">
        <v>0</v>
      </c>
      <c r="U444" s="206">
        <v>0</v>
      </c>
      <c r="V444" s="206">
        <v>0</v>
      </c>
      <c r="W444" s="206">
        <v>0</v>
      </c>
      <c r="X444" s="206">
        <f t="array" ref="X444">IF(X$78&gt;" ",(X$628:X$1078),"")</f>
        <v>0</v>
      </c>
      <c r="Y444" s="206">
        <f t="array" ref="Y444">IF(Y$78&gt;" ",(Y$628:Y$1078),"")</f>
        <v>0</v>
      </c>
      <c r="Z444" s="206">
        <f t="array" ref="Z444">IF(Z$78&gt;" ",(Z$628:Z$1078),"")</f>
        <v>0</v>
      </c>
      <c r="AA444" s="206">
        <f t="array" ref="AA444">IF(AA$78&gt;" ",(AA$628:AA$1078),"")</f>
        <v>0</v>
      </c>
      <c r="AB444" s="210">
        <v>0</v>
      </c>
      <c r="AC444" s="204">
        <f t="shared" si="82"/>
        <v>0</v>
      </c>
      <c r="AD444" s="206">
        <f t="shared" si="83"/>
        <v>0</v>
      </c>
      <c r="AE444" s="206">
        <f t="shared" si="84"/>
        <v>0</v>
      </c>
      <c r="AF444" s="206">
        <f t="shared" si="85"/>
        <v>0</v>
      </c>
      <c r="AG444" s="206">
        <f t="shared" si="86"/>
        <v>0</v>
      </c>
      <c r="AH444" s="206">
        <f t="shared" si="87"/>
        <v>0</v>
      </c>
      <c r="AI444" s="206">
        <f t="shared" si="88"/>
        <v>0</v>
      </c>
      <c r="AJ444" s="206">
        <f t="shared" si="89"/>
        <v>0</v>
      </c>
      <c r="AK444" s="206">
        <f t="shared" si="90"/>
        <v>0</v>
      </c>
      <c r="AL444" s="206">
        <f t="shared" si="91"/>
        <v>0</v>
      </c>
      <c r="AM444" s="214">
        <f t="shared" si="92"/>
        <v>0</v>
      </c>
      <c r="AN444" s="4"/>
      <c r="AO444" s="167">
        <v>680</v>
      </c>
      <c r="AP444" s="215">
        <v>6.2938503394134038E-3</v>
      </c>
      <c r="AQ444" s="190">
        <v>6.42208741852646E-3</v>
      </c>
      <c r="AR444" s="190">
        <v>7.0240989537682262E-3</v>
      </c>
      <c r="AS444" s="170">
        <v>7.0794486347258278E-3</v>
      </c>
      <c r="AU444" s="216">
        <v>96.397712733978878</v>
      </c>
      <c r="AV444" s="217">
        <v>96.456647366498558</v>
      </c>
      <c r="AW444" s="217">
        <v>95.434320706792406</v>
      </c>
      <c r="AX444" s="217">
        <v>95.721886194345984</v>
      </c>
      <c r="AY444" s="217"/>
      <c r="AZ444" s="218">
        <v>0</v>
      </c>
      <c r="BA444" s="8"/>
      <c r="BB444" s="219"/>
      <c r="BC444" s="220"/>
    </row>
    <row r="445" spans="4:55" x14ac:dyDescent="0.25">
      <c r="O445" s="195">
        <v>675</v>
      </c>
      <c r="P445" s="202">
        <f t="shared" si="94"/>
        <v>0</v>
      </c>
      <c r="Q445" s="203">
        <f t="shared" si="94"/>
        <v>0</v>
      </c>
      <c r="R445" s="157">
        <f ca="1"/>
        <v>96.427235593930092</v>
      </c>
      <c r="T445" s="204">
        <v>0</v>
      </c>
      <c r="U445" s="206">
        <v>0</v>
      </c>
      <c r="V445" s="206">
        <v>0</v>
      </c>
      <c r="W445" s="206">
        <v>0</v>
      </c>
      <c r="X445" s="206">
        <f t="array" ref="X445">IF(X$78&gt;" ",(X$628:X$1078),"")</f>
        <v>0</v>
      </c>
      <c r="Y445" s="206">
        <f t="array" ref="Y445">IF(Y$78&gt;" ",(Y$628:Y$1078),"")</f>
        <v>0</v>
      </c>
      <c r="Z445" s="206">
        <f t="array" ref="Z445">IF(Z$78&gt;" ",(Z$628:Z$1078),"")</f>
        <v>0</v>
      </c>
      <c r="AA445" s="206">
        <f t="array" ref="AA445">IF(AA$78&gt;" ",(AA$628:AA$1078),"")</f>
        <v>0</v>
      </c>
      <c r="AB445" s="210">
        <v>0</v>
      </c>
      <c r="AC445" s="204">
        <f t="shared" si="82"/>
        <v>0</v>
      </c>
      <c r="AD445" s="206">
        <f t="shared" si="83"/>
        <v>0</v>
      </c>
      <c r="AE445" s="206">
        <f t="shared" si="84"/>
        <v>0</v>
      </c>
      <c r="AF445" s="206">
        <f t="shared" si="85"/>
        <v>0</v>
      </c>
      <c r="AG445" s="206">
        <f t="shared" si="86"/>
        <v>0</v>
      </c>
      <c r="AH445" s="206">
        <f t="shared" si="87"/>
        <v>0</v>
      </c>
      <c r="AI445" s="206">
        <f t="shared" si="88"/>
        <v>0</v>
      </c>
      <c r="AJ445" s="206">
        <f t="shared" si="89"/>
        <v>0</v>
      </c>
      <c r="AK445" s="206">
        <f t="shared" si="90"/>
        <v>0</v>
      </c>
      <c r="AL445" s="206">
        <f t="shared" si="91"/>
        <v>0</v>
      </c>
      <c r="AM445" s="214">
        <f t="shared" si="92"/>
        <v>0</v>
      </c>
      <c r="AN445" s="4"/>
      <c r="AO445" s="167">
        <v>675</v>
      </c>
      <c r="AP445" s="215">
        <v>6.6026962545677826E-3</v>
      </c>
      <c r="AQ445" s="190">
        <v>6.7184799092163596E-3</v>
      </c>
      <c r="AR445" s="190">
        <v>7.0185677712575629E-3</v>
      </c>
      <c r="AS445" s="170">
        <v>7.073292592434762E-3</v>
      </c>
      <c r="AU445" s="216">
        <v>96.36020030113184</v>
      </c>
      <c r="AV445" s="217">
        <v>96.427235593930092</v>
      </c>
      <c r="AW445" s="217">
        <v>95.416909811920235</v>
      </c>
      <c r="AX445" s="217">
        <v>95.705316696488595</v>
      </c>
      <c r="AY445" s="217"/>
      <c r="AZ445" s="218">
        <v>0</v>
      </c>
      <c r="BA445" s="8"/>
      <c r="BB445" s="219"/>
      <c r="BC445" s="220"/>
    </row>
    <row r="446" spans="4:55" x14ac:dyDescent="0.25">
      <c r="O446" s="195">
        <v>670</v>
      </c>
      <c r="P446" s="202">
        <f t="shared" si="94"/>
        <v>0</v>
      </c>
      <c r="Q446" s="203">
        <f t="shared" si="94"/>
        <v>0</v>
      </c>
      <c r="R446" s="157">
        <f ca="1"/>
        <v>96.397180832828795</v>
      </c>
      <c r="T446" s="204">
        <v>0</v>
      </c>
      <c r="U446" s="206">
        <v>0</v>
      </c>
      <c r="V446" s="206">
        <v>0</v>
      </c>
      <c r="W446" s="206">
        <v>0</v>
      </c>
      <c r="X446" s="206">
        <f t="array" ref="X446">IF(X$78&gt;" ",(X$628:X$1078),"")</f>
        <v>0</v>
      </c>
      <c r="Y446" s="206">
        <f t="array" ref="Y446">IF(Y$78&gt;" ",(Y$628:Y$1078),"")</f>
        <v>0</v>
      </c>
      <c r="Z446" s="206">
        <f t="array" ref="Z446">IF(Z$78&gt;" ",(Z$628:Z$1078),"")</f>
        <v>0</v>
      </c>
      <c r="AA446" s="206">
        <f t="array" ref="AA446">IF(AA$78&gt;" ",(AA$628:AA$1078),"")</f>
        <v>0</v>
      </c>
      <c r="AB446" s="210">
        <v>0</v>
      </c>
      <c r="AC446" s="204">
        <f t="shared" si="82"/>
        <v>0</v>
      </c>
      <c r="AD446" s="206">
        <f t="shared" si="83"/>
        <v>0</v>
      </c>
      <c r="AE446" s="206">
        <f t="shared" si="84"/>
        <v>0</v>
      </c>
      <c r="AF446" s="206">
        <f t="shared" si="85"/>
        <v>0</v>
      </c>
      <c r="AG446" s="206">
        <f t="shared" si="86"/>
        <v>0</v>
      </c>
      <c r="AH446" s="206">
        <f t="shared" si="87"/>
        <v>0</v>
      </c>
      <c r="AI446" s="206">
        <f t="shared" si="88"/>
        <v>0</v>
      </c>
      <c r="AJ446" s="206">
        <f t="shared" si="89"/>
        <v>0</v>
      </c>
      <c r="AK446" s="206">
        <f t="shared" si="90"/>
        <v>0</v>
      </c>
      <c r="AL446" s="206">
        <f t="shared" si="91"/>
        <v>0</v>
      </c>
      <c r="AM446" s="214">
        <f t="shared" si="92"/>
        <v>0</v>
      </c>
      <c r="AN446" s="4"/>
      <c r="AO446" s="167">
        <v>670</v>
      </c>
      <c r="AP446" s="215">
        <v>6.9115421697221614E-3</v>
      </c>
      <c r="AQ446" s="190">
        <v>7.0148723999062593E-3</v>
      </c>
      <c r="AR446" s="190">
        <v>7.1382424473973609E-3</v>
      </c>
      <c r="AS446" s="170">
        <v>7.193055597006409E-3</v>
      </c>
      <c r="AU446" s="216">
        <v>96.322518476577514</v>
      </c>
      <c r="AV446" s="217">
        <v>96.397180832828795</v>
      </c>
      <c r="AW446" s="217">
        <v>95.429266720257658</v>
      </c>
      <c r="AX446" s="217">
        <v>95.721251483322249</v>
      </c>
      <c r="AY446" s="217"/>
      <c r="AZ446" s="218">
        <v>0</v>
      </c>
      <c r="BA446" s="8"/>
      <c r="BB446" s="219"/>
      <c r="BC446" s="220"/>
    </row>
    <row r="447" spans="4:55" x14ac:dyDescent="0.25">
      <c r="O447" s="195">
        <v>665</v>
      </c>
      <c r="P447" s="202">
        <f t="shared" si="94"/>
        <v>0</v>
      </c>
      <c r="Q447" s="203">
        <f t="shared" si="94"/>
        <v>0</v>
      </c>
      <c r="R447" s="157">
        <f ca="1"/>
        <v>96.373077174341987</v>
      </c>
      <c r="T447" s="204">
        <v>0</v>
      </c>
      <c r="U447" s="206">
        <v>0</v>
      </c>
      <c r="V447" s="206">
        <v>0</v>
      </c>
      <c r="W447" s="206">
        <v>0</v>
      </c>
      <c r="X447" s="206">
        <f t="array" ref="X447">IF(X$78&gt;" ",(X$628:X$1078),"")</f>
        <v>0</v>
      </c>
      <c r="Y447" s="206">
        <f t="array" ref="Y447">IF(Y$78&gt;" ",(Y$628:Y$1078),"")</f>
        <v>0</v>
      </c>
      <c r="Z447" s="206">
        <f t="array" ref="Z447">IF(Z$78&gt;" ",(Z$628:Z$1078),"")</f>
        <v>0</v>
      </c>
      <c r="AA447" s="206">
        <f t="array" ref="AA447">IF(AA$78&gt;" ",(AA$628:AA$1078),"")</f>
        <v>0</v>
      </c>
      <c r="AB447" s="210">
        <v>0</v>
      </c>
      <c r="AC447" s="204">
        <f t="shared" si="82"/>
        <v>0</v>
      </c>
      <c r="AD447" s="206">
        <f t="shared" si="83"/>
        <v>0</v>
      </c>
      <c r="AE447" s="206">
        <f t="shared" si="84"/>
        <v>0</v>
      </c>
      <c r="AF447" s="206">
        <f t="shared" si="85"/>
        <v>0</v>
      </c>
      <c r="AG447" s="206">
        <f t="shared" si="86"/>
        <v>0</v>
      </c>
      <c r="AH447" s="206">
        <f t="shared" si="87"/>
        <v>0</v>
      </c>
      <c r="AI447" s="206">
        <f t="shared" si="88"/>
        <v>0</v>
      </c>
      <c r="AJ447" s="206">
        <f t="shared" si="89"/>
        <v>0</v>
      </c>
      <c r="AK447" s="206">
        <f t="shared" si="90"/>
        <v>0</v>
      </c>
      <c r="AL447" s="206">
        <f t="shared" si="91"/>
        <v>0</v>
      </c>
      <c r="AM447" s="214">
        <f t="shared" si="92"/>
        <v>0</v>
      </c>
      <c r="AN447" s="4"/>
      <c r="AO447" s="167">
        <v>665</v>
      </c>
      <c r="AP447" s="215">
        <v>6.9371086658001806E-3</v>
      </c>
      <c r="AQ447" s="190">
        <v>7.0874072710455597E-3</v>
      </c>
      <c r="AR447" s="190">
        <v>7.1472934733238999E-3</v>
      </c>
      <c r="AS447" s="170">
        <v>7.2031291207554247E-3</v>
      </c>
      <c r="AU447" s="216">
        <v>96.296150671995449</v>
      </c>
      <c r="AV447" s="217">
        <v>96.373077174341987</v>
      </c>
      <c r="AW447" s="217">
        <v>95.426632501826987</v>
      </c>
      <c r="AX447" s="217">
        <v>95.717223287970342</v>
      </c>
      <c r="AY447" s="217"/>
      <c r="AZ447" s="218">
        <v>0</v>
      </c>
      <c r="BA447" s="8"/>
      <c r="BB447" s="219"/>
      <c r="BC447" s="220"/>
    </row>
    <row r="448" spans="4:55" s="235" customFormat="1" ht="13" x14ac:dyDescent="0.3">
      <c r="D448" s="234"/>
      <c r="E448" s="20"/>
      <c r="F448" s="22"/>
      <c r="G448" s="22"/>
      <c r="H448" s="22"/>
      <c r="I448" s="22"/>
      <c r="J448" s="22"/>
      <c r="K448" s="22"/>
      <c r="L448" s="22"/>
      <c r="O448" s="152">
        <v>660</v>
      </c>
      <c r="P448" s="236">
        <f t="shared" ref="P448:Q463" si="95">P996</f>
        <v>0</v>
      </c>
      <c r="Q448" s="237">
        <f t="shared" si="95"/>
        <v>0</v>
      </c>
      <c r="R448" s="158">
        <f ca="1"/>
        <v>96.358620111166076</v>
      </c>
      <c r="T448" s="232">
        <v>0</v>
      </c>
      <c r="U448" s="208">
        <v>0</v>
      </c>
      <c r="V448" s="208">
        <v>0</v>
      </c>
      <c r="W448" s="208">
        <v>0</v>
      </c>
      <c r="X448" s="206">
        <f t="array" ref="X448">IF(X$78&gt;" ",(X$628:X$1078),"")</f>
        <v>0</v>
      </c>
      <c r="Y448" s="206">
        <f t="array" ref="Y448">IF(Y$78&gt;" ",(Y$628:Y$1078),"")</f>
        <v>0</v>
      </c>
      <c r="Z448" s="206">
        <f t="array" ref="Z448">IF(Z$78&gt;" ",(Z$628:Z$1078),"")</f>
        <v>0</v>
      </c>
      <c r="AA448" s="206">
        <f t="array" ref="AA448">IF(AA$78&gt;" ",(AA$628:AA$1078),"")</f>
        <v>0</v>
      </c>
      <c r="AB448" s="212">
        <v>0</v>
      </c>
      <c r="AC448" s="204">
        <f t="shared" si="82"/>
        <v>0</v>
      </c>
      <c r="AD448" s="206">
        <f t="shared" si="83"/>
        <v>0</v>
      </c>
      <c r="AE448" s="206">
        <f t="shared" si="84"/>
        <v>0</v>
      </c>
      <c r="AF448" s="206">
        <f t="shared" si="85"/>
        <v>0</v>
      </c>
      <c r="AG448" s="206">
        <f t="shared" si="86"/>
        <v>0</v>
      </c>
      <c r="AH448" s="206">
        <f t="shared" si="87"/>
        <v>0</v>
      </c>
      <c r="AI448" s="206">
        <f t="shared" si="88"/>
        <v>0</v>
      </c>
      <c r="AJ448" s="206">
        <f t="shared" si="89"/>
        <v>0</v>
      </c>
      <c r="AK448" s="206">
        <f t="shared" si="90"/>
        <v>0</v>
      </c>
      <c r="AL448" s="206">
        <f t="shared" si="91"/>
        <v>0</v>
      </c>
      <c r="AM448" s="214">
        <f t="shared" si="92"/>
        <v>0</v>
      </c>
      <c r="AN448" s="22"/>
      <c r="AO448" s="238">
        <v>660</v>
      </c>
      <c r="AP448" s="239">
        <v>6.9627412251755611E-3</v>
      </c>
      <c r="AQ448" s="240">
        <v>7.1599421421848592E-3</v>
      </c>
      <c r="AR448" s="240">
        <v>7.0356641535632486E-3</v>
      </c>
      <c r="AS448" s="241">
        <v>7.0895221584748444E-3</v>
      </c>
      <c r="AU448" s="242">
        <v>96.268358522197545</v>
      </c>
      <c r="AV448" s="243">
        <v>96.358620111166076</v>
      </c>
      <c r="AW448" s="217">
        <v>95.412689804359971</v>
      </c>
      <c r="AX448" s="217">
        <v>95.695869201263761</v>
      </c>
      <c r="AY448" s="243"/>
      <c r="AZ448" s="244">
        <v>0</v>
      </c>
      <c r="BA448" s="29"/>
      <c r="BB448" s="29"/>
      <c r="BC448" s="220"/>
    </row>
    <row r="449" spans="15:55" x14ac:dyDescent="0.25">
      <c r="O449" s="195">
        <v>655</v>
      </c>
      <c r="P449" s="202">
        <f t="shared" si="95"/>
        <v>0</v>
      </c>
      <c r="Q449" s="203">
        <f t="shared" si="95"/>
        <v>0</v>
      </c>
      <c r="R449" s="157">
        <f ca="1"/>
        <v>96.315611530487104</v>
      </c>
      <c r="T449" s="204">
        <v>0</v>
      </c>
      <c r="U449" s="206">
        <v>0</v>
      </c>
      <c r="V449" s="206">
        <v>0</v>
      </c>
      <c r="W449" s="206">
        <v>0</v>
      </c>
      <c r="X449" s="206">
        <f t="array" ref="X449">IF(X$78&gt;" ",(X$628:X$1078),"")</f>
        <v>0</v>
      </c>
      <c r="Y449" s="206">
        <f t="array" ref="Y449">IF(Y$78&gt;" ",(Y$628:Y$1078),"")</f>
        <v>0</v>
      </c>
      <c r="Z449" s="206">
        <f t="array" ref="Z449">IF(Z$78&gt;" ",(Z$628:Z$1078),"")</f>
        <v>0</v>
      </c>
      <c r="AA449" s="206">
        <f t="array" ref="AA449">IF(AA$78&gt;" ",(AA$628:AA$1078),"")</f>
        <v>0</v>
      </c>
      <c r="AB449" s="210">
        <v>0</v>
      </c>
      <c r="AC449" s="204">
        <f t="shared" si="82"/>
        <v>0</v>
      </c>
      <c r="AD449" s="206">
        <f t="shared" si="83"/>
        <v>0</v>
      </c>
      <c r="AE449" s="206">
        <f t="shared" si="84"/>
        <v>0</v>
      </c>
      <c r="AF449" s="206">
        <f t="shared" si="85"/>
        <v>0</v>
      </c>
      <c r="AG449" s="206">
        <f t="shared" si="86"/>
        <v>0</v>
      </c>
      <c r="AH449" s="206">
        <f t="shared" si="87"/>
        <v>0</v>
      </c>
      <c r="AI449" s="206">
        <f t="shared" si="88"/>
        <v>0</v>
      </c>
      <c r="AJ449" s="206">
        <f t="shared" si="89"/>
        <v>0</v>
      </c>
      <c r="AK449" s="206">
        <f t="shared" si="90"/>
        <v>0</v>
      </c>
      <c r="AL449" s="206">
        <f t="shared" si="91"/>
        <v>0</v>
      </c>
      <c r="AM449" s="214">
        <f t="shared" si="92"/>
        <v>0</v>
      </c>
      <c r="AN449" s="4"/>
      <c r="AO449" s="167">
        <v>655</v>
      </c>
      <c r="AP449" s="215">
        <v>6.9883077212535803E-3</v>
      </c>
      <c r="AQ449" s="190">
        <v>7.1929580145655061E-3</v>
      </c>
      <c r="AR449" s="190">
        <v>6.7877666101308102E-3</v>
      </c>
      <c r="AS449" s="170">
        <v>6.8388033451659783E-3</v>
      </c>
      <c r="AU449" s="216">
        <v>96.24259062873567</v>
      </c>
      <c r="AV449" s="217">
        <v>96.315611530487104</v>
      </c>
      <c r="AW449" s="217">
        <v>95.391149914387441</v>
      </c>
      <c r="AX449" s="217">
        <v>95.68611766565823</v>
      </c>
      <c r="AY449" s="217"/>
      <c r="AZ449" s="218">
        <v>0</v>
      </c>
      <c r="BA449" s="8"/>
      <c r="BB449" s="219"/>
      <c r="BC449" s="220"/>
    </row>
    <row r="450" spans="15:55" x14ac:dyDescent="0.25">
      <c r="O450" s="195">
        <v>650</v>
      </c>
      <c r="P450" s="202">
        <f t="shared" si="95"/>
        <v>0</v>
      </c>
      <c r="Q450" s="203">
        <f t="shared" si="95"/>
        <v>0</v>
      </c>
      <c r="R450" s="157">
        <f ca="1"/>
        <v>96.283383934853987</v>
      </c>
      <c r="T450" s="204">
        <v>0</v>
      </c>
      <c r="U450" s="206">
        <v>0</v>
      </c>
      <c r="V450" s="206">
        <v>0</v>
      </c>
      <c r="W450" s="206">
        <v>0</v>
      </c>
      <c r="X450" s="206">
        <f t="array" ref="X450">IF(X$78&gt;" ",(X$628:X$1078),"")</f>
        <v>0</v>
      </c>
      <c r="Y450" s="206">
        <f t="array" ref="Y450">IF(Y$78&gt;" ",(Y$628:Y$1078),"")</f>
        <v>0</v>
      </c>
      <c r="Z450" s="206">
        <f t="array" ref="Z450">IF(Z$78&gt;" ",(Z$628:Z$1078),"")</f>
        <v>0</v>
      </c>
      <c r="AA450" s="206">
        <f t="array" ref="AA450">IF(AA$78&gt;" ",(AA$628:AA$1078),"")</f>
        <v>0</v>
      </c>
      <c r="AB450" s="210">
        <v>0</v>
      </c>
      <c r="AC450" s="204">
        <f t="shared" si="82"/>
        <v>0</v>
      </c>
      <c r="AD450" s="206">
        <f t="shared" si="83"/>
        <v>0</v>
      </c>
      <c r="AE450" s="206">
        <f t="shared" si="84"/>
        <v>0</v>
      </c>
      <c r="AF450" s="206">
        <f t="shared" si="85"/>
        <v>0</v>
      </c>
      <c r="AG450" s="206">
        <f t="shared" si="86"/>
        <v>0</v>
      </c>
      <c r="AH450" s="206">
        <f t="shared" si="87"/>
        <v>0</v>
      </c>
      <c r="AI450" s="206">
        <f t="shared" si="88"/>
        <v>0</v>
      </c>
      <c r="AJ450" s="206">
        <f t="shared" si="89"/>
        <v>0</v>
      </c>
      <c r="AK450" s="206">
        <f t="shared" si="90"/>
        <v>0</v>
      </c>
      <c r="AL450" s="206">
        <f t="shared" si="91"/>
        <v>0</v>
      </c>
      <c r="AM450" s="214">
        <f t="shared" si="92"/>
        <v>0</v>
      </c>
      <c r="AN450" s="4"/>
      <c r="AO450" s="167">
        <v>650</v>
      </c>
      <c r="AP450" s="215">
        <v>7.0139402806289608E-3</v>
      </c>
      <c r="AQ450" s="190">
        <v>7.2259738869461538E-3</v>
      </c>
      <c r="AR450" s="190">
        <v>6.8355359136319889E-3</v>
      </c>
      <c r="AS450" s="170">
        <v>6.8830149216199963E-3</v>
      </c>
      <c r="AU450" s="216">
        <v>96.239801859746493</v>
      </c>
      <c r="AV450" s="217">
        <v>96.283383934853987</v>
      </c>
      <c r="AW450" s="217">
        <v>95.362353916909001</v>
      </c>
      <c r="AX450" s="217">
        <v>95.66974973769301</v>
      </c>
      <c r="AY450" s="217"/>
      <c r="AZ450" s="218">
        <v>0</v>
      </c>
      <c r="BA450" s="8"/>
      <c r="BB450" s="219"/>
      <c r="BC450" s="220"/>
    </row>
    <row r="451" spans="15:55" x14ac:dyDescent="0.25">
      <c r="O451" s="195">
        <v>645</v>
      </c>
      <c r="P451" s="202">
        <f t="shared" si="95"/>
        <v>0</v>
      </c>
      <c r="Q451" s="203">
        <f t="shared" si="95"/>
        <v>0</v>
      </c>
      <c r="R451" s="157">
        <f ca="1"/>
        <v>96.291847114255177</v>
      </c>
      <c r="T451" s="204">
        <v>0</v>
      </c>
      <c r="U451" s="206">
        <v>0</v>
      </c>
      <c r="V451" s="206">
        <v>0</v>
      </c>
      <c r="W451" s="206">
        <v>0</v>
      </c>
      <c r="X451" s="206">
        <f t="array" ref="X451">IF(X$78&gt;" ",(X$628:X$1078),"")</f>
        <v>0</v>
      </c>
      <c r="Y451" s="206">
        <f t="array" ref="Y451">IF(Y$78&gt;" ",(Y$628:Y$1078),"")</f>
        <v>0</v>
      </c>
      <c r="Z451" s="206">
        <f t="array" ref="Z451">IF(Z$78&gt;" ",(Z$628:Z$1078),"")</f>
        <v>0</v>
      </c>
      <c r="AA451" s="206">
        <f t="array" ref="AA451">IF(AA$78&gt;" ",(AA$628:AA$1078),"")</f>
        <v>0</v>
      </c>
      <c r="AB451" s="210">
        <v>0</v>
      </c>
      <c r="AC451" s="204">
        <f t="shared" si="82"/>
        <v>0</v>
      </c>
      <c r="AD451" s="206">
        <f t="shared" si="83"/>
        <v>0</v>
      </c>
      <c r="AE451" s="206">
        <f t="shared" si="84"/>
        <v>0</v>
      </c>
      <c r="AF451" s="206">
        <f t="shared" si="85"/>
        <v>0</v>
      </c>
      <c r="AG451" s="206">
        <f t="shared" si="86"/>
        <v>0</v>
      </c>
      <c r="AH451" s="206">
        <f t="shared" si="87"/>
        <v>0</v>
      </c>
      <c r="AI451" s="206">
        <f t="shared" si="88"/>
        <v>0</v>
      </c>
      <c r="AJ451" s="206">
        <f t="shared" si="89"/>
        <v>0</v>
      </c>
      <c r="AK451" s="206">
        <f t="shared" si="90"/>
        <v>0</v>
      </c>
      <c r="AL451" s="206">
        <f t="shared" si="91"/>
        <v>0</v>
      </c>
      <c r="AM451" s="214">
        <f t="shared" si="92"/>
        <v>0</v>
      </c>
      <c r="AN451" s="4"/>
      <c r="AO451" s="167">
        <v>645</v>
      </c>
      <c r="AP451" s="215">
        <v>7.0146009136025523E-3</v>
      </c>
      <c r="AQ451" s="190">
        <v>7.1797016415641856E-3</v>
      </c>
      <c r="AR451" s="190">
        <v>7.3247941484388115E-3</v>
      </c>
      <c r="AS451" s="170">
        <v>7.3704615430307627E-3</v>
      </c>
      <c r="AU451" s="216">
        <v>96.200797470421733</v>
      </c>
      <c r="AV451" s="217">
        <v>96.291847114255177</v>
      </c>
      <c r="AW451" s="217">
        <v>95.418858771221082</v>
      </c>
      <c r="AX451" s="217">
        <v>95.717842360113067</v>
      </c>
      <c r="AY451" s="217"/>
      <c r="AZ451" s="218">
        <v>0</v>
      </c>
      <c r="BA451" s="8"/>
      <c r="BB451" s="219"/>
      <c r="BC451" s="220"/>
    </row>
    <row r="452" spans="15:55" x14ac:dyDescent="0.25">
      <c r="O452" s="195">
        <v>640</v>
      </c>
      <c r="P452" s="202">
        <f t="shared" si="95"/>
        <v>0</v>
      </c>
      <c r="Q452" s="203">
        <f t="shared" si="95"/>
        <v>0</v>
      </c>
      <c r="R452" s="157">
        <f ca="1"/>
        <v>96.265904423417808</v>
      </c>
      <c r="T452" s="204">
        <v>0</v>
      </c>
      <c r="U452" s="206">
        <v>0</v>
      </c>
      <c r="V452" s="206">
        <v>0</v>
      </c>
      <c r="W452" s="206">
        <v>0</v>
      </c>
      <c r="X452" s="206">
        <f t="array" ref="X452">IF(X$78&gt;" ",(X$628:X$1078),"")</f>
        <v>0</v>
      </c>
      <c r="Y452" s="206">
        <f t="array" ref="Y452">IF(Y$78&gt;" ",(Y$628:Y$1078),"")</f>
        <v>0</v>
      </c>
      <c r="Z452" s="206">
        <f t="array" ref="Z452">IF(Z$78&gt;" ",(Z$628:Z$1078),"")</f>
        <v>0</v>
      </c>
      <c r="AA452" s="206">
        <f t="array" ref="AA452">IF(AA$78&gt;" ",(AA$628:AA$1078),"")</f>
        <v>0</v>
      </c>
      <c r="AB452" s="210">
        <v>0</v>
      </c>
      <c r="AC452" s="204">
        <f t="shared" si="82"/>
        <v>0</v>
      </c>
      <c r="AD452" s="206">
        <f t="shared" si="83"/>
        <v>0</v>
      </c>
      <c r="AE452" s="206">
        <f t="shared" si="84"/>
        <v>0</v>
      </c>
      <c r="AF452" s="206">
        <f t="shared" si="85"/>
        <v>0</v>
      </c>
      <c r="AG452" s="206">
        <f t="shared" si="86"/>
        <v>0</v>
      </c>
      <c r="AH452" s="206">
        <f t="shared" si="87"/>
        <v>0</v>
      </c>
      <c r="AI452" s="206">
        <f t="shared" si="88"/>
        <v>0</v>
      </c>
      <c r="AJ452" s="206">
        <f t="shared" si="89"/>
        <v>0</v>
      </c>
      <c r="AK452" s="206">
        <f t="shared" si="90"/>
        <v>0</v>
      </c>
      <c r="AL452" s="206">
        <f t="shared" si="91"/>
        <v>0</v>
      </c>
      <c r="AM452" s="214">
        <f t="shared" si="92"/>
        <v>0</v>
      </c>
      <c r="AN452" s="4"/>
      <c r="AO452" s="167">
        <v>640</v>
      </c>
      <c r="AP452" s="215">
        <v>7.0152615465761455E-3</v>
      </c>
      <c r="AQ452" s="190">
        <v>7.1334293961822183E-3</v>
      </c>
      <c r="AR452" s="190">
        <v>7.2106506548096751E-3</v>
      </c>
      <c r="AS452" s="170">
        <v>7.2540563797087896E-3</v>
      </c>
      <c r="AU452" s="216">
        <v>96.182003850078331</v>
      </c>
      <c r="AV452" s="217">
        <v>96.265904423417808</v>
      </c>
      <c r="AW452" s="217">
        <v>95.480598746851271</v>
      </c>
      <c r="AX452" s="217">
        <v>95.779502524803263</v>
      </c>
      <c r="AY452" s="217"/>
      <c r="AZ452" s="218">
        <v>0</v>
      </c>
      <c r="BA452" s="8"/>
      <c r="BB452" s="219"/>
      <c r="BC452" s="220"/>
    </row>
    <row r="453" spans="15:55" x14ac:dyDescent="0.25">
      <c r="O453" s="195">
        <v>635</v>
      </c>
      <c r="P453" s="202">
        <f t="shared" si="95"/>
        <v>0</v>
      </c>
      <c r="Q453" s="203">
        <f t="shared" si="95"/>
        <v>0</v>
      </c>
      <c r="R453" s="157">
        <f ca="1"/>
        <v>96.250936468182374</v>
      </c>
      <c r="T453" s="204">
        <v>0</v>
      </c>
      <c r="U453" s="206">
        <v>0</v>
      </c>
      <c r="V453" s="206">
        <v>0</v>
      </c>
      <c r="W453" s="206">
        <v>0</v>
      </c>
      <c r="X453" s="206">
        <f t="array" ref="X453">IF(X$78&gt;" ",(X$628:X$1078),"")</f>
        <v>0</v>
      </c>
      <c r="Y453" s="206">
        <f t="array" ref="Y453">IF(Y$78&gt;" ",(Y$628:Y$1078),"")</f>
        <v>0</v>
      </c>
      <c r="Z453" s="206">
        <f t="array" ref="Z453">IF(Z$78&gt;" ",(Z$628:Z$1078),"")</f>
        <v>0</v>
      </c>
      <c r="AA453" s="206">
        <f t="array" ref="AA453">IF(AA$78&gt;" ",(AA$628:AA$1078),"")</f>
        <v>0</v>
      </c>
      <c r="AB453" s="210">
        <v>0</v>
      </c>
      <c r="AC453" s="204">
        <f t="shared" si="82"/>
        <v>0</v>
      </c>
      <c r="AD453" s="206">
        <f t="shared" si="83"/>
        <v>0</v>
      </c>
      <c r="AE453" s="206">
        <f t="shared" si="84"/>
        <v>0</v>
      </c>
      <c r="AF453" s="206">
        <f t="shared" si="85"/>
        <v>0</v>
      </c>
      <c r="AG453" s="206">
        <f t="shared" si="86"/>
        <v>0</v>
      </c>
      <c r="AH453" s="206">
        <f t="shared" si="87"/>
        <v>0</v>
      </c>
      <c r="AI453" s="206">
        <f t="shared" si="88"/>
        <v>0</v>
      </c>
      <c r="AJ453" s="206">
        <f t="shared" si="89"/>
        <v>0</v>
      </c>
      <c r="AK453" s="206">
        <f t="shared" si="90"/>
        <v>0</v>
      </c>
      <c r="AL453" s="206">
        <f t="shared" si="91"/>
        <v>0</v>
      </c>
      <c r="AM453" s="214">
        <f t="shared" si="92"/>
        <v>0</v>
      </c>
      <c r="AN453" s="4"/>
      <c r="AO453" s="167">
        <v>635</v>
      </c>
      <c r="AP453" s="215">
        <v>7.015922179549737E-3</v>
      </c>
      <c r="AQ453" s="190">
        <v>7.2239729249836898E-3</v>
      </c>
      <c r="AR453" s="190">
        <v>7.2699851581058779E-3</v>
      </c>
      <c r="AS453" s="170">
        <v>7.3116993211614972E-3</v>
      </c>
      <c r="AU453" s="216">
        <v>96.18657106075905</v>
      </c>
      <c r="AV453" s="217">
        <v>96.250936468182374</v>
      </c>
      <c r="AW453" s="217">
        <v>95.496450259825735</v>
      </c>
      <c r="AX453" s="217">
        <v>95.79566297254695</v>
      </c>
      <c r="AY453" s="217"/>
      <c r="AZ453" s="218">
        <v>0</v>
      </c>
      <c r="BA453" s="8"/>
      <c r="BB453" s="219"/>
      <c r="BC453" s="220"/>
    </row>
    <row r="454" spans="15:55" x14ac:dyDescent="0.25">
      <c r="O454" s="195">
        <v>630</v>
      </c>
      <c r="P454" s="202">
        <f t="shared" si="95"/>
        <v>0</v>
      </c>
      <c r="Q454" s="203">
        <f t="shared" si="95"/>
        <v>0</v>
      </c>
      <c r="R454" s="157">
        <f ca="1"/>
        <v>96.227859166658547</v>
      </c>
      <c r="T454" s="204">
        <v>0</v>
      </c>
      <c r="U454" s="206">
        <v>0</v>
      </c>
      <c r="V454" s="206">
        <v>0</v>
      </c>
      <c r="W454" s="206">
        <v>0</v>
      </c>
      <c r="X454" s="206">
        <f t="array" ref="X454">IF(X$78&gt;" ",(X$628:X$1078),"")</f>
        <v>0</v>
      </c>
      <c r="Y454" s="206">
        <f t="array" ref="Y454">IF(Y$78&gt;" ",(Y$628:Y$1078),"")</f>
        <v>0</v>
      </c>
      <c r="Z454" s="206">
        <f t="array" ref="Z454">IF(Z$78&gt;" ",(Z$628:Z$1078),"")</f>
        <v>0</v>
      </c>
      <c r="AA454" s="206">
        <f t="array" ref="AA454">IF(AA$78&gt;" ",(AA$628:AA$1078),"")</f>
        <v>0</v>
      </c>
      <c r="AB454" s="210">
        <v>0</v>
      </c>
      <c r="AC454" s="204">
        <f t="shared" si="82"/>
        <v>0</v>
      </c>
      <c r="AD454" s="206">
        <f t="shared" si="83"/>
        <v>0</v>
      </c>
      <c r="AE454" s="206">
        <f t="shared" si="84"/>
        <v>0</v>
      </c>
      <c r="AF454" s="206">
        <f t="shared" si="85"/>
        <v>0</v>
      </c>
      <c r="AG454" s="206">
        <f t="shared" si="86"/>
        <v>0</v>
      </c>
      <c r="AH454" s="206">
        <f t="shared" si="87"/>
        <v>0</v>
      </c>
      <c r="AI454" s="206">
        <f t="shared" si="88"/>
        <v>0</v>
      </c>
      <c r="AJ454" s="206">
        <f t="shared" si="89"/>
        <v>0</v>
      </c>
      <c r="AK454" s="206">
        <f t="shared" si="90"/>
        <v>0</v>
      </c>
      <c r="AL454" s="206">
        <f t="shared" si="91"/>
        <v>0</v>
      </c>
      <c r="AM454" s="214">
        <f t="shared" si="92"/>
        <v>0</v>
      </c>
      <c r="AN454" s="4"/>
      <c r="AO454" s="167">
        <v>630</v>
      </c>
      <c r="AP454" s="215">
        <v>7.0165828125233285E-3</v>
      </c>
      <c r="AQ454" s="190">
        <v>7.3145164537851606E-3</v>
      </c>
      <c r="AR454" s="190">
        <v>7.0014713889518781E-3</v>
      </c>
      <c r="AS454" s="170">
        <v>7.0453105820208256E-3</v>
      </c>
      <c r="AU454" s="216">
        <v>96.178727992661493</v>
      </c>
      <c r="AV454" s="217">
        <v>96.227859166658547</v>
      </c>
      <c r="AW454" s="217">
        <v>95.493713239241515</v>
      </c>
      <c r="AX454" s="217">
        <v>95.78978689765502</v>
      </c>
      <c r="AY454" s="217"/>
      <c r="AZ454" s="218">
        <v>0</v>
      </c>
      <c r="BA454" s="8"/>
      <c r="BB454" s="219"/>
      <c r="BC454" s="220"/>
    </row>
    <row r="455" spans="15:55" x14ac:dyDescent="0.25">
      <c r="O455" s="195">
        <v>625</v>
      </c>
      <c r="P455" s="202">
        <f t="shared" si="95"/>
        <v>0</v>
      </c>
      <c r="Q455" s="203">
        <f t="shared" si="95"/>
        <v>0</v>
      </c>
      <c r="R455" s="157">
        <f ca="1"/>
        <v>96.199356227241154</v>
      </c>
      <c r="T455" s="204">
        <v>0</v>
      </c>
      <c r="U455" s="206">
        <v>0</v>
      </c>
      <c r="V455" s="206">
        <v>0</v>
      </c>
      <c r="W455" s="206">
        <v>0</v>
      </c>
      <c r="X455" s="206">
        <f t="array" ref="X455">IF(X$78&gt;" ",(X$628:X$1078),"")</f>
        <v>0</v>
      </c>
      <c r="Y455" s="206">
        <f t="array" ref="Y455">IF(Y$78&gt;" ",(Y$628:Y$1078),"")</f>
        <v>0</v>
      </c>
      <c r="Z455" s="206">
        <f t="array" ref="Z455">IF(Z$78&gt;" ",(Z$628:Z$1078),"")</f>
        <v>0</v>
      </c>
      <c r="AA455" s="206">
        <f t="array" ref="AA455">IF(AA$78&gt;" ",(AA$628:AA$1078),"")</f>
        <v>0</v>
      </c>
      <c r="AB455" s="210">
        <v>0</v>
      </c>
      <c r="AC455" s="204">
        <f t="shared" si="82"/>
        <v>0</v>
      </c>
      <c r="AD455" s="206">
        <f t="shared" si="83"/>
        <v>0</v>
      </c>
      <c r="AE455" s="206">
        <f t="shared" si="84"/>
        <v>0</v>
      </c>
      <c r="AF455" s="206">
        <f t="shared" si="85"/>
        <v>0</v>
      </c>
      <c r="AG455" s="206">
        <f t="shared" si="86"/>
        <v>0</v>
      </c>
      <c r="AH455" s="206">
        <f t="shared" si="87"/>
        <v>0</v>
      </c>
      <c r="AI455" s="206">
        <f t="shared" si="88"/>
        <v>0</v>
      </c>
      <c r="AJ455" s="206">
        <f t="shared" si="89"/>
        <v>0</v>
      </c>
      <c r="AK455" s="206">
        <f t="shared" si="90"/>
        <v>0</v>
      </c>
      <c r="AL455" s="206">
        <f t="shared" si="91"/>
        <v>0</v>
      </c>
      <c r="AM455" s="214">
        <f t="shared" si="92"/>
        <v>0</v>
      </c>
      <c r="AN455" s="4"/>
      <c r="AO455" s="167">
        <v>625</v>
      </c>
      <c r="AP455" s="215">
        <v>7.0607130951592916E-3</v>
      </c>
      <c r="AQ455" s="190">
        <v>7.3737949519231414E-3</v>
      </c>
      <c r="AR455" s="190">
        <v>7.0527605358689342E-3</v>
      </c>
      <c r="AS455" s="170">
        <v>7.0889625182665658E-3</v>
      </c>
      <c r="AU455" s="216">
        <v>96.146978048956043</v>
      </c>
      <c r="AV455" s="217">
        <v>96.199356227241154</v>
      </c>
      <c r="AW455" s="217">
        <v>95.494033362689905</v>
      </c>
      <c r="AX455" s="217">
        <v>95.787975176974896</v>
      </c>
      <c r="AY455" s="217"/>
      <c r="AZ455" s="218">
        <v>0</v>
      </c>
      <c r="BA455" s="8"/>
      <c r="BB455" s="219"/>
      <c r="BC455" s="220"/>
    </row>
    <row r="456" spans="15:55" x14ac:dyDescent="0.25">
      <c r="O456" s="195">
        <v>620</v>
      </c>
      <c r="P456" s="202">
        <f t="shared" si="95"/>
        <v>0</v>
      </c>
      <c r="Q456" s="203">
        <f t="shared" si="95"/>
        <v>0</v>
      </c>
      <c r="R456" s="157">
        <f ca="1"/>
        <v>96.197703161218712</v>
      </c>
      <c r="T456" s="204">
        <v>0</v>
      </c>
      <c r="U456" s="206">
        <v>0</v>
      </c>
      <c r="V456" s="206">
        <v>0</v>
      </c>
      <c r="W456" s="206">
        <v>0</v>
      </c>
      <c r="X456" s="206">
        <f t="array" ref="X456">IF(X$78&gt;" ",(X$628:X$1078),"")</f>
        <v>0</v>
      </c>
      <c r="Y456" s="206">
        <f t="array" ref="Y456">IF(Y$78&gt;" ",(Y$628:Y$1078),"")</f>
        <v>0</v>
      </c>
      <c r="Z456" s="206">
        <f t="array" ref="Z456">IF(Z$78&gt;" ",(Z$628:Z$1078),"")</f>
        <v>0</v>
      </c>
      <c r="AA456" s="206">
        <f t="array" ref="AA456">IF(AA$78&gt;" ",(AA$628:AA$1078),"")</f>
        <v>0</v>
      </c>
      <c r="AB456" s="210">
        <v>0</v>
      </c>
      <c r="AC456" s="204">
        <f t="shared" si="82"/>
        <v>0</v>
      </c>
      <c r="AD456" s="206">
        <f t="shared" si="83"/>
        <v>0</v>
      </c>
      <c r="AE456" s="206">
        <f t="shared" si="84"/>
        <v>0</v>
      </c>
      <c r="AF456" s="206">
        <f t="shared" si="85"/>
        <v>0</v>
      </c>
      <c r="AG456" s="206">
        <f t="shared" si="86"/>
        <v>0</v>
      </c>
      <c r="AH456" s="206">
        <f t="shared" si="87"/>
        <v>0</v>
      </c>
      <c r="AI456" s="206">
        <f t="shared" si="88"/>
        <v>0</v>
      </c>
      <c r="AJ456" s="206">
        <f t="shared" si="89"/>
        <v>0</v>
      </c>
      <c r="AK456" s="206">
        <f t="shared" si="90"/>
        <v>0</v>
      </c>
      <c r="AL456" s="206">
        <f t="shared" si="91"/>
        <v>0</v>
      </c>
      <c r="AM456" s="214">
        <f t="shared" si="92"/>
        <v>0</v>
      </c>
      <c r="AN456" s="4"/>
      <c r="AO456" s="167">
        <v>620</v>
      </c>
      <c r="AP456" s="215">
        <v>7.1047773144978961E-3</v>
      </c>
      <c r="AQ456" s="190">
        <v>7.4330734500611213E-3</v>
      </c>
      <c r="AR456" s="190">
        <v>7.4112817295146306E-3</v>
      </c>
      <c r="AS456" s="170">
        <v>7.4426551298987188E-3</v>
      </c>
      <c r="AU456" s="216">
        <v>96.135742271882137</v>
      </c>
      <c r="AV456" s="217">
        <v>96.197703161218712</v>
      </c>
      <c r="AW456" s="217">
        <v>95.516438901917681</v>
      </c>
      <c r="AX456" s="217">
        <v>95.817854349058294</v>
      </c>
      <c r="AY456" s="217"/>
      <c r="AZ456" s="218">
        <v>0</v>
      </c>
      <c r="BA456" s="8"/>
      <c r="BB456" s="219"/>
      <c r="BC456" s="220"/>
    </row>
    <row r="457" spans="15:55" x14ac:dyDescent="0.25">
      <c r="O457" s="195">
        <v>615</v>
      </c>
      <c r="P457" s="202">
        <f t="shared" si="95"/>
        <v>0</v>
      </c>
      <c r="Q457" s="203">
        <f t="shared" si="95"/>
        <v>0</v>
      </c>
      <c r="R457" s="157">
        <f ca="1"/>
        <v>96.172636193575457</v>
      </c>
      <c r="T457" s="204">
        <v>0</v>
      </c>
      <c r="U457" s="206">
        <v>0</v>
      </c>
      <c r="V457" s="206">
        <v>0</v>
      </c>
      <c r="W457" s="206">
        <v>0</v>
      </c>
      <c r="X457" s="206">
        <f t="array" ref="X457">IF(X$78&gt;" ",(X$628:X$1078),"")</f>
        <v>0</v>
      </c>
      <c r="Y457" s="206">
        <f t="array" ref="Y457">IF(Y$78&gt;" ",(Y$628:Y$1078),"")</f>
        <v>0</v>
      </c>
      <c r="Z457" s="206">
        <f t="array" ref="Z457">IF(Z$78&gt;" ",(Z$628:Z$1078),"")</f>
        <v>0</v>
      </c>
      <c r="AA457" s="206">
        <f t="array" ref="AA457">IF(AA$78&gt;" ",(AA$628:AA$1078),"")</f>
        <v>0</v>
      </c>
      <c r="AB457" s="210">
        <v>0</v>
      </c>
      <c r="AC457" s="204">
        <f t="shared" si="82"/>
        <v>0</v>
      </c>
      <c r="AD457" s="206">
        <f t="shared" si="83"/>
        <v>0</v>
      </c>
      <c r="AE457" s="206">
        <f t="shared" si="84"/>
        <v>0</v>
      </c>
      <c r="AF457" s="206">
        <f t="shared" si="85"/>
        <v>0</v>
      </c>
      <c r="AG457" s="206">
        <f t="shared" si="86"/>
        <v>0</v>
      </c>
      <c r="AH457" s="206">
        <f t="shared" si="87"/>
        <v>0</v>
      </c>
      <c r="AI457" s="206">
        <f t="shared" si="88"/>
        <v>0</v>
      </c>
      <c r="AJ457" s="206">
        <f t="shared" si="89"/>
        <v>0</v>
      </c>
      <c r="AK457" s="206">
        <f t="shared" si="90"/>
        <v>0</v>
      </c>
      <c r="AL457" s="206">
        <f t="shared" si="91"/>
        <v>0</v>
      </c>
      <c r="AM457" s="214">
        <f t="shared" si="92"/>
        <v>0</v>
      </c>
      <c r="AN457" s="4"/>
      <c r="AO457" s="167">
        <v>615</v>
      </c>
      <c r="AP457" s="215">
        <v>7.1489075971338583E-3</v>
      </c>
      <c r="AQ457" s="190">
        <v>7.4758440120087774E-3</v>
      </c>
      <c r="AR457" s="190">
        <v>7.3901626690193725E-3</v>
      </c>
      <c r="AS457" s="170">
        <v>7.4174713205261752E-3</v>
      </c>
      <c r="AU457" s="216">
        <v>96.111967258438611</v>
      </c>
      <c r="AV457" s="217">
        <v>96.172636193575457</v>
      </c>
      <c r="AW457" s="217">
        <v>95.529890110374097</v>
      </c>
      <c r="AX457" s="217">
        <v>95.838074334926318</v>
      </c>
      <c r="AY457" s="217"/>
      <c r="AZ457" s="218">
        <v>0</v>
      </c>
      <c r="BA457" s="8"/>
      <c r="BB457" s="219"/>
      <c r="BC457" s="220"/>
    </row>
    <row r="458" spans="15:55" x14ac:dyDescent="0.25">
      <c r="O458" s="195">
        <v>610</v>
      </c>
      <c r="P458" s="202">
        <f t="shared" si="95"/>
        <v>0</v>
      </c>
      <c r="Q458" s="203">
        <f t="shared" si="95"/>
        <v>0</v>
      </c>
      <c r="R458" s="157">
        <f ca="1"/>
        <v>96.154956887036064</v>
      </c>
      <c r="T458" s="204">
        <v>0</v>
      </c>
      <c r="U458" s="206">
        <v>0</v>
      </c>
      <c r="V458" s="206">
        <v>0</v>
      </c>
      <c r="W458" s="206">
        <v>0</v>
      </c>
      <c r="X458" s="206">
        <f t="array" ref="X458">IF(X$78&gt;" ",(X$628:X$1078),"")</f>
        <v>0</v>
      </c>
      <c r="Y458" s="206">
        <f t="array" ref="Y458">IF(Y$78&gt;" ",(Y$628:Y$1078),"")</f>
        <v>0</v>
      </c>
      <c r="Z458" s="206">
        <f t="array" ref="Z458">IF(Z$78&gt;" ",(Z$628:Z$1078),"")</f>
        <v>0</v>
      </c>
      <c r="AA458" s="206">
        <f t="array" ref="AA458">IF(AA$78&gt;" ",(AA$628:AA$1078),"")</f>
        <v>0</v>
      </c>
      <c r="AB458" s="210">
        <v>0</v>
      </c>
      <c r="AC458" s="204">
        <f t="shared" si="82"/>
        <v>0</v>
      </c>
      <c r="AD458" s="206">
        <f t="shared" si="83"/>
        <v>0</v>
      </c>
      <c r="AE458" s="206">
        <f t="shared" si="84"/>
        <v>0</v>
      </c>
      <c r="AF458" s="206">
        <f t="shared" si="85"/>
        <v>0</v>
      </c>
      <c r="AG458" s="206">
        <f t="shared" si="86"/>
        <v>0</v>
      </c>
      <c r="AH458" s="206">
        <f t="shared" si="87"/>
        <v>0</v>
      </c>
      <c r="AI458" s="206">
        <f t="shared" si="88"/>
        <v>0</v>
      </c>
      <c r="AJ458" s="206">
        <f t="shared" si="89"/>
        <v>0</v>
      </c>
      <c r="AK458" s="206">
        <f t="shared" si="90"/>
        <v>0</v>
      </c>
      <c r="AL458" s="206">
        <f t="shared" si="91"/>
        <v>0</v>
      </c>
      <c r="AM458" s="214">
        <f t="shared" si="92"/>
        <v>0</v>
      </c>
      <c r="AN458" s="4"/>
      <c r="AO458" s="167">
        <v>610</v>
      </c>
      <c r="AP458" s="215">
        <v>7.1929718164724611E-3</v>
      </c>
      <c r="AQ458" s="190">
        <v>7.5186145739564334E-3</v>
      </c>
      <c r="AR458" s="190">
        <v>7.3846314865087092E-3</v>
      </c>
      <c r="AS458" s="170">
        <v>7.4079574369854372E-3</v>
      </c>
      <c r="AU458" s="216">
        <v>96.077378968363476</v>
      </c>
      <c r="AV458" s="217">
        <v>96.154956887036064</v>
      </c>
      <c r="AW458" s="217">
        <v>95.53286982248521</v>
      </c>
      <c r="AX458" s="217">
        <v>95.849278597514854</v>
      </c>
      <c r="AY458" s="217"/>
      <c r="AZ458" s="218">
        <v>0</v>
      </c>
      <c r="BA458" s="8"/>
      <c r="BB458" s="219"/>
      <c r="BC458" s="220"/>
    </row>
    <row r="459" spans="15:55" x14ac:dyDescent="0.25">
      <c r="O459" s="195">
        <v>605</v>
      </c>
      <c r="P459" s="202">
        <f t="shared" si="95"/>
        <v>0</v>
      </c>
      <c r="Q459" s="203">
        <f t="shared" si="95"/>
        <v>0</v>
      </c>
      <c r="R459" s="157">
        <f ca="1"/>
        <v>96.125384349609945</v>
      </c>
      <c r="T459" s="204">
        <v>0</v>
      </c>
      <c r="U459" s="206">
        <v>0</v>
      </c>
      <c r="V459" s="206">
        <v>0</v>
      </c>
      <c r="W459" s="206">
        <v>0</v>
      </c>
      <c r="X459" s="206">
        <f t="array" ref="X459">IF(X$78&gt;" ",(X$628:X$1078),"")</f>
        <v>0</v>
      </c>
      <c r="Y459" s="206">
        <f t="array" ref="Y459">IF(Y$78&gt;" ",(Y$628:Y$1078),"")</f>
        <v>0</v>
      </c>
      <c r="Z459" s="206">
        <f t="array" ref="Z459">IF(Z$78&gt;" ",(Z$628:Z$1078),"")</f>
        <v>0</v>
      </c>
      <c r="AA459" s="206">
        <f t="array" ref="AA459">IF(AA$78&gt;" ",(AA$628:AA$1078),"")</f>
        <v>0</v>
      </c>
      <c r="AB459" s="210">
        <v>0</v>
      </c>
      <c r="AC459" s="204">
        <f t="shared" si="82"/>
        <v>0</v>
      </c>
      <c r="AD459" s="206">
        <f t="shared" si="83"/>
        <v>0</v>
      </c>
      <c r="AE459" s="206">
        <f t="shared" si="84"/>
        <v>0</v>
      </c>
      <c r="AF459" s="206">
        <f t="shared" si="85"/>
        <v>0</v>
      </c>
      <c r="AG459" s="206">
        <f t="shared" si="86"/>
        <v>0</v>
      </c>
      <c r="AH459" s="206">
        <f t="shared" si="87"/>
        <v>0</v>
      </c>
      <c r="AI459" s="206">
        <f t="shared" si="88"/>
        <v>0</v>
      </c>
      <c r="AJ459" s="206">
        <f t="shared" si="89"/>
        <v>0</v>
      </c>
      <c r="AK459" s="206">
        <f t="shared" si="90"/>
        <v>0</v>
      </c>
      <c r="AL459" s="206">
        <f t="shared" si="91"/>
        <v>0</v>
      </c>
      <c r="AM459" s="214">
        <f t="shared" si="92"/>
        <v>0</v>
      </c>
      <c r="AN459" s="4"/>
      <c r="AO459" s="167">
        <v>605</v>
      </c>
      <c r="AP459" s="215">
        <v>7.0864777811293902E-3</v>
      </c>
      <c r="AQ459" s="190">
        <v>7.4268204439284224E-3</v>
      </c>
      <c r="AR459" s="190">
        <v>7.4897239542113057E-3</v>
      </c>
      <c r="AS459" s="170">
        <v>7.5092523146838867E-3</v>
      </c>
      <c r="AU459" s="216">
        <v>96.052212478221904</v>
      </c>
      <c r="AV459" s="217">
        <v>96.125384349609945</v>
      </c>
      <c r="AW459" s="217">
        <v>95.534040526123476</v>
      </c>
      <c r="AX459" s="217">
        <v>95.858207849309224</v>
      </c>
      <c r="AY459" s="217"/>
      <c r="AZ459" s="218">
        <v>0</v>
      </c>
      <c r="BA459" s="8"/>
      <c r="BB459" s="219"/>
      <c r="BC459" s="220"/>
    </row>
    <row r="460" spans="15:55" x14ac:dyDescent="0.25">
      <c r="O460" s="195">
        <v>600</v>
      </c>
      <c r="P460" s="202">
        <f t="shared" si="95"/>
        <v>0</v>
      </c>
      <c r="Q460" s="203">
        <f t="shared" si="95"/>
        <v>0</v>
      </c>
      <c r="R460" s="157">
        <f ca="1"/>
        <v>96.103477921948411</v>
      </c>
      <c r="T460" s="204">
        <v>0</v>
      </c>
      <c r="U460" s="206">
        <v>0</v>
      </c>
      <c r="V460" s="206">
        <v>0</v>
      </c>
      <c r="W460" s="206">
        <v>0</v>
      </c>
      <c r="X460" s="206">
        <f t="array" ref="X460">IF(X$78&gt;" ",(X$628:X$1078),"")</f>
        <v>0</v>
      </c>
      <c r="Y460" s="206">
        <f t="array" ref="Y460">IF(Y$78&gt;" ",(Y$628:Y$1078),"")</f>
        <v>0</v>
      </c>
      <c r="Z460" s="206">
        <f t="array" ref="Z460">IF(Z$78&gt;" ",(Z$628:Z$1078),"")</f>
        <v>0</v>
      </c>
      <c r="AA460" s="206">
        <f t="array" ref="AA460">IF(AA$78&gt;" ",(AA$628:AA$1078),"")</f>
        <v>0</v>
      </c>
      <c r="AB460" s="210">
        <v>0</v>
      </c>
      <c r="AC460" s="204">
        <f t="shared" si="82"/>
        <v>0</v>
      </c>
      <c r="AD460" s="206">
        <f t="shared" si="83"/>
        <v>0</v>
      </c>
      <c r="AE460" s="206">
        <f t="shared" si="84"/>
        <v>0</v>
      </c>
      <c r="AF460" s="206">
        <f t="shared" si="85"/>
        <v>0</v>
      </c>
      <c r="AG460" s="206">
        <f t="shared" si="86"/>
        <v>0</v>
      </c>
      <c r="AH460" s="206">
        <f t="shared" si="87"/>
        <v>0</v>
      </c>
      <c r="AI460" s="206">
        <f t="shared" si="88"/>
        <v>0</v>
      </c>
      <c r="AJ460" s="206">
        <f t="shared" si="89"/>
        <v>0</v>
      </c>
      <c r="AK460" s="206">
        <f t="shared" si="90"/>
        <v>0</v>
      </c>
      <c r="AL460" s="206">
        <f t="shared" si="91"/>
        <v>0</v>
      </c>
      <c r="AM460" s="214">
        <f t="shared" si="92"/>
        <v>0</v>
      </c>
      <c r="AN460" s="4"/>
      <c r="AO460" s="167">
        <v>600</v>
      </c>
      <c r="AP460" s="215">
        <v>6.979917682488959E-3</v>
      </c>
      <c r="AQ460" s="190">
        <v>7.3350263139004123E-3</v>
      </c>
      <c r="AR460" s="190">
        <v>7.4183214163463839E-3</v>
      </c>
      <c r="AS460" s="170">
        <v>7.4309026855248657E-3</v>
      </c>
      <c r="AU460" s="216">
        <v>96.028002370175003</v>
      </c>
      <c r="AV460" s="217">
        <v>96.103477921948411</v>
      </c>
      <c r="AW460" s="217">
        <v>95.519878846826188</v>
      </c>
      <c r="AX460" s="217">
        <v>95.850283013455467</v>
      </c>
      <c r="AY460" s="217"/>
      <c r="AZ460" s="218">
        <v>0</v>
      </c>
      <c r="BA460" s="8"/>
      <c r="BB460" s="219"/>
      <c r="BC460" s="220"/>
    </row>
    <row r="461" spans="15:55" x14ac:dyDescent="0.25">
      <c r="O461" s="195">
        <v>595</v>
      </c>
      <c r="P461" s="202">
        <f t="shared" si="95"/>
        <v>0</v>
      </c>
      <c r="Q461" s="203">
        <f t="shared" si="95"/>
        <v>0</v>
      </c>
      <c r="R461" s="157">
        <f ca="1"/>
        <v>96.090674873134446</v>
      </c>
      <c r="T461" s="204">
        <v>0</v>
      </c>
      <c r="U461" s="206">
        <v>0</v>
      </c>
      <c r="V461" s="206">
        <v>0</v>
      </c>
      <c r="W461" s="206">
        <v>0</v>
      </c>
      <c r="X461" s="206">
        <f t="array" ref="X461">IF(X$78&gt;" ",(X$628:X$1078),"")</f>
        <v>0</v>
      </c>
      <c r="Y461" s="206">
        <f t="array" ref="Y461">IF(Y$78&gt;" ",(Y$628:Y$1078),"")</f>
        <v>0</v>
      </c>
      <c r="Z461" s="206">
        <f t="array" ref="Z461">IF(Z$78&gt;" ",(Z$628:Z$1078),"")</f>
        <v>0</v>
      </c>
      <c r="AA461" s="206">
        <f t="array" ref="AA461">IF(AA$78&gt;" ",(AA$628:AA$1078),"")</f>
        <v>0</v>
      </c>
      <c r="AB461" s="210">
        <v>0</v>
      </c>
      <c r="AC461" s="204">
        <f t="shared" si="82"/>
        <v>0</v>
      </c>
      <c r="AD461" s="206">
        <f t="shared" si="83"/>
        <v>0</v>
      </c>
      <c r="AE461" s="206">
        <f t="shared" si="84"/>
        <v>0</v>
      </c>
      <c r="AF461" s="206">
        <f t="shared" si="85"/>
        <v>0</v>
      </c>
      <c r="AG461" s="206">
        <f t="shared" si="86"/>
        <v>0</v>
      </c>
      <c r="AH461" s="206">
        <f t="shared" si="87"/>
        <v>0</v>
      </c>
      <c r="AI461" s="206">
        <f t="shared" si="88"/>
        <v>0</v>
      </c>
      <c r="AJ461" s="206">
        <f t="shared" si="89"/>
        <v>0</v>
      </c>
      <c r="AK461" s="206">
        <f t="shared" si="90"/>
        <v>0</v>
      </c>
      <c r="AL461" s="206">
        <f t="shared" si="91"/>
        <v>0</v>
      </c>
      <c r="AM461" s="214">
        <f t="shared" si="92"/>
        <v>0</v>
      </c>
      <c r="AN461" s="4"/>
      <c r="AO461" s="167">
        <v>595</v>
      </c>
      <c r="AP461" s="215">
        <v>6.8734236471458881E-3</v>
      </c>
      <c r="AQ461" s="190">
        <v>7.2517362722128711E-3</v>
      </c>
      <c r="AR461" s="190">
        <v>7.1945599420513836E-3</v>
      </c>
      <c r="AS461" s="170">
        <v>7.2025694805471462E-3</v>
      </c>
      <c r="AU461" s="216">
        <v>95.985164560307808</v>
      </c>
      <c r="AV461" s="217">
        <v>96.090674873134446</v>
      </c>
      <c r="AW461" s="217">
        <v>95.505152392719012</v>
      </c>
      <c r="AX461" s="217">
        <v>95.833858308333546</v>
      </c>
      <c r="AY461" s="217"/>
      <c r="AZ461" s="218">
        <v>0</v>
      </c>
      <c r="BA461" s="8"/>
      <c r="BB461" s="219"/>
      <c r="BC461" s="220"/>
    </row>
    <row r="462" spans="15:55" x14ac:dyDescent="0.25">
      <c r="O462" s="195">
        <v>590</v>
      </c>
      <c r="P462" s="202">
        <f t="shared" si="95"/>
        <v>0</v>
      </c>
      <c r="Q462" s="203">
        <f t="shared" si="95"/>
        <v>0</v>
      </c>
      <c r="R462" s="157">
        <f ca="1"/>
        <v>96.072233309830992</v>
      </c>
      <c r="T462" s="204">
        <v>0</v>
      </c>
      <c r="U462" s="206">
        <v>0</v>
      </c>
      <c r="V462" s="206">
        <v>0</v>
      </c>
      <c r="W462" s="206">
        <v>0</v>
      </c>
      <c r="X462" s="206">
        <f t="array" ref="X462">IF(X$78&gt;" ",(X$628:X$1078),"")</f>
        <v>0</v>
      </c>
      <c r="Y462" s="206">
        <f t="array" ref="Y462">IF(Y$78&gt;" ",(Y$628:Y$1078),"")</f>
        <v>0</v>
      </c>
      <c r="Z462" s="206">
        <f t="array" ref="Z462">IF(Z$78&gt;" ",(Z$628:Z$1078),"")</f>
        <v>0</v>
      </c>
      <c r="AA462" s="206">
        <f t="array" ref="AA462">IF(AA$78&gt;" ",(AA$628:AA$1078),"")</f>
        <v>0</v>
      </c>
      <c r="AB462" s="210">
        <v>0</v>
      </c>
      <c r="AC462" s="204">
        <f t="shared" si="82"/>
        <v>0</v>
      </c>
      <c r="AD462" s="206">
        <f t="shared" si="83"/>
        <v>0</v>
      </c>
      <c r="AE462" s="206">
        <f t="shared" si="84"/>
        <v>0</v>
      </c>
      <c r="AF462" s="206">
        <f t="shared" si="85"/>
        <v>0</v>
      </c>
      <c r="AG462" s="206">
        <f t="shared" si="86"/>
        <v>0</v>
      </c>
      <c r="AH462" s="206">
        <f t="shared" si="87"/>
        <v>0</v>
      </c>
      <c r="AI462" s="206">
        <f t="shared" si="88"/>
        <v>0</v>
      </c>
      <c r="AJ462" s="206">
        <f t="shared" si="89"/>
        <v>0</v>
      </c>
      <c r="AK462" s="206">
        <f t="shared" si="90"/>
        <v>0</v>
      </c>
      <c r="AL462" s="206">
        <f t="shared" si="91"/>
        <v>0</v>
      </c>
      <c r="AM462" s="214">
        <f t="shared" si="92"/>
        <v>0</v>
      </c>
      <c r="AN462" s="4"/>
      <c r="AO462" s="167">
        <v>590</v>
      </c>
      <c r="AP462" s="215">
        <v>6.7668635485054569E-3</v>
      </c>
      <c r="AQ462" s="190">
        <v>7.1684462305253291E-3</v>
      </c>
      <c r="AR462" s="190">
        <v>6.8933619126071016E-3</v>
      </c>
      <c r="AS462" s="170">
        <v>6.8925288051607352E-3</v>
      </c>
      <c r="AU462" s="216">
        <v>95.949196091773828</v>
      </c>
      <c r="AV462" s="217">
        <v>96.072233309830992</v>
      </c>
      <c r="AW462" s="217">
        <v>95.510354655469598</v>
      </c>
      <c r="AX462" s="217">
        <v>95.837505197057723</v>
      </c>
      <c r="AY462" s="217"/>
      <c r="AZ462" s="218">
        <v>0</v>
      </c>
      <c r="BA462" s="8"/>
      <c r="BB462" s="219"/>
      <c r="BC462" s="220"/>
    </row>
    <row r="463" spans="15:55" x14ac:dyDescent="0.25">
      <c r="O463" s="195">
        <v>585</v>
      </c>
      <c r="P463" s="202">
        <f t="shared" si="95"/>
        <v>0</v>
      </c>
      <c r="Q463" s="203">
        <f t="shared" si="95"/>
        <v>0</v>
      </c>
      <c r="R463" s="157">
        <f ca="1"/>
        <v>96.029065753995084</v>
      </c>
      <c r="T463" s="204">
        <v>0</v>
      </c>
      <c r="U463" s="206">
        <v>0</v>
      </c>
      <c r="V463" s="206">
        <v>0</v>
      </c>
      <c r="W463" s="206">
        <v>0</v>
      </c>
      <c r="X463" s="206">
        <f t="array" ref="X463">IF(X$78&gt;" ",(X$628:X$1078),"")</f>
        <v>0</v>
      </c>
      <c r="Y463" s="206">
        <f t="array" ref="Y463">IF(Y$78&gt;" ",(Y$628:Y$1078),"")</f>
        <v>0</v>
      </c>
      <c r="Z463" s="206">
        <f t="array" ref="Z463">IF(Z$78&gt;" ",(Z$628:Z$1078),"")</f>
        <v>0</v>
      </c>
      <c r="AA463" s="206">
        <f t="array" ref="AA463">IF(AA$78&gt;" ",(AA$628:AA$1078),"")</f>
        <v>0</v>
      </c>
      <c r="AB463" s="210">
        <v>0</v>
      </c>
      <c r="AC463" s="204">
        <f t="shared" si="82"/>
        <v>0</v>
      </c>
      <c r="AD463" s="206">
        <f t="shared" si="83"/>
        <v>0</v>
      </c>
      <c r="AE463" s="206">
        <f t="shared" si="84"/>
        <v>0</v>
      </c>
      <c r="AF463" s="206">
        <f t="shared" si="85"/>
        <v>0</v>
      </c>
      <c r="AG463" s="206">
        <f t="shared" si="86"/>
        <v>0</v>
      </c>
      <c r="AH463" s="206">
        <f t="shared" si="87"/>
        <v>0</v>
      </c>
      <c r="AI463" s="206">
        <f t="shared" si="88"/>
        <v>0</v>
      </c>
      <c r="AJ463" s="206">
        <f t="shared" si="89"/>
        <v>0</v>
      </c>
      <c r="AK463" s="206">
        <f t="shared" si="90"/>
        <v>0</v>
      </c>
      <c r="AL463" s="206">
        <f t="shared" si="91"/>
        <v>0</v>
      </c>
      <c r="AM463" s="214">
        <f t="shared" si="92"/>
        <v>0</v>
      </c>
      <c r="AN463" s="4"/>
      <c r="AO463" s="167">
        <v>585</v>
      </c>
      <c r="AP463" s="215">
        <v>6.8710453684409558E-3</v>
      </c>
      <c r="AQ463" s="190">
        <v>7.2722461323281203E-3</v>
      </c>
      <c r="AR463" s="190">
        <v>7.7054400721271593E-3</v>
      </c>
      <c r="AS463" s="170">
        <v>7.6877775411247984E-3</v>
      </c>
      <c r="AU463" s="216">
        <v>95.931173519630661</v>
      </c>
      <c r="AV463" s="217">
        <v>96.029065753995084</v>
      </c>
      <c r="AW463" s="217">
        <v>95.504099951173032</v>
      </c>
      <c r="AX463" s="217">
        <v>95.828152695365432</v>
      </c>
      <c r="AY463" s="217"/>
      <c r="AZ463" s="218">
        <v>0</v>
      </c>
      <c r="BA463" s="8"/>
      <c r="BB463" s="219"/>
      <c r="BC463" s="220"/>
    </row>
    <row r="464" spans="15:55" x14ac:dyDescent="0.25">
      <c r="O464" s="195">
        <v>580</v>
      </c>
      <c r="P464" s="202">
        <f t="shared" ref="P464:Q479" si="96">P1012</f>
        <v>0</v>
      </c>
      <c r="Q464" s="203">
        <f t="shared" si="96"/>
        <v>0</v>
      </c>
      <c r="R464" s="157">
        <f ca="1"/>
        <v>96.002362939153102</v>
      </c>
      <c r="T464" s="204">
        <v>0</v>
      </c>
      <c r="U464" s="206">
        <v>0</v>
      </c>
      <c r="V464" s="206">
        <v>0</v>
      </c>
      <c r="W464" s="206">
        <v>0</v>
      </c>
      <c r="X464" s="206">
        <f t="array" ref="X464">IF(X$78&gt;" ",(X$628:X$1078),"")</f>
        <v>0</v>
      </c>
      <c r="Y464" s="206">
        <f t="array" ref="Y464">IF(Y$78&gt;" ",(Y$628:Y$1078),"")</f>
        <v>0</v>
      </c>
      <c r="Z464" s="206">
        <f t="array" ref="Z464">IF(Z$78&gt;" ",(Z$628:Z$1078),"")</f>
        <v>0</v>
      </c>
      <c r="AA464" s="206">
        <f t="array" ref="AA464">IF(AA$78&gt;" ",(AA$628:AA$1078),"")</f>
        <v>0</v>
      </c>
      <c r="AB464" s="210">
        <v>0</v>
      </c>
      <c r="AC464" s="204">
        <f t="shared" si="82"/>
        <v>0</v>
      </c>
      <c r="AD464" s="206">
        <f t="shared" si="83"/>
        <v>0</v>
      </c>
      <c r="AE464" s="206">
        <f t="shared" si="84"/>
        <v>0</v>
      </c>
      <c r="AF464" s="206">
        <f t="shared" si="85"/>
        <v>0</v>
      </c>
      <c r="AG464" s="206">
        <f t="shared" si="86"/>
        <v>0</v>
      </c>
      <c r="AH464" s="206">
        <f t="shared" si="87"/>
        <v>0</v>
      </c>
      <c r="AI464" s="206">
        <f t="shared" si="88"/>
        <v>0</v>
      </c>
      <c r="AJ464" s="206">
        <f t="shared" si="89"/>
        <v>0</v>
      </c>
      <c r="AK464" s="206">
        <f t="shared" si="90"/>
        <v>0</v>
      </c>
      <c r="AL464" s="206">
        <f t="shared" si="91"/>
        <v>0</v>
      </c>
      <c r="AM464" s="214">
        <f t="shared" si="92"/>
        <v>0</v>
      </c>
      <c r="AN464" s="4"/>
      <c r="AO464" s="167">
        <v>580</v>
      </c>
      <c r="AP464" s="215">
        <v>6.9752932516738133E-3</v>
      </c>
      <c r="AQ464" s="190">
        <v>7.3760460341309123E-3</v>
      </c>
      <c r="AR464" s="190">
        <v>7.5525783009233842E-3</v>
      </c>
      <c r="AS464" s="170">
        <v>7.5299590023901984E-3</v>
      </c>
      <c r="AU464" s="216">
        <v>95.920901654026849</v>
      </c>
      <c r="AV464" s="217">
        <v>96.002362939153102</v>
      </c>
      <c r="AW464" s="217">
        <v>95.507262723814279</v>
      </c>
      <c r="AX464" s="217">
        <v>95.84040684857176</v>
      </c>
      <c r="AY464" s="217"/>
      <c r="AZ464" s="218">
        <v>0</v>
      </c>
      <c r="BA464" s="8"/>
      <c r="BB464" s="219"/>
      <c r="BC464" s="220"/>
    </row>
    <row r="465" spans="15:55" x14ac:dyDescent="0.25">
      <c r="O465" s="195">
        <v>575</v>
      </c>
      <c r="P465" s="202">
        <f t="shared" si="96"/>
        <v>0</v>
      </c>
      <c r="Q465" s="203">
        <f t="shared" si="96"/>
        <v>0</v>
      </c>
      <c r="R465" s="157">
        <f ca="1"/>
        <v>95.978769999000235</v>
      </c>
      <c r="T465" s="204">
        <v>0</v>
      </c>
      <c r="U465" s="206">
        <v>0</v>
      </c>
      <c r="V465" s="206">
        <v>0</v>
      </c>
      <c r="W465" s="206">
        <v>0</v>
      </c>
      <c r="X465" s="206">
        <f t="array" ref="X465">IF(X$78&gt;" ",(X$628:X$1078),"")</f>
        <v>0</v>
      </c>
      <c r="Y465" s="206">
        <f t="array" ref="Y465">IF(Y$78&gt;" ",(Y$628:Y$1078),"")</f>
        <v>0</v>
      </c>
      <c r="Z465" s="206">
        <f t="array" ref="Z465">IF(Z$78&gt;" ",(Z$628:Z$1078),"")</f>
        <v>0</v>
      </c>
      <c r="AA465" s="206">
        <f t="array" ref="AA465">IF(AA$78&gt;" ",(AA$628:AA$1078),"")</f>
        <v>0</v>
      </c>
      <c r="AB465" s="210">
        <v>0</v>
      </c>
      <c r="AC465" s="204">
        <f t="shared" ref="AC465:AC530" si="97">T465</f>
        <v>0</v>
      </c>
      <c r="AD465" s="206">
        <f t="shared" ref="AD465:AD530" si="98">U465</f>
        <v>0</v>
      </c>
      <c r="AE465" s="206">
        <f t="shared" ref="AE465:AE530" si="99">V465</f>
        <v>0</v>
      </c>
      <c r="AF465" s="206">
        <f t="shared" ref="AF465:AF530" si="100">W465</f>
        <v>0</v>
      </c>
      <c r="AG465" s="206">
        <f t="shared" ref="AG465:AG528" si="101">X465</f>
        <v>0</v>
      </c>
      <c r="AH465" s="206">
        <f t="shared" ref="AH465:AH528" si="102">Y465</f>
        <v>0</v>
      </c>
      <c r="AI465" s="206">
        <f t="shared" ref="AI465:AI528" si="103">Z465</f>
        <v>0</v>
      </c>
      <c r="AJ465" s="206">
        <f t="shared" ref="AJ465:AJ528" si="104">AA465</f>
        <v>0</v>
      </c>
      <c r="AK465" s="206">
        <f t="shared" ref="AK465:AK528" si="105">AB465</f>
        <v>0</v>
      </c>
      <c r="AL465" s="206">
        <f t="shared" ref="AL465:AL528" si="106">AVERAGE(AC465:AK465)</f>
        <v>0</v>
      </c>
      <c r="AM465" s="214">
        <f t="shared" ref="AM465:AM528" si="107">AL465/100</f>
        <v>0</v>
      </c>
      <c r="AN465" s="4"/>
      <c r="AO465" s="167">
        <v>575</v>
      </c>
      <c r="AP465" s="215">
        <v>7.0795411349066717E-3</v>
      </c>
      <c r="AQ465" s="190">
        <v>7.5038574794832648E-3</v>
      </c>
      <c r="AR465" s="190">
        <v>7.4303894509151029E-3</v>
      </c>
      <c r="AS465" s="170">
        <v>7.4012417544860928E-3</v>
      </c>
      <c r="AU465" s="216">
        <v>95.884241225244992</v>
      </c>
      <c r="AV465" s="217">
        <v>95.978769999000235</v>
      </c>
      <c r="AW465" s="217">
        <v>95.48840723510942</v>
      </c>
      <c r="AX465" s="217">
        <v>95.828572570568383</v>
      </c>
      <c r="AY465" s="217"/>
      <c r="AZ465" s="218">
        <v>0</v>
      </c>
      <c r="BA465" s="8"/>
      <c r="BB465" s="219"/>
      <c r="BC465" s="220"/>
    </row>
    <row r="466" spans="15:55" x14ac:dyDescent="0.25">
      <c r="O466" s="195">
        <v>570</v>
      </c>
      <c r="P466" s="202">
        <f t="shared" si="96"/>
        <v>0</v>
      </c>
      <c r="Q466" s="203">
        <f t="shared" si="96"/>
        <v>0</v>
      </c>
      <c r="R466" s="157">
        <f ca="1"/>
        <v>95.92641120184787</v>
      </c>
      <c r="T466" s="204">
        <v>0</v>
      </c>
      <c r="U466" s="206">
        <v>0</v>
      </c>
      <c r="V466" s="206">
        <v>0</v>
      </c>
      <c r="W466" s="206">
        <v>0</v>
      </c>
      <c r="X466" s="206">
        <f t="array" ref="X466">IF(X$78&gt;" ",(X$628:X$1078),"")</f>
        <v>0</v>
      </c>
      <c r="Y466" s="206">
        <f t="array" ref="Y466">IF(Y$78&gt;" ",(Y$628:Y$1078),"")</f>
        <v>0</v>
      </c>
      <c r="Z466" s="206">
        <f t="array" ref="Z466">IF(Z$78&gt;" ",(Z$628:Z$1078),"")</f>
        <v>0</v>
      </c>
      <c r="AA466" s="206">
        <f t="array" ref="AA466">IF(AA$78&gt;" ",(AA$628:AA$1078),"")</f>
        <v>0</v>
      </c>
      <c r="AB466" s="210">
        <v>0</v>
      </c>
      <c r="AC466" s="204">
        <f t="shared" si="97"/>
        <v>0</v>
      </c>
      <c r="AD466" s="206">
        <f t="shared" si="98"/>
        <v>0</v>
      </c>
      <c r="AE466" s="206">
        <f t="shared" si="99"/>
        <v>0</v>
      </c>
      <c r="AF466" s="206">
        <f t="shared" si="100"/>
        <v>0</v>
      </c>
      <c r="AG466" s="206">
        <f t="shared" si="101"/>
        <v>0</v>
      </c>
      <c r="AH466" s="206">
        <f t="shared" si="102"/>
        <v>0</v>
      </c>
      <c r="AI466" s="206">
        <f t="shared" si="103"/>
        <v>0</v>
      </c>
      <c r="AJ466" s="206">
        <f t="shared" si="104"/>
        <v>0</v>
      </c>
      <c r="AK466" s="206">
        <f t="shared" si="105"/>
        <v>0</v>
      </c>
      <c r="AL466" s="206">
        <f t="shared" si="106"/>
        <v>0</v>
      </c>
      <c r="AM466" s="214">
        <f t="shared" si="107"/>
        <v>0</v>
      </c>
      <c r="AN466" s="4"/>
      <c r="AO466" s="167">
        <v>570</v>
      </c>
      <c r="AP466" s="215">
        <v>7.1837229548421706E-3</v>
      </c>
      <c r="AQ466" s="190">
        <v>7.631668924835619E-3</v>
      </c>
      <c r="AR466" s="190">
        <v>7.4500000070892719E-3</v>
      </c>
      <c r="AS466" s="170">
        <v>7.4096363576102737E-3</v>
      </c>
      <c r="AU466" s="216">
        <v>95.851371382207432</v>
      </c>
      <c r="AV466" s="217">
        <v>95.92641120184787</v>
      </c>
      <c r="AW466" s="217">
        <v>95.458123794680375</v>
      </c>
      <c r="AX466" s="217">
        <v>95.794285330929668</v>
      </c>
      <c r="AY466" s="217"/>
      <c r="AZ466" s="218">
        <v>0</v>
      </c>
      <c r="BA466" s="8"/>
      <c r="BB466" s="219"/>
      <c r="BC466" s="220"/>
    </row>
    <row r="467" spans="15:55" x14ac:dyDescent="0.25">
      <c r="O467" s="195">
        <v>565</v>
      </c>
      <c r="P467" s="202">
        <f t="shared" si="96"/>
        <v>0</v>
      </c>
      <c r="Q467" s="203">
        <f t="shared" si="96"/>
        <v>0</v>
      </c>
      <c r="R467" s="157">
        <f ca="1"/>
        <v>95.886775045368083</v>
      </c>
      <c r="T467" s="204">
        <v>0</v>
      </c>
      <c r="U467" s="206">
        <v>0</v>
      </c>
      <c r="V467" s="206">
        <v>0</v>
      </c>
      <c r="W467" s="206">
        <v>0</v>
      </c>
      <c r="X467" s="206">
        <f t="array" ref="X467">IF(X$78&gt;" ",(X$628:X$1078),"")</f>
        <v>0</v>
      </c>
      <c r="Y467" s="206">
        <f t="array" ref="Y467">IF(Y$78&gt;" ",(Y$628:Y$1078),"")</f>
        <v>0</v>
      </c>
      <c r="Z467" s="206">
        <f t="array" ref="Z467">IF(Z$78&gt;" ",(Z$628:Z$1078),"")</f>
        <v>0</v>
      </c>
      <c r="AA467" s="206">
        <f t="array" ref="AA467">IF(AA$78&gt;" ",(AA$628:AA$1078),"")</f>
        <v>0</v>
      </c>
      <c r="AB467" s="210">
        <v>0</v>
      </c>
      <c r="AC467" s="204">
        <f t="shared" si="97"/>
        <v>0</v>
      </c>
      <c r="AD467" s="206">
        <f t="shared" si="98"/>
        <v>0</v>
      </c>
      <c r="AE467" s="206">
        <f t="shared" si="99"/>
        <v>0</v>
      </c>
      <c r="AF467" s="206">
        <f t="shared" si="100"/>
        <v>0</v>
      </c>
      <c r="AG467" s="206">
        <f t="shared" si="101"/>
        <v>0</v>
      </c>
      <c r="AH467" s="206">
        <f t="shared" si="102"/>
        <v>0</v>
      </c>
      <c r="AI467" s="206">
        <f t="shared" si="103"/>
        <v>0</v>
      </c>
      <c r="AJ467" s="206">
        <f t="shared" si="104"/>
        <v>0</v>
      </c>
      <c r="AK467" s="206">
        <f t="shared" si="105"/>
        <v>0</v>
      </c>
      <c r="AL467" s="206">
        <f t="shared" si="106"/>
        <v>0</v>
      </c>
      <c r="AM467" s="214">
        <f t="shared" si="107"/>
        <v>0</v>
      </c>
      <c r="AN467" s="4"/>
      <c r="AO467" s="167">
        <v>565</v>
      </c>
      <c r="AP467" s="215">
        <v>7.2081663748650828E-3</v>
      </c>
      <c r="AQ467" s="190">
        <v>7.7152090867684681E-3</v>
      </c>
      <c r="AR467" s="190">
        <v>7.6435913949624741E-3</v>
      </c>
      <c r="AS467" s="170">
        <v>7.5859230232180703E-3</v>
      </c>
      <c r="AU467" s="216">
        <v>95.80845944404841</v>
      </c>
      <c r="AV467" s="217">
        <v>95.886775045368083</v>
      </c>
      <c r="AW467" s="217">
        <v>95.428337768532529</v>
      </c>
      <c r="AX467" s="217">
        <v>95.757682257227188</v>
      </c>
      <c r="AY467" s="217"/>
      <c r="AZ467" s="218">
        <v>0</v>
      </c>
      <c r="BA467" s="8"/>
      <c r="BB467" s="219"/>
      <c r="BC467" s="220"/>
    </row>
    <row r="468" spans="15:55" x14ac:dyDescent="0.25">
      <c r="O468" s="195">
        <v>560</v>
      </c>
      <c r="P468" s="202">
        <f t="shared" si="96"/>
        <v>0</v>
      </c>
      <c r="Q468" s="203">
        <f t="shared" si="96"/>
        <v>0</v>
      </c>
      <c r="R468" s="157">
        <f ca="1"/>
        <v>95.856169526605356</v>
      </c>
      <c r="T468" s="204">
        <v>0</v>
      </c>
      <c r="U468" s="206">
        <v>0</v>
      </c>
      <c r="V468" s="206">
        <v>0</v>
      </c>
      <c r="W468" s="206">
        <v>0</v>
      </c>
      <c r="X468" s="206">
        <f t="array" ref="X468">IF(X$78&gt;" ",(X$628:X$1078),"")</f>
        <v>0</v>
      </c>
      <c r="Y468" s="206">
        <f t="array" ref="Y468">IF(Y$78&gt;" ",(Y$628:Y$1078),"")</f>
        <v>0</v>
      </c>
      <c r="Z468" s="206">
        <f t="array" ref="Z468">IF(Z$78&gt;" ",(Z$628:Z$1078),"")</f>
        <v>0</v>
      </c>
      <c r="AA468" s="206">
        <f t="array" ref="AA468">IF(AA$78&gt;" ",(AA$628:AA$1078),"")</f>
        <v>0</v>
      </c>
      <c r="AB468" s="210">
        <v>0</v>
      </c>
      <c r="AC468" s="204">
        <f t="shared" si="97"/>
        <v>0</v>
      </c>
      <c r="AD468" s="206">
        <f t="shared" si="98"/>
        <v>0</v>
      </c>
      <c r="AE468" s="206">
        <f t="shared" si="99"/>
        <v>0</v>
      </c>
      <c r="AF468" s="206">
        <f t="shared" si="100"/>
        <v>0</v>
      </c>
      <c r="AG468" s="206">
        <f t="shared" si="101"/>
        <v>0</v>
      </c>
      <c r="AH468" s="206">
        <f t="shared" si="102"/>
        <v>0</v>
      </c>
      <c r="AI468" s="206">
        <f t="shared" si="103"/>
        <v>0</v>
      </c>
      <c r="AJ468" s="206">
        <f t="shared" si="104"/>
        <v>0</v>
      </c>
      <c r="AK468" s="206">
        <f t="shared" si="105"/>
        <v>0</v>
      </c>
      <c r="AL468" s="206">
        <f t="shared" si="106"/>
        <v>0</v>
      </c>
      <c r="AM468" s="214">
        <f t="shared" si="107"/>
        <v>0</v>
      </c>
      <c r="AN468" s="4"/>
      <c r="AO468" s="167">
        <v>560</v>
      </c>
      <c r="AP468" s="215">
        <v>7.2326097948879958E-3</v>
      </c>
      <c r="AQ468" s="190">
        <v>7.7987492487013171E-3</v>
      </c>
      <c r="AR468" s="190">
        <v>7.4117845642883273E-3</v>
      </c>
      <c r="AS468" s="170">
        <v>7.341360252200271E-3</v>
      </c>
      <c r="AU468" s="216">
        <v>95.739704646673246</v>
      </c>
      <c r="AV468" s="217">
        <v>95.856169526605356</v>
      </c>
      <c r="AW468" s="217">
        <v>95.405520842787993</v>
      </c>
      <c r="AX468" s="217">
        <v>95.744014086806445</v>
      </c>
      <c r="AY468" s="217"/>
      <c r="AZ468" s="218">
        <v>0</v>
      </c>
      <c r="BA468" s="8"/>
      <c r="BB468" s="219"/>
      <c r="BC468" s="220"/>
    </row>
    <row r="469" spans="15:55" x14ac:dyDescent="0.25">
      <c r="O469" s="195">
        <v>555</v>
      </c>
      <c r="P469" s="202">
        <f t="shared" si="96"/>
        <v>0</v>
      </c>
      <c r="Q469" s="203">
        <f t="shared" si="96"/>
        <v>0</v>
      </c>
      <c r="R469" s="157">
        <f ca="1"/>
        <v>95.811457005748721</v>
      </c>
      <c r="T469" s="204">
        <v>0</v>
      </c>
      <c r="U469" s="206">
        <v>0</v>
      </c>
      <c r="V469" s="206">
        <v>0</v>
      </c>
      <c r="W469" s="206">
        <v>0</v>
      </c>
      <c r="X469" s="206">
        <f t="array" ref="X469">IF(X$78&gt;" ",(X$628:X$1078),"")</f>
        <v>0</v>
      </c>
      <c r="Y469" s="206">
        <f t="array" ref="Y469">IF(Y$78&gt;" ",(Y$628:Y$1078),"")</f>
        <v>0</v>
      </c>
      <c r="Z469" s="206">
        <f t="array" ref="Z469">IF(Z$78&gt;" ",(Z$628:Z$1078),"")</f>
        <v>0</v>
      </c>
      <c r="AA469" s="206">
        <f t="array" ref="AA469">IF(AA$78&gt;" ",(AA$628:AA$1078),"")</f>
        <v>0</v>
      </c>
      <c r="AB469" s="210">
        <v>0</v>
      </c>
      <c r="AC469" s="204">
        <f t="shared" si="97"/>
        <v>0</v>
      </c>
      <c r="AD469" s="206">
        <f t="shared" si="98"/>
        <v>0</v>
      </c>
      <c r="AE469" s="206">
        <f t="shared" si="99"/>
        <v>0</v>
      </c>
      <c r="AF469" s="206">
        <f t="shared" si="100"/>
        <v>0</v>
      </c>
      <c r="AG469" s="206">
        <f t="shared" si="101"/>
        <v>0</v>
      </c>
      <c r="AH469" s="206">
        <f t="shared" si="102"/>
        <v>0</v>
      </c>
      <c r="AI469" s="206">
        <f t="shared" si="103"/>
        <v>0</v>
      </c>
      <c r="AJ469" s="206">
        <f t="shared" si="104"/>
        <v>0</v>
      </c>
      <c r="AK469" s="206">
        <f t="shared" si="105"/>
        <v>0</v>
      </c>
      <c r="AL469" s="206">
        <f t="shared" si="106"/>
        <v>0</v>
      </c>
      <c r="AM469" s="214">
        <f t="shared" si="107"/>
        <v>0</v>
      </c>
      <c r="AN469" s="4"/>
      <c r="AO469" s="167">
        <v>555</v>
      </c>
      <c r="AP469" s="215">
        <v>7.2570532149109097E-3</v>
      </c>
      <c r="AQ469" s="190">
        <v>7.862279791009532E-3</v>
      </c>
      <c r="AR469" s="190">
        <v>7.8613188519731144E-3</v>
      </c>
      <c r="AS469" s="170">
        <v>7.7694850115334925E-3</v>
      </c>
      <c r="AU469" s="216">
        <v>95.671415332940185</v>
      </c>
      <c r="AV469" s="217">
        <v>95.811457005748721</v>
      </c>
      <c r="AW469" s="217">
        <v>95.347883833036107</v>
      </c>
      <c r="AX469" s="217">
        <v>95.702657903890966</v>
      </c>
      <c r="AY469" s="217"/>
      <c r="AZ469" s="218">
        <v>0</v>
      </c>
      <c r="BA469" s="8"/>
      <c r="BB469" s="219"/>
      <c r="BC469" s="220"/>
    </row>
    <row r="470" spans="15:55" x14ac:dyDescent="0.25">
      <c r="O470" s="195">
        <v>550</v>
      </c>
      <c r="P470" s="202">
        <f t="shared" si="96"/>
        <v>0</v>
      </c>
      <c r="Q470" s="203">
        <f t="shared" si="96"/>
        <v>0</v>
      </c>
      <c r="R470" s="157">
        <f ca="1"/>
        <v>95.770699468518885</v>
      </c>
      <c r="T470" s="204">
        <v>0</v>
      </c>
      <c r="U470" s="206">
        <v>0</v>
      </c>
      <c r="V470" s="206">
        <v>0</v>
      </c>
      <c r="W470" s="206">
        <v>0</v>
      </c>
      <c r="X470" s="206">
        <f t="array" ref="X470">IF(X$78&gt;" ",(X$628:X$1078),"")</f>
        <v>0</v>
      </c>
      <c r="Y470" s="206">
        <f t="array" ref="Y470">IF(Y$78&gt;" ",(Y$628:Y$1078),"")</f>
        <v>0</v>
      </c>
      <c r="Z470" s="206">
        <f t="array" ref="Z470">IF(Z$78&gt;" ",(Z$628:Z$1078),"")</f>
        <v>0</v>
      </c>
      <c r="AA470" s="206">
        <f t="array" ref="AA470">IF(AA$78&gt;" ",(AA$628:AA$1078),"")</f>
        <v>0</v>
      </c>
      <c r="AB470" s="210">
        <v>0</v>
      </c>
      <c r="AC470" s="204">
        <f t="shared" si="97"/>
        <v>0</v>
      </c>
      <c r="AD470" s="206">
        <f t="shared" si="98"/>
        <v>0</v>
      </c>
      <c r="AE470" s="206">
        <f t="shared" si="99"/>
        <v>0</v>
      </c>
      <c r="AF470" s="206">
        <f t="shared" si="100"/>
        <v>0</v>
      </c>
      <c r="AG470" s="206">
        <f t="shared" si="101"/>
        <v>0</v>
      </c>
      <c r="AH470" s="206">
        <f t="shared" si="102"/>
        <v>0</v>
      </c>
      <c r="AI470" s="206">
        <f t="shared" si="103"/>
        <v>0</v>
      </c>
      <c r="AJ470" s="206">
        <f t="shared" si="104"/>
        <v>0</v>
      </c>
      <c r="AK470" s="206">
        <f t="shared" si="105"/>
        <v>0</v>
      </c>
      <c r="AL470" s="206">
        <f t="shared" si="106"/>
        <v>0</v>
      </c>
      <c r="AM470" s="214">
        <f t="shared" si="107"/>
        <v>0</v>
      </c>
      <c r="AN470" s="4"/>
      <c r="AO470" s="167">
        <v>550</v>
      </c>
      <c r="AP470" s="215">
        <v>7.2814966349338235E-3</v>
      </c>
      <c r="AQ470" s="190">
        <v>7.9258103333177468E-3</v>
      </c>
      <c r="AR470" s="190">
        <v>7.7431526801544073E-3</v>
      </c>
      <c r="AS470" s="170">
        <v>7.6379695625879923E-3</v>
      </c>
      <c r="AU470" s="216">
        <v>95.620561079788743</v>
      </c>
      <c r="AV470" s="217">
        <v>95.770699468518885</v>
      </c>
      <c r="AW470" s="217">
        <v>95.309688283865924</v>
      </c>
      <c r="AX470" s="217">
        <v>95.682360467929456</v>
      </c>
      <c r="AY470" s="217"/>
      <c r="AZ470" s="218">
        <v>0</v>
      </c>
      <c r="BA470" s="8"/>
      <c r="BB470" s="219"/>
      <c r="BC470" s="220"/>
    </row>
    <row r="471" spans="15:55" x14ac:dyDescent="0.25">
      <c r="O471" s="195">
        <v>545</v>
      </c>
      <c r="P471" s="202">
        <f t="shared" si="96"/>
        <v>0</v>
      </c>
      <c r="Q471" s="203">
        <f t="shared" si="96"/>
        <v>0</v>
      </c>
      <c r="R471" s="157">
        <f ca="1"/>
        <v>95.717121235688467</v>
      </c>
      <c r="T471" s="204">
        <v>0</v>
      </c>
      <c r="U471" s="206">
        <v>0</v>
      </c>
      <c r="V471" s="206">
        <v>0</v>
      </c>
      <c r="W471" s="206">
        <v>0</v>
      </c>
      <c r="X471" s="206">
        <f t="array" ref="X471">IF(X$78&gt;" ",(X$628:X$1078),"")</f>
        <v>0</v>
      </c>
      <c r="Y471" s="206">
        <f t="array" ref="Y471">IF(Y$78&gt;" ",(Y$628:Y$1078),"")</f>
        <v>0</v>
      </c>
      <c r="Z471" s="206">
        <f t="array" ref="Z471">IF(Z$78&gt;" ",(Z$628:Z$1078),"")</f>
        <v>0</v>
      </c>
      <c r="AA471" s="206">
        <f t="array" ref="AA471">IF(AA$78&gt;" ",(AA$628:AA$1078),"")</f>
        <v>0</v>
      </c>
      <c r="AB471" s="210">
        <v>0</v>
      </c>
      <c r="AC471" s="204">
        <f t="shared" si="97"/>
        <v>0</v>
      </c>
      <c r="AD471" s="206">
        <f t="shared" si="98"/>
        <v>0</v>
      </c>
      <c r="AE471" s="206">
        <f t="shared" si="99"/>
        <v>0</v>
      </c>
      <c r="AF471" s="206">
        <f t="shared" si="100"/>
        <v>0</v>
      </c>
      <c r="AG471" s="206">
        <f t="shared" si="101"/>
        <v>0</v>
      </c>
      <c r="AH471" s="206">
        <f t="shared" si="102"/>
        <v>0</v>
      </c>
      <c r="AI471" s="206">
        <f t="shared" si="103"/>
        <v>0</v>
      </c>
      <c r="AJ471" s="206">
        <f t="shared" si="104"/>
        <v>0</v>
      </c>
      <c r="AK471" s="206">
        <f t="shared" si="105"/>
        <v>0</v>
      </c>
      <c r="AL471" s="206">
        <f t="shared" si="106"/>
        <v>0</v>
      </c>
      <c r="AM471" s="214">
        <f t="shared" si="107"/>
        <v>0</v>
      </c>
      <c r="AN471" s="4"/>
      <c r="AO471" s="167">
        <v>545</v>
      </c>
      <c r="AP471" s="215">
        <v>7.2160939705481902E-3</v>
      </c>
      <c r="AQ471" s="190">
        <v>7.9215582891475119E-3</v>
      </c>
      <c r="AR471" s="190">
        <v>7.7612547320074863E-3</v>
      </c>
      <c r="AS471" s="170">
        <v>7.6430063244624993E-3</v>
      </c>
      <c r="AU471" s="216">
        <v>95.576470496975091</v>
      </c>
      <c r="AV471" s="217">
        <v>95.717121235688467</v>
      </c>
      <c r="AW471" s="217">
        <v>95.252315290166507</v>
      </c>
      <c r="AX471" s="217">
        <v>95.649529232629959</v>
      </c>
      <c r="AY471" s="217"/>
      <c r="AZ471" s="218">
        <v>0</v>
      </c>
      <c r="BA471" s="8"/>
      <c r="BB471" s="219"/>
      <c r="BC471" s="220"/>
    </row>
    <row r="472" spans="15:55" x14ac:dyDescent="0.25">
      <c r="O472" s="195">
        <v>540</v>
      </c>
      <c r="P472" s="202">
        <f t="shared" si="96"/>
        <v>0</v>
      </c>
      <c r="Q472" s="203">
        <f t="shared" si="96"/>
        <v>0</v>
      </c>
      <c r="R472" s="157">
        <f ca="1"/>
        <v>95.667117312172834</v>
      </c>
      <c r="T472" s="204">
        <v>0</v>
      </c>
      <c r="U472" s="206">
        <v>0</v>
      </c>
      <c r="V472" s="206">
        <v>0</v>
      </c>
      <c r="W472" s="206">
        <v>0</v>
      </c>
      <c r="X472" s="206">
        <f t="array" ref="X472">IF(X$78&gt;" ",(X$628:X$1078),"")</f>
        <v>0</v>
      </c>
      <c r="Y472" s="206">
        <f t="array" ref="Y472">IF(Y$78&gt;" ",(Y$628:Y$1078),"")</f>
        <v>0</v>
      </c>
      <c r="Z472" s="206">
        <f t="array" ref="Z472">IF(Z$78&gt;" ",(Z$628:Z$1078),"")</f>
        <v>0</v>
      </c>
      <c r="AA472" s="206">
        <f t="array" ref="AA472">IF(AA$78&gt;" ",(AA$628:AA$1078),"")</f>
        <v>0</v>
      </c>
      <c r="AB472" s="210">
        <v>0</v>
      </c>
      <c r="AC472" s="204">
        <f t="shared" si="97"/>
        <v>0</v>
      </c>
      <c r="AD472" s="206">
        <f t="shared" si="98"/>
        <v>0</v>
      </c>
      <c r="AE472" s="206">
        <f t="shared" si="99"/>
        <v>0</v>
      </c>
      <c r="AF472" s="206">
        <f t="shared" si="100"/>
        <v>0</v>
      </c>
      <c r="AG472" s="206">
        <f t="shared" si="101"/>
        <v>0</v>
      </c>
      <c r="AH472" s="206">
        <f t="shared" si="102"/>
        <v>0</v>
      </c>
      <c r="AI472" s="206">
        <f t="shared" si="103"/>
        <v>0</v>
      </c>
      <c r="AJ472" s="206">
        <f t="shared" si="104"/>
        <v>0</v>
      </c>
      <c r="AK472" s="206">
        <f t="shared" si="105"/>
        <v>0</v>
      </c>
      <c r="AL472" s="206">
        <f t="shared" si="106"/>
        <v>0</v>
      </c>
      <c r="AM472" s="214">
        <f t="shared" si="107"/>
        <v>0</v>
      </c>
      <c r="AN472" s="4"/>
      <c r="AO472" s="167">
        <v>540</v>
      </c>
      <c r="AP472" s="215">
        <v>7.1506913061625578E-3</v>
      </c>
      <c r="AQ472" s="190">
        <v>7.917306244977277E-3</v>
      </c>
      <c r="AR472" s="190">
        <v>7.454525520052541E-3</v>
      </c>
      <c r="AS472" s="170">
        <v>7.3290481676181385E-3</v>
      </c>
      <c r="AU472" s="216">
        <v>95.525009110210704</v>
      </c>
      <c r="AV472" s="217">
        <v>95.667117312172834</v>
      </c>
      <c r="AW472" s="217">
        <v>95.186449548105998</v>
      </c>
      <c r="AX472" s="217">
        <v>95.597965198761358</v>
      </c>
      <c r="AY472" s="217"/>
      <c r="AZ472" s="218">
        <v>0</v>
      </c>
      <c r="BA472" s="8"/>
      <c r="BB472" s="219"/>
      <c r="BC472" s="220"/>
    </row>
    <row r="473" spans="15:55" x14ac:dyDescent="0.25">
      <c r="O473" s="195">
        <v>535</v>
      </c>
      <c r="P473" s="202">
        <f t="shared" si="96"/>
        <v>0</v>
      </c>
      <c r="Q473" s="203">
        <f t="shared" si="96"/>
        <v>0</v>
      </c>
      <c r="R473" s="157">
        <f ca="1"/>
        <v>95.580553667730669</v>
      </c>
      <c r="T473" s="204">
        <v>0</v>
      </c>
      <c r="U473" s="206">
        <v>0</v>
      </c>
      <c r="V473" s="206">
        <v>0</v>
      </c>
      <c r="W473" s="206">
        <v>0</v>
      </c>
      <c r="X473" s="206">
        <f t="array" ref="X473">IF(X$78&gt;" ",(X$628:X$1078),"")</f>
        <v>0</v>
      </c>
      <c r="Y473" s="206">
        <f t="array" ref="Y473">IF(Y$78&gt;" ",(Y$628:Y$1078),"")</f>
        <v>0</v>
      </c>
      <c r="Z473" s="206">
        <f t="array" ref="Z473">IF(Z$78&gt;" ",(Z$628:Z$1078),"")</f>
        <v>0</v>
      </c>
      <c r="AA473" s="206">
        <f t="array" ref="AA473">IF(AA$78&gt;" ",(AA$628:AA$1078),"")</f>
        <v>0</v>
      </c>
      <c r="AB473" s="210">
        <v>0</v>
      </c>
      <c r="AC473" s="204">
        <f t="shared" si="97"/>
        <v>0</v>
      </c>
      <c r="AD473" s="206">
        <f t="shared" si="98"/>
        <v>0</v>
      </c>
      <c r="AE473" s="206">
        <f t="shared" si="99"/>
        <v>0</v>
      </c>
      <c r="AF473" s="206">
        <f t="shared" si="100"/>
        <v>0</v>
      </c>
      <c r="AG473" s="206">
        <f t="shared" si="101"/>
        <v>0</v>
      </c>
      <c r="AH473" s="206">
        <f t="shared" si="102"/>
        <v>0</v>
      </c>
      <c r="AI473" s="206">
        <f t="shared" si="103"/>
        <v>0</v>
      </c>
      <c r="AJ473" s="206">
        <f t="shared" si="104"/>
        <v>0</v>
      </c>
      <c r="AK473" s="206">
        <f t="shared" si="105"/>
        <v>0</v>
      </c>
      <c r="AL473" s="206">
        <f t="shared" si="106"/>
        <v>0</v>
      </c>
      <c r="AM473" s="214">
        <f t="shared" si="107"/>
        <v>0</v>
      </c>
      <c r="AN473" s="4"/>
      <c r="AO473" s="167">
        <v>535</v>
      </c>
      <c r="AP473" s="215">
        <v>7.158949218332461E-3</v>
      </c>
      <c r="AQ473" s="190">
        <v>7.9273110547895941E-3</v>
      </c>
      <c r="AR473" s="190">
        <v>7.8115382093771491E-3</v>
      </c>
      <c r="AS473" s="170">
        <v>7.6676304936267644E-3</v>
      </c>
      <c r="AU473" s="216">
        <v>95.44061300720125</v>
      </c>
      <c r="AV473" s="217">
        <v>95.580553667730669</v>
      </c>
      <c r="AW473" s="217">
        <v>95.078625196870277</v>
      </c>
      <c r="AX473" s="217">
        <v>95.495793677266121</v>
      </c>
      <c r="AY473" s="217"/>
      <c r="AZ473" s="218">
        <v>0</v>
      </c>
      <c r="BA473" s="8"/>
      <c r="BB473" s="219"/>
      <c r="BC473" s="220"/>
    </row>
    <row r="474" spans="15:55" x14ac:dyDescent="0.25">
      <c r="O474" s="195">
        <v>530</v>
      </c>
      <c r="P474" s="202">
        <f t="shared" si="96"/>
        <v>0</v>
      </c>
      <c r="Q474" s="203">
        <f t="shared" si="96"/>
        <v>0</v>
      </c>
      <c r="R474" s="157">
        <f ca="1"/>
        <v>95.495188898004074</v>
      </c>
      <c r="T474" s="204">
        <v>0</v>
      </c>
      <c r="U474" s="206">
        <v>0</v>
      </c>
      <c r="V474" s="206">
        <v>0</v>
      </c>
      <c r="W474" s="206">
        <v>0</v>
      </c>
      <c r="X474" s="206">
        <f t="array" ref="X474">IF(X$78&gt;" ",(X$628:X$1078),"")</f>
        <v>0</v>
      </c>
      <c r="Y474" s="206">
        <f t="array" ref="Y474">IF(Y$78&gt;" ",(Y$628:Y$1078),"")</f>
        <v>0</v>
      </c>
      <c r="Z474" s="206">
        <f t="array" ref="Z474">IF(Z$78&gt;" ",(Z$628:Z$1078),"")</f>
        <v>0</v>
      </c>
      <c r="AA474" s="206">
        <f t="array" ref="AA474">IF(AA$78&gt;" ",(AA$628:AA$1078),"")</f>
        <v>0</v>
      </c>
      <c r="AB474" s="210">
        <v>0</v>
      </c>
      <c r="AC474" s="204">
        <f t="shared" si="97"/>
        <v>0</v>
      </c>
      <c r="AD474" s="206">
        <f t="shared" si="98"/>
        <v>0</v>
      </c>
      <c r="AE474" s="206">
        <f t="shared" si="99"/>
        <v>0</v>
      </c>
      <c r="AF474" s="206">
        <f t="shared" si="100"/>
        <v>0</v>
      </c>
      <c r="AG474" s="206">
        <f t="shared" si="101"/>
        <v>0</v>
      </c>
      <c r="AH474" s="206">
        <f t="shared" si="102"/>
        <v>0</v>
      </c>
      <c r="AI474" s="206">
        <f t="shared" si="103"/>
        <v>0</v>
      </c>
      <c r="AJ474" s="206">
        <f t="shared" si="104"/>
        <v>0</v>
      </c>
      <c r="AK474" s="206">
        <f t="shared" si="105"/>
        <v>0</v>
      </c>
      <c r="AL474" s="206">
        <f t="shared" si="106"/>
        <v>0</v>
      </c>
      <c r="AM474" s="214">
        <f t="shared" si="107"/>
        <v>0</v>
      </c>
      <c r="AN474" s="4"/>
      <c r="AO474" s="167">
        <v>530</v>
      </c>
      <c r="AP474" s="215">
        <v>7.1672071305023642E-3</v>
      </c>
      <c r="AQ474" s="190">
        <v>7.9373158646019112E-3</v>
      </c>
      <c r="AR474" s="190">
        <v>7.7667859145181487E-3</v>
      </c>
      <c r="AS474" s="170">
        <v>7.609987552174056E-3</v>
      </c>
      <c r="AU474" s="216">
        <v>95.358220076865493</v>
      </c>
      <c r="AV474" s="217">
        <v>95.495188898004074</v>
      </c>
      <c r="AW474" s="217">
        <v>94.97375582385699</v>
      </c>
      <c r="AX474" s="217">
        <v>95.397043127217216</v>
      </c>
      <c r="AY474" s="217"/>
      <c r="AZ474" s="218">
        <v>0</v>
      </c>
      <c r="BA474" s="8"/>
      <c r="BB474" s="219"/>
      <c r="BC474" s="220"/>
    </row>
    <row r="475" spans="15:55" x14ac:dyDescent="0.25">
      <c r="O475" s="195">
        <v>525</v>
      </c>
      <c r="P475" s="202">
        <f t="shared" si="96"/>
        <v>0</v>
      </c>
      <c r="Q475" s="203">
        <f t="shared" si="96"/>
        <v>0</v>
      </c>
      <c r="R475" s="157">
        <f ca="1"/>
        <v>95.306022964224397</v>
      </c>
      <c r="T475" s="204">
        <v>0</v>
      </c>
      <c r="U475" s="206">
        <v>0</v>
      </c>
      <c r="V475" s="206">
        <v>0</v>
      </c>
      <c r="W475" s="206">
        <v>0</v>
      </c>
      <c r="X475" s="206">
        <f t="array" ref="X475">IF(X$78&gt;" ",(X$628:X$1078),"")</f>
        <v>0</v>
      </c>
      <c r="Y475" s="206">
        <f t="array" ref="Y475">IF(Y$78&gt;" ",(Y$628:Y$1078),"")</f>
        <v>0</v>
      </c>
      <c r="Z475" s="206">
        <f t="array" ref="Z475">IF(Z$78&gt;" ",(Z$628:Z$1078),"")</f>
        <v>0</v>
      </c>
      <c r="AA475" s="206">
        <f t="array" ref="AA475">IF(AA$78&gt;" ",(AA$628:AA$1078),"")</f>
        <v>0</v>
      </c>
      <c r="AB475" s="210">
        <v>0</v>
      </c>
      <c r="AC475" s="204">
        <f t="shared" si="97"/>
        <v>0</v>
      </c>
      <c r="AD475" s="206">
        <f t="shared" si="98"/>
        <v>0</v>
      </c>
      <c r="AE475" s="206">
        <f t="shared" si="99"/>
        <v>0</v>
      </c>
      <c r="AF475" s="206">
        <f t="shared" si="100"/>
        <v>0</v>
      </c>
      <c r="AG475" s="206">
        <f t="shared" si="101"/>
        <v>0</v>
      </c>
      <c r="AH475" s="206">
        <f t="shared" si="102"/>
        <v>0</v>
      </c>
      <c r="AI475" s="206">
        <f t="shared" si="103"/>
        <v>0</v>
      </c>
      <c r="AJ475" s="206">
        <f t="shared" si="104"/>
        <v>0</v>
      </c>
      <c r="AK475" s="206">
        <f t="shared" si="105"/>
        <v>0</v>
      </c>
      <c r="AL475" s="206">
        <f t="shared" si="106"/>
        <v>0</v>
      </c>
      <c r="AM475" s="214">
        <f t="shared" si="107"/>
        <v>0</v>
      </c>
      <c r="AN475" s="4"/>
      <c r="AO475" s="167">
        <v>525</v>
      </c>
      <c r="AP475" s="215">
        <v>6.9247548291940068E-3</v>
      </c>
      <c r="AQ475" s="190">
        <v>7.8097545394948658E-3</v>
      </c>
      <c r="AR475" s="190">
        <v>7.9352355637065195E-3</v>
      </c>
      <c r="AS475" s="170">
        <v>7.756053646534802E-3</v>
      </c>
      <c r="AU475" s="216">
        <v>95.158337045490725</v>
      </c>
      <c r="AV475" s="217">
        <v>95.306022964224397</v>
      </c>
      <c r="AW475" s="217">
        <v>94.504584982357642</v>
      </c>
      <c r="AX475" s="217">
        <v>94.929202880424654</v>
      </c>
      <c r="AY475" s="217"/>
      <c r="AZ475" s="218">
        <v>0</v>
      </c>
      <c r="BA475" s="8"/>
      <c r="BB475" s="219"/>
      <c r="BC475" s="220"/>
    </row>
    <row r="476" spans="15:55" x14ac:dyDescent="0.25">
      <c r="O476" s="195">
        <v>520</v>
      </c>
      <c r="P476" s="202">
        <f t="shared" si="96"/>
        <v>0</v>
      </c>
      <c r="Q476" s="203">
        <f t="shared" si="96"/>
        <v>0</v>
      </c>
      <c r="R476" s="157">
        <f ca="1"/>
        <v>95.125576108510018</v>
      </c>
      <c r="T476" s="204">
        <v>0</v>
      </c>
      <c r="U476" s="206">
        <v>0</v>
      </c>
      <c r="V476" s="206">
        <v>0</v>
      </c>
      <c r="W476" s="206">
        <v>0</v>
      </c>
      <c r="X476" s="206">
        <f t="array" ref="X476">IF(X$78&gt;" ",(X$628:X$1078),"")</f>
        <v>0</v>
      </c>
      <c r="Y476" s="206">
        <f t="array" ref="Y476">IF(Y$78&gt;" ",(Y$628:Y$1078),"")</f>
        <v>0</v>
      </c>
      <c r="Z476" s="206">
        <f t="array" ref="Z476">IF(Z$78&gt;" ",(Z$628:Z$1078),"")</f>
        <v>0</v>
      </c>
      <c r="AA476" s="206">
        <f t="array" ref="AA476">IF(AA$78&gt;" ",(AA$628:AA$1078),"")</f>
        <v>0</v>
      </c>
      <c r="AB476" s="210">
        <v>0</v>
      </c>
      <c r="AC476" s="204">
        <f t="shared" si="97"/>
        <v>0</v>
      </c>
      <c r="AD476" s="206">
        <f t="shared" si="98"/>
        <v>0</v>
      </c>
      <c r="AE476" s="206">
        <f t="shared" si="99"/>
        <v>0</v>
      </c>
      <c r="AF476" s="206">
        <f t="shared" si="100"/>
        <v>0</v>
      </c>
      <c r="AG476" s="206">
        <f t="shared" si="101"/>
        <v>0</v>
      </c>
      <c r="AH476" s="206">
        <f t="shared" si="102"/>
        <v>0</v>
      </c>
      <c r="AI476" s="206">
        <f t="shared" si="103"/>
        <v>0</v>
      </c>
      <c r="AJ476" s="206">
        <f t="shared" si="104"/>
        <v>0</v>
      </c>
      <c r="AK476" s="206">
        <f t="shared" si="105"/>
        <v>0</v>
      </c>
      <c r="AL476" s="206">
        <f t="shared" si="106"/>
        <v>0</v>
      </c>
      <c r="AM476" s="214">
        <f t="shared" si="107"/>
        <v>0</v>
      </c>
      <c r="AN476" s="4"/>
      <c r="AO476" s="167">
        <v>520</v>
      </c>
      <c r="AP476" s="215">
        <v>6.6823025278856486E-3</v>
      </c>
      <c r="AQ476" s="190">
        <v>7.6821932143878212E-3</v>
      </c>
      <c r="AR476" s="190">
        <v>7.6611906120418564E-3</v>
      </c>
      <c r="AS476" s="170">
        <v>7.4706371403126543E-3</v>
      </c>
      <c r="AU476" s="216">
        <v>94.965949839596547</v>
      </c>
      <c r="AV476" s="217">
        <v>95.125576108510018</v>
      </c>
      <c r="AW476" s="217">
        <v>94.037488067774518</v>
      </c>
      <c r="AX476" s="217">
        <v>94.461656357119594</v>
      </c>
      <c r="AY476" s="217"/>
      <c r="AZ476" s="218">
        <v>0</v>
      </c>
      <c r="BA476" s="8"/>
      <c r="BB476" s="219"/>
      <c r="BC476" s="220"/>
    </row>
    <row r="477" spans="15:55" x14ac:dyDescent="0.25">
      <c r="O477" s="195">
        <v>515</v>
      </c>
      <c r="P477" s="202">
        <f t="shared" si="96"/>
        <v>0</v>
      </c>
      <c r="Q477" s="203">
        <f t="shared" si="96"/>
        <v>0</v>
      </c>
      <c r="R477" s="157">
        <f ca="1"/>
        <v>95.192688891927219</v>
      </c>
      <c r="T477" s="204">
        <v>0</v>
      </c>
      <c r="U477" s="206">
        <v>0</v>
      </c>
      <c r="V477" s="206">
        <v>0</v>
      </c>
      <c r="W477" s="206">
        <v>0</v>
      </c>
      <c r="X477" s="206">
        <f t="array" ref="X477">IF(X$78&gt;" ",(X$628:X$1078),"")</f>
        <v>0</v>
      </c>
      <c r="Y477" s="206">
        <f t="array" ref="Y477">IF(Y$78&gt;" ",(Y$628:Y$1078),"")</f>
        <v>0</v>
      </c>
      <c r="Z477" s="206">
        <f t="array" ref="Z477">IF(Z$78&gt;" ",(Z$628:Z$1078),"")</f>
        <v>0</v>
      </c>
      <c r="AA477" s="206">
        <f t="array" ref="AA477">IF(AA$78&gt;" ",(AA$628:AA$1078),"")</f>
        <v>0</v>
      </c>
      <c r="AB477" s="210">
        <v>0</v>
      </c>
      <c r="AC477" s="204">
        <f t="shared" si="97"/>
        <v>0</v>
      </c>
      <c r="AD477" s="206">
        <f t="shared" si="98"/>
        <v>0</v>
      </c>
      <c r="AE477" s="206">
        <f t="shared" si="99"/>
        <v>0</v>
      </c>
      <c r="AF477" s="206">
        <f t="shared" si="100"/>
        <v>0</v>
      </c>
      <c r="AG477" s="206">
        <f t="shared" si="101"/>
        <v>0</v>
      </c>
      <c r="AH477" s="206">
        <f t="shared" si="102"/>
        <v>0</v>
      </c>
      <c r="AI477" s="206">
        <f t="shared" si="103"/>
        <v>0</v>
      </c>
      <c r="AJ477" s="206">
        <f t="shared" si="104"/>
        <v>0</v>
      </c>
      <c r="AK477" s="206">
        <f t="shared" si="105"/>
        <v>0</v>
      </c>
      <c r="AL477" s="206">
        <f t="shared" si="106"/>
        <v>0</v>
      </c>
      <c r="AM477" s="214">
        <f t="shared" si="107"/>
        <v>0</v>
      </c>
      <c r="AN477" s="4"/>
      <c r="AO477" s="167">
        <v>515</v>
      </c>
      <c r="AP477" s="215">
        <v>6.8646372285971107E-3</v>
      </c>
      <c r="AQ477" s="190">
        <v>7.8362672854975068E-3</v>
      </c>
      <c r="AR477" s="190">
        <v>7.7004117243901936E-3</v>
      </c>
      <c r="AS477" s="170">
        <v>7.4907841878106892E-3</v>
      </c>
      <c r="AU477" s="216">
        <v>95.043185304781801</v>
      </c>
      <c r="AV477" s="217">
        <v>95.192688891927219</v>
      </c>
      <c r="AW477" s="217">
        <v>94.403818230613069</v>
      </c>
      <c r="AX477" s="217">
        <v>94.830497574226129</v>
      </c>
      <c r="AY477" s="217"/>
      <c r="AZ477" s="218">
        <v>0</v>
      </c>
      <c r="BA477" s="8"/>
      <c r="BB477" s="219"/>
      <c r="BC477" s="220"/>
    </row>
    <row r="478" spans="15:55" x14ac:dyDescent="0.25">
      <c r="O478" s="195">
        <v>510</v>
      </c>
      <c r="P478" s="202">
        <f t="shared" si="96"/>
        <v>0</v>
      </c>
      <c r="Q478" s="203">
        <f t="shared" si="96"/>
        <v>0</v>
      </c>
      <c r="R478" s="157">
        <f ca="1"/>
        <v>95.253785428487205</v>
      </c>
      <c r="T478" s="204">
        <v>0</v>
      </c>
      <c r="U478" s="206">
        <v>0</v>
      </c>
      <c r="V478" s="206">
        <v>0</v>
      </c>
      <c r="W478" s="206">
        <v>0</v>
      </c>
      <c r="X478" s="206">
        <f t="array" ref="X478">IF(X$78&gt;" ",(X$628:X$1078),"")</f>
        <v>0</v>
      </c>
      <c r="Y478" s="206">
        <f t="array" ref="Y478">IF(Y$78&gt;" ",(Y$628:Y$1078),"")</f>
        <v>0</v>
      </c>
      <c r="Z478" s="206">
        <f t="array" ref="Z478">IF(Z$78&gt;" ",(Z$628:Z$1078),"")</f>
        <v>0</v>
      </c>
      <c r="AA478" s="206">
        <f t="array" ref="AA478">IF(AA$78&gt;" ",(AA$628:AA$1078),"")</f>
        <v>0</v>
      </c>
      <c r="AB478" s="210">
        <v>0</v>
      </c>
      <c r="AC478" s="204">
        <f t="shared" si="97"/>
        <v>0</v>
      </c>
      <c r="AD478" s="206">
        <f t="shared" si="98"/>
        <v>0</v>
      </c>
      <c r="AE478" s="206">
        <f t="shared" si="99"/>
        <v>0</v>
      </c>
      <c r="AF478" s="206">
        <f t="shared" si="100"/>
        <v>0</v>
      </c>
      <c r="AG478" s="206">
        <f t="shared" si="101"/>
        <v>0</v>
      </c>
      <c r="AH478" s="206">
        <f t="shared" si="102"/>
        <v>0</v>
      </c>
      <c r="AI478" s="206">
        <f t="shared" si="103"/>
        <v>0</v>
      </c>
      <c r="AJ478" s="206">
        <f t="shared" si="104"/>
        <v>0</v>
      </c>
      <c r="AK478" s="206">
        <f t="shared" si="105"/>
        <v>0</v>
      </c>
      <c r="AL478" s="206">
        <f t="shared" si="106"/>
        <v>0</v>
      </c>
      <c r="AM478" s="214">
        <f t="shared" si="107"/>
        <v>0</v>
      </c>
      <c r="AN478" s="4"/>
      <c r="AO478" s="167">
        <v>510</v>
      </c>
      <c r="AP478" s="215">
        <v>7.0469719293085736E-3</v>
      </c>
      <c r="AQ478" s="190">
        <v>7.9903413566071932E-3</v>
      </c>
      <c r="AR478" s="190">
        <v>7.7843851315975311E-3</v>
      </c>
      <c r="AS478" s="170">
        <v>7.5534638911379038E-3</v>
      </c>
      <c r="AU478" s="216">
        <v>95.106559458400042</v>
      </c>
      <c r="AV478" s="217">
        <v>95.253785428487205</v>
      </c>
      <c r="AW478" s="217">
        <v>94.770277528491036</v>
      </c>
      <c r="AX478" s="217">
        <v>95.190425682603333</v>
      </c>
      <c r="AY478" s="217"/>
      <c r="AZ478" s="218">
        <v>0</v>
      </c>
      <c r="BA478" s="8"/>
      <c r="BB478" s="219"/>
      <c r="BC478" s="220"/>
    </row>
    <row r="479" spans="15:55" x14ac:dyDescent="0.25">
      <c r="O479" s="195">
        <v>505</v>
      </c>
      <c r="P479" s="202">
        <f t="shared" si="96"/>
        <v>0</v>
      </c>
      <c r="Q479" s="203">
        <f t="shared" si="96"/>
        <v>0</v>
      </c>
      <c r="R479" s="157">
        <f ca="1"/>
        <v>95.16988040441278</v>
      </c>
      <c r="T479" s="204">
        <v>0</v>
      </c>
      <c r="U479" s="206">
        <v>0</v>
      </c>
      <c r="V479" s="206">
        <v>0</v>
      </c>
      <c r="W479" s="206">
        <v>0</v>
      </c>
      <c r="X479" s="206">
        <f t="array" ref="X479">IF(X$78&gt;" ",(X$628:X$1078),"")</f>
        <v>0</v>
      </c>
      <c r="Y479" s="206">
        <f t="array" ref="Y479">IF(Y$78&gt;" ",(Y$628:Y$1078),"")</f>
        <v>0</v>
      </c>
      <c r="Z479" s="206">
        <f t="array" ref="Z479">IF(Z$78&gt;" ",(Z$628:Z$1078),"")</f>
        <v>0</v>
      </c>
      <c r="AA479" s="206">
        <f t="array" ref="AA479">IF(AA$78&gt;" ",(AA$628:AA$1078),"")</f>
        <v>0</v>
      </c>
      <c r="AB479" s="210">
        <v>0</v>
      </c>
      <c r="AC479" s="204">
        <f t="shared" si="97"/>
        <v>0</v>
      </c>
      <c r="AD479" s="206">
        <f t="shared" si="98"/>
        <v>0</v>
      </c>
      <c r="AE479" s="206">
        <f t="shared" si="99"/>
        <v>0</v>
      </c>
      <c r="AF479" s="206">
        <f t="shared" si="100"/>
        <v>0</v>
      </c>
      <c r="AG479" s="206">
        <f t="shared" si="101"/>
        <v>0</v>
      </c>
      <c r="AH479" s="206">
        <f t="shared" si="102"/>
        <v>0</v>
      </c>
      <c r="AI479" s="206">
        <f t="shared" si="103"/>
        <v>0</v>
      </c>
      <c r="AJ479" s="206">
        <f t="shared" si="104"/>
        <v>0</v>
      </c>
      <c r="AK479" s="206">
        <f t="shared" si="105"/>
        <v>0</v>
      </c>
      <c r="AL479" s="206">
        <f t="shared" si="106"/>
        <v>0</v>
      </c>
      <c r="AM479" s="214">
        <f t="shared" si="107"/>
        <v>0</v>
      </c>
      <c r="AN479" s="4"/>
      <c r="AO479" s="167">
        <v>505</v>
      </c>
      <c r="AP479" s="215">
        <v>6.9148453345901223E-3</v>
      </c>
      <c r="AQ479" s="190">
        <v>7.9473206744142284E-3</v>
      </c>
      <c r="AR479" s="190">
        <v>7.8618216867468102E-3</v>
      </c>
      <c r="AS479" s="170">
        <v>7.609987552174056E-3</v>
      </c>
      <c r="AU479" s="216">
        <v>95.025956051073322</v>
      </c>
      <c r="AV479" s="217">
        <v>95.16988040441278</v>
      </c>
      <c r="AW479" s="217">
        <v>94.684160319000227</v>
      </c>
      <c r="AX479" s="217">
        <v>95.08776793130842</v>
      </c>
      <c r="AY479" s="217"/>
      <c r="AZ479" s="218">
        <v>0</v>
      </c>
      <c r="BA479" s="8"/>
      <c r="BB479" s="219"/>
      <c r="BC479" s="220"/>
    </row>
    <row r="480" spans="15:55" x14ac:dyDescent="0.25">
      <c r="O480" s="195">
        <v>500</v>
      </c>
      <c r="P480" s="202">
        <f t="shared" ref="P480:Q495" si="108">P1028</f>
        <v>0</v>
      </c>
      <c r="Q480" s="203">
        <f t="shared" si="108"/>
        <v>0</v>
      </c>
      <c r="R480" s="157">
        <f ca="1"/>
        <v>95.080025472053805</v>
      </c>
      <c r="T480" s="204">
        <v>0</v>
      </c>
      <c r="U480" s="206">
        <v>0</v>
      </c>
      <c r="V480" s="206">
        <v>0</v>
      </c>
      <c r="W480" s="206">
        <v>0</v>
      </c>
      <c r="X480" s="206">
        <f t="array" ref="X480">IF(X$78&gt;" ",(X$628:X$1078),"")</f>
        <v>0</v>
      </c>
      <c r="Y480" s="206">
        <f t="array" ref="Y480">IF(Y$78&gt;" ",(Y$628:Y$1078),"")</f>
        <v>0</v>
      </c>
      <c r="Z480" s="206">
        <f t="array" ref="Z480">IF(Z$78&gt;" ",(Z$628:Z$1078),"")</f>
        <v>0</v>
      </c>
      <c r="AA480" s="206">
        <f t="array" ref="AA480">IF(AA$78&gt;" ",(AA$628:AA$1078),"")</f>
        <v>0</v>
      </c>
      <c r="AB480" s="210">
        <v>0</v>
      </c>
      <c r="AC480" s="204">
        <f t="shared" si="97"/>
        <v>0</v>
      </c>
      <c r="AD480" s="206">
        <f t="shared" si="98"/>
        <v>0</v>
      </c>
      <c r="AE480" s="206">
        <f t="shared" si="99"/>
        <v>0</v>
      </c>
      <c r="AF480" s="206">
        <f t="shared" si="100"/>
        <v>0</v>
      </c>
      <c r="AG480" s="206">
        <f t="shared" si="101"/>
        <v>0</v>
      </c>
      <c r="AH480" s="206">
        <f t="shared" si="102"/>
        <v>0</v>
      </c>
      <c r="AI480" s="206">
        <f t="shared" si="103"/>
        <v>0</v>
      </c>
      <c r="AJ480" s="206">
        <f t="shared" si="104"/>
        <v>0</v>
      </c>
      <c r="AK480" s="206">
        <f t="shared" si="105"/>
        <v>0</v>
      </c>
      <c r="AL480" s="206">
        <f t="shared" si="106"/>
        <v>0</v>
      </c>
      <c r="AM480" s="214">
        <f t="shared" si="107"/>
        <v>0</v>
      </c>
      <c r="AN480" s="4"/>
      <c r="AO480" s="167">
        <v>500</v>
      </c>
      <c r="AP480" s="215">
        <v>6.7827187398716718E-3</v>
      </c>
      <c r="AQ480" s="190">
        <v>7.9042999922212635E-3</v>
      </c>
      <c r="AR480" s="190">
        <v>7.7693000883866312E-3</v>
      </c>
      <c r="AS480" s="170">
        <v>7.4941420290603605E-3</v>
      </c>
      <c r="AU480" s="216">
        <v>94.946946453701912</v>
      </c>
      <c r="AV480" s="217">
        <v>95.080025472053805</v>
      </c>
      <c r="AW480" s="217">
        <v>94.606658122294164</v>
      </c>
      <c r="AX480" s="217">
        <v>95.00263023712462</v>
      </c>
      <c r="AY480" s="217"/>
      <c r="AZ480" s="218">
        <v>0</v>
      </c>
      <c r="BA480" s="8"/>
      <c r="BB480" s="219"/>
      <c r="BC480" s="220"/>
    </row>
    <row r="481" spans="4:55" x14ac:dyDescent="0.25">
      <c r="O481" s="195">
        <v>495</v>
      </c>
      <c r="P481" s="202">
        <f t="shared" si="108"/>
        <v>0</v>
      </c>
      <c r="Q481" s="203">
        <f t="shared" si="108"/>
        <v>0</v>
      </c>
      <c r="R481" s="157">
        <f ca="1"/>
        <v>94.967478149752139</v>
      </c>
      <c r="T481" s="204">
        <v>0</v>
      </c>
      <c r="U481" s="206">
        <v>0</v>
      </c>
      <c r="V481" s="206">
        <v>0</v>
      </c>
      <c r="W481" s="206">
        <v>0</v>
      </c>
      <c r="X481" s="206">
        <f t="array" ref="X481">IF(X$78&gt;" ",(X$628:X$1078),"")</f>
        <v>0</v>
      </c>
      <c r="Y481" s="206">
        <f t="array" ref="Y481">IF(Y$78&gt;" ",(Y$628:Y$1078),"")</f>
        <v>0</v>
      </c>
      <c r="Z481" s="206">
        <f t="array" ref="Z481">IF(Z$78&gt;" ",(Z$628:Z$1078),"")</f>
        <v>0</v>
      </c>
      <c r="AA481" s="206">
        <f t="array" ref="AA481">IF(AA$78&gt;" ",(AA$628:AA$1078),"")</f>
        <v>0</v>
      </c>
      <c r="AB481" s="210">
        <v>0</v>
      </c>
      <c r="AC481" s="204">
        <f t="shared" si="97"/>
        <v>0</v>
      </c>
      <c r="AD481" s="206">
        <f t="shared" si="98"/>
        <v>0</v>
      </c>
      <c r="AE481" s="206">
        <f t="shared" si="99"/>
        <v>0</v>
      </c>
      <c r="AF481" s="206">
        <f t="shared" si="100"/>
        <v>0</v>
      </c>
      <c r="AG481" s="206">
        <f t="shared" si="101"/>
        <v>0</v>
      </c>
      <c r="AH481" s="206">
        <f t="shared" si="102"/>
        <v>0</v>
      </c>
      <c r="AI481" s="206">
        <f t="shared" si="103"/>
        <v>0</v>
      </c>
      <c r="AJ481" s="206">
        <f t="shared" si="104"/>
        <v>0</v>
      </c>
      <c r="AK481" s="206">
        <f t="shared" si="105"/>
        <v>0</v>
      </c>
      <c r="AL481" s="206">
        <f t="shared" si="106"/>
        <v>0</v>
      </c>
      <c r="AM481" s="214">
        <f t="shared" si="107"/>
        <v>0</v>
      </c>
      <c r="AN481" s="4"/>
      <c r="AO481" s="167">
        <v>495</v>
      </c>
      <c r="AP481" s="215">
        <v>6.7113703787237081E-3</v>
      </c>
      <c r="AQ481" s="190">
        <v>7.9025491505041075E-3</v>
      </c>
      <c r="AR481" s="190">
        <v>8.2892312443889477E-3</v>
      </c>
      <c r="AS481" s="170">
        <v>7.9681572854724374E-3</v>
      </c>
      <c r="AU481" s="216">
        <v>94.822035800568074</v>
      </c>
      <c r="AV481" s="217">
        <v>94.967478149752139</v>
      </c>
      <c r="AW481" s="217">
        <v>94.469214266905439</v>
      </c>
      <c r="AX481" s="217">
        <v>94.881045787690482</v>
      </c>
      <c r="AY481" s="217"/>
      <c r="AZ481" s="218">
        <v>0</v>
      </c>
      <c r="BA481" s="8"/>
      <c r="BB481" s="219"/>
      <c r="BC481" s="220"/>
    </row>
    <row r="482" spans="4:55" x14ac:dyDescent="0.25">
      <c r="O482" s="195">
        <v>490</v>
      </c>
      <c r="P482" s="202">
        <f t="shared" si="108"/>
        <v>0</v>
      </c>
      <c r="Q482" s="203">
        <f t="shared" si="108"/>
        <v>0</v>
      </c>
      <c r="R482" s="157">
        <f ca="1"/>
        <v>94.865871022097551</v>
      </c>
      <c r="T482" s="204">
        <v>0</v>
      </c>
      <c r="U482" s="206">
        <v>0</v>
      </c>
      <c r="V482" s="206">
        <v>0</v>
      </c>
      <c r="W482" s="206">
        <v>0</v>
      </c>
      <c r="X482" s="206">
        <f t="array" ref="X482">IF(X$78&gt;" ",(X$628:X$1078),"")</f>
        <v>0</v>
      </c>
      <c r="Y482" s="206">
        <f t="array" ref="Y482">IF(Y$78&gt;" ",(Y$628:Y$1078),"")</f>
        <v>0</v>
      </c>
      <c r="Z482" s="206">
        <f t="array" ref="Z482">IF(Z$78&gt;" ",(Z$628:Z$1078),"")</f>
        <v>0</v>
      </c>
      <c r="AA482" s="206">
        <f t="array" ref="AA482">IF(AA$78&gt;" ",(AA$628:AA$1078),"")</f>
        <v>0</v>
      </c>
      <c r="AB482" s="210">
        <v>0</v>
      </c>
      <c r="AC482" s="204">
        <f t="shared" si="97"/>
        <v>0</v>
      </c>
      <c r="AD482" s="206">
        <f t="shared" si="98"/>
        <v>0</v>
      </c>
      <c r="AE482" s="206">
        <f t="shared" si="99"/>
        <v>0</v>
      </c>
      <c r="AF482" s="206">
        <f t="shared" si="100"/>
        <v>0</v>
      </c>
      <c r="AG482" s="206">
        <f t="shared" si="101"/>
        <v>0</v>
      </c>
      <c r="AH482" s="206">
        <f t="shared" si="102"/>
        <v>0</v>
      </c>
      <c r="AI482" s="206">
        <f t="shared" si="103"/>
        <v>0</v>
      </c>
      <c r="AJ482" s="206">
        <f t="shared" si="104"/>
        <v>0</v>
      </c>
      <c r="AK482" s="206">
        <f t="shared" si="105"/>
        <v>0</v>
      </c>
      <c r="AL482" s="206">
        <f t="shared" si="106"/>
        <v>0</v>
      </c>
      <c r="AM482" s="214">
        <f t="shared" si="107"/>
        <v>0</v>
      </c>
      <c r="AN482" s="4"/>
      <c r="AO482" s="167">
        <v>490</v>
      </c>
      <c r="AP482" s="215">
        <v>6.6400220175757444E-3</v>
      </c>
      <c r="AQ482" s="190">
        <v>7.9007983087869531E-3</v>
      </c>
      <c r="AR482" s="190">
        <v>8.1579913684541264E-3</v>
      </c>
      <c r="AS482" s="170">
        <v>7.8170544292371826E-3</v>
      </c>
      <c r="AU482" s="216">
        <v>94.690384578910425</v>
      </c>
      <c r="AV482" s="217">
        <v>94.865871022097551</v>
      </c>
      <c r="AW482" s="217">
        <v>94.333338305718073</v>
      </c>
      <c r="AX482" s="217">
        <v>94.779739057633762</v>
      </c>
      <c r="AY482" s="217"/>
      <c r="AZ482" s="218">
        <v>0</v>
      </c>
      <c r="BA482" s="8"/>
      <c r="BB482" s="219"/>
      <c r="BC482" s="220"/>
    </row>
    <row r="483" spans="4:55" x14ac:dyDescent="0.25">
      <c r="O483" s="195">
        <v>485</v>
      </c>
      <c r="P483" s="202">
        <f t="shared" si="108"/>
        <v>0</v>
      </c>
      <c r="Q483" s="203">
        <f t="shared" si="108"/>
        <v>0</v>
      </c>
      <c r="R483" s="157">
        <f ca="1"/>
        <v>94.769614867767856</v>
      </c>
      <c r="T483" s="204">
        <v>0</v>
      </c>
      <c r="U483" s="206">
        <v>0</v>
      </c>
      <c r="V483" s="206">
        <v>0</v>
      </c>
      <c r="W483" s="206">
        <v>0</v>
      </c>
      <c r="X483" s="206">
        <f t="array" ref="X483">IF(X$78&gt;" ",(X$628:X$1078),"")</f>
        <v>0</v>
      </c>
      <c r="Y483" s="206">
        <f t="array" ref="Y483">IF(Y$78&gt;" ",(Y$628:Y$1078),"")</f>
        <v>0</v>
      </c>
      <c r="Z483" s="206">
        <f t="array" ref="Z483">IF(Z$78&gt;" ",(Z$628:Z$1078),"")</f>
        <v>0</v>
      </c>
      <c r="AA483" s="206">
        <f t="array" ref="AA483">IF(AA$78&gt;" ",(AA$628:AA$1078),"")</f>
        <v>0</v>
      </c>
      <c r="AB483" s="210">
        <v>0</v>
      </c>
      <c r="AC483" s="204">
        <f t="shared" si="97"/>
        <v>0</v>
      </c>
      <c r="AD483" s="206">
        <f t="shared" si="98"/>
        <v>0</v>
      </c>
      <c r="AE483" s="206">
        <f t="shared" si="99"/>
        <v>0</v>
      </c>
      <c r="AF483" s="206">
        <f t="shared" si="100"/>
        <v>0</v>
      </c>
      <c r="AG483" s="206">
        <f t="shared" si="101"/>
        <v>0</v>
      </c>
      <c r="AH483" s="206">
        <f t="shared" si="102"/>
        <v>0</v>
      </c>
      <c r="AI483" s="206">
        <f t="shared" si="103"/>
        <v>0</v>
      </c>
      <c r="AJ483" s="206">
        <f t="shared" si="104"/>
        <v>0</v>
      </c>
      <c r="AK483" s="206">
        <f t="shared" si="105"/>
        <v>0</v>
      </c>
      <c r="AL483" s="206">
        <f t="shared" si="106"/>
        <v>0</v>
      </c>
      <c r="AM483" s="214">
        <f t="shared" si="107"/>
        <v>0</v>
      </c>
      <c r="AN483" s="4"/>
      <c r="AO483" s="167">
        <v>485</v>
      </c>
      <c r="AP483" s="215">
        <v>6.7754517771621559E-3</v>
      </c>
      <c r="AQ483" s="190">
        <v>8.0528714179341765E-3</v>
      </c>
      <c r="AR483" s="190">
        <v>7.88595775588425E-3</v>
      </c>
      <c r="AS483" s="170">
        <v>7.5310782828067555E-3</v>
      </c>
      <c r="AU483" s="216">
        <v>94.562216951366608</v>
      </c>
      <c r="AV483" s="217">
        <v>94.769614867767856</v>
      </c>
      <c r="AW483" s="217">
        <v>94.235488338397261</v>
      </c>
      <c r="AX483" s="217">
        <v>94.721837357834076</v>
      </c>
      <c r="AY483" s="217"/>
      <c r="AZ483" s="218">
        <v>0</v>
      </c>
      <c r="BA483" s="8"/>
      <c r="BB483" s="219"/>
      <c r="BC483" s="220"/>
    </row>
    <row r="484" spans="4:55" x14ac:dyDescent="0.25">
      <c r="O484" s="195">
        <v>480</v>
      </c>
      <c r="P484" s="202">
        <f t="shared" si="108"/>
        <v>0</v>
      </c>
      <c r="Q484" s="203">
        <f t="shared" si="108"/>
        <v>0</v>
      </c>
      <c r="R484" s="157">
        <f ca="1"/>
        <v>94.639724188527154</v>
      </c>
      <c r="T484" s="204">
        <v>0</v>
      </c>
      <c r="U484" s="206">
        <v>0</v>
      </c>
      <c r="V484" s="206">
        <v>0</v>
      </c>
      <c r="W484" s="206">
        <v>0</v>
      </c>
      <c r="X484" s="206">
        <f t="array" ref="X484">IF(X$78&gt;" ",(X$628:X$1078),"")</f>
        <v>0</v>
      </c>
      <c r="Y484" s="206">
        <f t="array" ref="Y484">IF(Y$78&gt;" ",(Y$628:Y$1078),"")</f>
        <v>0</v>
      </c>
      <c r="Z484" s="206">
        <f t="array" ref="Z484">IF(Z$78&gt;" ",(Z$628:Z$1078),"")</f>
        <v>0</v>
      </c>
      <c r="AA484" s="206">
        <f t="array" ref="AA484">IF(AA$78&gt;" ",(AA$628:AA$1078),"")</f>
        <v>0</v>
      </c>
      <c r="AB484" s="210">
        <v>0</v>
      </c>
      <c r="AC484" s="204">
        <f t="shared" si="97"/>
        <v>0</v>
      </c>
      <c r="AD484" s="206">
        <f t="shared" si="98"/>
        <v>0</v>
      </c>
      <c r="AE484" s="206">
        <f t="shared" si="99"/>
        <v>0</v>
      </c>
      <c r="AF484" s="206">
        <f t="shared" si="100"/>
        <v>0</v>
      </c>
      <c r="AG484" s="206">
        <f t="shared" si="101"/>
        <v>0</v>
      </c>
      <c r="AH484" s="206">
        <f t="shared" si="102"/>
        <v>0</v>
      </c>
      <c r="AI484" s="206">
        <f t="shared" si="103"/>
        <v>0</v>
      </c>
      <c r="AJ484" s="206">
        <f t="shared" si="104"/>
        <v>0</v>
      </c>
      <c r="AK484" s="206">
        <f t="shared" si="105"/>
        <v>0</v>
      </c>
      <c r="AL484" s="206">
        <f t="shared" si="106"/>
        <v>0</v>
      </c>
      <c r="AM484" s="214">
        <f t="shared" si="107"/>
        <v>0</v>
      </c>
      <c r="AN484" s="4"/>
      <c r="AO484" s="167">
        <v>480</v>
      </c>
      <c r="AP484" s="215">
        <v>6.9108815367485681E-3</v>
      </c>
      <c r="AQ484" s="190">
        <v>8.2049445270813998E-3</v>
      </c>
      <c r="AR484" s="190">
        <v>8.1363694731851725E-3</v>
      </c>
      <c r="AS484" s="170">
        <v>7.7370258794533259E-3</v>
      </c>
      <c r="AU484" s="216">
        <v>94.452136693846128</v>
      </c>
      <c r="AV484" s="217">
        <v>94.639724188527154</v>
      </c>
      <c r="AW484" s="217">
        <v>94.131557920077228</v>
      </c>
      <c r="AX484" s="217">
        <v>94.617699386670324</v>
      </c>
      <c r="AY484" s="217"/>
      <c r="AZ484" s="218">
        <v>0</v>
      </c>
      <c r="BA484" s="8"/>
      <c r="BB484" s="219"/>
      <c r="BC484" s="220"/>
    </row>
    <row r="485" spans="4:55" x14ac:dyDescent="0.25">
      <c r="O485" s="195">
        <v>475</v>
      </c>
      <c r="P485" s="202">
        <f t="shared" si="108"/>
        <v>0</v>
      </c>
      <c r="Q485" s="203">
        <f t="shared" si="108"/>
        <v>0</v>
      </c>
      <c r="R485" s="157">
        <f ca="1"/>
        <v>94.49438436731846</v>
      </c>
      <c r="T485" s="204">
        <v>0</v>
      </c>
      <c r="U485" s="206">
        <v>0</v>
      </c>
      <c r="V485" s="206">
        <v>0</v>
      </c>
      <c r="W485" s="206">
        <v>0</v>
      </c>
      <c r="X485" s="206">
        <f t="array" ref="X485">IF(X$78&gt;" ",(X$628:X$1078),"")</f>
        <v>0</v>
      </c>
      <c r="Y485" s="206">
        <f t="array" ref="Y485">IF(Y$78&gt;" ",(Y$628:Y$1078),"")</f>
        <v>0</v>
      </c>
      <c r="Z485" s="206">
        <f t="array" ref="Z485">IF(Z$78&gt;" ",(Z$628:Z$1078),"")</f>
        <v>0</v>
      </c>
      <c r="AA485" s="206">
        <f t="array" ref="AA485">IF(AA$78&gt;" ",(AA$628:AA$1078),"")</f>
        <v>0</v>
      </c>
      <c r="AB485" s="210">
        <v>0</v>
      </c>
      <c r="AC485" s="204">
        <f t="shared" si="97"/>
        <v>0</v>
      </c>
      <c r="AD485" s="206">
        <f t="shared" si="98"/>
        <v>0</v>
      </c>
      <c r="AE485" s="206">
        <f t="shared" si="99"/>
        <v>0</v>
      </c>
      <c r="AF485" s="206">
        <f t="shared" si="100"/>
        <v>0</v>
      </c>
      <c r="AG485" s="206">
        <f t="shared" si="101"/>
        <v>0</v>
      </c>
      <c r="AH485" s="206">
        <f t="shared" si="102"/>
        <v>0</v>
      </c>
      <c r="AI485" s="206">
        <f t="shared" si="103"/>
        <v>0</v>
      </c>
      <c r="AJ485" s="206">
        <f t="shared" si="104"/>
        <v>0</v>
      </c>
      <c r="AK485" s="206">
        <f t="shared" si="105"/>
        <v>0</v>
      </c>
      <c r="AL485" s="206">
        <f t="shared" si="106"/>
        <v>0</v>
      </c>
      <c r="AM485" s="214">
        <f t="shared" si="107"/>
        <v>0</v>
      </c>
      <c r="AN485" s="4"/>
      <c r="AO485" s="167">
        <v>475</v>
      </c>
      <c r="AP485" s="215">
        <v>6.7519993065996318E-3</v>
      </c>
      <c r="AQ485" s="190">
        <v>8.1489175921324215E-3</v>
      </c>
      <c r="AR485" s="190">
        <v>8.1383808122799592E-3</v>
      </c>
      <c r="AS485" s="170">
        <v>7.697851064873815E-3</v>
      </c>
      <c r="AU485" s="216">
        <v>94.323521093328807</v>
      </c>
      <c r="AV485" s="217">
        <v>94.49438436731846</v>
      </c>
      <c r="AW485" s="217">
        <v>93.977634143810178</v>
      </c>
      <c r="AX485" s="217">
        <v>94.458987313312363</v>
      </c>
      <c r="AY485" s="217"/>
      <c r="AZ485" s="218">
        <v>0</v>
      </c>
      <c r="BA485" s="8"/>
      <c r="BB485" s="219"/>
      <c r="BC485" s="220"/>
    </row>
    <row r="486" spans="4:55" x14ac:dyDescent="0.25">
      <c r="O486" s="195">
        <v>470</v>
      </c>
      <c r="P486" s="202">
        <f t="shared" si="108"/>
        <v>0</v>
      </c>
      <c r="Q486" s="203">
        <f t="shared" si="108"/>
        <v>0</v>
      </c>
      <c r="R486" s="157">
        <f ca="1"/>
        <v>94.382884661709511</v>
      </c>
      <c r="T486" s="204">
        <v>0</v>
      </c>
      <c r="U486" s="206">
        <v>0</v>
      </c>
      <c r="V486" s="206">
        <v>0</v>
      </c>
      <c r="W486" s="206">
        <v>0</v>
      </c>
      <c r="X486" s="206">
        <f t="array" ref="X486">IF(X$78&gt;" ",(X$628:X$1078),"")</f>
        <v>0</v>
      </c>
      <c r="Y486" s="206">
        <f t="array" ref="Y486">IF(Y$78&gt;" ",(Y$628:Y$1078),"")</f>
        <v>0</v>
      </c>
      <c r="Z486" s="206">
        <f t="array" ref="Z486">IF(Z$78&gt;" ",(Z$628:Z$1078),"")</f>
        <v>0</v>
      </c>
      <c r="AA486" s="206">
        <f t="array" ref="AA486">IF(AA$78&gt;" ",(AA$628:AA$1078),"")</f>
        <v>0</v>
      </c>
      <c r="AB486" s="210">
        <v>0</v>
      </c>
      <c r="AC486" s="204">
        <f t="shared" si="97"/>
        <v>0</v>
      </c>
      <c r="AD486" s="206">
        <f t="shared" si="98"/>
        <v>0</v>
      </c>
      <c r="AE486" s="206">
        <f t="shared" si="99"/>
        <v>0</v>
      </c>
      <c r="AF486" s="206">
        <f t="shared" si="100"/>
        <v>0</v>
      </c>
      <c r="AG486" s="206">
        <f t="shared" si="101"/>
        <v>0</v>
      </c>
      <c r="AH486" s="206">
        <f t="shared" si="102"/>
        <v>0</v>
      </c>
      <c r="AI486" s="206">
        <f t="shared" si="103"/>
        <v>0</v>
      </c>
      <c r="AJ486" s="206">
        <f t="shared" si="104"/>
        <v>0</v>
      </c>
      <c r="AK486" s="206">
        <f t="shared" si="105"/>
        <v>0</v>
      </c>
      <c r="AL486" s="206">
        <f t="shared" si="106"/>
        <v>0</v>
      </c>
      <c r="AM486" s="214">
        <f t="shared" si="107"/>
        <v>0</v>
      </c>
      <c r="AN486" s="4"/>
      <c r="AO486" s="167">
        <v>470</v>
      </c>
      <c r="AP486" s="215">
        <v>6.5931170764506946E-3</v>
      </c>
      <c r="AQ486" s="190">
        <v>8.0928906571834467E-3</v>
      </c>
      <c r="AR486" s="190">
        <v>7.5812398830240922E-3</v>
      </c>
      <c r="AS486" s="170">
        <v>7.1348530153454203E-3</v>
      </c>
      <c r="AU486" s="216">
        <v>94.183802713477789</v>
      </c>
      <c r="AV486" s="217">
        <v>94.382884661709511</v>
      </c>
      <c r="AW486" s="217">
        <v>93.830468781787161</v>
      </c>
      <c r="AX486" s="217">
        <v>94.322298349454528</v>
      </c>
      <c r="AY486" s="217"/>
      <c r="AZ486" s="218">
        <v>0</v>
      </c>
      <c r="BA486" s="8"/>
      <c r="BB486" s="219"/>
      <c r="BC486" s="220"/>
    </row>
    <row r="487" spans="4:55" x14ac:dyDescent="0.25">
      <c r="O487" s="195">
        <v>465</v>
      </c>
      <c r="P487" s="202">
        <f t="shared" si="108"/>
        <v>0</v>
      </c>
      <c r="Q487" s="203">
        <f t="shared" si="108"/>
        <v>0</v>
      </c>
      <c r="R487" s="157">
        <f ca="1"/>
        <v>94.231024658552272</v>
      </c>
      <c r="T487" s="204">
        <v>0</v>
      </c>
      <c r="U487" s="206">
        <v>0</v>
      </c>
      <c r="V487" s="206">
        <v>0</v>
      </c>
      <c r="W487" s="206">
        <v>0</v>
      </c>
      <c r="X487" s="206">
        <f t="array" ref="X487">IF(X$78&gt;" ",(X$628:X$1078),"")</f>
        <v>0</v>
      </c>
      <c r="Y487" s="206">
        <f t="array" ref="Y487">IF(Y$78&gt;" ",(Y$628:Y$1078),"")</f>
        <v>0</v>
      </c>
      <c r="Z487" s="206">
        <f t="array" ref="Z487">IF(Z$78&gt;" ",(Z$628:Z$1078),"")</f>
        <v>0</v>
      </c>
      <c r="AA487" s="206">
        <f t="array" ref="AA487">IF(AA$78&gt;" ",(AA$628:AA$1078),"")</f>
        <v>0</v>
      </c>
      <c r="AB487" s="210">
        <v>0</v>
      </c>
      <c r="AC487" s="204">
        <f t="shared" si="97"/>
        <v>0</v>
      </c>
      <c r="AD487" s="206">
        <f t="shared" si="98"/>
        <v>0</v>
      </c>
      <c r="AE487" s="206">
        <f t="shared" si="99"/>
        <v>0</v>
      </c>
      <c r="AF487" s="206">
        <f t="shared" si="100"/>
        <v>0</v>
      </c>
      <c r="AG487" s="206">
        <f t="shared" si="101"/>
        <v>0</v>
      </c>
      <c r="AH487" s="206">
        <f t="shared" si="102"/>
        <v>0</v>
      </c>
      <c r="AI487" s="206">
        <f t="shared" si="103"/>
        <v>0</v>
      </c>
      <c r="AJ487" s="206">
        <f t="shared" si="104"/>
        <v>0</v>
      </c>
      <c r="AK487" s="206">
        <f t="shared" si="105"/>
        <v>0</v>
      </c>
      <c r="AL487" s="206">
        <f t="shared" si="106"/>
        <v>0</v>
      </c>
      <c r="AM487" s="214">
        <f t="shared" si="107"/>
        <v>0</v>
      </c>
      <c r="AN487" s="4"/>
      <c r="AO487" s="167">
        <v>465</v>
      </c>
      <c r="AP487" s="215">
        <v>6.5666917575070045E-3</v>
      </c>
      <c r="AQ487" s="190">
        <v>8.0898892142397504E-3</v>
      </c>
      <c r="AR487" s="190">
        <v>7.7185137762432717E-3</v>
      </c>
      <c r="AS487" s="170">
        <v>7.2221568878369016E-3</v>
      </c>
      <c r="AU487" s="216">
        <v>94.013179748995654</v>
      </c>
      <c r="AV487" s="217">
        <v>94.231024658552272</v>
      </c>
      <c r="AW487" s="217">
        <v>93.645684381802539</v>
      </c>
      <c r="AX487" s="217">
        <v>94.155672927507339</v>
      </c>
      <c r="AY487" s="217"/>
      <c r="AZ487" s="218">
        <v>0</v>
      </c>
      <c r="BA487" s="8"/>
      <c r="BB487" s="219"/>
      <c r="BC487" s="220"/>
    </row>
    <row r="488" spans="4:55" x14ac:dyDescent="0.25">
      <c r="O488" s="195">
        <v>460</v>
      </c>
      <c r="P488" s="202">
        <f t="shared" si="108"/>
        <v>0</v>
      </c>
      <c r="Q488" s="203">
        <f t="shared" si="108"/>
        <v>0</v>
      </c>
      <c r="R488" s="157">
        <f ca="1"/>
        <v>94.06608051606834</v>
      </c>
      <c r="T488" s="204">
        <v>0</v>
      </c>
      <c r="U488" s="206">
        <v>0</v>
      </c>
      <c r="V488" s="206">
        <v>0</v>
      </c>
      <c r="W488" s="206">
        <v>0</v>
      </c>
      <c r="X488" s="206">
        <f t="array" ref="X488">IF(X$78&gt;" ",(X$628:X$1078),"")</f>
        <v>0</v>
      </c>
      <c r="Y488" s="206">
        <f t="array" ref="Y488">IF(Y$78&gt;" ",(Y$628:Y$1078),"")</f>
        <v>0</v>
      </c>
      <c r="Z488" s="206">
        <f t="array" ref="Z488">IF(Z$78&gt;" ",(Z$628:Z$1078),"")</f>
        <v>0</v>
      </c>
      <c r="AA488" s="206">
        <f t="array" ref="AA488">IF(AA$78&gt;" ",(AA$628:AA$1078),"")</f>
        <v>0</v>
      </c>
      <c r="AB488" s="210">
        <v>0</v>
      </c>
      <c r="AC488" s="204">
        <f t="shared" si="97"/>
        <v>0</v>
      </c>
      <c r="AD488" s="206">
        <f t="shared" si="98"/>
        <v>0</v>
      </c>
      <c r="AE488" s="206">
        <f t="shared" si="99"/>
        <v>0</v>
      </c>
      <c r="AF488" s="206">
        <f t="shared" si="100"/>
        <v>0</v>
      </c>
      <c r="AG488" s="206">
        <f t="shared" si="101"/>
        <v>0</v>
      </c>
      <c r="AH488" s="206">
        <f t="shared" si="102"/>
        <v>0</v>
      </c>
      <c r="AI488" s="206">
        <f t="shared" si="103"/>
        <v>0</v>
      </c>
      <c r="AJ488" s="206">
        <f t="shared" si="104"/>
        <v>0</v>
      </c>
      <c r="AK488" s="206">
        <f t="shared" si="105"/>
        <v>0</v>
      </c>
      <c r="AL488" s="206">
        <f t="shared" si="106"/>
        <v>0</v>
      </c>
      <c r="AM488" s="214">
        <f t="shared" si="107"/>
        <v>0</v>
      </c>
      <c r="AN488" s="4"/>
      <c r="AO488" s="167">
        <v>460</v>
      </c>
      <c r="AP488" s="215">
        <v>6.5402664385633144E-3</v>
      </c>
      <c r="AQ488" s="190">
        <v>8.0868877712960557E-3</v>
      </c>
      <c r="AR488" s="190">
        <v>7.6888465245951703E-3</v>
      </c>
      <c r="AS488" s="170">
        <v>7.1583579040931274E-3</v>
      </c>
      <c r="AU488" s="216">
        <v>93.843107773699046</v>
      </c>
      <c r="AV488" s="217">
        <v>94.06608051606834</v>
      </c>
      <c r="AW488" s="217">
        <v>93.469015807004851</v>
      </c>
      <c r="AX488" s="217">
        <v>93.998929102824448</v>
      </c>
      <c r="AY488" s="217"/>
      <c r="AZ488" s="218">
        <v>0</v>
      </c>
      <c r="BA488" s="8"/>
      <c r="BB488" s="219"/>
      <c r="BC488" s="220"/>
    </row>
    <row r="489" spans="4:55" x14ac:dyDescent="0.25">
      <c r="O489" s="195">
        <v>455</v>
      </c>
      <c r="P489" s="202">
        <f t="shared" si="108"/>
        <v>0</v>
      </c>
      <c r="Q489" s="203">
        <f t="shared" si="108"/>
        <v>0</v>
      </c>
      <c r="R489" s="157">
        <f ca="1"/>
        <v>93.863531708076948</v>
      </c>
      <c r="T489" s="204">
        <v>0</v>
      </c>
      <c r="U489" s="206">
        <v>0</v>
      </c>
      <c r="V489" s="206">
        <v>0</v>
      </c>
      <c r="W489" s="206">
        <v>0</v>
      </c>
      <c r="X489" s="206">
        <f t="array" ref="X489">IF(X$78&gt;" ",(X$628:X$1078),"")</f>
        <v>0</v>
      </c>
      <c r="Y489" s="206">
        <f t="array" ref="Y489">IF(Y$78&gt;" ",(Y$628:Y$1078),"")</f>
        <v>0</v>
      </c>
      <c r="Z489" s="206">
        <f t="array" ref="Z489">IF(Z$78&gt;" ",(Z$628:Z$1078),"")</f>
        <v>0</v>
      </c>
      <c r="AA489" s="206">
        <f t="array" ref="AA489">IF(AA$78&gt;" ",(AA$628:AA$1078),"")</f>
        <v>0</v>
      </c>
      <c r="AB489" s="210">
        <v>0</v>
      </c>
      <c r="AC489" s="204">
        <f t="shared" si="97"/>
        <v>0</v>
      </c>
      <c r="AD489" s="206">
        <f t="shared" si="98"/>
        <v>0</v>
      </c>
      <c r="AE489" s="206">
        <f t="shared" si="99"/>
        <v>0</v>
      </c>
      <c r="AF489" s="206">
        <f t="shared" si="100"/>
        <v>0</v>
      </c>
      <c r="AG489" s="206">
        <f t="shared" si="101"/>
        <v>0</v>
      </c>
      <c r="AH489" s="206">
        <f t="shared" si="102"/>
        <v>0</v>
      </c>
      <c r="AI489" s="206">
        <f t="shared" si="103"/>
        <v>0</v>
      </c>
      <c r="AJ489" s="206">
        <f t="shared" si="104"/>
        <v>0</v>
      </c>
      <c r="AK489" s="206">
        <f t="shared" si="105"/>
        <v>0</v>
      </c>
      <c r="AL489" s="206">
        <f t="shared" si="106"/>
        <v>0</v>
      </c>
      <c r="AM489" s="214">
        <f t="shared" si="107"/>
        <v>0</v>
      </c>
      <c r="AN489" s="4"/>
      <c r="AO489" s="167">
        <v>455</v>
      </c>
      <c r="AP489" s="215">
        <v>6.4299407319734075E-3</v>
      </c>
      <c r="AQ489" s="190">
        <v>7.8810388094076277E-3</v>
      </c>
      <c r="AR489" s="190">
        <v>7.6551565947574965E-3</v>
      </c>
      <c r="AS489" s="170">
        <v>7.0822468357672214E-3</v>
      </c>
      <c r="AU489" s="216">
        <v>93.658818062400655</v>
      </c>
      <c r="AV489" s="217">
        <v>93.863531708076948</v>
      </c>
      <c r="AW489" s="217">
        <v>93.252864758484819</v>
      </c>
      <c r="AX489" s="217">
        <v>93.794352909301097</v>
      </c>
      <c r="AY489" s="217"/>
      <c r="AZ489" s="218"/>
      <c r="BA489" s="8"/>
      <c r="BB489" s="219"/>
      <c r="BC489" s="220"/>
    </row>
    <row r="490" spans="4:55" s="10" customFormat="1" x14ac:dyDescent="0.25">
      <c r="D490" s="245"/>
      <c r="E490" s="246"/>
      <c r="F490" s="55"/>
      <c r="G490" s="55"/>
      <c r="H490" s="55"/>
      <c r="I490" s="55"/>
      <c r="J490" s="55"/>
      <c r="K490" s="55"/>
      <c r="L490" s="55"/>
      <c r="O490" s="231">
        <v>450</v>
      </c>
      <c r="P490" s="202">
        <f t="shared" si="108"/>
        <v>0</v>
      </c>
      <c r="Q490" s="203">
        <f t="shared" si="108"/>
        <v>0</v>
      </c>
      <c r="R490" s="157">
        <f ca="1"/>
        <v>93.679749203771891</v>
      </c>
      <c r="T490" s="205">
        <v>0</v>
      </c>
      <c r="U490" s="207">
        <v>0</v>
      </c>
      <c r="V490" s="207">
        <v>0</v>
      </c>
      <c r="W490" s="207">
        <v>0</v>
      </c>
      <c r="X490" s="206">
        <f t="array" ref="X490">IF(X$78&gt;" ",(X$628:X$1078),"")</f>
        <v>0</v>
      </c>
      <c r="Y490" s="206">
        <f t="array" ref="Y490">IF(Y$78&gt;" ",(Y$628:Y$1078),"")</f>
        <v>0</v>
      </c>
      <c r="Z490" s="206">
        <f t="array" ref="Z490">IF(Z$78&gt;" ",(Z$628:Z$1078),"")</f>
        <v>0</v>
      </c>
      <c r="AA490" s="206">
        <f t="array" ref="AA490">IF(AA$78&gt;" ",(AA$628:AA$1078),"")</f>
        <v>0</v>
      </c>
      <c r="AB490" s="211">
        <v>0</v>
      </c>
      <c r="AC490" s="204">
        <f t="shared" si="97"/>
        <v>0</v>
      </c>
      <c r="AD490" s="206">
        <f t="shared" si="98"/>
        <v>0</v>
      </c>
      <c r="AE490" s="206">
        <f t="shared" si="99"/>
        <v>0</v>
      </c>
      <c r="AF490" s="206">
        <f t="shared" si="100"/>
        <v>0</v>
      </c>
      <c r="AG490" s="206">
        <f t="shared" si="101"/>
        <v>0</v>
      </c>
      <c r="AH490" s="206">
        <f t="shared" si="102"/>
        <v>0</v>
      </c>
      <c r="AI490" s="206">
        <f t="shared" si="103"/>
        <v>0</v>
      </c>
      <c r="AJ490" s="206">
        <f t="shared" si="104"/>
        <v>0</v>
      </c>
      <c r="AK490" s="206">
        <f t="shared" si="105"/>
        <v>0</v>
      </c>
      <c r="AL490" s="206">
        <f t="shared" si="106"/>
        <v>0</v>
      </c>
      <c r="AM490" s="214">
        <f t="shared" si="107"/>
        <v>0</v>
      </c>
      <c r="AN490" s="55"/>
      <c r="AO490" s="167">
        <v>450</v>
      </c>
      <c r="AP490" s="215">
        <v>6.3196150253835015E-3</v>
      </c>
      <c r="AQ490" s="190">
        <v>7.6751898475191987E-3</v>
      </c>
      <c r="AR490" s="190">
        <v>7.8417082957989472E-3</v>
      </c>
      <c r="AS490" s="170">
        <v>7.208725522838212E-3</v>
      </c>
      <c r="AU490" s="216">
        <v>93.462446131468823</v>
      </c>
      <c r="AV490" s="217">
        <v>93.679749203771891</v>
      </c>
      <c r="AW490" s="217">
        <v>93.031202304652382</v>
      </c>
      <c r="AX490" s="217">
        <v>93.595789406873834</v>
      </c>
      <c r="AY490" s="217"/>
      <c r="AZ490" s="218"/>
      <c r="BA490" s="183"/>
      <c r="BB490" s="219"/>
      <c r="BC490" s="220"/>
    </row>
    <row r="491" spans="4:55" x14ac:dyDescent="0.25">
      <c r="O491" s="195">
        <v>445</v>
      </c>
      <c r="P491" s="202">
        <f t="shared" si="108"/>
        <v>0</v>
      </c>
      <c r="Q491" s="203">
        <f t="shared" si="108"/>
        <v>0</v>
      </c>
      <c r="R491" s="157">
        <f ca="1"/>
        <v>93.496837149855992</v>
      </c>
      <c r="T491" s="204">
        <v>0</v>
      </c>
      <c r="U491" s="206">
        <v>0</v>
      </c>
      <c r="V491" s="206">
        <v>0</v>
      </c>
      <c r="W491" s="206">
        <v>0</v>
      </c>
      <c r="X491" s="206">
        <f t="array" ref="X491">IF(X$78&gt;" ",(X$628:X$1078),"")</f>
        <v>0</v>
      </c>
      <c r="Y491" s="206">
        <f t="array" ref="Y491">IF(Y$78&gt;" ",(Y$628:Y$1078),"")</f>
        <v>0</v>
      </c>
      <c r="Z491" s="206">
        <f t="array" ref="Z491">IF(Z$78&gt;" ",(Z$628:Z$1078),"")</f>
        <v>0</v>
      </c>
      <c r="AA491" s="206">
        <f t="array" ref="AA491">IF(AA$78&gt;" ",(AA$628:AA$1078),"")</f>
        <v>0</v>
      </c>
      <c r="AB491" s="210">
        <v>0</v>
      </c>
      <c r="AC491" s="204">
        <f t="shared" si="97"/>
        <v>0</v>
      </c>
      <c r="AD491" s="206">
        <f t="shared" si="98"/>
        <v>0</v>
      </c>
      <c r="AE491" s="206">
        <f t="shared" si="99"/>
        <v>0</v>
      </c>
      <c r="AF491" s="206">
        <f t="shared" si="100"/>
        <v>0</v>
      </c>
      <c r="AG491" s="206">
        <f t="shared" si="101"/>
        <v>0</v>
      </c>
      <c r="AH491" s="206">
        <f t="shared" si="102"/>
        <v>0</v>
      </c>
      <c r="AI491" s="206">
        <f t="shared" si="103"/>
        <v>0</v>
      </c>
      <c r="AJ491" s="206">
        <f t="shared" si="104"/>
        <v>0</v>
      </c>
      <c r="AK491" s="206">
        <f t="shared" si="105"/>
        <v>0</v>
      </c>
      <c r="AL491" s="206">
        <f t="shared" si="106"/>
        <v>0</v>
      </c>
      <c r="AM491" s="214">
        <f t="shared" si="107"/>
        <v>0</v>
      </c>
      <c r="AN491" s="4"/>
      <c r="AO491" s="167">
        <v>445</v>
      </c>
      <c r="AP491" s="215">
        <v>5.7973846597588249E-3</v>
      </c>
      <c r="AQ491" s="190">
        <v>7.1506876931084666E-3</v>
      </c>
      <c r="AR491" s="190">
        <v>7.3509415566710354E-3</v>
      </c>
      <c r="AS491" s="170">
        <v>6.7112053776784298E-3</v>
      </c>
      <c r="AU491" s="216">
        <v>93.243768396785512</v>
      </c>
      <c r="AV491" s="217">
        <v>93.496837149855992</v>
      </c>
      <c r="AW491" s="217">
        <v>92.813845322757501</v>
      </c>
      <c r="AX491" s="217">
        <v>93.393933990272956</v>
      </c>
      <c r="AY491" s="217"/>
      <c r="AZ491" s="218"/>
      <c r="BA491" s="8"/>
      <c r="BB491" s="219"/>
      <c r="BC491" s="220"/>
    </row>
    <row r="492" spans="4:55" x14ac:dyDescent="0.25">
      <c r="O492" s="195">
        <v>440</v>
      </c>
      <c r="P492" s="202">
        <f t="shared" si="108"/>
        <v>0</v>
      </c>
      <c r="Q492" s="203">
        <f t="shared" si="108"/>
        <v>0</v>
      </c>
      <c r="R492" s="157">
        <f ca="1"/>
        <v>93.300144650260748</v>
      </c>
      <c r="T492" s="204">
        <v>0</v>
      </c>
      <c r="U492" s="206">
        <v>0</v>
      </c>
      <c r="V492" s="206">
        <v>0</v>
      </c>
      <c r="W492" s="206">
        <v>0</v>
      </c>
      <c r="X492" s="206">
        <f t="array" ref="X492">IF(X$78&gt;" ",(X$628:X$1078),"")</f>
        <v>0</v>
      </c>
      <c r="Y492" s="206">
        <f t="array" ref="Y492">IF(Y$78&gt;" ",(Y$628:Y$1078),"")</f>
        <v>0</v>
      </c>
      <c r="Z492" s="206">
        <f t="array" ref="Z492">IF(Z$78&gt;" ",(Z$628:Z$1078),"")</f>
        <v>0</v>
      </c>
      <c r="AA492" s="206">
        <f t="array" ref="AA492">IF(AA$78&gt;" ",(AA$628:AA$1078),"")</f>
        <v>0</v>
      </c>
      <c r="AB492" s="210">
        <v>0</v>
      </c>
      <c r="AC492" s="204">
        <f t="shared" si="97"/>
        <v>0</v>
      </c>
      <c r="AD492" s="206">
        <f t="shared" si="98"/>
        <v>0</v>
      </c>
      <c r="AE492" s="206">
        <f t="shared" si="99"/>
        <v>0</v>
      </c>
      <c r="AF492" s="206">
        <f t="shared" si="100"/>
        <v>0</v>
      </c>
      <c r="AG492" s="206">
        <f t="shared" si="101"/>
        <v>0</v>
      </c>
      <c r="AH492" s="206">
        <f t="shared" si="102"/>
        <v>0</v>
      </c>
      <c r="AI492" s="206">
        <f t="shared" si="103"/>
        <v>0</v>
      </c>
      <c r="AJ492" s="206">
        <f t="shared" si="104"/>
        <v>0</v>
      </c>
      <c r="AK492" s="206">
        <f t="shared" si="105"/>
        <v>0</v>
      </c>
      <c r="AL492" s="206">
        <f t="shared" si="106"/>
        <v>0</v>
      </c>
      <c r="AM492" s="214">
        <f t="shared" si="107"/>
        <v>0</v>
      </c>
      <c r="AN492" s="4"/>
      <c r="AO492" s="167">
        <v>440</v>
      </c>
      <c r="AP492" s="215">
        <v>5.2751542941341482E-3</v>
      </c>
      <c r="AQ492" s="190">
        <v>6.6261855386977328E-3</v>
      </c>
      <c r="AR492" s="190">
        <v>6.7877666101308102E-3</v>
      </c>
      <c r="AS492" s="170">
        <v>6.1521248096079858E-3</v>
      </c>
      <c r="AU492" s="216">
        <v>93.022302838184942</v>
      </c>
      <c r="AV492" s="217">
        <v>93.300144650260748</v>
      </c>
      <c r="AW492" s="217">
        <v>92.58176343602166</v>
      </c>
      <c r="AX492" s="217">
        <v>93.186128919047761</v>
      </c>
      <c r="AY492" s="217"/>
      <c r="AZ492" s="218"/>
      <c r="BA492" s="8"/>
      <c r="BB492" s="219"/>
      <c r="BC492" s="220"/>
    </row>
    <row r="493" spans="4:55" x14ac:dyDescent="0.25">
      <c r="O493" s="195">
        <v>435</v>
      </c>
      <c r="P493" s="202">
        <f t="shared" si="108"/>
        <v>0</v>
      </c>
      <c r="Q493" s="203">
        <f t="shared" si="108"/>
        <v>0</v>
      </c>
      <c r="R493" s="157">
        <f ca="1"/>
        <v>93.064555341111216</v>
      </c>
      <c r="T493" s="204">
        <v>0</v>
      </c>
      <c r="U493" s="207">
        <v>0</v>
      </c>
      <c r="V493" s="206">
        <v>0</v>
      </c>
      <c r="W493" s="206">
        <v>0</v>
      </c>
      <c r="X493" s="206">
        <f t="array" ref="X493">IF(X$78&gt;" ",(X$628:X$1078),"")</f>
        <v>0</v>
      </c>
      <c r="Y493" s="206">
        <f t="array" ref="Y493">IF(Y$78&gt;" ",(Y$628:Y$1078),"")</f>
        <v>0</v>
      </c>
      <c r="Z493" s="206">
        <f t="array" ref="Z493">IF(Z$78&gt;" ",(Z$628:Z$1078),"")</f>
        <v>0</v>
      </c>
      <c r="AA493" s="206">
        <f t="array" ref="AA493">IF(AA$78&gt;" ",(AA$628:AA$1078),"")</f>
        <v>0</v>
      </c>
      <c r="AB493" s="210">
        <v>0</v>
      </c>
      <c r="AC493" s="204">
        <f t="shared" si="97"/>
        <v>0</v>
      </c>
      <c r="AD493" s="206">
        <f t="shared" si="98"/>
        <v>0</v>
      </c>
      <c r="AE493" s="206">
        <f t="shared" si="99"/>
        <v>0</v>
      </c>
      <c r="AF493" s="206">
        <f t="shared" si="100"/>
        <v>0</v>
      </c>
      <c r="AG493" s="206">
        <f t="shared" si="101"/>
        <v>0</v>
      </c>
      <c r="AH493" s="206">
        <f t="shared" si="102"/>
        <v>0</v>
      </c>
      <c r="AI493" s="206">
        <f t="shared" si="103"/>
        <v>0</v>
      </c>
      <c r="AJ493" s="206">
        <f t="shared" si="104"/>
        <v>0</v>
      </c>
      <c r="AK493" s="206">
        <f t="shared" si="105"/>
        <v>0</v>
      </c>
      <c r="AL493" s="206">
        <f t="shared" si="106"/>
        <v>0</v>
      </c>
      <c r="AM493" s="214">
        <f t="shared" si="107"/>
        <v>0</v>
      </c>
      <c r="AN493" s="4"/>
      <c r="AO493" s="167">
        <v>435</v>
      </c>
      <c r="AP493" s="215">
        <v>4.757878675811413E-3</v>
      </c>
      <c r="AQ493" s="190">
        <v>6.1512071928579697E-3</v>
      </c>
      <c r="AR493" s="190">
        <v>6.261298602070438E-3</v>
      </c>
      <c r="AS493" s="170">
        <v>5.635576897366725E-3</v>
      </c>
      <c r="AU493" s="216">
        <v>92.764928897490606</v>
      </c>
      <c r="AV493" s="217">
        <v>93.064555341111216</v>
      </c>
      <c r="AW493" s="217">
        <v>92.330905271624147</v>
      </c>
      <c r="AX493" s="217">
        <v>92.962416670363154</v>
      </c>
      <c r="AY493" s="217"/>
      <c r="AZ493" s="218"/>
      <c r="BA493" s="8"/>
      <c r="BB493" s="219"/>
      <c r="BC493" s="220"/>
    </row>
    <row r="494" spans="4:55" x14ac:dyDescent="0.25">
      <c r="O494" s="195">
        <v>430</v>
      </c>
      <c r="P494" s="202">
        <f t="shared" si="108"/>
        <v>0</v>
      </c>
      <c r="Q494" s="203">
        <f t="shared" si="108"/>
        <v>0</v>
      </c>
      <c r="R494" s="157">
        <f ca="1"/>
        <v>92.817337416223083</v>
      </c>
      <c r="T494" s="204">
        <v>0</v>
      </c>
      <c r="U494" s="206">
        <v>0</v>
      </c>
      <c r="V494" s="206">
        <v>0</v>
      </c>
      <c r="W494" s="206">
        <v>0</v>
      </c>
      <c r="X494" s="206">
        <f t="array" ref="X494">IF(X$78&gt;" ",(X$628:X$1078),"")</f>
        <v>0</v>
      </c>
      <c r="Y494" s="206">
        <f t="array" ref="Y494">IF(Y$78&gt;" ",(Y$628:Y$1078),"")</f>
        <v>0</v>
      </c>
      <c r="Z494" s="206">
        <f t="array" ref="Z494">IF(Z$78&gt;" ",(Z$628:Z$1078),"")</f>
        <v>0</v>
      </c>
      <c r="AA494" s="206">
        <f t="array" ref="AA494">IF(AA$78&gt;" ",(AA$628:AA$1078),"")</f>
        <v>0</v>
      </c>
      <c r="AB494" s="210">
        <v>0</v>
      </c>
      <c r="AC494" s="204">
        <f t="shared" si="97"/>
        <v>0</v>
      </c>
      <c r="AD494" s="206">
        <f t="shared" si="98"/>
        <v>0</v>
      </c>
      <c r="AE494" s="206">
        <f t="shared" si="99"/>
        <v>0</v>
      </c>
      <c r="AF494" s="206">
        <f t="shared" si="100"/>
        <v>0</v>
      </c>
      <c r="AG494" s="206">
        <f t="shared" si="101"/>
        <v>0</v>
      </c>
      <c r="AH494" s="206">
        <f t="shared" si="102"/>
        <v>0</v>
      </c>
      <c r="AI494" s="206">
        <f t="shared" si="103"/>
        <v>0</v>
      </c>
      <c r="AJ494" s="206">
        <f t="shared" si="104"/>
        <v>0</v>
      </c>
      <c r="AK494" s="206">
        <f t="shared" si="105"/>
        <v>0</v>
      </c>
      <c r="AL494" s="206">
        <f t="shared" si="106"/>
        <v>0</v>
      </c>
      <c r="AM494" s="214">
        <f t="shared" si="107"/>
        <v>0</v>
      </c>
      <c r="AN494" s="4"/>
      <c r="AO494" s="167">
        <v>430</v>
      </c>
      <c r="AP494" s="215">
        <v>4.2406030574886778E-3</v>
      </c>
      <c r="AQ494" s="190">
        <v>5.6762288470182075E-3</v>
      </c>
      <c r="AR494" s="190">
        <v>4.3978934977054662E-3</v>
      </c>
      <c r="AS494" s="170">
        <v>3.9249806367419862E-3</v>
      </c>
      <c r="AU494" s="216">
        <v>92.504317485034377</v>
      </c>
      <c r="AV494" s="217">
        <v>92.817337416223083</v>
      </c>
      <c r="AW494" s="217">
        <v>92.093603984972972</v>
      </c>
      <c r="AX494" s="217">
        <v>92.741884836157681</v>
      </c>
      <c r="AY494" s="217"/>
      <c r="AZ494" s="218"/>
      <c r="BA494" s="8"/>
      <c r="BB494" s="219"/>
      <c r="BC494" s="220"/>
    </row>
    <row r="495" spans="4:55" x14ac:dyDescent="0.25">
      <c r="O495" s="195">
        <v>425</v>
      </c>
      <c r="P495" s="202">
        <f t="shared" si="108"/>
        <v>0</v>
      </c>
      <c r="Q495" s="203">
        <f t="shared" si="108"/>
        <v>0</v>
      </c>
      <c r="R495" s="157">
        <f ca="1"/>
        <v>92.521214786603423</v>
      </c>
      <c r="T495" s="204">
        <v>0</v>
      </c>
      <c r="U495" s="206">
        <v>0</v>
      </c>
      <c r="V495" s="206">
        <v>0</v>
      </c>
      <c r="W495" s="206">
        <v>0</v>
      </c>
      <c r="X495" s="206">
        <f t="array" ref="X495">IF(X$78&gt;" ",(X$628:X$1078),"")</f>
        <v>0</v>
      </c>
      <c r="Y495" s="206">
        <f t="array" ref="Y495">IF(Y$78&gt;" ",(Y$628:Y$1078),"")</f>
        <v>0</v>
      </c>
      <c r="Z495" s="206">
        <f t="array" ref="Z495">IF(Z$78&gt;" ",(Z$628:Z$1078),"")</f>
        <v>0</v>
      </c>
      <c r="AA495" s="206">
        <f t="array" ref="AA495">IF(AA$78&gt;" ",(AA$628:AA$1078),"")</f>
        <v>0</v>
      </c>
      <c r="AB495" s="210">
        <v>0</v>
      </c>
      <c r="AC495" s="204">
        <f t="shared" si="97"/>
        <v>0</v>
      </c>
      <c r="AD495" s="206">
        <f t="shared" si="98"/>
        <v>0</v>
      </c>
      <c r="AE495" s="206">
        <f t="shared" si="99"/>
        <v>0</v>
      </c>
      <c r="AF495" s="206">
        <f t="shared" si="100"/>
        <v>0</v>
      </c>
      <c r="AG495" s="206">
        <f t="shared" si="101"/>
        <v>0</v>
      </c>
      <c r="AH495" s="206">
        <f t="shared" si="102"/>
        <v>0</v>
      </c>
      <c r="AI495" s="206">
        <f t="shared" si="103"/>
        <v>0</v>
      </c>
      <c r="AJ495" s="206">
        <f t="shared" si="104"/>
        <v>0</v>
      </c>
      <c r="AK495" s="206">
        <f t="shared" si="105"/>
        <v>0</v>
      </c>
      <c r="AL495" s="206">
        <f t="shared" si="106"/>
        <v>0</v>
      </c>
      <c r="AM495" s="214">
        <f t="shared" si="107"/>
        <v>0</v>
      </c>
      <c r="AN495" s="4"/>
      <c r="AO495" s="167">
        <v>425</v>
      </c>
      <c r="AP495" s="215">
        <v>4.4021278195319844E-3</v>
      </c>
      <c r="AQ495" s="190">
        <v>5.8087925770314106E-3</v>
      </c>
      <c r="AR495" s="190">
        <v>6.2794006539235161E-3</v>
      </c>
      <c r="AS495" s="170">
        <v>5.5578988364576396E-3</v>
      </c>
      <c r="AU495" s="216">
        <v>92.190018537510625</v>
      </c>
      <c r="AV495" s="217">
        <v>92.521214786603423</v>
      </c>
      <c r="AW495" s="217">
        <v>91.790806615330766</v>
      </c>
      <c r="AX495" s="217">
        <v>92.467054795843239</v>
      </c>
      <c r="AY495" s="217"/>
      <c r="AZ495" s="218"/>
      <c r="BA495" s="8"/>
      <c r="BB495" s="219"/>
      <c r="BC495" s="220"/>
    </row>
    <row r="496" spans="4:55" x14ac:dyDescent="0.25">
      <c r="O496" s="195">
        <v>420</v>
      </c>
      <c r="P496" s="202">
        <f t="shared" ref="P496:Q511" si="109">P1044</f>
        <v>0</v>
      </c>
      <c r="Q496" s="203">
        <f t="shared" si="109"/>
        <v>0</v>
      </c>
      <c r="R496" s="157">
        <f ca="1"/>
        <v>92.233568754118963</v>
      </c>
      <c r="T496" s="204">
        <v>0</v>
      </c>
      <c r="U496" s="206">
        <v>0</v>
      </c>
      <c r="V496" s="206">
        <v>0</v>
      </c>
      <c r="W496" s="206">
        <v>0</v>
      </c>
      <c r="X496" s="206">
        <f t="array" ref="X496">IF(X$78&gt;" ",(X$628:X$1078),"")</f>
        <v>0</v>
      </c>
      <c r="Y496" s="206">
        <f t="array" ref="Y496">IF(Y$78&gt;" ",(Y$628:Y$1078),"")</f>
        <v>0</v>
      </c>
      <c r="Z496" s="206">
        <f t="array" ref="Z496">IF(Z$78&gt;" ",(Z$628:Z$1078),"")</f>
        <v>0</v>
      </c>
      <c r="AA496" s="206">
        <f t="array" ref="AA496">IF(AA$78&gt;" ",(AA$628:AA$1078),"")</f>
        <v>0</v>
      </c>
      <c r="AB496" s="210">
        <v>0</v>
      </c>
      <c r="AC496" s="204">
        <f t="shared" si="97"/>
        <v>0</v>
      </c>
      <c r="AD496" s="206">
        <f t="shared" si="98"/>
        <v>0</v>
      </c>
      <c r="AE496" s="206">
        <f t="shared" si="99"/>
        <v>0</v>
      </c>
      <c r="AF496" s="206">
        <f t="shared" si="100"/>
        <v>0</v>
      </c>
      <c r="AG496" s="206">
        <f t="shared" si="101"/>
        <v>0</v>
      </c>
      <c r="AH496" s="206">
        <f t="shared" si="102"/>
        <v>0</v>
      </c>
      <c r="AI496" s="206">
        <f t="shared" si="103"/>
        <v>0</v>
      </c>
      <c r="AJ496" s="206">
        <f t="shared" si="104"/>
        <v>0</v>
      </c>
      <c r="AK496" s="206">
        <f t="shared" si="105"/>
        <v>0</v>
      </c>
      <c r="AL496" s="206">
        <f t="shared" si="106"/>
        <v>0</v>
      </c>
      <c r="AM496" s="214">
        <f t="shared" si="107"/>
        <v>0</v>
      </c>
      <c r="AN496" s="4"/>
      <c r="AO496" s="167">
        <v>420</v>
      </c>
      <c r="AP496" s="215">
        <v>4.5636525815752902E-3</v>
      </c>
      <c r="AQ496" s="190">
        <v>5.9413563070446146E-3</v>
      </c>
      <c r="AR496" s="190">
        <v>5.6478401781605491E-3</v>
      </c>
      <c r="AS496" s="170">
        <v>4.9509690305793658E-3</v>
      </c>
      <c r="AU496" s="216">
        <v>91.867253292695423</v>
      </c>
      <c r="AV496" s="217">
        <v>92.233568754118963</v>
      </c>
      <c r="AW496" s="217">
        <v>91.481088931565125</v>
      </c>
      <c r="AX496" s="217">
        <v>92.185268541049552</v>
      </c>
      <c r="AY496" s="217"/>
      <c r="AZ496" s="218"/>
      <c r="BA496" s="8"/>
      <c r="BB496" s="219"/>
      <c r="BC496" s="220"/>
    </row>
    <row r="497" spans="15:55" x14ac:dyDescent="0.25">
      <c r="O497" s="195">
        <v>415</v>
      </c>
      <c r="P497" s="202">
        <f t="shared" si="109"/>
        <v>0</v>
      </c>
      <c r="Q497" s="203">
        <f t="shared" si="109"/>
        <v>0</v>
      </c>
      <c r="R497" s="157">
        <f ca="1"/>
        <v>91.885548874692233</v>
      </c>
      <c r="T497" s="204">
        <v>0</v>
      </c>
      <c r="U497" s="206">
        <v>0</v>
      </c>
      <c r="V497" s="206">
        <v>0</v>
      </c>
      <c r="W497" s="206">
        <v>0</v>
      </c>
      <c r="X497" s="206">
        <f t="array" ref="X497">IF(X$78&gt;" ",(X$628:X$1078),"")</f>
        <v>0</v>
      </c>
      <c r="Y497" s="206">
        <f t="array" ref="Y497">IF(Y$78&gt;" ",(Y$628:Y$1078),"")</f>
        <v>0</v>
      </c>
      <c r="Z497" s="206">
        <f t="array" ref="Z497">IF(Z$78&gt;" ",(Z$628:Z$1078),"")</f>
        <v>0</v>
      </c>
      <c r="AA497" s="206">
        <f t="array" ref="AA497">IF(AA$78&gt;" ",(AA$628:AA$1078),"")</f>
        <v>0</v>
      </c>
      <c r="AB497" s="210">
        <v>0</v>
      </c>
      <c r="AC497" s="204">
        <f t="shared" si="97"/>
        <v>0</v>
      </c>
      <c r="AD497" s="206">
        <f t="shared" si="98"/>
        <v>0</v>
      </c>
      <c r="AE497" s="206">
        <f t="shared" si="99"/>
        <v>0</v>
      </c>
      <c r="AF497" s="206">
        <f t="shared" si="100"/>
        <v>0</v>
      </c>
      <c r="AG497" s="206">
        <f t="shared" si="101"/>
        <v>0</v>
      </c>
      <c r="AH497" s="206">
        <f t="shared" si="102"/>
        <v>0</v>
      </c>
      <c r="AI497" s="206">
        <f t="shared" si="103"/>
        <v>0</v>
      </c>
      <c r="AJ497" s="206">
        <f t="shared" si="104"/>
        <v>0</v>
      </c>
      <c r="AK497" s="206">
        <f t="shared" si="105"/>
        <v>0</v>
      </c>
      <c r="AL497" s="206">
        <f t="shared" si="106"/>
        <v>0</v>
      </c>
      <c r="AM497" s="214">
        <f t="shared" si="107"/>
        <v>0</v>
      </c>
      <c r="AN497" s="4"/>
      <c r="AO497" s="167">
        <v>415</v>
      </c>
      <c r="AP497" s="215">
        <v>4.4496933936306266E-3</v>
      </c>
      <c r="AQ497" s="190">
        <v>5.8815775684160198E-3</v>
      </c>
      <c r="AR497" s="190">
        <v>6.1637486559732915E-3</v>
      </c>
      <c r="AS497" s="170">
        <v>5.3484255064989144E-3</v>
      </c>
      <c r="AU497" s="216">
        <v>91.475290452558156</v>
      </c>
      <c r="AV497" s="217">
        <v>91.885548874692233</v>
      </c>
      <c r="AW497" s="217">
        <v>91.10142808514108</v>
      </c>
      <c r="AX497" s="217">
        <v>91.8494274198694</v>
      </c>
      <c r="AY497" s="217"/>
      <c r="AZ497" s="218"/>
      <c r="BA497" s="8"/>
      <c r="BB497" s="219"/>
      <c r="BC497" s="220"/>
    </row>
    <row r="498" spans="15:55" x14ac:dyDescent="0.25">
      <c r="O498" s="195">
        <v>410</v>
      </c>
      <c r="P498" s="202">
        <f t="shared" si="109"/>
        <v>0</v>
      </c>
      <c r="Q498" s="203">
        <f t="shared" si="109"/>
        <v>0</v>
      </c>
      <c r="R498" s="157">
        <f ca="1"/>
        <v>91.53755300424443</v>
      </c>
      <c r="T498" s="204">
        <v>0</v>
      </c>
      <c r="U498" s="206">
        <v>0</v>
      </c>
      <c r="V498" s="206">
        <v>0</v>
      </c>
      <c r="W498" s="206">
        <v>0</v>
      </c>
      <c r="X498" s="206">
        <f t="array" ref="X498">IF(X$78&gt;" ",(X$628:X$1078),"")</f>
        <v>0</v>
      </c>
      <c r="Y498" s="206">
        <f t="array" ref="Y498">IF(Y$78&gt;" ",(Y$628:Y$1078),"")</f>
        <v>0</v>
      </c>
      <c r="Z498" s="206">
        <f t="array" ref="Z498">IF(Z$78&gt;" ",(Z$628:Z$1078),"")</f>
        <v>0</v>
      </c>
      <c r="AA498" s="206">
        <f t="array" ref="AA498">IF(AA$78&gt;" ",(AA$628:AA$1078),"")</f>
        <v>0</v>
      </c>
      <c r="AB498" s="210">
        <v>0</v>
      </c>
      <c r="AC498" s="204">
        <f t="shared" si="97"/>
        <v>0</v>
      </c>
      <c r="AD498" s="206">
        <f t="shared" si="98"/>
        <v>0</v>
      </c>
      <c r="AE498" s="206">
        <f t="shared" si="99"/>
        <v>0</v>
      </c>
      <c r="AF498" s="206">
        <f t="shared" si="100"/>
        <v>0</v>
      </c>
      <c r="AG498" s="206">
        <f t="shared" si="101"/>
        <v>0</v>
      </c>
      <c r="AH498" s="206">
        <f t="shared" si="102"/>
        <v>0</v>
      </c>
      <c r="AI498" s="206">
        <f t="shared" si="103"/>
        <v>0</v>
      </c>
      <c r="AJ498" s="206">
        <f t="shared" si="104"/>
        <v>0</v>
      </c>
      <c r="AK498" s="206">
        <f t="shared" si="105"/>
        <v>0</v>
      </c>
      <c r="AL498" s="206">
        <f t="shared" si="106"/>
        <v>0</v>
      </c>
      <c r="AM498" s="214">
        <f t="shared" si="107"/>
        <v>0</v>
      </c>
      <c r="AN498" s="4"/>
      <c r="AO498" s="167">
        <v>410</v>
      </c>
      <c r="AP498" s="215">
        <v>4.3357342056859621E-3</v>
      </c>
      <c r="AQ498" s="190">
        <v>5.8217988297874241E-3</v>
      </c>
      <c r="AR498" s="190">
        <v>5.2722226022091662E-3</v>
      </c>
      <c r="AS498" s="170">
        <v>4.5280489251831365E-3</v>
      </c>
      <c r="AU498" s="216">
        <v>91.085602157600832</v>
      </c>
      <c r="AV498" s="217">
        <v>91.53755300424443</v>
      </c>
      <c r="AW498" s="217">
        <v>90.72788475931543</v>
      </c>
      <c r="AX498" s="217">
        <v>91.5188740462916</v>
      </c>
      <c r="AY498" s="217"/>
      <c r="AZ498" s="218"/>
      <c r="BA498" s="8"/>
      <c r="BB498" s="219"/>
      <c r="BC498" s="220"/>
    </row>
    <row r="499" spans="15:55" x14ac:dyDescent="0.25">
      <c r="O499" s="195">
        <v>405</v>
      </c>
      <c r="P499" s="202">
        <f t="shared" si="109"/>
        <v>0</v>
      </c>
      <c r="Q499" s="203">
        <f t="shared" si="109"/>
        <v>0</v>
      </c>
      <c r="R499" s="157">
        <f ca="1"/>
        <v>91.093772070174523</v>
      </c>
      <c r="T499" s="204">
        <v>0</v>
      </c>
      <c r="U499" s="206">
        <v>0</v>
      </c>
      <c r="V499" s="206">
        <v>0</v>
      </c>
      <c r="W499" s="206">
        <v>0</v>
      </c>
      <c r="X499" s="206">
        <f t="array" ref="X499">IF(X$78&gt;" ",(X$628:X$1078),"")</f>
        <v>0</v>
      </c>
      <c r="Y499" s="206">
        <f t="array" ref="Y499">IF(Y$78&gt;" ",(Y$628:Y$1078),"")</f>
        <v>0</v>
      </c>
      <c r="Z499" s="206">
        <f t="array" ref="Z499">IF(Z$78&gt;" ",(Z$628:Z$1078),"")</f>
        <v>0</v>
      </c>
      <c r="AA499" s="206">
        <f t="array" ref="AA499">IF(AA$78&gt;" ",(AA$628:AA$1078),"")</f>
        <v>0</v>
      </c>
      <c r="AB499" s="210">
        <v>0</v>
      </c>
      <c r="AC499" s="204">
        <f t="shared" si="97"/>
        <v>0</v>
      </c>
      <c r="AD499" s="206">
        <f t="shared" si="98"/>
        <v>0</v>
      </c>
      <c r="AE499" s="206">
        <f t="shared" si="99"/>
        <v>0</v>
      </c>
      <c r="AF499" s="206">
        <f t="shared" si="100"/>
        <v>0</v>
      </c>
      <c r="AG499" s="206">
        <f t="shared" si="101"/>
        <v>0</v>
      </c>
      <c r="AH499" s="206">
        <f t="shared" si="102"/>
        <v>0</v>
      </c>
      <c r="AI499" s="206">
        <f t="shared" si="103"/>
        <v>0</v>
      </c>
      <c r="AJ499" s="206">
        <f t="shared" si="104"/>
        <v>0</v>
      </c>
      <c r="AK499" s="206">
        <f t="shared" si="105"/>
        <v>0</v>
      </c>
      <c r="AL499" s="206">
        <f t="shared" si="106"/>
        <v>0</v>
      </c>
      <c r="AM499" s="214">
        <f t="shared" si="107"/>
        <v>0</v>
      </c>
      <c r="AN499" s="4"/>
      <c r="AO499" s="167">
        <v>405</v>
      </c>
      <c r="AP499" s="215">
        <v>4.0044267694294474E-3</v>
      </c>
      <c r="AQ499" s="190">
        <v>5.516151890021131E-3</v>
      </c>
      <c r="AR499" s="190">
        <v>5.7881310800219094E-3</v>
      </c>
      <c r="AS499" s="170">
        <v>4.9163832657077404E-3</v>
      </c>
      <c r="AU499" s="216">
        <v>90.601231226774075</v>
      </c>
      <c r="AV499" s="217">
        <v>91.093772070174523</v>
      </c>
      <c r="AW499" s="217">
        <v>90.255055888061023</v>
      </c>
      <c r="AX499" s="217">
        <v>91.086750649428879</v>
      </c>
      <c r="AY499" s="217"/>
      <c r="AZ499" s="218"/>
      <c r="BA499" s="8"/>
      <c r="BB499" s="219"/>
      <c r="BC499" s="220"/>
    </row>
    <row r="500" spans="15:55" x14ac:dyDescent="0.25">
      <c r="O500" s="195">
        <v>400</v>
      </c>
      <c r="P500" s="202">
        <f t="shared" si="109"/>
        <v>0</v>
      </c>
      <c r="Q500" s="203">
        <f t="shared" si="109"/>
        <v>0</v>
      </c>
      <c r="R500" s="157">
        <f ca="1"/>
        <v>90.637660656845512</v>
      </c>
      <c r="T500" s="204">
        <v>0</v>
      </c>
      <c r="U500" s="206">
        <v>0</v>
      </c>
      <c r="V500" s="206">
        <v>0</v>
      </c>
      <c r="W500" s="206">
        <v>0</v>
      </c>
      <c r="X500" s="206">
        <f t="array" ref="X500">IF(X$78&gt;" ",(X$628:X$1078),"")</f>
        <v>0</v>
      </c>
      <c r="Y500" s="206">
        <f t="array" ref="Y500">IF(Y$78&gt;" ",(Y$628:Y$1078),"")</f>
        <v>0</v>
      </c>
      <c r="Z500" s="206">
        <f t="array" ref="Z500">IF(Z$78&gt;" ",(Z$628:Z$1078),"")</f>
        <v>0</v>
      </c>
      <c r="AA500" s="206">
        <f t="array" ref="AA500">IF(AA$78&gt;" ",(AA$628:AA$1078),"")</f>
        <v>0</v>
      </c>
      <c r="AB500" s="210">
        <v>0</v>
      </c>
      <c r="AC500" s="204">
        <f t="shared" si="97"/>
        <v>0</v>
      </c>
      <c r="AD500" s="206">
        <f t="shared" si="98"/>
        <v>0</v>
      </c>
      <c r="AE500" s="206">
        <f t="shared" si="99"/>
        <v>0</v>
      </c>
      <c r="AF500" s="206">
        <f t="shared" si="100"/>
        <v>0</v>
      </c>
      <c r="AG500" s="206">
        <f t="shared" si="101"/>
        <v>0</v>
      </c>
      <c r="AH500" s="206">
        <f t="shared" si="102"/>
        <v>0</v>
      </c>
      <c r="AI500" s="206">
        <f t="shared" si="103"/>
        <v>0</v>
      </c>
      <c r="AJ500" s="206">
        <f t="shared" si="104"/>
        <v>0</v>
      </c>
      <c r="AK500" s="206">
        <f t="shared" si="105"/>
        <v>0</v>
      </c>
      <c r="AL500" s="206">
        <f t="shared" si="106"/>
        <v>0</v>
      </c>
      <c r="AM500" s="214">
        <f t="shared" si="107"/>
        <v>0</v>
      </c>
      <c r="AN500" s="4"/>
      <c r="AO500" s="167">
        <v>400</v>
      </c>
      <c r="AP500" s="215">
        <v>3.6731193331729322E-3</v>
      </c>
      <c r="AQ500" s="190">
        <v>5.2105049502548378E-3</v>
      </c>
      <c r="AR500" s="190">
        <v>5.6020822137541563E-3</v>
      </c>
      <c r="AS500" s="170">
        <v>4.7003621453121543E-3</v>
      </c>
      <c r="AU500" s="216">
        <v>90.102659246197916</v>
      </c>
      <c r="AV500" s="217">
        <v>90.637660656845512</v>
      </c>
      <c r="AW500" s="217">
        <v>89.769099395599255</v>
      </c>
      <c r="AX500" s="217">
        <v>90.638360888055828</v>
      </c>
      <c r="AY500" s="217"/>
      <c r="AZ500" s="218"/>
      <c r="BA500" s="8"/>
      <c r="BB500" s="219"/>
      <c r="BC500" s="220"/>
    </row>
    <row r="501" spans="15:55" x14ac:dyDescent="0.25">
      <c r="O501" s="195">
        <v>395</v>
      </c>
      <c r="P501" s="202">
        <f t="shared" si="109"/>
        <v>0</v>
      </c>
      <c r="Q501" s="203">
        <f t="shared" si="109"/>
        <v>0</v>
      </c>
      <c r="R501" s="157">
        <f ca="1"/>
        <v>90.031338598498067</v>
      </c>
      <c r="T501" s="204">
        <v>0</v>
      </c>
      <c r="U501" s="206">
        <v>0</v>
      </c>
      <c r="V501" s="206">
        <v>0</v>
      </c>
      <c r="W501" s="206">
        <v>0</v>
      </c>
      <c r="X501" s="206">
        <f t="array" ref="X501">IF(X$78&gt;" ",(X$628:X$1078),"")</f>
        <v>0</v>
      </c>
      <c r="Y501" s="206">
        <f t="array" ref="Y501">IF(Y$78&gt;" ",(Y$628:Y$1078),"")</f>
        <v>0</v>
      </c>
      <c r="Z501" s="206">
        <f t="array" ref="Z501">IF(Z$78&gt;" ",(Z$628:Z$1078),"")</f>
        <v>0</v>
      </c>
      <c r="AA501" s="206">
        <f t="array" ref="AA501">IF(AA$78&gt;" ",(AA$628:AA$1078),"")</f>
        <v>0</v>
      </c>
      <c r="AB501" s="210">
        <v>0</v>
      </c>
      <c r="AC501" s="204">
        <f t="shared" si="97"/>
        <v>0</v>
      </c>
      <c r="AD501" s="206">
        <f t="shared" si="98"/>
        <v>0</v>
      </c>
      <c r="AE501" s="206">
        <f t="shared" si="99"/>
        <v>0</v>
      </c>
      <c r="AF501" s="206">
        <f t="shared" si="100"/>
        <v>0</v>
      </c>
      <c r="AG501" s="206">
        <f t="shared" si="101"/>
        <v>0</v>
      </c>
      <c r="AH501" s="206">
        <f t="shared" si="102"/>
        <v>0</v>
      </c>
      <c r="AI501" s="206">
        <f t="shared" si="103"/>
        <v>0</v>
      </c>
      <c r="AJ501" s="206">
        <f t="shared" si="104"/>
        <v>0</v>
      </c>
      <c r="AK501" s="206">
        <f t="shared" si="105"/>
        <v>0</v>
      </c>
      <c r="AL501" s="206">
        <f t="shared" si="106"/>
        <v>0</v>
      </c>
      <c r="AM501" s="214">
        <f t="shared" si="107"/>
        <v>0</v>
      </c>
      <c r="AN501" s="4"/>
      <c r="AO501" s="167">
        <v>395</v>
      </c>
      <c r="AP501" s="215">
        <v>3.0973776966872831E-3</v>
      </c>
      <c r="AQ501" s="190">
        <v>4.296065333409039E-3</v>
      </c>
      <c r="AR501" s="190">
        <v>4.0614970341024204E-3</v>
      </c>
      <c r="AS501" s="170">
        <v>3.3632137956718052E-3</v>
      </c>
      <c r="AU501" s="216">
        <v>89.448071603676127</v>
      </c>
      <c r="AV501" s="217">
        <v>90.031338598498067</v>
      </c>
      <c r="AW501" s="217">
        <v>89.063387412888275</v>
      </c>
      <c r="AX501" s="217">
        <v>89.983313169220935</v>
      </c>
      <c r="AY501" s="217"/>
      <c r="AZ501" s="218"/>
      <c r="BA501" s="8"/>
      <c r="BB501" s="219"/>
      <c r="BC501" s="220"/>
    </row>
    <row r="502" spans="15:55" x14ac:dyDescent="0.25">
      <c r="O502" s="195">
        <v>390</v>
      </c>
      <c r="P502" s="202">
        <f t="shared" si="109"/>
        <v>0</v>
      </c>
      <c r="Q502" s="203">
        <f t="shared" si="109"/>
        <v>0</v>
      </c>
      <c r="R502" s="157">
        <f ca="1"/>
        <v>89.390853559306265</v>
      </c>
      <c r="T502" s="204">
        <v>0</v>
      </c>
      <c r="U502" s="206">
        <v>0</v>
      </c>
      <c r="V502" s="206">
        <v>0</v>
      </c>
      <c r="W502" s="206">
        <v>0</v>
      </c>
      <c r="X502" s="206">
        <f t="array" ref="X502">IF(X$78&gt;" ",(X$628:X$1078),"")</f>
        <v>0</v>
      </c>
      <c r="Y502" s="206">
        <f t="array" ref="Y502">IF(Y$78&gt;" ",(Y$628:Y$1078),"")</f>
        <v>0</v>
      </c>
      <c r="Z502" s="206">
        <f t="array" ref="Z502">IF(Z$78&gt;" ",(Z$628:Z$1078),"")</f>
        <v>0</v>
      </c>
      <c r="AA502" s="206">
        <f t="array" ref="AA502">IF(AA$78&gt;" ",(AA$628:AA$1078),"")</f>
        <v>0</v>
      </c>
      <c r="AB502" s="210">
        <v>0</v>
      </c>
      <c r="AC502" s="204">
        <f t="shared" si="97"/>
        <v>0</v>
      </c>
      <c r="AD502" s="206">
        <f t="shared" si="98"/>
        <v>0</v>
      </c>
      <c r="AE502" s="206">
        <f t="shared" si="99"/>
        <v>0</v>
      </c>
      <c r="AF502" s="206">
        <f t="shared" si="100"/>
        <v>0</v>
      </c>
      <c r="AG502" s="206">
        <f t="shared" si="101"/>
        <v>0</v>
      </c>
      <c r="AH502" s="206">
        <f t="shared" si="102"/>
        <v>0</v>
      </c>
      <c r="AI502" s="206">
        <f t="shared" si="103"/>
        <v>0</v>
      </c>
      <c r="AJ502" s="206">
        <f t="shared" si="104"/>
        <v>0</v>
      </c>
      <c r="AK502" s="206">
        <f t="shared" si="105"/>
        <v>0</v>
      </c>
      <c r="AL502" s="206">
        <f t="shared" si="106"/>
        <v>0</v>
      </c>
      <c r="AM502" s="214">
        <f t="shared" si="107"/>
        <v>0</v>
      </c>
      <c r="AN502" s="4"/>
      <c r="AO502" s="167">
        <v>390</v>
      </c>
      <c r="AP502" s="215">
        <v>2.5216360602016335E-3</v>
      </c>
      <c r="AQ502" s="190">
        <v>3.5527079643538646E-3</v>
      </c>
      <c r="AR502" s="190">
        <v>4.0075428628847717E-3</v>
      </c>
      <c r="AS502" s="170">
        <v>3.2714887655349231E-3</v>
      </c>
      <c r="AU502" s="216">
        <v>88.800875154089724</v>
      </c>
      <c r="AV502" s="217">
        <v>89.390853559306265</v>
      </c>
      <c r="AW502" s="217">
        <v>88.360399372602629</v>
      </c>
      <c r="AX502" s="217">
        <v>89.35027149335167</v>
      </c>
      <c r="AY502" s="217"/>
      <c r="AZ502" s="218"/>
      <c r="BA502" s="8"/>
      <c r="BB502" s="219"/>
      <c r="BC502" s="220"/>
    </row>
    <row r="503" spans="15:55" x14ac:dyDescent="0.25">
      <c r="O503" s="195">
        <v>385</v>
      </c>
      <c r="P503" s="202">
        <f t="shared" si="109"/>
        <v>0</v>
      </c>
      <c r="Q503" s="203">
        <f t="shared" si="109"/>
        <v>0</v>
      </c>
      <c r="R503" s="157">
        <f ca="1"/>
        <v>88.510122455627823</v>
      </c>
      <c r="T503" s="204">
        <v>0</v>
      </c>
      <c r="U503" s="206">
        <v>0</v>
      </c>
      <c r="V503" s="206">
        <v>0</v>
      </c>
      <c r="W503" s="206">
        <v>0</v>
      </c>
      <c r="X503" s="206">
        <f t="array" ref="X503">IF(X$78&gt;" ",(X$628:X$1078),"")</f>
        <v>0</v>
      </c>
      <c r="Y503" s="206">
        <f t="array" ref="Y503">IF(Y$78&gt;" ",(Y$628:Y$1078),"")</f>
        <v>0</v>
      </c>
      <c r="Z503" s="206">
        <f t="array" ref="Z503">IF(Z$78&gt;" ",(Z$628:Z$1078),"")</f>
        <v>0</v>
      </c>
      <c r="AA503" s="206">
        <f t="array" ref="AA503">IF(AA$78&gt;" ",(AA$628:AA$1078),"")</f>
        <v>0</v>
      </c>
      <c r="AB503" s="210">
        <v>0</v>
      </c>
      <c r="AC503" s="204">
        <f t="shared" si="97"/>
        <v>0</v>
      </c>
      <c r="AD503" s="206">
        <f t="shared" si="98"/>
        <v>0</v>
      </c>
      <c r="AE503" s="206">
        <f t="shared" si="99"/>
        <v>0</v>
      </c>
      <c r="AF503" s="206">
        <f t="shared" si="100"/>
        <v>0</v>
      </c>
      <c r="AG503" s="206">
        <f t="shared" si="101"/>
        <v>0</v>
      </c>
      <c r="AH503" s="206">
        <f t="shared" si="102"/>
        <v>0</v>
      </c>
      <c r="AI503" s="206">
        <f t="shared" si="103"/>
        <v>0</v>
      </c>
      <c r="AJ503" s="206">
        <f t="shared" si="104"/>
        <v>0</v>
      </c>
      <c r="AK503" s="206">
        <f t="shared" si="105"/>
        <v>0</v>
      </c>
      <c r="AL503" s="206">
        <f t="shared" si="106"/>
        <v>0</v>
      </c>
      <c r="AM503" s="214">
        <f t="shared" si="107"/>
        <v>0</v>
      </c>
      <c r="AN503" s="4"/>
      <c r="AO503" s="167">
        <v>385</v>
      </c>
      <c r="AP503" s="215">
        <v>2.457884978249981E-3</v>
      </c>
      <c r="AQ503" s="190">
        <v>3.5306973827667668E-3</v>
      </c>
      <c r="AR503" s="190">
        <v>3.3868436182336518E-3</v>
      </c>
      <c r="AS503" s="170">
        <v>2.7219780450260457E-3</v>
      </c>
      <c r="AU503" s="216">
        <v>87.907953162091118</v>
      </c>
      <c r="AV503" s="217">
        <v>88.510122455627823</v>
      </c>
      <c r="AW503" s="217">
        <v>87.229251177748765</v>
      </c>
      <c r="AX503" s="217">
        <v>88.274286474924779</v>
      </c>
      <c r="AY503" s="217"/>
      <c r="AZ503" s="218"/>
      <c r="BA503" s="8"/>
      <c r="BB503" s="219"/>
      <c r="BC503" s="220"/>
    </row>
    <row r="504" spans="15:55" x14ac:dyDescent="0.25">
      <c r="O504" s="195">
        <v>380</v>
      </c>
      <c r="P504" s="202">
        <f t="shared" si="109"/>
        <v>0</v>
      </c>
      <c r="Q504" s="203">
        <f t="shared" si="109"/>
        <v>0</v>
      </c>
      <c r="R504" s="157">
        <f ca="1"/>
        <v>87.652275191991805</v>
      </c>
      <c r="T504" s="204">
        <v>0</v>
      </c>
      <c r="U504" s="206">
        <v>0</v>
      </c>
      <c r="V504" s="206">
        <v>0</v>
      </c>
      <c r="W504" s="206">
        <v>0</v>
      </c>
      <c r="X504" s="206">
        <f t="array" ref="X504">IF(X$78&gt;" ",(X$628:X$1078),"")</f>
        <v>0</v>
      </c>
      <c r="Y504" s="206">
        <f t="array" ref="Y504">IF(Y$78&gt;" ",(Y$628:Y$1078),"")</f>
        <v>0</v>
      </c>
      <c r="Z504" s="206">
        <f t="array" ref="Z504">IF(Z$78&gt;" ",(Z$628:Z$1078),"")</f>
        <v>0</v>
      </c>
      <c r="AA504" s="206">
        <f t="array" ref="AA504">IF(AA$78&gt;" ",(AA$628:AA$1078),"")</f>
        <v>0</v>
      </c>
      <c r="AB504" s="210">
        <v>0</v>
      </c>
      <c r="AC504" s="204">
        <f t="shared" si="97"/>
        <v>0</v>
      </c>
      <c r="AD504" s="206">
        <f t="shared" si="98"/>
        <v>0</v>
      </c>
      <c r="AE504" s="206">
        <f t="shared" si="99"/>
        <v>0</v>
      </c>
      <c r="AF504" s="206">
        <f t="shared" si="100"/>
        <v>0</v>
      </c>
      <c r="AG504" s="206">
        <f t="shared" si="101"/>
        <v>0</v>
      </c>
      <c r="AH504" s="206">
        <f t="shared" si="102"/>
        <v>0</v>
      </c>
      <c r="AI504" s="206">
        <f t="shared" si="103"/>
        <v>0</v>
      </c>
      <c r="AJ504" s="206">
        <f t="shared" si="104"/>
        <v>0</v>
      </c>
      <c r="AK504" s="206">
        <f t="shared" si="105"/>
        <v>0</v>
      </c>
      <c r="AL504" s="206">
        <f t="shared" si="106"/>
        <v>0</v>
      </c>
      <c r="AM504" s="214">
        <f t="shared" si="107"/>
        <v>0</v>
      </c>
      <c r="AN504" s="4"/>
      <c r="AO504" s="167">
        <v>380</v>
      </c>
      <c r="AP504" s="215">
        <v>2.3941338962983282E-3</v>
      </c>
      <c r="AQ504" s="190">
        <v>3.6017315324342195E-3</v>
      </c>
      <c r="AR504" s="190">
        <v>3.523715243633875E-3</v>
      </c>
      <c r="AS504" s="170">
        <v>2.7842660002074674E-3</v>
      </c>
      <c r="AU504" s="216">
        <v>87.00372862809833</v>
      </c>
      <c r="AV504" s="217">
        <v>87.652275191991805</v>
      </c>
      <c r="AW504" s="217">
        <v>86.073260374672302</v>
      </c>
      <c r="AX504" s="217">
        <v>87.151896041138173</v>
      </c>
      <c r="AY504" s="217"/>
      <c r="AZ504" s="218"/>
      <c r="BA504" s="8"/>
      <c r="BB504" s="219"/>
      <c r="BC504" s="220"/>
    </row>
    <row r="505" spans="15:55" x14ac:dyDescent="0.25">
      <c r="O505" s="195">
        <v>375</v>
      </c>
      <c r="P505" s="202">
        <f t="shared" si="109"/>
        <v>0</v>
      </c>
      <c r="Q505" s="203">
        <f t="shared" si="109"/>
        <v>0</v>
      </c>
      <c r="R505" s="157">
        <f ca="1"/>
        <v>86.815143677199828</v>
      </c>
      <c r="T505" s="204">
        <v>0</v>
      </c>
      <c r="U505" s="206">
        <v>0</v>
      </c>
      <c r="V505" s="206">
        <v>0</v>
      </c>
      <c r="W505" s="206">
        <v>0</v>
      </c>
      <c r="X505" s="206">
        <f t="array" ref="X505">IF(X$78&gt;" ",(X$628:X$1078),"")</f>
        <v>0</v>
      </c>
      <c r="Y505" s="206">
        <f t="array" ref="Y505">IF(Y$78&gt;" ",(Y$628:Y$1078),"")</f>
        <v>0</v>
      </c>
      <c r="Z505" s="206">
        <f t="array" ref="Z505">IF(Z$78&gt;" ",(Z$628:Z$1078),"")</f>
        <v>0</v>
      </c>
      <c r="AA505" s="206">
        <f t="array" ref="AA505">IF(AA$78&gt;" ",(AA$628:AA$1078),"")</f>
        <v>0</v>
      </c>
      <c r="AB505" s="210">
        <v>0</v>
      </c>
      <c r="AC505" s="204">
        <f t="shared" si="97"/>
        <v>0</v>
      </c>
      <c r="AD505" s="206">
        <f t="shared" si="98"/>
        <v>0</v>
      </c>
      <c r="AE505" s="206">
        <f t="shared" si="99"/>
        <v>0</v>
      </c>
      <c r="AF505" s="206">
        <f t="shared" si="100"/>
        <v>0</v>
      </c>
      <c r="AG505" s="206">
        <f t="shared" si="101"/>
        <v>0</v>
      </c>
      <c r="AH505" s="206">
        <f t="shared" si="102"/>
        <v>0</v>
      </c>
      <c r="AI505" s="206">
        <f t="shared" si="103"/>
        <v>0</v>
      </c>
      <c r="AJ505" s="206">
        <f t="shared" si="104"/>
        <v>0</v>
      </c>
      <c r="AK505" s="206">
        <f t="shared" si="105"/>
        <v>0</v>
      </c>
      <c r="AL505" s="206">
        <f t="shared" si="106"/>
        <v>0</v>
      </c>
      <c r="AM505" s="214">
        <f t="shared" si="107"/>
        <v>0</v>
      </c>
      <c r="AN505" s="4"/>
      <c r="AO505" s="167">
        <v>375</v>
      </c>
      <c r="AP505" s="215">
        <v>2.2672923653686157E-3</v>
      </c>
      <c r="AQ505" s="190">
        <v>3.5106877631421326E-3</v>
      </c>
      <c r="AR505" s="190">
        <v>2.9632053213942415E-3</v>
      </c>
      <c r="AS505" s="170">
        <v>2.2993937237547834E-3</v>
      </c>
      <c r="AU505" s="216">
        <v>86.114222341137136</v>
      </c>
      <c r="AV505" s="217">
        <v>86.815143677199828</v>
      </c>
      <c r="AW505" s="217">
        <v>85.342375917322784</v>
      </c>
      <c r="AX505" s="217">
        <v>86.455245454283826</v>
      </c>
      <c r="AY505" s="217"/>
      <c r="AZ505" s="218"/>
      <c r="BA505" s="8"/>
      <c r="BB505" s="219"/>
      <c r="BC505" s="220"/>
    </row>
    <row r="506" spans="15:55" x14ac:dyDescent="0.25">
      <c r="O506" s="195">
        <v>370</v>
      </c>
      <c r="P506" s="202">
        <f t="shared" si="109"/>
        <v>0</v>
      </c>
      <c r="Q506" s="203">
        <f t="shared" si="109"/>
        <v>0</v>
      </c>
      <c r="R506" s="157">
        <f ca="1"/>
        <v>85.96020230771704</v>
      </c>
      <c r="T506" s="204">
        <v>0</v>
      </c>
      <c r="U506" s="206">
        <v>0</v>
      </c>
      <c r="V506" s="206">
        <v>0</v>
      </c>
      <c r="W506" s="206">
        <v>0</v>
      </c>
      <c r="X506" s="206">
        <f t="array" ref="X506">IF(X$78&gt;" ",(X$628:X$1078),"")</f>
        <v>0</v>
      </c>
      <c r="Y506" s="206">
        <f t="array" ref="Y506">IF(Y$78&gt;" ",(Y$628:Y$1078),"")</f>
        <v>0</v>
      </c>
      <c r="Z506" s="206">
        <f t="array" ref="Z506">IF(Z$78&gt;" ",(Z$628:Z$1078),"")</f>
        <v>0</v>
      </c>
      <c r="AA506" s="206">
        <f t="array" ref="AA506">IF(AA$78&gt;" ",(AA$628:AA$1078),"")</f>
        <v>0</v>
      </c>
      <c r="AB506" s="210">
        <v>0</v>
      </c>
      <c r="AC506" s="204">
        <f t="shared" si="97"/>
        <v>0</v>
      </c>
      <c r="AD506" s="206">
        <f t="shared" si="98"/>
        <v>0</v>
      </c>
      <c r="AE506" s="206">
        <f t="shared" si="99"/>
        <v>0</v>
      </c>
      <c r="AF506" s="206">
        <f t="shared" si="100"/>
        <v>0</v>
      </c>
      <c r="AG506" s="206">
        <f t="shared" si="101"/>
        <v>0</v>
      </c>
      <c r="AH506" s="206">
        <f t="shared" si="102"/>
        <v>0</v>
      </c>
      <c r="AI506" s="206">
        <f t="shared" si="103"/>
        <v>0</v>
      </c>
      <c r="AJ506" s="206">
        <f t="shared" si="104"/>
        <v>0</v>
      </c>
      <c r="AK506" s="206">
        <f t="shared" si="105"/>
        <v>0</v>
      </c>
      <c r="AL506" s="206">
        <f t="shared" si="106"/>
        <v>0</v>
      </c>
      <c r="AM506" s="214">
        <f t="shared" si="107"/>
        <v>0</v>
      </c>
      <c r="AN506" s="4"/>
      <c r="AO506" s="167">
        <v>370</v>
      </c>
      <c r="AP506" s="215">
        <v>2.1404508344389029E-3</v>
      </c>
      <c r="AQ506" s="190">
        <v>3.3606156159573732E-3</v>
      </c>
      <c r="AR506" s="190">
        <v>3.7967545257511452E-3</v>
      </c>
      <c r="AS506" s="170">
        <v>2.891437100092843E-3</v>
      </c>
      <c r="AU506" s="216">
        <v>85.243651605811408</v>
      </c>
      <c r="AV506" s="217">
        <v>85.96020230771704</v>
      </c>
      <c r="AW506" s="217">
        <v>84.635790144789397</v>
      </c>
      <c r="AX506" s="217">
        <v>85.778405484408324</v>
      </c>
      <c r="AY506" s="217"/>
      <c r="AZ506" s="218"/>
      <c r="BA506" s="8"/>
      <c r="BB506" s="219"/>
      <c r="BC506" s="220"/>
    </row>
    <row r="507" spans="15:55" x14ac:dyDescent="0.25">
      <c r="O507" s="195">
        <v>365</v>
      </c>
      <c r="P507" s="202">
        <f t="shared" si="109"/>
        <v>0</v>
      </c>
      <c r="Q507" s="203">
        <f t="shared" si="109"/>
        <v>0</v>
      </c>
      <c r="R507" s="157">
        <f ca="1"/>
        <v>84.668036628688739</v>
      </c>
      <c r="T507" s="204">
        <v>0</v>
      </c>
      <c r="U507" s="206">
        <v>0</v>
      </c>
      <c r="V507" s="206">
        <v>0</v>
      </c>
      <c r="W507" s="206">
        <v>0</v>
      </c>
      <c r="X507" s="206">
        <f t="array" ref="X507">IF(X$78&gt;" ",(X$628:X$1078),"")</f>
        <v>0</v>
      </c>
      <c r="Y507" s="206">
        <f t="array" ref="Y507">IF(Y$78&gt;" ",(Y$628:Y$1078),"")</f>
        <v>0</v>
      </c>
      <c r="Z507" s="206">
        <f t="array" ref="Z507">IF(Z$78&gt;" ",(Z$628:Z$1078),"")</f>
        <v>0</v>
      </c>
      <c r="AA507" s="206">
        <f t="array" ref="AA507">IF(AA$78&gt;" ",(AA$628:AA$1078),"")</f>
        <v>0</v>
      </c>
      <c r="AB507" s="210">
        <v>0</v>
      </c>
      <c r="AC507" s="204">
        <f t="shared" si="97"/>
        <v>0</v>
      </c>
      <c r="AD507" s="206">
        <f t="shared" si="98"/>
        <v>0</v>
      </c>
      <c r="AE507" s="206">
        <f t="shared" si="99"/>
        <v>0</v>
      </c>
      <c r="AF507" s="206">
        <f t="shared" si="100"/>
        <v>0</v>
      </c>
      <c r="AG507" s="206">
        <f t="shared" si="101"/>
        <v>0</v>
      </c>
      <c r="AH507" s="206">
        <f t="shared" si="102"/>
        <v>0</v>
      </c>
      <c r="AI507" s="206">
        <f t="shared" si="103"/>
        <v>0</v>
      </c>
      <c r="AJ507" s="206">
        <f t="shared" si="104"/>
        <v>0</v>
      </c>
      <c r="AK507" s="206">
        <f t="shared" si="105"/>
        <v>0</v>
      </c>
      <c r="AL507" s="206">
        <f t="shared" si="106"/>
        <v>0</v>
      </c>
      <c r="AM507" s="214">
        <f t="shared" si="107"/>
        <v>0</v>
      </c>
      <c r="AN507" s="4"/>
      <c r="AO507" s="167">
        <v>365</v>
      </c>
      <c r="AP507" s="215">
        <v>1.8646365679641369E-3</v>
      </c>
      <c r="AQ507" s="190">
        <v>3.0214525633198174E-3</v>
      </c>
      <c r="AR507" s="190">
        <v>3.1356273652948154E-3</v>
      </c>
      <c r="AS507" s="170">
        <v>2.3398557108133353E-3</v>
      </c>
      <c r="AU507" s="216">
        <v>83.984856865181314</v>
      </c>
      <c r="AV507" s="217">
        <v>84.668036628688739</v>
      </c>
      <c r="AW507" s="217">
        <v>83.206269362745601</v>
      </c>
      <c r="AX507" s="217">
        <v>84.366030148882217</v>
      </c>
      <c r="AY507" s="217"/>
      <c r="AZ507" s="218"/>
      <c r="BA507" s="8"/>
      <c r="BB507" s="219"/>
      <c r="BC507" s="220"/>
    </row>
    <row r="508" spans="15:55" x14ac:dyDescent="0.25">
      <c r="O508" s="195">
        <v>360</v>
      </c>
      <c r="P508" s="202">
        <f t="shared" si="109"/>
        <v>0</v>
      </c>
      <c r="Q508" s="203">
        <f t="shared" si="109"/>
        <v>0</v>
      </c>
      <c r="R508" s="157">
        <f ca="1"/>
        <v>83.404346956310988</v>
      </c>
      <c r="T508" s="204">
        <v>0</v>
      </c>
      <c r="U508" s="206">
        <v>0</v>
      </c>
      <c r="V508" s="206">
        <v>0</v>
      </c>
      <c r="W508" s="206">
        <v>0</v>
      </c>
      <c r="X508" s="206">
        <f t="array" ref="X508">IF(X$78&gt;" ",(X$628:X$1078),"")</f>
        <v>0</v>
      </c>
      <c r="Y508" s="206">
        <f t="array" ref="Y508">IF(Y$78&gt;" ",(Y$628:Y$1078),"")</f>
        <v>0</v>
      </c>
      <c r="Z508" s="206">
        <f t="array" ref="Z508">IF(Z$78&gt;" ",(Z$628:Z$1078),"")</f>
        <v>0</v>
      </c>
      <c r="AA508" s="206">
        <f t="array" ref="AA508">IF(AA$78&gt;" ",(AA$628:AA$1078),"")</f>
        <v>0</v>
      </c>
      <c r="AB508" s="210">
        <v>0</v>
      </c>
      <c r="AC508" s="204">
        <f t="shared" si="97"/>
        <v>0</v>
      </c>
      <c r="AD508" s="206">
        <f t="shared" si="98"/>
        <v>0</v>
      </c>
      <c r="AE508" s="206">
        <f t="shared" si="99"/>
        <v>0</v>
      </c>
      <c r="AF508" s="206">
        <f t="shared" si="100"/>
        <v>0</v>
      </c>
      <c r="AG508" s="206">
        <f t="shared" si="101"/>
        <v>0</v>
      </c>
      <c r="AH508" s="206">
        <f t="shared" si="102"/>
        <v>0</v>
      </c>
      <c r="AI508" s="206">
        <f t="shared" si="103"/>
        <v>0</v>
      </c>
      <c r="AJ508" s="206">
        <f t="shared" si="104"/>
        <v>0</v>
      </c>
      <c r="AK508" s="206">
        <f t="shared" si="105"/>
        <v>0</v>
      </c>
      <c r="AL508" s="206">
        <f t="shared" si="106"/>
        <v>0</v>
      </c>
      <c r="AM508" s="214">
        <f t="shared" si="107"/>
        <v>0</v>
      </c>
      <c r="AN508" s="4"/>
      <c r="AO508" s="167">
        <v>360</v>
      </c>
      <c r="AP508" s="215">
        <v>1.5888223014893707E-3</v>
      </c>
      <c r="AQ508" s="190">
        <v>2.6842904726447256E-3</v>
      </c>
      <c r="AR508" s="190">
        <v>3.0078067658211322E-3</v>
      </c>
      <c r="AS508" s="170">
        <v>2.1960281772857035E-3</v>
      </c>
      <c r="AU508" s="216">
        <v>82.723400802944809</v>
      </c>
      <c r="AV508" s="217">
        <v>83.404346956310988</v>
      </c>
      <c r="AW508" s="217">
        <v>81.777506640997458</v>
      </c>
      <c r="AX508" s="217">
        <v>82.942016090294075</v>
      </c>
      <c r="AY508" s="217"/>
      <c r="AZ508" s="218"/>
      <c r="BA508" s="8"/>
      <c r="BB508" s="219"/>
      <c r="BC508" s="220"/>
    </row>
    <row r="509" spans="15:55" x14ac:dyDescent="0.25">
      <c r="O509" s="195">
        <v>355</v>
      </c>
      <c r="P509" s="202">
        <f t="shared" si="109"/>
        <v>0</v>
      </c>
      <c r="Q509" s="203">
        <f t="shared" si="109"/>
        <v>0</v>
      </c>
      <c r="R509" s="157">
        <f ca="1"/>
        <v>81.446209710970621</v>
      </c>
      <c r="T509" s="204">
        <v>0</v>
      </c>
      <c r="U509" s="206">
        <v>0</v>
      </c>
      <c r="V509" s="206">
        <v>0</v>
      </c>
      <c r="W509" s="206">
        <v>0</v>
      </c>
      <c r="X509" s="206">
        <f t="array" ref="X509">IF(X$78&gt;" ",(X$628:X$1078),"")</f>
        <v>0</v>
      </c>
      <c r="Y509" s="206">
        <f t="array" ref="Y509">IF(Y$78&gt;" ",(Y$628:Y$1078),"")</f>
        <v>0</v>
      </c>
      <c r="Z509" s="206">
        <f t="array" ref="Z509">IF(Z$78&gt;" ",(Z$628:Z$1078),"")</f>
        <v>0</v>
      </c>
      <c r="AA509" s="206">
        <f t="array" ref="AA509">IF(AA$78&gt;" ",(AA$628:AA$1078),"")</f>
        <v>0</v>
      </c>
      <c r="AB509" s="210">
        <v>0</v>
      </c>
      <c r="AC509" s="204">
        <f t="shared" si="97"/>
        <v>0</v>
      </c>
      <c r="AD509" s="206">
        <f t="shared" si="98"/>
        <v>0</v>
      </c>
      <c r="AE509" s="206">
        <f t="shared" si="99"/>
        <v>0</v>
      </c>
      <c r="AF509" s="206">
        <f t="shared" si="100"/>
        <v>0</v>
      </c>
      <c r="AG509" s="206">
        <f t="shared" si="101"/>
        <v>0</v>
      </c>
      <c r="AH509" s="206">
        <f t="shared" si="102"/>
        <v>0</v>
      </c>
      <c r="AI509" s="206">
        <f t="shared" si="103"/>
        <v>0</v>
      </c>
      <c r="AJ509" s="206">
        <f t="shared" si="104"/>
        <v>0</v>
      </c>
      <c r="AK509" s="206">
        <f t="shared" si="105"/>
        <v>0</v>
      </c>
      <c r="AL509" s="206">
        <f t="shared" si="106"/>
        <v>0</v>
      </c>
      <c r="AM509" s="214">
        <f t="shared" si="107"/>
        <v>0</v>
      </c>
      <c r="AN509" s="4"/>
      <c r="AO509" s="167">
        <v>355</v>
      </c>
      <c r="AP509" s="215">
        <v>1.4946821027524747E-3</v>
      </c>
      <c r="AQ509" s="190">
        <v>2.5562289070470644E-3</v>
      </c>
      <c r="AR509" s="190">
        <v>3.0743318063811967E-3</v>
      </c>
      <c r="AS509" s="170">
        <v>2.1904317752029162E-3</v>
      </c>
      <c r="AU509" s="216">
        <v>80.768768856088556</v>
      </c>
      <c r="AV509" s="217">
        <v>81.446209710970621</v>
      </c>
      <c r="AW509" s="217">
        <v>79.41357847240613</v>
      </c>
      <c r="AX509" s="217">
        <v>80.563246814157083</v>
      </c>
      <c r="AY509" s="217"/>
      <c r="AZ509" s="218"/>
      <c r="BA509" s="8"/>
      <c r="BB509" s="219"/>
      <c r="BC509" s="220"/>
    </row>
    <row r="510" spans="15:55" x14ac:dyDescent="0.25">
      <c r="O510" s="195">
        <v>350</v>
      </c>
      <c r="P510" s="202">
        <f t="shared" si="109"/>
        <v>0</v>
      </c>
      <c r="Q510" s="203">
        <f t="shared" si="109"/>
        <v>0</v>
      </c>
      <c r="R510" s="157">
        <f ca="1"/>
        <v>79.490901367922291</v>
      </c>
      <c r="T510" s="204">
        <v>0</v>
      </c>
      <c r="U510" s="206">
        <v>0</v>
      </c>
      <c r="V510" s="206">
        <v>0</v>
      </c>
      <c r="W510" s="206">
        <v>0</v>
      </c>
      <c r="X510" s="206">
        <f t="array" ref="X510">IF(X$78&gt;" ",(X$628:X$1078),"")</f>
        <v>0</v>
      </c>
      <c r="Y510" s="206">
        <f t="array" ref="Y510">IF(Y$78&gt;" ",(Y$628:Y$1078),"")</f>
        <v>0</v>
      </c>
      <c r="Z510" s="206">
        <f t="array" ref="Z510">IF(Z$78&gt;" ",(Z$628:Z$1078),"")</f>
        <v>0</v>
      </c>
      <c r="AA510" s="206">
        <f t="array" ref="AA510">IF(AA$78&gt;" ",(AA$628:AA$1078),"")</f>
        <v>0</v>
      </c>
      <c r="AB510" s="210">
        <v>0</v>
      </c>
      <c r="AC510" s="204">
        <f t="shared" si="97"/>
        <v>0</v>
      </c>
      <c r="AD510" s="206">
        <f t="shared" si="98"/>
        <v>0</v>
      </c>
      <c r="AE510" s="206">
        <f t="shared" si="99"/>
        <v>0</v>
      </c>
      <c r="AF510" s="206">
        <f t="shared" si="100"/>
        <v>0</v>
      </c>
      <c r="AG510" s="206">
        <f t="shared" si="101"/>
        <v>0</v>
      </c>
      <c r="AH510" s="206">
        <f t="shared" si="102"/>
        <v>0</v>
      </c>
      <c r="AI510" s="206">
        <f t="shared" si="103"/>
        <v>0</v>
      </c>
      <c r="AJ510" s="206">
        <f t="shared" si="104"/>
        <v>0</v>
      </c>
      <c r="AK510" s="206">
        <f t="shared" si="105"/>
        <v>0</v>
      </c>
      <c r="AL510" s="206">
        <f t="shared" si="106"/>
        <v>0</v>
      </c>
      <c r="AM510" s="214">
        <f t="shared" si="107"/>
        <v>0</v>
      </c>
      <c r="AN510" s="4"/>
      <c r="AO510" s="167">
        <v>350</v>
      </c>
      <c r="AP510" s="215">
        <v>1.4005419040155785E-3</v>
      </c>
      <c r="AQ510" s="190">
        <v>2.4461759991115744E-3</v>
      </c>
      <c r="AR510" s="190">
        <v>2.6548670381634676E-3</v>
      </c>
      <c r="AS510" s="170">
        <v>1.8419438175077563E-3</v>
      </c>
      <c r="AU510" s="216">
        <v>78.842425170519661</v>
      </c>
      <c r="AV510" s="217">
        <v>79.490901367922291</v>
      </c>
      <c r="AW510" s="217">
        <v>77.090417665752938</v>
      </c>
      <c r="AX510" s="217">
        <v>78.237599008376364</v>
      </c>
      <c r="AY510" s="217"/>
      <c r="AZ510" s="218"/>
      <c r="BA510" s="8"/>
      <c r="BB510" s="219"/>
      <c r="BC510" s="220"/>
    </row>
    <row r="511" spans="15:55" x14ac:dyDescent="0.25">
      <c r="O511" s="195">
        <v>345</v>
      </c>
      <c r="P511" s="202">
        <f t="shared" si="109"/>
        <v>0</v>
      </c>
      <c r="Q511" s="203">
        <f t="shared" si="109"/>
        <v>0</v>
      </c>
      <c r="R511" s="157">
        <f ca="1"/>
        <v>75.558741869410241</v>
      </c>
      <c r="T511" s="204">
        <v>0</v>
      </c>
      <c r="U511" s="206">
        <v>0</v>
      </c>
      <c r="V511" s="206">
        <v>0</v>
      </c>
      <c r="W511" s="206">
        <v>0</v>
      </c>
      <c r="X511" s="206">
        <f t="array" ref="X511">IF(X$78&gt;" ",(X$628:X$1078),"")</f>
        <v>0</v>
      </c>
      <c r="Y511" s="206">
        <f t="array" ref="Y511">IF(Y$78&gt;" ",(Y$628:Y$1078),"")</f>
        <v>0</v>
      </c>
      <c r="Z511" s="206">
        <f t="array" ref="Z511">IF(Z$78&gt;" ",(Z$628:Z$1078),"")</f>
        <v>0</v>
      </c>
      <c r="AA511" s="206">
        <f t="array" ref="AA511">IF(AA$78&gt;" ",(AA$628:AA$1078),"")</f>
        <v>0</v>
      </c>
      <c r="AB511" s="210">
        <v>0</v>
      </c>
      <c r="AC511" s="204">
        <f t="shared" si="97"/>
        <v>0</v>
      </c>
      <c r="AD511" s="206">
        <f t="shared" si="98"/>
        <v>0</v>
      </c>
      <c r="AE511" s="206">
        <f t="shared" si="99"/>
        <v>0</v>
      </c>
      <c r="AF511" s="206">
        <f t="shared" si="100"/>
        <v>0</v>
      </c>
      <c r="AG511" s="206">
        <f t="shared" si="101"/>
        <v>0</v>
      </c>
      <c r="AH511" s="206">
        <f t="shared" si="102"/>
        <v>0</v>
      </c>
      <c r="AI511" s="206">
        <f t="shared" si="103"/>
        <v>0</v>
      </c>
      <c r="AJ511" s="206">
        <f t="shared" si="104"/>
        <v>0</v>
      </c>
      <c r="AK511" s="206">
        <f t="shared" si="105"/>
        <v>0</v>
      </c>
      <c r="AL511" s="206">
        <f t="shared" si="106"/>
        <v>0</v>
      </c>
      <c r="AM511" s="214">
        <f t="shared" si="107"/>
        <v>0</v>
      </c>
      <c r="AN511" s="4"/>
      <c r="AO511" s="167">
        <v>345</v>
      </c>
      <c r="AP511" s="215">
        <v>1.2334017616967381E-3</v>
      </c>
      <c r="AQ511" s="190">
        <v>2.2610870175837042E-3</v>
      </c>
      <c r="AR511" s="190">
        <v>2.3079110443127927E-3</v>
      </c>
      <c r="AS511" s="170">
        <v>1.558821836139551E-3</v>
      </c>
      <c r="AU511" s="216">
        <v>74.975964295943044</v>
      </c>
      <c r="AV511" s="217">
        <v>75.558741869410241</v>
      </c>
      <c r="AW511" s="217">
        <v>72.385277263884589</v>
      </c>
      <c r="AX511" s="217">
        <v>73.500406911473888</v>
      </c>
      <c r="AY511" s="217"/>
      <c r="AZ511" s="218"/>
      <c r="BA511" s="8"/>
      <c r="BB511" s="219"/>
      <c r="BC511" s="220"/>
    </row>
    <row r="512" spans="15:55" x14ac:dyDescent="0.25">
      <c r="O512" s="195">
        <v>340</v>
      </c>
      <c r="P512" s="202">
        <f t="shared" ref="P512:Q527" si="110">P1060</f>
        <v>0</v>
      </c>
      <c r="Q512" s="203">
        <f t="shared" si="110"/>
        <v>0</v>
      </c>
      <c r="R512" s="157">
        <f ca="1"/>
        <v>71.580333217003542</v>
      </c>
      <c r="T512" s="204">
        <v>0</v>
      </c>
      <c r="U512" s="206">
        <v>0</v>
      </c>
      <c r="V512" s="206">
        <v>0</v>
      </c>
      <c r="W512" s="206">
        <v>0</v>
      </c>
      <c r="X512" s="206">
        <f t="array" ref="X512">IF(X$78&gt;" ",(X$628:X$1078),"")</f>
        <v>0</v>
      </c>
      <c r="Y512" s="206">
        <f t="array" ref="Y512">IF(Y$78&gt;" ",(Y$628:Y$1078),"")</f>
        <v>0</v>
      </c>
      <c r="Z512" s="206">
        <f t="array" ref="Z512">IF(Z$78&gt;" ",(Z$628:Z$1078),"")</f>
        <v>0</v>
      </c>
      <c r="AA512" s="206">
        <f t="array" ref="AA512">IF(AA$78&gt;" ",(AA$628:AA$1078),"")</f>
        <v>0</v>
      </c>
      <c r="AB512" s="210">
        <v>0</v>
      </c>
      <c r="AC512" s="204">
        <f t="shared" si="97"/>
        <v>0</v>
      </c>
      <c r="AD512" s="206">
        <f t="shared" si="98"/>
        <v>0</v>
      </c>
      <c r="AE512" s="206">
        <f t="shared" si="99"/>
        <v>0</v>
      </c>
      <c r="AF512" s="206">
        <f t="shared" si="100"/>
        <v>0</v>
      </c>
      <c r="AG512" s="206">
        <f t="shared" si="101"/>
        <v>0</v>
      </c>
      <c r="AH512" s="206">
        <f t="shared" si="102"/>
        <v>0</v>
      </c>
      <c r="AI512" s="206">
        <f t="shared" si="103"/>
        <v>0</v>
      </c>
      <c r="AJ512" s="206">
        <f t="shared" si="104"/>
        <v>0</v>
      </c>
      <c r="AK512" s="206">
        <f t="shared" si="105"/>
        <v>0</v>
      </c>
      <c r="AL512" s="206">
        <f t="shared" si="106"/>
        <v>0</v>
      </c>
      <c r="AM512" s="214">
        <f t="shared" si="107"/>
        <v>0</v>
      </c>
      <c r="AN512" s="4"/>
      <c r="AO512" s="167">
        <v>340</v>
      </c>
      <c r="AP512" s="215">
        <v>1.1851755546245038E-3</v>
      </c>
      <c r="AQ512" s="190">
        <v>2.1900528679162519E-3</v>
      </c>
      <c r="AR512" s="190">
        <v>2.5232248944096901E-3</v>
      </c>
      <c r="AS512" s="170">
        <v>1.6598368937338604E-3</v>
      </c>
      <c r="AU512" s="216">
        <v>71.098827959880282</v>
      </c>
      <c r="AV512" s="217">
        <v>71.580333217003542</v>
      </c>
      <c r="AW512" s="217">
        <v>67.706073386368317</v>
      </c>
      <c r="AX512" s="217">
        <v>68.774438542773467</v>
      </c>
      <c r="AY512" s="217"/>
      <c r="AZ512" s="218"/>
      <c r="BA512" s="8"/>
      <c r="BB512" s="219"/>
      <c r="BC512" s="220"/>
    </row>
    <row r="513" spans="15:55" x14ac:dyDescent="0.25">
      <c r="O513" s="195">
        <v>335</v>
      </c>
      <c r="P513" s="202">
        <f t="shared" si="110"/>
        <v>0</v>
      </c>
      <c r="Q513" s="203">
        <f t="shared" si="110"/>
        <v>0</v>
      </c>
      <c r="R513" s="157">
        <f ca="1"/>
        <v>62.017621564637302</v>
      </c>
      <c r="T513" s="204">
        <v>0</v>
      </c>
      <c r="U513" s="206">
        <v>0</v>
      </c>
      <c r="V513" s="206">
        <v>0</v>
      </c>
      <c r="W513" s="206">
        <v>0</v>
      </c>
      <c r="X513" s="206">
        <f t="array" ref="X513">IF(X$78&gt;" ",(X$628:X$1078),"")</f>
        <v>0</v>
      </c>
      <c r="Y513" s="206">
        <f t="array" ref="Y513">IF(Y$78&gt;" ",(Y$628:Y$1078),"")</f>
        <v>0</v>
      </c>
      <c r="Z513" s="206">
        <f t="array" ref="Z513">IF(Z$78&gt;" ",(Z$628:Z$1078),"")</f>
        <v>0</v>
      </c>
      <c r="AA513" s="206">
        <f t="array" ref="AA513">IF(AA$78&gt;" ",(AA$628:AA$1078),"")</f>
        <v>0</v>
      </c>
      <c r="AB513" s="210">
        <v>0</v>
      </c>
      <c r="AC513" s="204">
        <f t="shared" si="97"/>
        <v>0</v>
      </c>
      <c r="AD513" s="206">
        <f t="shared" si="98"/>
        <v>0</v>
      </c>
      <c r="AE513" s="206">
        <f t="shared" si="99"/>
        <v>0</v>
      </c>
      <c r="AF513" s="206">
        <f t="shared" si="100"/>
        <v>0</v>
      </c>
      <c r="AG513" s="206">
        <f t="shared" si="101"/>
        <v>0</v>
      </c>
      <c r="AH513" s="206">
        <f t="shared" si="102"/>
        <v>0</v>
      </c>
      <c r="AI513" s="206">
        <f t="shared" si="103"/>
        <v>0</v>
      </c>
      <c r="AJ513" s="206">
        <f t="shared" si="104"/>
        <v>0</v>
      </c>
      <c r="AK513" s="206">
        <f t="shared" si="105"/>
        <v>0</v>
      </c>
      <c r="AL513" s="206">
        <f t="shared" si="106"/>
        <v>0</v>
      </c>
      <c r="AM513" s="214">
        <f t="shared" si="107"/>
        <v>0</v>
      </c>
      <c r="AN513" s="4"/>
      <c r="AO513" s="167">
        <v>335</v>
      </c>
      <c r="AP513" s="215">
        <v>1.0279449069095471E-3</v>
      </c>
      <c r="AQ513" s="190">
        <v>2.0189706201256263E-3</v>
      </c>
      <c r="AR513" s="190">
        <v>2.3325499482239279E-3</v>
      </c>
      <c r="AS513" s="170">
        <v>1.481759379459571E-3</v>
      </c>
      <c r="AU513" s="216">
        <v>61.683212420955357</v>
      </c>
      <c r="AV513" s="217">
        <v>62.017621564637302</v>
      </c>
      <c r="AW513" s="217">
        <v>57.4031073006092</v>
      </c>
      <c r="AX513" s="217">
        <v>58.347733634261125</v>
      </c>
      <c r="AY513" s="217"/>
      <c r="AZ513" s="218"/>
      <c r="BA513" s="8"/>
      <c r="BB513" s="219"/>
      <c r="BC513" s="220"/>
    </row>
    <row r="514" spans="15:55" x14ac:dyDescent="0.25">
      <c r="O514" s="195">
        <v>330</v>
      </c>
      <c r="P514" s="202">
        <f t="shared" si="110"/>
        <v>0</v>
      </c>
      <c r="Q514" s="203">
        <f t="shared" si="110"/>
        <v>0</v>
      </c>
      <c r="R514" s="157">
        <f ca="1"/>
        <v>51.905493145664273</v>
      </c>
      <c r="T514" s="204">
        <v>0</v>
      </c>
      <c r="U514" s="206">
        <v>0</v>
      </c>
      <c r="V514" s="206">
        <v>0</v>
      </c>
      <c r="W514" s="206">
        <v>0</v>
      </c>
      <c r="X514" s="206">
        <f t="array" ref="X514">IF(X$78&gt;" ",(X$628:X$1078),"")</f>
        <v>0</v>
      </c>
      <c r="Y514" s="206">
        <f t="array" ref="Y514">IF(Y$78&gt;" ",(Y$628:Y$1078),"")</f>
        <v>0</v>
      </c>
      <c r="Z514" s="206">
        <f t="array" ref="Z514">IF(Z$78&gt;" ",(Z$628:Z$1078),"")</f>
        <v>0</v>
      </c>
      <c r="AA514" s="206">
        <f t="array" ref="AA514">IF(AA$78&gt;" ",(AA$628:AA$1078),"")</f>
        <v>0</v>
      </c>
      <c r="AB514" s="210">
        <v>0</v>
      </c>
      <c r="AC514" s="204">
        <f t="shared" si="97"/>
        <v>0</v>
      </c>
      <c r="AD514" s="206">
        <f t="shared" si="98"/>
        <v>0</v>
      </c>
      <c r="AE514" s="206">
        <f t="shared" si="99"/>
        <v>0</v>
      </c>
      <c r="AF514" s="206">
        <f t="shared" si="100"/>
        <v>0</v>
      </c>
      <c r="AG514" s="206">
        <f t="shared" si="101"/>
        <v>0</v>
      </c>
      <c r="AH514" s="206">
        <f t="shared" si="102"/>
        <v>0</v>
      </c>
      <c r="AI514" s="206">
        <f t="shared" si="103"/>
        <v>0</v>
      </c>
      <c r="AJ514" s="206">
        <f t="shared" si="104"/>
        <v>0</v>
      </c>
      <c r="AK514" s="206">
        <f t="shared" si="105"/>
        <v>0</v>
      </c>
      <c r="AL514" s="206">
        <f t="shared" si="106"/>
        <v>0</v>
      </c>
      <c r="AM514" s="214">
        <f t="shared" si="107"/>
        <v>0</v>
      </c>
      <c r="AN514" s="4"/>
      <c r="AO514" s="167">
        <v>330</v>
      </c>
      <c r="AP514" s="215">
        <v>1.006804651754595E-3</v>
      </c>
      <c r="AQ514" s="190">
        <v>1.9149205980775266E-3</v>
      </c>
      <c r="AR514" s="190">
        <v>2.3703128397285444E-3</v>
      </c>
      <c r="AS514" s="170">
        <v>1.4658096335236274E-3</v>
      </c>
      <c r="AU514" s="216">
        <v>51.80894064270413</v>
      </c>
      <c r="AV514" s="217">
        <v>51.905493145664273</v>
      </c>
      <c r="AW514" s="217">
        <v>46.955138911953746</v>
      </c>
      <c r="AX514" s="217">
        <v>47.854177783928399</v>
      </c>
      <c r="AY514" s="217"/>
      <c r="AZ514" s="218"/>
      <c r="BA514" s="8"/>
      <c r="BB514" s="219"/>
      <c r="BC514" s="220"/>
    </row>
    <row r="515" spans="15:55" x14ac:dyDescent="0.25">
      <c r="O515" s="195">
        <v>325</v>
      </c>
      <c r="P515" s="202">
        <f t="shared" si="110"/>
        <v>0</v>
      </c>
      <c r="Q515" s="203">
        <f t="shared" si="110"/>
        <v>0</v>
      </c>
      <c r="R515" s="157">
        <f ca="1"/>
        <v>32.200102453901415</v>
      </c>
      <c r="T515" s="204">
        <v>0</v>
      </c>
      <c r="U515" s="206">
        <v>0</v>
      </c>
      <c r="V515" s="206">
        <v>0</v>
      </c>
      <c r="W515" s="206">
        <v>0</v>
      </c>
      <c r="X515" s="206">
        <f t="array" ref="X515">IF(X$78&gt;" ",(X$628:X$1078),"")</f>
        <v>0</v>
      </c>
      <c r="Y515" s="206">
        <f t="array" ref="Y515">IF(Y$78&gt;" ",(Y$628:Y$1078),"")</f>
        <v>0</v>
      </c>
      <c r="Z515" s="206">
        <f t="array" ref="Z515">IF(Z$78&gt;" ",(Z$628:Z$1078),"")</f>
        <v>0</v>
      </c>
      <c r="AA515" s="206">
        <f t="array" ref="AA515">IF(AA$78&gt;" ",(AA$628:AA$1078),"")</f>
        <v>0</v>
      </c>
      <c r="AB515" s="210">
        <v>0</v>
      </c>
      <c r="AC515" s="204">
        <f t="shared" si="97"/>
        <v>0</v>
      </c>
      <c r="AD515" s="206">
        <f t="shared" si="98"/>
        <v>0</v>
      </c>
      <c r="AE515" s="206">
        <f t="shared" si="99"/>
        <v>0</v>
      </c>
      <c r="AF515" s="206">
        <f t="shared" si="100"/>
        <v>0</v>
      </c>
      <c r="AG515" s="206">
        <f t="shared" si="101"/>
        <v>0</v>
      </c>
      <c r="AH515" s="206">
        <f t="shared" si="102"/>
        <v>0</v>
      </c>
      <c r="AI515" s="206">
        <f t="shared" si="103"/>
        <v>0</v>
      </c>
      <c r="AJ515" s="206">
        <f t="shared" si="104"/>
        <v>0</v>
      </c>
      <c r="AK515" s="206">
        <f t="shared" si="105"/>
        <v>0</v>
      </c>
      <c r="AL515" s="206">
        <f t="shared" si="106"/>
        <v>0</v>
      </c>
      <c r="AM515" s="214">
        <f t="shared" si="107"/>
        <v>0</v>
      </c>
      <c r="AN515" s="4"/>
      <c r="AO515" s="167">
        <v>325</v>
      </c>
      <c r="AP515" s="215">
        <v>6.6195423953943849E-4</v>
      </c>
      <c r="AQ515" s="190">
        <v>1.3096296044323317E-3</v>
      </c>
      <c r="AR515" s="190">
        <v>1.4026073177493801E-3</v>
      </c>
      <c r="AS515" s="170">
        <v>8.6766617891533004E-4</v>
      </c>
      <c r="AU515" s="216">
        <v>32.340795625832975</v>
      </c>
      <c r="AV515" s="217">
        <v>32.200102453901415</v>
      </c>
      <c r="AW515" s="217">
        <v>29.131018769926509</v>
      </c>
      <c r="AX515" s="217">
        <v>29.923898782166447</v>
      </c>
      <c r="AY515" s="217"/>
      <c r="AZ515" s="218"/>
      <c r="BA515" s="8"/>
      <c r="BB515" s="219"/>
      <c r="BC515" s="220"/>
    </row>
    <row r="516" spans="15:55" x14ac:dyDescent="0.25">
      <c r="O516" s="195">
        <v>320</v>
      </c>
      <c r="P516" s="202">
        <f t="shared" si="110"/>
        <v>0</v>
      </c>
      <c r="Q516" s="203">
        <f t="shared" si="110"/>
        <v>0</v>
      </c>
      <c r="R516" s="157">
        <f ca="1"/>
        <v>14.098598648817719</v>
      </c>
      <c r="T516" s="204">
        <v>0</v>
      </c>
      <c r="U516" s="206">
        <v>0</v>
      </c>
      <c r="V516" s="206">
        <v>0</v>
      </c>
      <c r="W516" s="206">
        <v>0</v>
      </c>
      <c r="X516" s="206">
        <f t="array" ref="X516">IF(X$78&gt;" ",(X$628:X$1078),"")</f>
        <v>0</v>
      </c>
      <c r="Y516" s="206">
        <f t="array" ref="Y516">IF(Y$78&gt;" ",(Y$628:Y$1078),"")</f>
        <v>0</v>
      </c>
      <c r="Z516" s="206">
        <f t="array" ref="Z516">IF(Z$78&gt;" ",(Z$628:Z$1078),"")</f>
        <v>0</v>
      </c>
      <c r="AA516" s="206">
        <f t="array" ref="AA516">IF(AA$78&gt;" ",(AA$628:AA$1078),"")</f>
        <v>0</v>
      </c>
      <c r="AB516" s="210">
        <v>0</v>
      </c>
      <c r="AC516" s="204">
        <f t="shared" si="97"/>
        <v>0</v>
      </c>
      <c r="AD516" s="206">
        <f t="shared" si="98"/>
        <v>0</v>
      </c>
      <c r="AE516" s="206">
        <f t="shared" si="99"/>
        <v>0</v>
      </c>
      <c r="AF516" s="206">
        <f t="shared" si="100"/>
        <v>0</v>
      </c>
      <c r="AG516" s="206">
        <f t="shared" si="101"/>
        <v>0</v>
      </c>
      <c r="AH516" s="206">
        <f t="shared" si="102"/>
        <v>0</v>
      </c>
      <c r="AI516" s="206">
        <f t="shared" si="103"/>
        <v>0</v>
      </c>
      <c r="AJ516" s="206">
        <f t="shared" si="104"/>
        <v>0</v>
      </c>
      <c r="AK516" s="206">
        <f t="shared" si="105"/>
        <v>0</v>
      </c>
      <c r="AL516" s="206">
        <f t="shared" si="106"/>
        <v>0</v>
      </c>
      <c r="AM516" s="214">
        <f t="shared" si="107"/>
        <v>0</v>
      </c>
      <c r="AN516" s="4"/>
      <c r="AO516" s="167">
        <v>320</v>
      </c>
      <c r="AP516" s="215">
        <v>4.7037067719768488E-4</v>
      </c>
      <c r="AQ516" s="190">
        <v>9.1644057880826252E-4</v>
      </c>
      <c r="AR516" s="190">
        <v>1.0321689399670727E-3</v>
      </c>
      <c r="AS516" s="170">
        <v>6.3110626287591438E-4</v>
      </c>
      <c r="AU516" s="216">
        <v>14.197446584075621</v>
      </c>
      <c r="AV516" s="217">
        <v>14.098598648817719</v>
      </c>
      <c r="AW516" s="217">
        <v>11.653625842633593</v>
      </c>
      <c r="AX516" s="217">
        <v>12.010427298307393</v>
      </c>
      <c r="AY516" s="217"/>
      <c r="AZ516" s="218"/>
      <c r="BA516" s="8"/>
      <c r="BB516" s="219"/>
      <c r="BC516" s="220"/>
    </row>
    <row r="517" spans="15:55" x14ac:dyDescent="0.25">
      <c r="O517" s="195">
        <v>315</v>
      </c>
      <c r="P517" s="202">
        <f t="shared" si="110"/>
        <v>0</v>
      </c>
      <c r="Q517" s="203">
        <f t="shared" si="110"/>
        <v>0</v>
      </c>
      <c r="R517" s="157">
        <f ca="1"/>
        <v>11.905141219719434</v>
      </c>
      <c r="T517" s="204">
        <v>0</v>
      </c>
      <c r="U517" s="206">
        <v>0</v>
      </c>
      <c r="V517" s="206">
        <v>0</v>
      </c>
      <c r="W517" s="206">
        <v>0</v>
      </c>
      <c r="X517" s="206">
        <f t="array" ref="X517">IF(X$78&gt;" ",(X$628:X$1078),"")</f>
        <v>0</v>
      </c>
      <c r="Y517" s="206">
        <f t="array" ref="Y517">IF(Y$78&gt;" ",(Y$628:Y$1078),"")</f>
        <v>0</v>
      </c>
      <c r="Z517" s="206">
        <f t="array" ref="Z517">IF(Z$78&gt;" ",(Z$628:Z$1078),"")</f>
        <v>0</v>
      </c>
      <c r="AA517" s="206">
        <f t="array" ref="AA517">IF(AA$78&gt;" ",(AA$628:AA$1078),"")</f>
        <v>0</v>
      </c>
      <c r="AB517" s="210">
        <v>0</v>
      </c>
      <c r="AC517" s="204">
        <f t="shared" si="97"/>
        <v>0</v>
      </c>
      <c r="AD517" s="206">
        <f t="shared" si="98"/>
        <v>0</v>
      </c>
      <c r="AE517" s="206">
        <f t="shared" si="99"/>
        <v>0</v>
      </c>
      <c r="AF517" s="206">
        <f t="shared" si="100"/>
        <v>0</v>
      </c>
      <c r="AG517" s="206">
        <f t="shared" si="101"/>
        <v>0</v>
      </c>
      <c r="AH517" s="206">
        <f t="shared" si="102"/>
        <v>0</v>
      </c>
      <c r="AI517" s="206">
        <f t="shared" si="103"/>
        <v>0</v>
      </c>
      <c r="AJ517" s="206">
        <f t="shared" si="104"/>
        <v>0</v>
      </c>
      <c r="AK517" s="206">
        <f t="shared" si="105"/>
        <v>0</v>
      </c>
      <c r="AL517" s="206">
        <f t="shared" si="106"/>
        <v>0</v>
      </c>
      <c r="AM517" s="214">
        <f t="shared" si="107"/>
        <v>0</v>
      </c>
      <c r="AN517" s="4"/>
      <c r="AO517" s="167">
        <v>315</v>
      </c>
      <c r="AP517" s="215">
        <v>2.7152015214641637E-4</v>
      </c>
      <c r="AQ517" s="190">
        <v>5.5426646360237717E-4</v>
      </c>
      <c r="AR517" s="190">
        <v>6.8511237916165854E-4</v>
      </c>
      <c r="AS517" s="170">
        <v>4.1237648387225877E-4</v>
      </c>
      <c r="AU517" s="216">
        <v>11.895917350273615</v>
      </c>
      <c r="AV517" s="217">
        <v>11.905141219719434</v>
      </c>
      <c r="AW517" s="217">
        <v>9.7323999522580831</v>
      </c>
      <c r="AX517" s="217">
        <v>9.6736059965368177</v>
      </c>
      <c r="AY517" s="217"/>
      <c r="AZ517" s="218"/>
      <c r="BA517" s="8"/>
      <c r="BB517" s="219"/>
      <c r="BC517" s="220"/>
    </row>
    <row r="518" spans="15:55" x14ac:dyDescent="0.25">
      <c r="O518" s="195">
        <v>310</v>
      </c>
      <c r="P518" s="202">
        <f t="shared" si="110"/>
        <v>0</v>
      </c>
      <c r="Q518" s="203">
        <f t="shared" si="110"/>
        <v>0</v>
      </c>
      <c r="R518" s="157">
        <f ca="1"/>
        <v>8.4438825926276895</v>
      </c>
      <c r="T518" s="204">
        <v>0</v>
      </c>
      <c r="U518" s="206">
        <v>0</v>
      </c>
      <c r="V518" s="206">
        <v>0</v>
      </c>
      <c r="W518" s="206">
        <v>0</v>
      </c>
      <c r="X518" s="206">
        <f t="array" ref="X518">IF(X$78&gt;" ",(X$628:X$1078),"")</f>
        <v>0</v>
      </c>
      <c r="Y518" s="206">
        <f t="array" ref="Y518">IF(Y$78&gt;" ",(Y$628:Y$1078),"")</f>
        <v>0</v>
      </c>
      <c r="Z518" s="206">
        <f t="array" ref="Z518">IF(Z$78&gt;" ",(Z$628:Z$1078),"")</f>
        <v>0</v>
      </c>
      <c r="AA518" s="206">
        <f t="array" ref="AA518">IF(AA$78&gt;" ",(AA$628:AA$1078),"")</f>
        <v>0</v>
      </c>
      <c r="AB518" s="210">
        <v>0</v>
      </c>
      <c r="AC518" s="204">
        <f t="shared" si="97"/>
        <v>0</v>
      </c>
      <c r="AD518" s="206">
        <f t="shared" si="98"/>
        <v>0</v>
      </c>
      <c r="AE518" s="206">
        <f t="shared" si="99"/>
        <v>0</v>
      </c>
      <c r="AF518" s="206">
        <f t="shared" si="100"/>
        <v>0</v>
      </c>
      <c r="AG518" s="206">
        <f t="shared" si="101"/>
        <v>0</v>
      </c>
      <c r="AH518" s="206">
        <f t="shared" si="102"/>
        <v>0</v>
      </c>
      <c r="AI518" s="206">
        <f t="shared" si="103"/>
        <v>0</v>
      </c>
      <c r="AJ518" s="206">
        <f t="shared" si="104"/>
        <v>0</v>
      </c>
      <c r="AK518" s="206">
        <f t="shared" si="105"/>
        <v>0</v>
      </c>
      <c r="AL518" s="206">
        <f t="shared" si="106"/>
        <v>0</v>
      </c>
      <c r="AM518" s="214">
        <f t="shared" si="107"/>
        <v>0</v>
      </c>
      <c r="AN518" s="4"/>
      <c r="AO518" s="167">
        <v>310</v>
      </c>
      <c r="AP518" s="215">
        <v>1.0305874388039161E-4</v>
      </c>
      <c r="AQ518" s="190">
        <v>2.3611351157068773E-4</v>
      </c>
      <c r="AR518" s="190">
        <v>2.5613900537332641E-4</v>
      </c>
      <c r="AS518" s="170">
        <v>1.5572548435563706E-4</v>
      </c>
      <c r="AU518" s="216">
        <v>8.48286883473987</v>
      </c>
      <c r="AV518" s="217">
        <v>8.4438825926276895</v>
      </c>
      <c r="AW518" s="217">
        <v>7.4520817509675483</v>
      </c>
      <c r="AX518" s="217">
        <v>7.3395041933678558</v>
      </c>
      <c r="AY518" s="217"/>
      <c r="AZ518" s="218"/>
      <c r="BA518" s="8"/>
      <c r="BB518" s="219"/>
      <c r="BC518" s="220"/>
    </row>
    <row r="519" spans="15:55" x14ac:dyDescent="0.25">
      <c r="O519" s="195">
        <v>305</v>
      </c>
      <c r="P519" s="202">
        <f t="shared" si="110"/>
        <v>0</v>
      </c>
      <c r="Q519" s="203">
        <f t="shared" si="110"/>
        <v>0</v>
      </c>
      <c r="R519" s="157">
        <f ca="1"/>
        <v>8.8863214797687871</v>
      </c>
      <c r="T519" s="204">
        <v>0</v>
      </c>
      <c r="U519" s="206">
        <v>0</v>
      </c>
      <c r="V519" s="206">
        <v>0</v>
      </c>
      <c r="W519" s="206">
        <v>0</v>
      </c>
      <c r="X519" s="206">
        <f t="array" ref="X519">IF(X$78&gt;" ",(X$628:X$1078),"")</f>
        <v>0</v>
      </c>
      <c r="Y519" s="206">
        <f t="array" ref="Y519">IF(Y$78&gt;" ",(Y$628:Y$1078),"")</f>
        <v>0</v>
      </c>
      <c r="Z519" s="206">
        <f t="array" ref="Z519">IF(Z$78&gt;" ",(Z$628:Z$1078),"")</f>
        <v>0</v>
      </c>
      <c r="AA519" s="206">
        <f t="array" ref="AA519">IF(AA$78&gt;" ",(AA$628:AA$1078),"")</f>
        <v>0</v>
      </c>
      <c r="AB519" s="210">
        <v>0</v>
      </c>
      <c r="AC519" s="204">
        <f t="shared" si="97"/>
        <v>0</v>
      </c>
      <c r="AD519" s="206">
        <f t="shared" si="98"/>
        <v>0</v>
      </c>
      <c r="AE519" s="206">
        <f t="shared" si="99"/>
        <v>0</v>
      </c>
      <c r="AF519" s="206">
        <f t="shared" si="100"/>
        <v>0</v>
      </c>
      <c r="AG519" s="206">
        <f t="shared" si="101"/>
        <v>0</v>
      </c>
      <c r="AH519" s="206">
        <f t="shared" si="102"/>
        <v>0</v>
      </c>
      <c r="AI519" s="206">
        <f t="shared" si="103"/>
        <v>0</v>
      </c>
      <c r="AJ519" s="206">
        <f t="shared" si="104"/>
        <v>0</v>
      </c>
      <c r="AK519" s="206">
        <f t="shared" si="105"/>
        <v>0</v>
      </c>
      <c r="AL519" s="206">
        <f t="shared" si="106"/>
        <v>0</v>
      </c>
      <c r="AM519" s="214">
        <f t="shared" si="107"/>
        <v>0</v>
      </c>
      <c r="AN519" s="4"/>
      <c r="AO519" s="167">
        <v>305</v>
      </c>
      <c r="AP519" s="215">
        <v>2.2461521102136635E-5</v>
      </c>
      <c r="AQ519" s="190">
        <v>5.7027415930208482E-5</v>
      </c>
      <c r="AR519" s="190">
        <v>8.2781688793676208E-5</v>
      </c>
      <c r="AS519" s="170">
        <v>4.9996017646787874E-5</v>
      </c>
      <c r="AU519" s="216">
        <v>8.9965674128960558</v>
      </c>
      <c r="AV519" s="217">
        <v>8.8863214797687871</v>
      </c>
      <c r="AW519" s="217">
        <v>7.2238047074392675</v>
      </c>
      <c r="AX519" s="217">
        <v>7.2208579260799697</v>
      </c>
      <c r="AY519" s="217"/>
      <c r="AZ519" s="218"/>
      <c r="BA519" s="8"/>
      <c r="BB519" s="219"/>
      <c r="BC519" s="220"/>
    </row>
    <row r="520" spans="15:55" x14ac:dyDescent="0.25">
      <c r="O520" s="195">
        <v>300</v>
      </c>
      <c r="P520" s="202">
        <f t="shared" si="110"/>
        <v>0</v>
      </c>
      <c r="Q520" s="203">
        <f t="shared" si="110"/>
        <v>0</v>
      </c>
      <c r="R520" s="157">
        <f ca="1"/>
        <v>9.5564520262399597</v>
      </c>
      <c r="T520" s="204">
        <v>0</v>
      </c>
      <c r="U520" s="206">
        <v>0</v>
      </c>
      <c r="V520" s="206">
        <v>0</v>
      </c>
      <c r="W520" s="206">
        <v>0</v>
      </c>
      <c r="X520" s="206">
        <f t="array" ref="X520">IF(X$78&gt;" ",(X$628:X$1078),"")</f>
        <v>0</v>
      </c>
      <c r="Y520" s="206">
        <f t="array" ref="Y520">IF(Y$78&gt;" ",(Y$628:Y$1078),"")</f>
        <v>0</v>
      </c>
      <c r="Z520" s="206">
        <f t="array" ref="Z520">IF(Z$78&gt;" ",(Z$628:Z$1078),"")</f>
        <v>0</v>
      </c>
      <c r="AA520" s="206">
        <f t="array" ref="AA520">IF(AA$78&gt;" ",(AA$628:AA$1078),"")</f>
        <v>0</v>
      </c>
      <c r="AB520" s="210">
        <v>0</v>
      </c>
      <c r="AC520" s="204">
        <f t="shared" si="97"/>
        <v>0</v>
      </c>
      <c r="AD520" s="206">
        <f t="shared" si="98"/>
        <v>0</v>
      </c>
      <c r="AE520" s="206">
        <f t="shared" si="99"/>
        <v>0</v>
      </c>
      <c r="AF520" s="206">
        <f t="shared" si="100"/>
        <v>0</v>
      </c>
      <c r="AG520" s="206">
        <f t="shared" si="101"/>
        <v>0</v>
      </c>
      <c r="AH520" s="206">
        <f t="shared" si="102"/>
        <v>0</v>
      </c>
      <c r="AI520" s="206">
        <f t="shared" si="103"/>
        <v>0</v>
      </c>
      <c r="AJ520" s="206">
        <f t="shared" si="104"/>
        <v>0</v>
      </c>
      <c r="AK520" s="206">
        <f t="shared" si="105"/>
        <v>0</v>
      </c>
      <c r="AL520" s="206">
        <f t="shared" si="106"/>
        <v>0</v>
      </c>
      <c r="AM520" s="214">
        <f t="shared" si="107"/>
        <v>0</v>
      </c>
      <c r="AN520" s="4"/>
      <c r="AO520" s="167">
        <v>300</v>
      </c>
      <c r="AP520" s="215">
        <v>0</v>
      </c>
      <c r="AQ520" s="190">
        <v>0</v>
      </c>
      <c r="AR520" s="190">
        <v>5.1314288655741101E-6</v>
      </c>
      <c r="AS520" s="170">
        <v>2.553694234396634E-6</v>
      </c>
      <c r="AU520" s="216">
        <v>9.6943747306200354</v>
      </c>
      <c r="AV520" s="217">
        <v>9.5564520262399597</v>
      </c>
      <c r="AW520" s="217">
        <v>7.0270990052552564</v>
      </c>
      <c r="AX520" s="217">
        <v>7.0480905593093111</v>
      </c>
      <c r="AY520" s="217"/>
      <c r="AZ520" s="218"/>
      <c r="BA520" s="8"/>
      <c r="BB520" s="219"/>
      <c r="BC520" s="220"/>
    </row>
    <row r="521" spans="15:55" x14ac:dyDescent="0.25">
      <c r="O521" s="195">
        <v>295</v>
      </c>
      <c r="P521" s="202">
        <f t="shared" si="110"/>
        <v>0</v>
      </c>
      <c r="Q521" s="203">
        <f t="shared" si="110"/>
        <v>0</v>
      </c>
      <c r="R521" s="157">
        <f ca="1"/>
        <v>9.2750973850751492</v>
      </c>
      <c r="T521" s="204">
        <v>0</v>
      </c>
      <c r="U521" s="206">
        <v>0</v>
      </c>
      <c r="V521" s="206">
        <v>0</v>
      </c>
      <c r="W521" s="206">
        <v>0</v>
      </c>
      <c r="X521" s="206">
        <f t="array" ref="X521">IF(X$78&gt;" ",(X$628:X$1078),"")</f>
        <v>0</v>
      </c>
      <c r="Y521" s="206">
        <f t="array" ref="Y521">IF(Y$78&gt;" ",(Y$628:Y$1078),"")</f>
        <v>0</v>
      </c>
      <c r="Z521" s="206">
        <f t="array" ref="Z521">IF(Z$78&gt;" ",(Z$628:Z$1078),"")</f>
        <v>0</v>
      </c>
      <c r="AA521" s="206">
        <f t="array" ref="AA521">IF(AA$78&gt;" ",(AA$628:AA$1078),"")</f>
        <v>0</v>
      </c>
      <c r="AB521" s="210">
        <v>0</v>
      </c>
      <c r="AC521" s="204">
        <f t="shared" si="97"/>
        <v>0</v>
      </c>
      <c r="AD521" s="206">
        <f t="shared" si="98"/>
        <v>0</v>
      </c>
      <c r="AE521" s="206">
        <f t="shared" si="99"/>
        <v>0</v>
      </c>
      <c r="AF521" s="206">
        <f t="shared" si="100"/>
        <v>0</v>
      </c>
      <c r="AG521" s="206">
        <f t="shared" si="101"/>
        <v>0</v>
      </c>
      <c r="AH521" s="206">
        <f t="shared" si="102"/>
        <v>0</v>
      </c>
      <c r="AI521" s="206">
        <f t="shared" si="103"/>
        <v>0</v>
      </c>
      <c r="AJ521" s="206">
        <f t="shared" si="104"/>
        <v>0</v>
      </c>
      <c r="AK521" s="206">
        <f t="shared" si="105"/>
        <v>0</v>
      </c>
      <c r="AL521" s="206">
        <f t="shared" si="106"/>
        <v>0</v>
      </c>
      <c r="AM521" s="214">
        <f t="shared" si="107"/>
        <v>0</v>
      </c>
      <c r="AN521" s="4"/>
      <c r="AO521" s="167">
        <v>295</v>
      </c>
      <c r="AP521" s="247"/>
      <c r="AQ521" s="247"/>
      <c r="AR521" s="169">
        <v>6.1798393687315837E-8</v>
      </c>
      <c r="AS521" s="170">
        <v>1.8046158156155658E-8</v>
      </c>
      <c r="AU521" s="216">
        <v>9.4112179739484958</v>
      </c>
      <c r="AV521" s="217">
        <v>9.2750973850751492</v>
      </c>
      <c r="AW521" s="217">
        <v>6.5981242435872831</v>
      </c>
      <c r="AX521" s="217">
        <v>6.6130275442973199</v>
      </c>
      <c r="AY521" s="217"/>
      <c r="AZ521" s="218"/>
      <c r="BA521" s="8"/>
      <c r="BB521" s="219"/>
      <c r="BC521" s="220"/>
    </row>
    <row r="522" spans="15:55" x14ac:dyDescent="0.25">
      <c r="O522" s="195">
        <v>290</v>
      </c>
      <c r="P522" s="202">
        <f t="shared" si="110"/>
        <v>0</v>
      </c>
      <c r="Q522" s="203">
        <f t="shared" si="110"/>
        <v>0</v>
      </c>
      <c r="R522" s="157">
        <f ca="1"/>
        <v>9.0029684642243542</v>
      </c>
      <c r="T522" s="204">
        <v>0</v>
      </c>
      <c r="U522" s="206">
        <v>0</v>
      </c>
      <c r="V522" s="206">
        <v>0</v>
      </c>
      <c r="W522" s="206">
        <v>0</v>
      </c>
      <c r="X522" s="206">
        <f t="array" ref="X522">IF(X$78&gt;" ",(X$628:X$1078),"")</f>
        <v>0</v>
      </c>
      <c r="Y522" s="206">
        <f t="array" ref="Y522">IF(Y$78&gt;" ",(Y$628:Y$1078),"")</f>
        <v>0</v>
      </c>
      <c r="Z522" s="206">
        <f t="array" ref="Z522">IF(Z$78&gt;" ",(Z$628:Z$1078),"")</f>
        <v>0</v>
      </c>
      <c r="AA522" s="206">
        <f t="array" ref="AA522">IF(AA$78&gt;" ",(AA$628:AA$1078),"")</f>
        <v>0</v>
      </c>
      <c r="AB522" s="210">
        <v>0</v>
      </c>
      <c r="AC522" s="204">
        <f t="shared" si="97"/>
        <v>0</v>
      </c>
      <c r="AD522" s="206">
        <f t="shared" si="98"/>
        <v>0</v>
      </c>
      <c r="AE522" s="206">
        <f t="shared" si="99"/>
        <v>0</v>
      </c>
      <c r="AF522" s="206">
        <f t="shared" si="100"/>
        <v>0</v>
      </c>
      <c r="AG522" s="206">
        <f t="shared" si="101"/>
        <v>0</v>
      </c>
      <c r="AH522" s="206">
        <f t="shared" si="102"/>
        <v>0</v>
      </c>
      <c r="AI522" s="206">
        <f t="shared" si="103"/>
        <v>0</v>
      </c>
      <c r="AJ522" s="206">
        <f t="shared" si="104"/>
        <v>0</v>
      </c>
      <c r="AK522" s="206">
        <f t="shared" si="105"/>
        <v>0</v>
      </c>
      <c r="AL522" s="206">
        <f t="shared" si="106"/>
        <v>0</v>
      </c>
      <c r="AM522" s="214">
        <f t="shared" si="107"/>
        <v>0</v>
      </c>
      <c r="AN522" s="4"/>
      <c r="AO522" s="167">
        <v>290</v>
      </c>
      <c r="AP522" s="247"/>
      <c r="AQ522" s="247"/>
      <c r="AR522" s="169">
        <v>3.025456266377884E-11</v>
      </c>
      <c r="AS522" s="170">
        <v>2.8795727276773336E-12</v>
      </c>
      <c r="AU522" s="216">
        <v>9.1672227298050153</v>
      </c>
      <c r="AV522" s="217">
        <v>9.0029684642243542</v>
      </c>
      <c r="AW522" s="217">
        <v>6.1470807646671055</v>
      </c>
      <c r="AX522" s="217">
        <v>6.161409624258404</v>
      </c>
      <c r="AY522" s="217"/>
      <c r="AZ522" s="218"/>
      <c r="BA522" s="8"/>
      <c r="BB522" s="219"/>
      <c r="BC522" s="220"/>
    </row>
    <row r="523" spans="15:55" x14ac:dyDescent="0.25">
      <c r="O523" s="195">
        <v>285</v>
      </c>
      <c r="P523" s="202">
        <f t="shared" si="110"/>
        <v>0</v>
      </c>
      <c r="Q523" s="203">
        <f t="shared" si="110"/>
        <v>0</v>
      </c>
      <c r="R523" s="157">
        <f ca="1"/>
        <v>8.2080514800003979</v>
      </c>
      <c r="T523" s="204">
        <v>0</v>
      </c>
      <c r="U523" s="206">
        <v>0</v>
      </c>
      <c r="V523" s="206">
        <v>0</v>
      </c>
      <c r="W523" s="206">
        <v>0</v>
      </c>
      <c r="X523" s="206">
        <f t="array" ref="X523">IF(X$78&gt;" ",(X$628:X$1078),"")</f>
        <v>0</v>
      </c>
      <c r="Y523" s="206">
        <f t="array" ref="Y523">IF(Y$78&gt;" ",(Y$628:Y$1078),"")</f>
        <v>0</v>
      </c>
      <c r="Z523" s="206">
        <f t="array" ref="Z523">IF(Z$78&gt;" ",(Z$628:Z$1078),"")</f>
        <v>0</v>
      </c>
      <c r="AA523" s="206">
        <f t="array" ref="AA523">IF(AA$78&gt;" ",(AA$628:AA$1078),"")</f>
        <v>0</v>
      </c>
      <c r="AB523" s="210">
        <v>0</v>
      </c>
      <c r="AC523" s="204">
        <f t="shared" si="97"/>
        <v>0</v>
      </c>
      <c r="AD523" s="206">
        <f t="shared" si="98"/>
        <v>0</v>
      </c>
      <c r="AE523" s="206">
        <f t="shared" si="99"/>
        <v>0</v>
      </c>
      <c r="AF523" s="206">
        <f t="shared" si="100"/>
        <v>0</v>
      </c>
      <c r="AG523" s="206">
        <f t="shared" si="101"/>
        <v>0</v>
      </c>
      <c r="AH523" s="206">
        <f t="shared" si="102"/>
        <v>0</v>
      </c>
      <c r="AI523" s="206">
        <f t="shared" si="103"/>
        <v>0</v>
      </c>
      <c r="AJ523" s="206">
        <f t="shared" si="104"/>
        <v>0</v>
      </c>
      <c r="AK523" s="206">
        <f t="shared" si="105"/>
        <v>0</v>
      </c>
      <c r="AL523" s="206">
        <f t="shared" si="106"/>
        <v>0</v>
      </c>
      <c r="AM523" s="214">
        <f t="shared" si="107"/>
        <v>0</v>
      </c>
      <c r="AN523" s="4"/>
      <c r="AO523" s="167">
        <v>285</v>
      </c>
      <c r="AP523" s="247"/>
      <c r="AQ523" s="247"/>
      <c r="AR523" s="169">
        <v>4.0298184433595328E-17</v>
      </c>
      <c r="AS523" s="170">
        <v>5.0366499464668379E-19</v>
      </c>
      <c r="AU523" s="216">
        <v>8.372424242424243</v>
      </c>
      <c r="AV523" s="217">
        <v>8.2080514800003979</v>
      </c>
      <c r="AW523" s="217">
        <v>6.0165276464390516</v>
      </c>
      <c r="AX523" s="217">
        <v>6.0353617090288481</v>
      </c>
      <c r="AY523" s="217"/>
      <c r="AZ523" s="218"/>
      <c r="BA523" s="8"/>
      <c r="BB523" s="219"/>
      <c r="BC523" s="220"/>
    </row>
    <row r="524" spans="15:55" x14ac:dyDescent="0.25">
      <c r="O524" s="195">
        <v>280</v>
      </c>
      <c r="P524" s="202">
        <f t="shared" si="110"/>
        <v>0</v>
      </c>
      <c r="Q524" s="203">
        <f t="shared" si="110"/>
        <v>0</v>
      </c>
      <c r="R524" s="157">
        <f ca="1"/>
        <v>7.3978575200145364</v>
      </c>
      <c r="T524" s="204">
        <v>0</v>
      </c>
      <c r="U524" s="206">
        <v>0</v>
      </c>
      <c r="V524" s="206">
        <v>0</v>
      </c>
      <c r="W524" s="206">
        <v>0</v>
      </c>
      <c r="X524" s="206">
        <f t="array" ref="X524">IF(X$78&gt;" ",(X$628:X$1078),"")</f>
        <v>0</v>
      </c>
      <c r="Y524" s="206">
        <f t="array" ref="Y524">IF(Y$78&gt;" ",(Y$628:Y$1078),"")</f>
        <v>0</v>
      </c>
      <c r="Z524" s="206">
        <f t="array" ref="Z524">IF(Z$78&gt;" ",(Z$628:Z$1078),"")</f>
        <v>0</v>
      </c>
      <c r="AA524" s="206">
        <f t="array" ref="AA524">IF(AA$78&gt;" ",(AA$628:AA$1078),"")</f>
        <v>0</v>
      </c>
      <c r="AB524" s="210">
        <v>0</v>
      </c>
      <c r="AC524" s="204">
        <f t="shared" si="97"/>
        <v>0</v>
      </c>
      <c r="AD524" s="206">
        <f t="shared" si="98"/>
        <v>0</v>
      </c>
      <c r="AE524" s="206">
        <f t="shared" si="99"/>
        <v>0</v>
      </c>
      <c r="AF524" s="206">
        <f t="shared" si="100"/>
        <v>0</v>
      </c>
      <c r="AG524" s="206">
        <f t="shared" si="101"/>
        <v>0</v>
      </c>
      <c r="AH524" s="206">
        <f t="shared" si="102"/>
        <v>0</v>
      </c>
      <c r="AI524" s="206">
        <f t="shared" si="103"/>
        <v>0</v>
      </c>
      <c r="AJ524" s="206">
        <f t="shared" si="104"/>
        <v>0</v>
      </c>
      <c r="AK524" s="206">
        <f t="shared" si="105"/>
        <v>0</v>
      </c>
      <c r="AL524" s="206">
        <f t="shared" si="106"/>
        <v>0</v>
      </c>
      <c r="AM524" s="214">
        <f t="shared" si="107"/>
        <v>0</v>
      </c>
      <c r="AN524" s="4"/>
      <c r="AO524" s="167">
        <v>280</v>
      </c>
      <c r="AP524" s="247"/>
      <c r="AQ524" s="247"/>
      <c r="AR524" s="169">
        <v>2.3788610308813874E-25</v>
      </c>
      <c r="AS524" s="170">
        <v>1.4193035322156657E-28</v>
      </c>
      <c r="AU524" s="216">
        <v>7.5320741940906544</v>
      </c>
      <c r="AV524" s="217">
        <v>7.3978575200145364</v>
      </c>
      <c r="AW524" s="217">
        <v>5.9157294492215913</v>
      </c>
      <c r="AX524" s="217">
        <v>5.9273313904418101</v>
      </c>
      <c r="AY524" s="217"/>
      <c r="AZ524" s="218"/>
      <c r="BA524" s="8"/>
      <c r="BB524" s="219"/>
      <c r="BC524" s="220"/>
    </row>
    <row r="525" spans="15:55" x14ac:dyDescent="0.25">
      <c r="O525" s="195">
        <v>275</v>
      </c>
      <c r="P525" s="202">
        <f t="shared" si="110"/>
        <v>0</v>
      </c>
      <c r="Q525" s="203">
        <f t="shared" si="110"/>
        <v>0</v>
      </c>
      <c r="R525" s="157">
        <f ca="1"/>
        <v>6.8651081394080906</v>
      </c>
      <c r="T525" s="204">
        <v>0</v>
      </c>
      <c r="U525" s="206">
        <v>0</v>
      </c>
      <c r="V525" s="206">
        <v>0</v>
      </c>
      <c r="W525" s="206">
        <v>0</v>
      </c>
      <c r="X525" s="206">
        <f t="array" ref="X525">IF(X$78&gt;" ",(X$628:X$1078),"")</f>
        <v>0</v>
      </c>
      <c r="Y525" s="206">
        <f t="array" ref="Y525">IF(Y$78&gt;" ",(Y$628:Y$1078),"")</f>
        <v>0</v>
      </c>
      <c r="Z525" s="206">
        <f t="array" ref="Z525">IF(Z$78&gt;" ",(Z$628:Z$1078),"")</f>
        <v>0</v>
      </c>
      <c r="AA525" s="206">
        <f t="array" ref="AA525">IF(AA$78&gt;" ",(AA$628:AA$1078),"")</f>
        <v>0</v>
      </c>
      <c r="AB525" s="210">
        <v>0</v>
      </c>
      <c r="AC525" s="204">
        <f t="shared" si="97"/>
        <v>0</v>
      </c>
      <c r="AD525" s="206">
        <f t="shared" si="98"/>
        <v>0</v>
      </c>
      <c r="AE525" s="206">
        <f t="shared" si="99"/>
        <v>0</v>
      </c>
      <c r="AF525" s="206">
        <f t="shared" si="100"/>
        <v>0</v>
      </c>
      <c r="AG525" s="206">
        <f t="shared" si="101"/>
        <v>0</v>
      </c>
      <c r="AH525" s="206">
        <f t="shared" si="102"/>
        <v>0</v>
      </c>
      <c r="AI525" s="206">
        <f t="shared" si="103"/>
        <v>0</v>
      </c>
      <c r="AJ525" s="206">
        <f t="shared" si="104"/>
        <v>0</v>
      </c>
      <c r="AK525" s="206">
        <f t="shared" si="105"/>
        <v>0</v>
      </c>
      <c r="AL525" s="206">
        <f t="shared" si="106"/>
        <v>0</v>
      </c>
      <c r="AM525" s="214">
        <f t="shared" si="107"/>
        <v>0</v>
      </c>
      <c r="AN525" s="4"/>
      <c r="AO525" s="167">
        <v>275</v>
      </c>
      <c r="AP525" s="247"/>
      <c r="AQ525" s="247"/>
      <c r="AR525" s="168"/>
      <c r="AS525" s="248"/>
      <c r="AU525" s="216">
        <v>6.9814919843464329</v>
      </c>
      <c r="AV525" s="217">
        <v>6.8651081394080906</v>
      </c>
      <c r="AW525" s="217">
        <v>6.0330204315078122</v>
      </c>
      <c r="AX525" s="217">
        <v>6.0381082465155558</v>
      </c>
      <c r="AY525" s="217"/>
      <c r="AZ525" s="218"/>
      <c r="BA525" s="8"/>
      <c r="BB525" s="219"/>
      <c r="BC525" s="220"/>
    </row>
    <row r="526" spans="15:55" x14ac:dyDescent="0.25">
      <c r="O526" s="195">
        <v>270</v>
      </c>
      <c r="P526" s="202">
        <f t="shared" si="110"/>
        <v>0</v>
      </c>
      <c r="Q526" s="203">
        <f t="shared" si="110"/>
        <v>0</v>
      </c>
      <c r="R526" s="157">
        <f ca="1"/>
        <v>6.311908556815041</v>
      </c>
      <c r="T526" s="204">
        <v>0</v>
      </c>
      <c r="U526" s="206">
        <v>0</v>
      </c>
      <c r="V526" s="206">
        <v>0</v>
      </c>
      <c r="W526" s="206">
        <v>0</v>
      </c>
      <c r="X526" s="206">
        <f t="array" ref="X526">IF(X$78&gt;" ",(X$628:X$1078),"")</f>
        <v>0</v>
      </c>
      <c r="Y526" s="206">
        <f t="array" ref="Y526">IF(Y$78&gt;" ",(Y$628:Y$1078),"")</f>
        <v>0</v>
      </c>
      <c r="Z526" s="206">
        <f t="array" ref="Z526">IF(Z$78&gt;" ",(Z$628:Z$1078),"")</f>
        <v>0</v>
      </c>
      <c r="AA526" s="206">
        <f t="array" ref="AA526">IF(AA$78&gt;" ",(AA$628:AA$1078),"")</f>
        <v>0</v>
      </c>
      <c r="AB526" s="210">
        <v>0</v>
      </c>
      <c r="AC526" s="204">
        <f t="shared" si="97"/>
        <v>0</v>
      </c>
      <c r="AD526" s="206">
        <f t="shared" si="98"/>
        <v>0</v>
      </c>
      <c r="AE526" s="206">
        <f t="shared" si="99"/>
        <v>0</v>
      </c>
      <c r="AF526" s="206">
        <f t="shared" si="100"/>
        <v>0</v>
      </c>
      <c r="AG526" s="206">
        <f t="shared" si="101"/>
        <v>0</v>
      </c>
      <c r="AH526" s="206">
        <f t="shared" si="102"/>
        <v>0</v>
      </c>
      <c r="AI526" s="206">
        <f t="shared" si="103"/>
        <v>0</v>
      </c>
      <c r="AJ526" s="206">
        <f t="shared" si="104"/>
        <v>0</v>
      </c>
      <c r="AK526" s="206">
        <f t="shared" si="105"/>
        <v>0</v>
      </c>
      <c r="AL526" s="206">
        <f t="shared" si="106"/>
        <v>0</v>
      </c>
      <c r="AM526" s="214">
        <f t="shared" si="107"/>
        <v>0</v>
      </c>
      <c r="AN526" s="4"/>
      <c r="AO526" s="167">
        <v>270</v>
      </c>
      <c r="AP526" s="247"/>
      <c r="AQ526" s="247"/>
      <c r="AR526" s="168"/>
      <c r="AS526" s="248"/>
      <c r="AU526" s="216">
        <v>6.3964766063269911</v>
      </c>
      <c r="AV526" s="217">
        <v>6.311908556815041</v>
      </c>
      <c r="AW526" s="217">
        <v>6.1520854860350154</v>
      </c>
      <c r="AX526" s="217">
        <v>6.1584842231649146</v>
      </c>
      <c r="AY526" s="217"/>
      <c r="AZ526" s="218"/>
      <c r="BA526" s="8"/>
      <c r="BB526" s="219"/>
      <c r="BC526" s="220"/>
    </row>
    <row r="527" spans="15:55" x14ac:dyDescent="0.25">
      <c r="O527" s="195">
        <v>265</v>
      </c>
      <c r="P527" s="202">
        <f t="shared" si="110"/>
        <v>0</v>
      </c>
      <c r="Q527" s="203">
        <f t="shared" si="110"/>
        <v>0</v>
      </c>
      <c r="R527" s="157">
        <f ca="1"/>
        <v>6.1657761965578066</v>
      </c>
      <c r="T527" s="204">
        <v>0</v>
      </c>
      <c r="U527" s="206">
        <v>0</v>
      </c>
      <c r="V527" s="206">
        <v>0</v>
      </c>
      <c r="W527" s="206">
        <v>0</v>
      </c>
      <c r="X527" s="206">
        <f t="array" ref="X527">IF(X$78&gt;" ",(X$628:X$1078),"")</f>
        <v>0</v>
      </c>
      <c r="Y527" s="206">
        <f t="array" ref="Y527">IF(Y$78&gt;" ",(Y$628:Y$1078),"")</f>
        <v>0</v>
      </c>
      <c r="Z527" s="206">
        <f t="array" ref="Z527">IF(Z$78&gt;" ",(Z$628:Z$1078),"")</f>
        <v>0</v>
      </c>
      <c r="AA527" s="206">
        <f t="array" ref="AA527">IF(AA$78&gt;" ",(AA$628:AA$1078),"")</f>
        <v>0</v>
      </c>
      <c r="AB527" s="210">
        <v>0</v>
      </c>
      <c r="AC527" s="204">
        <f t="shared" si="97"/>
        <v>0</v>
      </c>
      <c r="AD527" s="206">
        <f t="shared" si="98"/>
        <v>0</v>
      </c>
      <c r="AE527" s="206">
        <f t="shared" si="99"/>
        <v>0</v>
      </c>
      <c r="AF527" s="206">
        <f t="shared" si="100"/>
        <v>0</v>
      </c>
      <c r="AG527" s="206">
        <f t="shared" si="101"/>
        <v>0</v>
      </c>
      <c r="AH527" s="206">
        <f t="shared" si="102"/>
        <v>0</v>
      </c>
      <c r="AI527" s="206">
        <f t="shared" si="103"/>
        <v>0</v>
      </c>
      <c r="AJ527" s="206">
        <f t="shared" si="104"/>
        <v>0</v>
      </c>
      <c r="AK527" s="206">
        <f t="shared" si="105"/>
        <v>0</v>
      </c>
      <c r="AL527" s="206">
        <f t="shared" si="106"/>
        <v>0</v>
      </c>
      <c r="AM527" s="214">
        <f t="shared" si="107"/>
        <v>0</v>
      </c>
      <c r="AN527" s="4"/>
      <c r="AO527" s="167">
        <v>265</v>
      </c>
      <c r="AP527" s="247"/>
      <c r="AQ527" s="247"/>
      <c r="AR527" s="168"/>
      <c r="AS527" s="248"/>
      <c r="AU527" s="216">
        <v>6.2180445125694446</v>
      </c>
      <c r="AV527" s="217">
        <v>6.1657761965578066</v>
      </c>
      <c r="AW527" s="217">
        <v>6.330967634810321</v>
      </c>
      <c r="AX527" s="217">
        <v>6.3405604252868955</v>
      </c>
      <c r="AY527" s="217"/>
      <c r="AZ527" s="218"/>
      <c r="BA527" s="8"/>
      <c r="BB527" s="219"/>
      <c r="BC527" s="220"/>
    </row>
    <row r="528" spans="15:55" x14ac:dyDescent="0.25">
      <c r="O528" s="195">
        <v>260</v>
      </c>
      <c r="P528" s="202">
        <f t="shared" ref="P528:Q530" si="111">P1076</f>
        <v>0</v>
      </c>
      <c r="Q528" s="203">
        <f t="shared" si="111"/>
        <v>0</v>
      </c>
      <c r="R528" s="157">
        <f ca="1"/>
        <v>6.0315075059353056</v>
      </c>
      <c r="T528" s="204">
        <v>0</v>
      </c>
      <c r="U528" s="206">
        <v>0</v>
      </c>
      <c r="V528" s="206">
        <v>0</v>
      </c>
      <c r="W528" s="206">
        <v>0</v>
      </c>
      <c r="X528" s="206">
        <f t="array" ref="X528">IF(X$78&gt;" ",(X$628:X$1078),"")</f>
        <v>0</v>
      </c>
      <c r="Y528" s="206">
        <f t="array" ref="Y528">IF(Y$78&gt;" ",(Y$628:Y$1078),"")</f>
        <v>0</v>
      </c>
      <c r="Z528" s="206">
        <f t="array" ref="Z528">IF(Z$78&gt;" ",(Z$628:Z$1078),"")</f>
        <v>0</v>
      </c>
      <c r="AA528" s="206">
        <f t="array" ref="AA528">IF(AA$78&gt;" ",(AA$628:AA$1078),"")</f>
        <v>0</v>
      </c>
      <c r="AB528" s="210">
        <v>0</v>
      </c>
      <c r="AC528" s="204">
        <f t="shared" si="97"/>
        <v>0</v>
      </c>
      <c r="AD528" s="206">
        <f t="shared" si="98"/>
        <v>0</v>
      </c>
      <c r="AE528" s="206">
        <f t="shared" si="99"/>
        <v>0</v>
      </c>
      <c r="AF528" s="206">
        <f t="shared" si="100"/>
        <v>0</v>
      </c>
      <c r="AG528" s="206">
        <f t="shared" si="101"/>
        <v>0</v>
      </c>
      <c r="AH528" s="206">
        <f t="shared" si="102"/>
        <v>0</v>
      </c>
      <c r="AI528" s="206">
        <f t="shared" si="103"/>
        <v>0</v>
      </c>
      <c r="AJ528" s="206">
        <f t="shared" si="104"/>
        <v>0</v>
      </c>
      <c r="AK528" s="206">
        <f t="shared" si="105"/>
        <v>0</v>
      </c>
      <c r="AL528" s="206">
        <f t="shared" si="106"/>
        <v>0</v>
      </c>
      <c r="AM528" s="214">
        <f t="shared" si="107"/>
        <v>0</v>
      </c>
      <c r="AN528" s="4"/>
      <c r="AO528" s="167">
        <v>260</v>
      </c>
      <c r="AP528" s="247"/>
      <c r="AQ528" s="247"/>
      <c r="AR528" s="168"/>
      <c r="AS528" s="248"/>
      <c r="AU528" s="216">
        <v>6.0545689769554345</v>
      </c>
      <c r="AV528" s="217">
        <v>6.0315075059353056</v>
      </c>
      <c r="AW528" s="217">
        <v>6.5080828081985054</v>
      </c>
      <c r="AX528" s="217">
        <v>6.5251731801677373</v>
      </c>
      <c r="AY528" s="217"/>
      <c r="AZ528" s="218"/>
      <c r="BA528" s="8"/>
      <c r="BB528" s="219"/>
      <c r="BC528" s="220"/>
    </row>
    <row r="529" spans="15:55" x14ac:dyDescent="0.25">
      <c r="O529" s="195">
        <v>255</v>
      </c>
      <c r="P529" s="202">
        <f t="shared" si="111"/>
        <v>0</v>
      </c>
      <c r="Q529" s="203">
        <f t="shared" si="111"/>
        <v>0</v>
      </c>
      <c r="R529" s="157">
        <f ca="1"/>
        <v>6.1072278328074461</v>
      </c>
      <c r="T529" s="204">
        <v>0</v>
      </c>
      <c r="U529" s="206">
        <v>0</v>
      </c>
      <c r="V529" s="206">
        <v>0</v>
      </c>
      <c r="W529" s="206">
        <v>0</v>
      </c>
      <c r="X529" s="206">
        <f t="array" ref="X529">IF(X$78&gt;" ",(X$628:X$1078),"")</f>
        <v>0</v>
      </c>
      <c r="Y529" s="206">
        <f t="array" ref="Y529">IF(Y$78&gt;" ",(Y$628:Y$1078),"")</f>
        <v>0</v>
      </c>
      <c r="Z529" s="206">
        <f t="array" ref="Z529">IF(Z$78&gt;" ",(Z$628:Z$1078),"")</f>
        <v>0</v>
      </c>
      <c r="AA529" s="206">
        <f t="array" ref="AA529">IF(AA$78&gt;" ",(AA$628:AA$1078),"")</f>
        <v>0</v>
      </c>
      <c r="AB529" s="210">
        <v>0</v>
      </c>
      <c r="AC529" s="204">
        <f t="shared" si="97"/>
        <v>0</v>
      </c>
      <c r="AD529" s="206">
        <f t="shared" si="98"/>
        <v>0</v>
      </c>
      <c r="AE529" s="206">
        <f t="shared" si="99"/>
        <v>0</v>
      </c>
      <c r="AF529" s="206">
        <f t="shared" si="100"/>
        <v>0</v>
      </c>
      <c r="AG529" s="206">
        <f t="shared" ref="AG529:AK530" si="112">X529</f>
        <v>0</v>
      </c>
      <c r="AH529" s="206">
        <f t="shared" si="112"/>
        <v>0</v>
      </c>
      <c r="AI529" s="206">
        <f t="shared" si="112"/>
        <v>0</v>
      </c>
      <c r="AJ529" s="206">
        <f t="shared" si="112"/>
        <v>0</v>
      </c>
      <c r="AK529" s="206">
        <f t="shared" si="112"/>
        <v>0</v>
      </c>
      <c r="AL529" s="206">
        <f>AVERAGE(AC529:AK529)</f>
        <v>0</v>
      </c>
      <c r="AM529" s="214">
        <f>AL529/100</f>
        <v>0</v>
      </c>
      <c r="AN529" s="4"/>
      <c r="AO529" s="167">
        <v>255</v>
      </c>
      <c r="AP529" s="247"/>
      <c r="AQ529" s="247"/>
      <c r="AR529" s="168"/>
      <c r="AS529" s="248"/>
      <c r="AU529" s="216">
        <v>6.1093222155508853</v>
      </c>
      <c r="AV529" s="217">
        <v>6.1072278328074461</v>
      </c>
      <c r="AW529" s="217">
        <v>6.6949450870279668</v>
      </c>
      <c r="AX529" s="217">
        <v>6.7135180836298076</v>
      </c>
      <c r="AY529" s="217"/>
      <c r="AZ529" s="218"/>
      <c r="BA529" s="8"/>
      <c r="BB529" s="219"/>
      <c r="BC529" s="220"/>
    </row>
    <row r="530" spans="15:55" ht="13" thickBot="1" x14ac:dyDescent="0.3">
      <c r="O530" s="249">
        <v>250</v>
      </c>
      <c r="P530" s="250">
        <f t="shared" si="111"/>
        <v>0</v>
      </c>
      <c r="Q530" s="251">
        <f t="shared" si="111"/>
        <v>0</v>
      </c>
      <c r="R530" s="159">
        <f ca="1"/>
        <v>6.2003268049356777</v>
      </c>
      <c r="S530" s="4"/>
      <c r="T530" s="233">
        <v>0</v>
      </c>
      <c r="U530" s="209">
        <v>0</v>
      </c>
      <c r="V530" s="209">
        <v>0</v>
      </c>
      <c r="W530" s="209">
        <v>0</v>
      </c>
      <c r="X530" s="206">
        <f t="array" ref="X530">IF(X$78&gt;" ",(X$628:X$1078),"")</f>
        <v>0</v>
      </c>
      <c r="Y530" s="206">
        <f t="array" ref="Y530">IF(Y$78&gt;" ",(Y$628:Y$1078),"")</f>
        <v>0</v>
      </c>
      <c r="Z530" s="206">
        <f t="array" ref="Z530">IF(Z$78&gt;" ",(Z$628:Z$1078),"")</f>
        <v>0</v>
      </c>
      <c r="AA530" s="206">
        <f t="array" ref="AA530">IF(AA$78&gt;" ",(AA$628:AA$1078),"")</f>
        <v>0</v>
      </c>
      <c r="AB530" s="213">
        <v>0</v>
      </c>
      <c r="AC530" s="233">
        <f t="shared" si="97"/>
        <v>0</v>
      </c>
      <c r="AD530" s="209">
        <f t="shared" si="98"/>
        <v>0</v>
      </c>
      <c r="AE530" s="209">
        <f t="shared" si="99"/>
        <v>0</v>
      </c>
      <c r="AF530" s="209">
        <f t="shared" si="100"/>
        <v>0</v>
      </c>
      <c r="AG530" s="206">
        <f t="shared" si="112"/>
        <v>0</v>
      </c>
      <c r="AH530" s="206">
        <f t="shared" si="112"/>
        <v>0</v>
      </c>
      <c r="AI530" s="206">
        <f t="shared" si="112"/>
        <v>0</v>
      </c>
      <c r="AJ530" s="206">
        <f t="shared" si="112"/>
        <v>0</v>
      </c>
      <c r="AK530" s="206">
        <f t="shared" si="112"/>
        <v>0</v>
      </c>
      <c r="AL530" s="206">
        <f>AVERAGE(AC530:AK530)</f>
        <v>0</v>
      </c>
      <c r="AM530" s="252">
        <f>AL530/100</f>
        <v>0</v>
      </c>
      <c r="AN530" s="4"/>
      <c r="AO530" s="253">
        <v>250</v>
      </c>
      <c r="AP530" s="254"/>
      <c r="AQ530" s="254"/>
      <c r="AR530" s="255"/>
      <c r="AS530" s="256"/>
      <c r="AT530" s="4"/>
      <c r="AU530" s="257">
        <v>6.1631345469616967</v>
      </c>
      <c r="AV530" s="258">
        <v>6.2003268049356777</v>
      </c>
      <c r="AW530" s="258">
        <v>6.8150511632873716</v>
      </c>
      <c r="AX530" s="258">
        <v>6.8333167371891568</v>
      </c>
      <c r="AY530" s="258"/>
      <c r="AZ530" s="259"/>
      <c r="BA530" s="260"/>
      <c r="BB530" s="261"/>
      <c r="BC530" s="220"/>
    </row>
    <row r="531" spans="15:55" x14ac:dyDescent="0.25">
      <c r="O531" s="8"/>
      <c r="P531" s="129"/>
      <c r="R531" s="262"/>
      <c r="S531" s="8"/>
      <c r="U531" s="4"/>
      <c r="V531" s="4"/>
      <c r="W531" s="4"/>
      <c r="X531" s="4"/>
      <c r="Y531" s="4"/>
      <c r="Z531" s="4"/>
      <c r="AA531" s="4"/>
      <c r="AB531" s="4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29"/>
      <c r="AM531" s="8"/>
      <c r="AN531" s="8"/>
      <c r="AO531" s="183"/>
      <c r="AP531" s="183"/>
      <c r="AQ531" s="263"/>
      <c r="AR531" s="263"/>
      <c r="AS531" s="263"/>
      <c r="AT531" s="8"/>
      <c r="AU531" s="217"/>
      <c r="AV531" s="217"/>
      <c r="AW531" s="193"/>
      <c r="AX531" s="193"/>
      <c r="AY531" s="130"/>
      <c r="AZ531" s="193"/>
      <c r="BA531" s="8"/>
      <c r="BB531" s="8"/>
      <c r="BC531" s="8"/>
    </row>
    <row r="532" spans="15:55" x14ac:dyDescent="0.25"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S532">
        <f>SUM(Sol_G173b)</f>
        <v>0.99999999999999933</v>
      </c>
      <c r="BA532" s="8"/>
      <c r="BB532" s="8"/>
      <c r="BC532" s="8"/>
    </row>
    <row r="533" spans="15:55" x14ac:dyDescent="0.25"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BA533" s="8"/>
      <c r="BB533" s="8"/>
      <c r="BC533" s="8"/>
    </row>
    <row r="534" spans="15:55" x14ac:dyDescent="0.25"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BA534" s="8"/>
      <c r="BB534" s="8"/>
      <c r="BC534" s="8"/>
    </row>
    <row r="535" spans="15:55" x14ac:dyDescent="0.25"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BA535" s="8"/>
      <c r="BB535" s="8"/>
      <c r="BC535" s="8"/>
    </row>
    <row r="536" spans="15:55" ht="13" thickBot="1" x14ac:dyDescent="0.3"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BA536" s="8"/>
      <c r="BB536" s="8"/>
      <c r="BC536" s="8"/>
    </row>
    <row r="537" spans="15:55" ht="13" x14ac:dyDescent="0.3">
      <c r="P537" s="111" t="s">
        <v>115</v>
      </c>
      <c r="Q537" s="111" t="s">
        <v>116</v>
      </c>
      <c r="T537" s="264" t="s">
        <v>135</v>
      </c>
      <c r="U537" s="265"/>
      <c r="V537" s="265"/>
      <c r="W537" s="265"/>
      <c r="X537" s="22"/>
      <c r="Y537" s="22"/>
      <c r="Z537" s="22"/>
      <c r="AA537" s="22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BA537" s="8"/>
      <c r="BB537" s="8"/>
      <c r="BC537" s="8"/>
    </row>
    <row r="538" spans="15:55" ht="13.5" thickBot="1" x14ac:dyDescent="0.35">
      <c r="P538" s="266" t="s">
        <v>115</v>
      </c>
      <c r="Q538" s="266" t="s">
        <v>116</v>
      </c>
      <c r="T538" s="267" t="s">
        <v>169</v>
      </c>
      <c r="U538" s="22" t="s">
        <v>170</v>
      </c>
      <c r="V538" s="22" t="s">
        <v>171</v>
      </c>
      <c r="W538" s="22" t="s">
        <v>172</v>
      </c>
      <c r="X538" s="22" t="s">
        <v>173</v>
      </c>
      <c r="Y538" s="22" t="s">
        <v>174</v>
      </c>
      <c r="Z538" s="22" t="s">
        <v>175</v>
      </c>
      <c r="AA538" s="22" t="s">
        <v>176</v>
      </c>
      <c r="AB538" s="235" t="s">
        <v>177</v>
      </c>
      <c r="BA538" s="8"/>
      <c r="BB538" s="8"/>
      <c r="BC538" s="8"/>
    </row>
    <row r="539" spans="15:55" ht="13" x14ac:dyDescent="0.3">
      <c r="P539" s="268" t="s">
        <v>136</v>
      </c>
      <c r="Q539" s="268" t="s">
        <v>137</v>
      </c>
      <c r="R539" s="269"/>
      <c r="S539" s="270"/>
      <c r="T539" s="271" t="s">
        <v>138</v>
      </c>
      <c r="U539" s="270" t="s">
        <v>139</v>
      </c>
      <c r="V539" s="270" t="s">
        <v>139</v>
      </c>
      <c r="W539" s="270" t="s">
        <v>139</v>
      </c>
      <c r="X539" s="270"/>
      <c r="Y539" s="270"/>
      <c r="Z539" s="270"/>
      <c r="AA539" s="270"/>
      <c r="AB539" s="272"/>
      <c r="BA539" s="8"/>
      <c r="BB539" s="8"/>
      <c r="BC539" s="8"/>
    </row>
    <row r="540" spans="15:55" ht="13" x14ac:dyDescent="0.3">
      <c r="P540" s="111" t="s">
        <v>140</v>
      </c>
      <c r="Q540" s="111" t="s">
        <v>140</v>
      </c>
      <c r="S540" s="4"/>
      <c r="T540" s="273" t="s">
        <v>140</v>
      </c>
      <c r="U540" s="63" t="s">
        <v>140</v>
      </c>
      <c r="V540" s="63" t="s">
        <v>140</v>
      </c>
      <c r="W540" s="63" t="s">
        <v>140</v>
      </c>
      <c r="X540" s="63"/>
      <c r="Y540" s="63"/>
      <c r="Z540" s="63"/>
      <c r="AA540" s="63"/>
      <c r="AB540" s="22" t="str">
        <f>Mesn5</f>
        <v>M5</v>
      </c>
      <c r="BA540" s="8"/>
      <c r="BB540" s="8"/>
      <c r="BC540" s="8"/>
    </row>
    <row r="541" spans="15:55" x14ac:dyDescent="0.25">
      <c r="O541" t="s">
        <v>2</v>
      </c>
      <c r="P541" s="111">
        <v>-1</v>
      </c>
      <c r="Q541" s="111">
        <v>-1</v>
      </c>
      <c r="S541" s="4"/>
      <c r="T541" s="273">
        <v>-1</v>
      </c>
      <c r="U541" s="63">
        <v>-1</v>
      </c>
      <c r="V541" s="63">
        <v>-1</v>
      </c>
      <c r="W541" s="63">
        <v>-1</v>
      </c>
      <c r="X541" s="63"/>
      <c r="Y541" s="63"/>
      <c r="Z541" s="63"/>
      <c r="AA541" s="63"/>
      <c r="AB541" s="274"/>
      <c r="BA541" s="8"/>
      <c r="BB541" s="8"/>
      <c r="BC541" s="8"/>
    </row>
    <row r="542" spans="15:55" x14ac:dyDescent="0.25">
      <c r="P542" s="111" t="s">
        <v>141</v>
      </c>
      <c r="Q542" s="111" t="s">
        <v>142</v>
      </c>
      <c r="S542" s="4"/>
      <c r="T542" s="273" t="s">
        <v>143</v>
      </c>
      <c r="U542" s="63" t="s">
        <v>144</v>
      </c>
      <c r="V542" s="63" t="s">
        <v>144</v>
      </c>
      <c r="W542" s="63" t="s">
        <v>144</v>
      </c>
      <c r="X542" s="63"/>
      <c r="Y542" s="63"/>
      <c r="Z542" s="63"/>
      <c r="AA542" s="63"/>
      <c r="AB542" s="275"/>
      <c r="BA542" s="8"/>
      <c r="BB542" s="8"/>
      <c r="BC542" s="8"/>
    </row>
    <row r="543" spans="15:55" x14ac:dyDescent="0.25">
      <c r="P543" s="276">
        <v>37478</v>
      </c>
      <c r="Q543" s="276">
        <v>37478</v>
      </c>
      <c r="S543" s="4"/>
      <c r="T543" s="273">
        <v>37478</v>
      </c>
      <c r="U543" s="63">
        <v>37478</v>
      </c>
      <c r="V543" s="63">
        <v>37478</v>
      </c>
      <c r="W543" s="63">
        <v>37478</v>
      </c>
      <c r="X543" s="63"/>
      <c r="Y543" s="63"/>
      <c r="Z543" s="63"/>
      <c r="AA543" s="63"/>
      <c r="AB543" s="275"/>
      <c r="BA543" s="8"/>
      <c r="BB543" s="8"/>
      <c r="BC543" s="8"/>
    </row>
    <row r="544" spans="15:55" x14ac:dyDescent="0.25">
      <c r="P544" s="111" t="s">
        <v>145</v>
      </c>
      <c r="Q544" s="111" t="s">
        <v>146</v>
      </c>
      <c r="S544" s="4"/>
      <c r="T544" s="273" t="s">
        <v>147</v>
      </c>
      <c r="U544" s="63" t="s">
        <v>148</v>
      </c>
      <c r="V544" s="63" t="s">
        <v>148</v>
      </c>
      <c r="W544" s="63" t="s">
        <v>148</v>
      </c>
      <c r="X544" s="63"/>
      <c r="Y544" s="63"/>
      <c r="Z544" s="63"/>
      <c r="AA544" s="63"/>
      <c r="AB544" s="275"/>
      <c r="BA544" s="8"/>
      <c r="BB544" s="8"/>
      <c r="BC544" s="8"/>
    </row>
    <row r="545" spans="16:55" x14ac:dyDescent="0.25">
      <c r="P545" s="276">
        <v>37478</v>
      </c>
      <c r="Q545" s="276">
        <v>37478</v>
      </c>
      <c r="S545" s="4"/>
      <c r="T545" s="273">
        <v>37478</v>
      </c>
      <c r="U545" s="63">
        <v>37478</v>
      </c>
      <c r="V545" s="63">
        <v>37478</v>
      </c>
      <c r="W545" s="63">
        <v>37478</v>
      </c>
      <c r="X545" s="63"/>
      <c r="Y545" s="63"/>
      <c r="Z545" s="63"/>
      <c r="AA545" s="63"/>
      <c r="AB545" s="275"/>
      <c r="BA545" s="8"/>
      <c r="BB545" s="8"/>
      <c r="BC545" s="8"/>
    </row>
    <row r="546" spans="16:55" x14ac:dyDescent="0.25">
      <c r="P546" s="111" t="s">
        <v>145</v>
      </c>
      <c r="Q546" s="111" t="s">
        <v>146</v>
      </c>
      <c r="S546" s="4"/>
      <c r="T546" s="273" t="s">
        <v>147</v>
      </c>
      <c r="U546" s="63" t="s">
        <v>148</v>
      </c>
      <c r="V546" s="63" t="s">
        <v>148</v>
      </c>
      <c r="W546" s="63" t="s">
        <v>148</v>
      </c>
      <c r="X546" s="63"/>
      <c r="Y546" s="63"/>
      <c r="Z546" s="63"/>
      <c r="AA546" s="63"/>
      <c r="AB546" s="275"/>
      <c r="BA546" s="8"/>
      <c r="BB546" s="8"/>
      <c r="BC546" s="8"/>
    </row>
    <row r="547" spans="16:55" x14ac:dyDescent="0.25">
      <c r="P547" s="111" t="s">
        <v>149</v>
      </c>
      <c r="Q547" s="111" t="s">
        <v>149</v>
      </c>
      <c r="S547" s="4"/>
      <c r="T547" s="273" t="s">
        <v>149</v>
      </c>
      <c r="U547" s="63" t="s">
        <v>149</v>
      </c>
      <c r="V547" s="63" t="s">
        <v>149</v>
      </c>
      <c r="W547" s="63" t="s">
        <v>149</v>
      </c>
      <c r="X547" s="63"/>
      <c r="Y547" s="63"/>
      <c r="Z547" s="63"/>
      <c r="AA547" s="63"/>
      <c r="AB547" s="275"/>
      <c r="BA547" s="8"/>
      <c r="BB547" s="8"/>
      <c r="BC547" s="8"/>
    </row>
    <row r="548" spans="16:55" x14ac:dyDescent="0.25">
      <c r="P548" s="111"/>
      <c r="Q548" s="111"/>
      <c r="S548" s="4"/>
      <c r="T548" s="273"/>
      <c r="U548" s="63"/>
      <c r="V548" s="63"/>
      <c r="W548" s="63"/>
      <c r="X548" s="63"/>
      <c r="Y548" s="63"/>
      <c r="Z548" s="63"/>
      <c r="AA548" s="63"/>
      <c r="AB548" s="275"/>
      <c r="BA548" s="8"/>
      <c r="BB548" s="8"/>
      <c r="BC548" s="8"/>
    </row>
    <row r="549" spans="16:55" x14ac:dyDescent="0.25">
      <c r="P549" s="111">
        <v>250</v>
      </c>
      <c r="Q549" s="111">
        <v>250</v>
      </c>
      <c r="S549" s="4"/>
      <c r="T549" s="273">
        <v>250</v>
      </c>
      <c r="U549" s="63">
        <v>250</v>
      </c>
      <c r="V549" s="63">
        <v>250</v>
      </c>
      <c r="W549" s="63">
        <v>250</v>
      </c>
      <c r="X549" s="63"/>
      <c r="Y549" s="63"/>
      <c r="Z549" s="63"/>
      <c r="AA549" s="63"/>
      <c r="AB549" s="275"/>
      <c r="BA549" s="8"/>
      <c r="BB549" s="8"/>
      <c r="BC549" s="8"/>
    </row>
    <row r="550" spans="16:55" x14ac:dyDescent="0.25">
      <c r="P550" s="111">
        <v>1</v>
      </c>
      <c r="Q550" s="111">
        <v>1</v>
      </c>
      <c r="S550" s="4"/>
      <c r="T550" s="273">
        <v>1</v>
      </c>
      <c r="U550" s="63">
        <v>1</v>
      </c>
      <c r="V550" s="63">
        <v>1</v>
      </c>
      <c r="W550" s="63">
        <v>1</v>
      </c>
      <c r="X550" s="63"/>
      <c r="Y550" s="63"/>
      <c r="Z550" s="63"/>
      <c r="AA550" s="63"/>
      <c r="AB550" s="275"/>
      <c r="BA550" s="8"/>
      <c r="BB550" s="8"/>
      <c r="BC550" s="8"/>
    </row>
    <row r="551" spans="16:55" x14ac:dyDescent="0.25">
      <c r="P551" s="111" t="s">
        <v>150</v>
      </c>
      <c r="Q551" s="111" t="s">
        <v>150</v>
      </c>
      <c r="S551" s="4"/>
      <c r="T551" s="273" t="s">
        <v>150</v>
      </c>
      <c r="U551" s="63" t="s">
        <v>150</v>
      </c>
      <c r="V551" s="63" t="s">
        <v>150</v>
      </c>
      <c r="W551" s="63" t="s">
        <v>150</v>
      </c>
      <c r="X551" s="63"/>
      <c r="Y551" s="63"/>
      <c r="Z551" s="63"/>
      <c r="AA551" s="63"/>
      <c r="AB551" s="275"/>
      <c r="BA551" s="8"/>
      <c r="BB551" s="8"/>
      <c r="BC551" s="8"/>
    </row>
    <row r="552" spans="16:55" x14ac:dyDescent="0.25">
      <c r="P552" s="111" t="s">
        <v>151</v>
      </c>
      <c r="Q552" s="111" t="s">
        <v>151</v>
      </c>
      <c r="S552" s="4"/>
      <c r="T552" s="273" t="s">
        <v>151</v>
      </c>
      <c r="U552" s="63" t="s">
        <v>151</v>
      </c>
      <c r="V552" s="63" t="s">
        <v>151</v>
      </c>
      <c r="W552" s="63" t="s">
        <v>151</v>
      </c>
      <c r="X552" s="63"/>
      <c r="Y552" s="63"/>
      <c r="Z552" s="63"/>
      <c r="AA552" s="63"/>
      <c r="AB552" s="275"/>
      <c r="BA552" s="8"/>
      <c r="BB552" s="8"/>
      <c r="BC552" s="8"/>
    </row>
    <row r="553" spans="16:55" x14ac:dyDescent="0.25">
      <c r="P553" s="111" t="s">
        <v>152</v>
      </c>
      <c r="Q553" s="111" t="s">
        <v>152</v>
      </c>
      <c r="S553" s="4"/>
      <c r="T553" s="273" t="s">
        <v>152</v>
      </c>
      <c r="U553" s="63" t="s">
        <v>152</v>
      </c>
      <c r="V553" s="63" t="s">
        <v>152</v>
      </c>
      <c r="W553" s="63" t="s">
        <v>152</v>
      </c>
      <c r="X553" s="63"/>
      <c r="Y553" s="63"/>
      <c r="Z553" s="63"/>
      <c r="AA553" s="63"/>
      <c r="AB553" s="275"/>
      <c r="BA553" s="8"/>
      <c r="BB553" s="8"/>
      <c r="BC553" s="8"/>
    </row>
    <row r="554" spans="16:55" x14ac:dyDescent="0.25">
      <c r="P554" s="111"/>
      <c r="Q554" s="111"/>
      <c r="S554" s="4"/>
      <c r="T554" s="273"/>
      <c r="U554" s="63"/>
      <c r="V554" s="63"/>
      <c r="W554" s="63"/>
      <c r="X554" s="63"/>
      <c r="Y554" s="63"/>
      <c r="Z554" s="63"/>
      <c r="AA554" s="63"/>
      <c r="AB554" s="275"/>
      <c r="BA554" s="8"/>
      <c r="BB554" s="8"/>
      <c r="BC554" s="8"/>
    </row>
    <row r="555" spans="16:55" x14ac:dyDescent="0.25">
      <c r="P555" s="111">
        <v>0</v>
      </c>
      <c r="Q555" s="111">
        <v>0</v>
      </c>
      <c r="S555" s="4"/>
      <c r="T555" s="273">
        <v>0</v>
      </c>
      <c r="U555" s="63">
        <v>0</v>
      </c>
      <c r="V555" s="63">
        <v>0</v>
      </c>
      <c r="W555" s="63">
        <v>0</v>
      </c>
      <c r="X555" s="63"/>
      <c r="Y555" s="63"/>
      <c r="Z555" s="63"/>
      <c r="AA555" s="63"/>
      <c r="AB555" s="275"/>
      <c r="BA555" s="8"/>
      <c r="BB555" s="8"/>
      <c r="BC555" s="8"/>
    </row>
    <row r="556" spans="16:55" x14ac:dyDescent="0.25">
      <c r="P556" s="111">
        <v>0</v>
      </c>
      <c r="Q556" s="111">
        <v>0</v>
      </c>
      <c r="S556" s="4"/>
      <c r="T556" s="273">
        <v>0</v>
      </c>
      <c r="U556" s="63">
        <v>0</v>
      </c>
      <c r="V556" s="63">
        <v>0</v>
      </c>
      <c r="W556" s="63">
        <v>0</v>
      </c>
      <c r="X556" s="63"/>
      <c r="Y556" s="63"/>
      <c r="Z556" s="63"/>
      <c r="AA556" s="63"/>
      <c r="AB556" s="275"/>
      <c r="BA556" s="8"/>
      <c r="BB556" s="8"/>
      <c r="BC556" s="8"/>
    </row>
    <row r="557" spans="16:55" x14ac:dyDescent="0.25">
      <c r="P557" s="111" t="s">
        <v>153</v>
      </c>
      <c r="Q557" s="111" t="s">
        <v>153</v>
      </c>
      <c r="S557" s="4"/>
      <c r="T557" s="273" t="s">
        <v>153</v>
      </c>
      <c r="U557" s="63" t="s">
        <v>153</v>
      </c>
      <c r="V557" s="63" t="s">
        <v>153</v>
      </c>
      <c r="W557" s="63" t="s">
        <v>153</v>
      </c>
      <c r="X557" s="63"/>
      <c r="Y557" s="63"/>
      <c r="Z557" s="63"/>
      <c r="AA557" s="63"/>
      <c r="AB557" s="275"/>
      <c r="BA557" s="8"/>
      <c r="BB557" s="8"/>
      <c r="BC557" s="8"/>
    </row>
    <row r="558" spans="16:55" x14ac:dyDescent="0.25">
      <c r="P558" s="111">
        <v>0</v>
      </c>
      <c r="Q558" s="111">
        <v>0</v>
      </c>
      <c r="S558" s="4"/>
      <c r="T558" s="273">
        <v>0</v>
      </c>
      <c r="U558" s="63">
        <v>0</v>
      </c>
      <c r="V558" s="63">
        <v>0</v>
      </c>
      <c r="W558" s="63">
        <v>0</v>
      </c>
      <c r="X558" s="63"/>
      <c r="Y558" s="63"/>
      <c r="Z558" s="63"/>
      <c r="AA558" s="63"/>
      <c r="AB558" s="275"/>
      <c r="BA558" s="8"/>
      <c r="BB558" s="8"/>
      <c r="BC558" s="8"/>
    </row>
    <row r="559" spans="16:55" x14ac:dyDescent="0.25">
      <c r="P559" s="111">
        <v>0</v>
      </c>
      <c r="Q559" s="111">
        <v>0</v>
      </c>
      <c r="S559" s="4"/>
      <c r="T559" s="273">
        <v>0</v>
      </c>
      <c r="U559" s="63">
        <v>0</v>
      </c>
      <c r="V559" s="63">
        <v>0</v>
      </c>
      <c r="W559" s="63">
        <v>0</v>
      </c>
      <c r="X559" s="63"/>
      <c r="Y559" s="63"/>
      <c r="Z559" s="63"/>
      <c r="AA559" s="63"/>
      <c r="AB559" s="275"/>
      <c r="BA559" s="8"/>
      <c r="BB559" s="8"/>
      <c r="BC559" s="8"/>
    </row>
    <row r="560" spans="16:55" x14ac:dyDescent="0.25">
      <c r="P560" s="111" t="s">
        <v>154</v>
      </c>
      <c r="Q560" s="111" t="s">
        <v>154</v>
      </c>
      <c r="S560" s="4"/>
      <c r="T560" s="273" t="s">
        <v>154</v>
      </c>
      <c r="U560" s="63" t="s">
        <v>154</v>
      </c>
      <c r="V560" s="63" t="s">
        <v>154</v>
      </c>
      <c r="W560" s="63" t="s">
        <v>154</v>
      </c>
      <c r="X560" s="63"/>
      <c r="Y560" s="63"/>
      <c r="Z560" s="63"/>
      <c r="AA560" s="63"/>
      <c r="AB560" s="275"/>
      <c r="BA560" s="8"/>
      <c r="BB560" s="8"/>
      <c r="BC560" s="8"/>
    </row>
    <row r="561" spans="16:55" x14ac:dyDescent="0.25">
      <c r="P561" s="111">
        <v>1</v>
      </c>
      <c r="Q561" s="111">
        <v>1</v>
      </c>
      <c r="S561" s="4"/>
      <c r="T561" s="273">
        <v>1</v>
      </c>
      <c r="U561" s="63">
        <v>1</v>
      </c>
      <c r="V561" s="63">
        <v>1</v>
      </c>
      <c r="W561" s="63">
        <v>1</v>
      </c>
      <c r="X561" s="63"/>
      <c r="Y561" s="63"/>
      <c r="Z561" s="63"/>
      <c r="AA561" s="63"/>
      <c r="AB561" s="275"/>
      <c r="BA561" s="8"/>
      <c r="BB561" s="8"/>
      <c r="BC561" s="8"/>
    </row>
    <row r="562" spans="16:55" x14ac:dyDescent="0.25">
      <c r="P562" s="111">
        <v>1</v>
      </c>
      <c r="Q562" s="111">
        <v>1</v>
      </c>
      <c r="S562" s="4"/>
      <c r="T562" s="273">
        <v>1</v>
      </c>
      <c r="U562" s="63">
        <v>1</v>
      </c>
      <c r="V562" s="63">
        <v>1</v>
      </c>
      <c r="W562" s="63">
        <v>1</v>
      </c>
      <c r="X562" s="63"/>
      <c r="Y562" s="63"/>
      <c r="Z562" s="63"/>
      <c r="AA562" s="63"/>
      <c r="AB562" s="275"/>
      <c r="BA562" s="8"/>
      <c r="BB562" s="8"/>
      <c r="BC562" s="8"/>
    </row>
    <row r="563" spans="16:55" x14ac:dyDescent="0.25">
      <c r="P563" s="111">
        <v>1</v>
      </c>
      <c r="Q563" s="111">
        <v>1</v>
      </c>
      <c r="S563" s="4"/>
      <c r="T563" s="273">
        <v>1</v>
      </c>
      <c r="U563" s="63">
        <v>1</v>
      </c>
      <c r="V563" s="63">
        <v>1</v>
      </c>
      <c r="W563" s="63">
        <v>1</v>
      </c>
      <c r="X563" s="63"/>
      <c r="Y563" s="63"/>
      <c r="Z563" s="63"/>
      <c r="AA563" s="63"/>
      <c r="AB563" s="275"/>
      <c r="BA563" s="8"/>
      <c r="BB563" s="8"/>
      <c r="BC563" s="8"/>
    </row>
    <row r="564" spans="16:55" x14ac:dyDescent="0.25">
      <c r="P564" s="111" t="s">
        <v>155</v>
      </c>
      <c r="Q564" s="111" t="s">
        <v>155</v>
      </c>
      <c r="S564" s="4"/>
      <c r="T564" s="273" t="s">
        <v>155</v>
      </c>
      <c r="U564" s="63" t="s">
        <v>155</v>
      </c>
      <c r="V564" s="63" t="s">
        <v>155</v>
      </c>
      <c r="W564" s="63" t="s">
        <v>155</v>
      </c>
      <c r="X564" s="63"/>
      <c r="Y564" s="63"/>
      <c r="Z564" s="63"/>
      <c r="AA564" s="63"/>
      <c r="AB564" s="275"/>
      <c r="BA564" s="8"/>
      <c r="BB564" s="8"/>
      <c r="BC564" s="8"/>
    </row>
    <row r="565" spans="16:55" x14ac:dyDescent="0.25">
      <c r="P565" s="111">
        <v>0</v>
      </c>
      <c r="Q565" s="111">
        <v>0</v>
      </c>
      <c r="S565" s="4"/>
      <c r="T565" s="273">
        <v>0</v>
      </c>
      <c r="U565" s="63">
        <v>0</v>
      </c>
      <c r="V565" s="63">
        <v>0</v>
      </c>
      <c r="W565" s="63">
        <v>0</v>
      </c>
      <c r="X565" s="63"/>
      <c r="Y565" s="63"/>
      <c r="Z565" s="63"/>
      <c r="AA565" s="63"/>
      <c r="AB565" s="275"/>
      <c r="BA565" s="8"/>
      <c r="BB565" s="8"/>
      <c r="BC565" s="8"/>
    </row>
    <row r="566" spans="16:55" x14ac:dyDescent="0.25">
      <c r="P566" s="111">
        <v>0</v>
      </c>
      <c r="Q566" s="111">
        <v>0</v>
      </c>
      <c r="S566" s="4"/>
      <c r="T566" s="273">
        <v>0</v>
      </c>
      <c r="U566" s="63">
        <v>0</v>
      </c>
      <c r="V566" s="63">
        <v>0</v>
      </c>
      <c r="W566" s="63">
        <v>0</v>
      </c>
      <c r="X566" s="63"/>
      <c r="Y566" s="63"/>
      <c r="Z566" s="63"/>
      <c r="AA566" s="63"/>
      <c r="AB566" s="275"/>
      <c r="BA566" s="8"/>
      <c r="BB566" s="8"/>
      <c r="BC566" s="8"/>
    </row>
    <row r="567" spans="16:55" x14ac:dyDescent="0.25">
      <c r="P567" s="111">
        <v>0</v>
      </c>
      <c r="Q567" s="111">
        <v>0</v>
      </c>
      <c r="S567" s="4"/>
      <c r="T567" s="273">
        <v>0</v>
      </c>
      <c r="U567" s="63">
        <v>0</v>
      </c>
      <c r="V567" s="63">
        <v>0</v>
      </c>
      <c r="W567" s="63">
        <v>0</v>
      </c>
      <c r="X567" s="63"/>
      <c r="Y567" s="63"/>
      <c r="Z567" s="63"/>
      <c r="AA567" s="63"/>
      <c r="AB567" s="275"/>
      <c r="BA567" s="8"/>
      <c r="BB567" s="8"/>
      <c r="BC567" s="8"/>
    </row>
    <row r="568" spans="16:55" x14ac:dyDescent="0.25">
      <c r="P568" s="111">
        <v>0</v>
      </c>
      <c r="Q568" s="111">
        <v>0</v>
      </c>
      <c r="S568" s="4"/>
      <c r="T568" s="273">
        <v>0</v>
      </c>
      <c r="U568" s="63">
        <v>0</v>
      </c>
      <c r="V568" s="63">
        <v>0</v>
      </c>
      <c r="W568" s="63">
        <v>0</v>
      </c>
      <c r="X568" s="63"/>
      <c r="Y568" s="63"/>
      <c r="Z568" s="63"/>
      <c r="AA568" s="63"/>
      <c r="AB568" s="275"/>
      <c r="BA568" s="8"/>
      <c r="BB568" s="8"/>
      <c r="BC568" s="8"/>
    </row>
    <row r="569" spans="16:55" x14ac:dyDescent="0.25">
      <c r="P569" s="111" t="s">
        <v>156</v>
      </c>
      <c r="Q569" s="111" t="s">
        <v>156</v>
      </c>
      <c r="S569" s="4"/>
      <c r="T569" s="273" t="s">
        <v>156</v>
      </c>
      <c r="U569" s="63" t="s">
        <v>156</v>
      </c>
      <c r="V569" s="63" t="s">
        <v>156</v>
      </c>
      <c r="W569" s="63" t="s">
        <v>156</v>
      </c>
      <c r="X569" s="63"/>
      <c r="Y569" s="63"/>
      <c r="Z569" s="63"/>
      <c r="AA569" s="63"/>
      <c r="AB569" s="275"/>
      <c r="BA569" s="8"/>
      <c r="BB569" s="8"/>
      <c r="BC569" s="8"/>
    </row>
    <row r="570" spans="16:55" x14ac:dyDescent="0.25">
      <c r="P570" s="111" t="s">
        <v>156</v>
      </c>
      <c r="Q570" s="111" t="s">
        <v>156</v>
      </c>
      <c r="S570" s="4"/>
      <c r="T570" s="273" t="s">
        <v>156</v>
      </c>
      <c r="U570" s="63" t="s">
        <v>156</v>
      </c>
      <c r="V570" s="63" t="s">
        <v>156</v>
      </c>
      <c r="W570" s="63" t="s">
        <v>156</v>
      </c>
      <c r="X570" s="63"/>
      <c r="Y570" s="63"/>
      <c r="Z570" s="63"/>
      <c r="AA570" s="63"/>
      <c r="AB570" s="275"/>
      <c r="BA570" s="8"/>
      <c r="BB570" s="8"/>
      <c r="BC570" s="8"/>
    </row>
    <row r="571" spans="16:55" x14ac:dyDescent="0.25">
      <c r="P571" s="111" t="s">
        <v>153</v>
      </c>
      <c r="Q571" s="111" t="s">
        <v>153</v>
      </c>
      <c r="S571" s="4"/>
      <c r="T571" s="273" t="s">
        <v>153</v>
      </c>
      <c r="U571" s="63" t="s">
        <v>153</v>
      </c>
      <c r="V571" s="63" t="s">
        <v>153</v>
      </c>
      <c r="W571" s="63" t="s">
        <v>153</v>
      </c>
      <c r="X571" s="63"/>
      <c r="Y571" s="63"/>
      <c r="Z571" s="63"/>
      <c r="AA571" s="63"/>
      <c r="AB571" s="275"/>
      <c r="BA571" s="8"/>
      <c r="BB571" s="8"/>
      <c r="BC571" s="8"/>
    </row>
    <row r="572" spans="16:55" x14ac:dyDescent="0.25">
      <c r="P572" s="111" t="s">
        <v>157</v>
      </c>
      <c r="Q572" s="111" t="s">
        <v>157</v>
      </c>
      <c r="S572" s="4"/>
      <c r="T572" s="273" t="s">
        <v>157</v>
      </c>
      <c r="U572" s="63" t="s">
        <v>157</v>
      </c>
      <c r="V572" s="63" t="s">
        <v>157</v>
      </c>
      <c r="W572" s="63" t="s">
        <v>157</v>
      </c>
      <c r="X572" s="63"/>
      <c r="Y572" s="63"/>
      <c r="Z572" s="63"/>
      <c r="AA572" s="63"/>
      <c r="AB572" s="275"/>
      <c r="BA572" s="8"/>
      <c r="BB572" s="8"/>
      <c r="BC572" s="8"/>
    </row>
    <row r="573" spans="16:55" x14ac:dyDescent="0.25">
      <c r="P573" s="111" t="s">
        <v>157</v>
      </c>
      <c r="Q573" s="111" t="s">
        <v>157</v>
      </c>
      <c r="S573" s="4"/>
      <c r="T573" s="273" t="s">
        <v>157</v>
      </c>
      <c r="U573" s="63" t="s">
        <v>157</v>
      </c>
      <c r="V573" s="63" t="s">
        <v>157</v>
      </c>
      <c r="W573" s="63" t="s">
        <v>157</v>
      </c>
      <c r="X573" s="63"/>
      <c r="Y573" s="63"/>
      <c r="Z573" s="63"/>
      <c r="AA573" s="63"/>
      <c r="AB573" s="275"/>
      <c r="BA573" s="8"/>
      <c r="BB573" s="8"/>
      <c r="BC573" s="8"/>
    </row>
    <row r="574" spans="16:55" x14ac:dyDescent="0.25">
      <c r="P574" s="111">
        <v>0</v>
      </c>
      <c r="Q574" s="111">
        <v>0</v>
      </c>
      <c r="S574" s="4"/>
      <c r="T574" s="273">
        <v>0</v>
      </c>
      <c r="U574" s="63">
        <v>0</v>
      </c>
      <c r="V574" s="63">
        <v>0</v>
      </c>
      <c r="W574" s="63">
        <v>0</v>
      </c>
      <c r="X574" s="63"/>
      <c r="Y574" s="63"/>
      <c r="Z574" s="63"/>
      <c r="AA574" s="63"/>
      <c r="AB574" s="275"/>
      <c r="BA574" s="8"/>
      <c r="BB574" s="8"/>
      <c r="BC574" s="8"/>
    </row>
    <row r="575" spans="16:55" x14ac:dyDescent="0.25">
      <c r="P575" s="111">
        <v>1</v>
      </c>
      <c r="Q575" s="111">
        <v>1</v>
      </c>
      <c r="S575" s="4"/>
      <c r="T575" s="273">
        <v>1</v>
      </c>
      <c r="U575" s="63">
        <v>1</v>
      </c>
      <c r="V575" s="63">
        <v>1</v>
      </c>
      <c r="W575" s="63">
        <v>1</v>
      </c>
      <c r="X575" s="63"/>
      <c r="Y575" s="63"/>
      <c r="Z575" s="63"/>
      <c r="AA575" s="63"/>
      <c r="AB575" s="275"/>
      <c r="BA575" s="8"/>
      <c r="BB575" s="8"/>
      <c r="BC575" s="8"/>
    </row>
    <row r="576" spans="16:55" x14ac:dyDescent="0.25">
      <c r="P576" s="111" t="s">
        <v>2</v>
      </c>
      <c r="Q576" s="111" t="s">
        <v>2</v>
      </c>
      <c r="S576" s="4"/>
      <c r="T576" s="273" t="s">
        <v>2</v>
      </c>
      <c r="U576" s="63" t="s">
        <v>2</v>
      </c>
      <c r="V576" s="63" t="s">
        <v>2</v>
      </c>
      <c r="W576" s="63" t="s">
        <v>2</v>
      </c>
      <c r="X576" s="63"/>
      <c r="Y576" s="63"/>
      <c r="Z576" s="63"/>
      <c r="AA576" s="63"/>
      <c r="AB576" s="275"/>
      <c r="BA576" s="8"/>
      <c r="BB576" s="8"/>
      <c r="BC576" s="8"/>
    </row>
    <row r="577" spans="16:55" x14ac:dyDescent="0.25">
      <c r="P577" s="111" t="s">
        <v>2</v>
      </c>
      <c r="Q577" s="111" t="s">
        <v>2</v>
      </c>
      <c r="S577" s="4"/>
      <c r="T577" s="273" t="s">
        <v>2</v>
      </c>
      <c r="U577" s="63" t="s">
        <v>2</v>
      </c>
      <c r="V577" s="63" t="s">
        <v>2</v>
      </c>
      <c r="W577" s="63" t="s">
        <v>2</v>
      </c>
      <c r="X577" s="63"/>
      <c r="Y577" s="63"/>
      <c r="Z577" s="63"/>
      <c r="AA577" s="63"/>
      <c r="AB577" s="275"/>
      <c r="BA577" s="8"/>
      <c r="BB577" s="8"/>
      <c r="BC577" s="8"/>
    </row>
    <row r="578" spans="16:55" x14ac:dyDescent="0.25">
      <c r="P578" s="111" t="s">
        <v>2</v>
      </c>
      <c r="Q578" s="111" t="s">
        <v>2</v>
      </c>
      <c r="S578" s="4"/>
      <c r="T578" s="273" t="s">
        <v>2</v>
      </c>
      <c r="U578" s="63" t="s">
        <v>2</v>
      </c>
      <c r="V578" s="63" t="s">
        <v>2</v>
      </c>
      <c r="W578" s="63" t="s">
        <v>2</v>
      </c>
      <c r="X578" s="63"/>
      <c r="Y578" s="63"/>
      <c r="Z578" s="63"/>
      <c r="AA578" s="63"/>
      <c r="AB578" s="275"/>
      <c r="BA578" s="8"/>
      <c r="BB578" s="8"/>
      <c r="BC578" s="8"/>
    </row>
    <row r="579" spans="16:55" x14ac:dyDescent="0.25">
      <c r="P579" s="111">
        <v>0</v>
      </c>
      <c r="Q579" s="111">
        <v>0</v>
      </c>
      <c r="S579" s="4"/>
      <c r="T579" s="273">
        <v>0</v>
      </c>
      <c r="U579" s="63">
        <v>0</v>
      </c>
      <c r="V579" s="63">
        <v>0</v>
      </c>
      <c r="W579" s="63">
        <v>0</v>
      </c>
      <c r="X579" s="63"/>
      <c r="Y579" s="63"/>
      <c r="Z579" s="63"/>
      <c r="AA579" s="63"/>
      <c r="AB579" s="275"/>
      <c r="BA579" s="8"/>
      <c r="BB579" s="8"/>
      <c r="BC579" s="8"/>
    </row>
    <row r="580" spans="16:55" x14ac:dyDescent="0.25">
      <c r="P580" s="111" t="s">
        <v>2</v>
      </c>
      <c r="Q580" s="111" t="s">
        <v>2</v>
      </c>
      <c r="S580" s="4"/>
      <c r="T580" s="273" t="s">
        <v>2</v>
      </c>
      <c r="U580" s="63" t="s">
        <v>2</v>
      </c>
      <c r="V580" s="63" t="s">
        <v>2</v>
      </c>
      <c r="W580" s="63" t="s">
        <v>2</v>
      </c>
      <c r="X580" s="63"/>
      <c r="Y580" s="63"/>
      <c r="Z580" s="63"/>
      <c r="AA580" s="63"/>
      <c r="AB580" s="275"/>
      <c r="BA580" s="8"/>
      <c r="BB580" s="8"/>
      <c r="BC580" s="8"/>
    </row>
    <row r="581" spans="16:55" x14ac:dyDescent="0.25">
      <c r="P581" s="111">
        <v>860.8</v>
      </c>
      <c r="Q581" s="111">
        <v>860.8</v>
      </c>
      <c r="S581" s="4"/>
      <c r="T581" s="273">
        <v>860.8</v>
      </c>
      <c r="U581" s="63">
        <v>860.8</v>
      </c>
      <c r="V581" s="63">
        <v>860.8</v>
      </c>
      <c r="W581" s="63">
        <v>860.8</v>
      </c>
      <c r="X581" s="63"/>
      <c r="Y581" s="63"/>
      <c r="Z581" s="63"/>
      <c r="AA581" s="63"/>
      <c r="AB581" s="275"/>
      <c r="BA581" s="8"/>
      <c r="BB581" s="8"/>
      <c r="BC581" s="8"/>
    </row>
    <row r="582" spans="16:55" x14ac:dyDescent="0.25">
      <c r="P582" s="111">
        <v>319.2</v>
      </c>
      <c r="Q582" s="111">
        <v>319.2</v>
      </c>
      <c r="S582" s="4"/>
      <c r="T582" s="273">
        <v>319.2</v>
      </c>
      <c r="U582" s="63">
        <v>319.2</v>
      </c>
      <c r="V582" s="63">
        <v>319.2</v>
      </c>
      <c r="W582" s="63">
        <v>319.2</v>
      </c>
      <c r="X582" s="63"/>
      <c r="Y582" s="63"/>
      <c r="Z582" s="63"/>
      <c r="AA582" s="63"/>
      <c r="AB582" s="275"/>
      <c r="BA582" s="8"/>
      <c r="BB582" s="8"/>
      <c r="BC582" s="8"/>
    </row>
    <row r="583" spans="16:55" x14ac:dyDescent="0.25">
      <c r="P583" s="111">
        <v>860.8</v>
      </c>
      <c r="Q583" s="111">
        <v>860.8</v>
      </c>
      <c r="S583" s="4"/>
      <c r="T583" s="273">
        <v>860.8</v>
      </c>
      <c r="U583" s="63">
        <v>860.8</v>
      </c>
      <c r="V583" s="63">
        <v>860.8</v>
      </c>
      <c r="W583" s="63">
        <v>860.8</v>
      </c>
      <c r="X583" s="63"/>
      <c r="Y583" s="63"/>
      <c r="Z583" s="63"/>
      <c r="AA583" s="63"/>
      <c r="AB583" s="275"/>
      <c r="BA583" s="8"/>
      <c r="BB583" s="8"/>
      <c r="BC583" s="8"/>
    </row>
    <row r="584" spans="16:55" x14ac:dyDescent="0.25">
      <c r="P584" s="111" t="s">
        <v>158</v>
      </c>
      <c r="Q584" s="111" t="s">
        <v>158</v>
      </c>
      <c r="S584" s="4"/>
      <c r="T584" s="273" t="s">
        <v>158</v>
      </c>
      <c r="U584" s="63" t="s">
        <v>158</v>
      </c>
      <c r="V584" s="63" t="s">
        <v>158</v>
      </c>
      <c r="W584" s="63" t="s">
        <v>158</v>
      </c>
      <c r="X584" s="63"/>
      <c r="Y584" s="63"/>
      <c r="Z584" s="63"/>
      <c r="AA584" s="63"/>
      <c r="AB584" s="275"/>
      <c r="BA584" s="8"/>
      <c r="BB584" s="8"/>
      <c r="BC584" s="8"/>
    </row>
    <row r="585" spans="16:55" x14ac:dyDescent="0.25">
      <c r="P585" s="111">
        <v>100</v>
      </c>
      <c r="Q585" s="111">
        <v>100</v>
      </c>
      <c r="S585" s="4"/>
      <c r="T585" s="273">
        <v>100</v>
      </c>
      <c r="U585" s="63">
        <v>100</v>
      </c>
      <c r="V585" s="63">
        <v>100</v>
      </c>
      <c r="W585" s="63">
        <v>100</v>
      </c>
      <c r="X585" s="63"/>
      <c r="Y585" s="63"/>
      <c r="Z585" s="63"/>
      <c r="AA585" s="63"/>
      <c r="AB585" s="275"/>
      <c r="BA585" s="8"/>
      <c r="BB585" s="8"/>
      <c r="BC585" s="8"/>
    </row>
    <row r="586" spans="16:55" x14ac:dyDescent="0.25">
      <c r="P586" s="111" t="s">
        <v>159</v>
      </c>
      <c r="Q586" s="111" t="s">
        <v>159</v>
      </c>
      <c r="S586" s="4"/>
      <c r="T586" s="273" t="s">
        <v>159</v>
      </c>
      <c r="U586" s="63" t="s">
        <v>159</v>
      </c>
      <c r="V586" s="63" t="s">
        <v>159</v>
      </c>
      <c r="W586" s="63" t="s">
        <v>159</v>
      </c>
      <c r="X586" s="63"/>
      <c r="Y586" s="63"/>
      <c r="Z586" s="63"/>
      <c r="AA586" s="63"/>
      <c r="AB586" s="275"/>
      <c r="BA586" s="8"/>
      <c r="BB586" s="8"/>
      <c r="BC586" s="8"/>
    </row>
    <row r="587" spans="16:55" x14ac:dyDescent="0.25">
      <c r="P587" s="111" t="s">
        <v>160</v>
      </c>
      <c r="Q587" s="111" t="s">
        <v>161</v>
      </c>
      <c r="S587" s="4"/>
      <c r="T587" s="273" t="s">
        <v>161</v>
      </c>
      <c r="U587" s="63" t="s">
        <v>161</v>
      </c>
      <c r="V587" s="63" t="s">
        <v>161</v>
      </c>
      <c r="W587" s="63" t="s">
        <v>161</v>
      </c>
      <c r="X587" s="63"/>
      <c r="Y587" s="63"/>
      <c r="Z587" s="63"/>
      <c r="AA587" s="63"/>
      <c r="AB587" s="275"/>
      <c r="BA587" s="8"/>
      <c r="BB587" s="8"/>
      <c r="BC587" s="8"/>
    </row>
    <row r="588" spans="16:55" x14ac:dyDescent="0.25">
      <c r="P588" s="111" t="s">
        <v>2</v>
      </c>
      <c r="Q588" s="111" t="s">
        <v>2</v>
      </c>
      <c r="S588" s="4"/>
      <c r="T588" s="273" t="s">
        <v>2</v>
      </c>
      <c r="U588" s="63" t="s">
        <v>2</v>
      </c>
      <c r="V588" s="63" t="s">
        <v>2</v>
      </c>
      <c r="W588" s="63" t="s">
        <v>2</v>
      </c>
      <c r="X588" s="63"/>
      <c r="Y588" s="63"/>
      <c r="Z588" s="63"/>
      <c r="AA588" s="63"/>
      <c r="AB588" s="275"/>
      <c r="BA588" s="8"/>
      <c r="BB588" s="8"/>
      <c r="BC588" s="8"/>
    </row>
    <row r="589" spans="16:55" x14ac:dyDescent="0.25">
      <c r="P589" s="111">
        <v>0</v>
      </c>
      <c r="Q589" s="111">
        <v>0</v>
      </c>
      <c r="S589" s="4"/>
      <c r="T589" s="273">
        <v>0</v>
      </c>
      <c r="U589" s="63">
        <v>0</v>
      </c>
      <c r="V589" s="63">
        <v>0</v>
      </c>
      <c r="W589" s="63">
        <v>0</v>
      </c>
      <c r="X589" s="63"/>
      <c r="Y589" s="63"/>
      <c r="Z589" s="63"/>
      <c r="AA589" s="63"/>
      <c r="AB589" s="275"/>
      <c r="BA589" s="8"/>
      <c r="BB589" s="8"/>
      <c r="BC589" s="8"/>
    </row>
    <row r="590" spans="16:55" x14ac:dyDescent="0.25">
      <c r="P590" s="111">
        <v>0</v>
      </c>
      <c r="Q590" s="111">
        <v>0</v>
      </c>
      <c r="S590" s="4"/>
      <c r="T590" s="273">
        <v>0</v>
      </c>
      <c r="U590" s="63">
        <v>0</v>
      </c>
      <c r="V590" s="63">
        <v>0</v>
      </c>
      <c r="W590" s="63">
        <v>0</v>
      </c>
      <c r="X590" s="63"/>
      <c r="Y590" s="63"/>
      <c r="Z590" s="63"/>
      <c r="AA590" s="63"/>
      <c r="AB590" s="275"/>
      <c r="BA590" s="8"/>
      <c r="BB590" s="8"/>
      <c r="BC590" s="8"/>
    </row>
    <row r="591" spans="16:55" x14ac:dyDescent="0.25">
      <c r="P591" s="111">
        <v>0</v>
      </c>
      <c r="Q591" s="111">
        <v>0</v>
      </c>
      <c r="S591" s="4"/>
      <c r="T591" s="273">
        <v>0</v>
      </c>
      <c r="U591" s="63">
        <v>0</v>
      </c>
      <c r="V591" s="63">
        <v>0</v>
      </c>
      <c r="W591" s="63">
        <v>0</v>
      </c>
      <c r="X591" s="63"/>
      <c r="Y591" s="63"/>
      <c r="Z591" s="63"/>
      <c r="AA591" s="63"/>
      <c r="AB591" s="275"/>
      <c r="BA591" s="8"/>
      <c r="BB591" s="8"/>
      <c r="BC591" s="8"/>
    </row>
    <row r="592" spans="16:55" x14ac:dyDescent="0.25">
      <c r="P592" s="111" t="s">
        <v>2</v>
      </c>
      <c r="Q592" s="111" t="s">
        <v>2</v>
      </c>
      <c r="S592" s="4"/>
      <c r="T592" s="273" t="s">
        <v>2</v>
      </c>
      <c r="U592" s="63" t="s">
        <v>2</v>
      </c>
      <c r="V592" s="63" t="s">
        <v>2</v>
      </c>
      <c r="W592" s="63" t="s">
        <v>2</v>
      </c>
      <c r="X592" s="63"/>
      <c r="Y592" s="63"/>
      <c r="Z592" s="63"/>
      <c r="AA592" s="63"/>
      <c r="AB592" s="275"/>
      <c r="BA592" s="8"/>
      <c r="BB592" s="8"/>
      <c r="BC592" s="8"/>
    </row>
    <row r="593" spans="16:55" x14ac:dyDescent="0.25">
      <c r="P593" s="111">
        <v>0</v>
      </c>
      <c r="Q593" s="111">
        <v>0</v>
      </c>
      <c r="S593" s="4"/>
      <c r="T593" s="273">
        <v>0</v>
      </c>
      <c r="U593" s="63">
        <v>0</v>
      </c>
      <c r="V593" s="63">
        <v>0</v>
      </c>
      <c r="W593" s="63">
        <v>0</v>
      </c>
      <c r="X593" s="63"/>
      <c r="Y593" s="63"/>
      <c r="Z593" s="63"/>
      <c r="AA593" s="63"/>
      <c r="AB593" s="275"/>
      <c r="BA593" s="8"/>
      <c r="BB593" s="8"/>
      <c r="BC593" s="8"/>
    </row>
    <row r="594" spans="16:55" x14ac:dyDescent="0.25">
      <c r="P594" s="111" t="s">
        <v>2</v>
      </c>
      <c r="Q594" s="111" t="s">
        <v>2</v>
      </c>
      <c r="S594" s="4"/>
      <c r="T594" s="273" t="s">
        <v>2</v>
      </c>
      <c r="U594" s="63" t="s">
        <v>2</v>
      </c>
      <c r="V594" s="63" t="s">
        <v>2</v>
      </c>
      <c r="W594" s="63" t="s">
        <v>2</v>
      </c>
      <c r="X594" s="63"/>
      <c r="Y594" s="63"/>
      <c r="Z594" s="63"/>
      <c r="AA594" s="63"/>
      <c r="AB594" s="275"/>
      <c r="BA594" s="8"/>
      <c r="BB594" s="8"/>
      <c r="BC594" s="8"/>
    </row>
    <row r="595" spans="16:55" x14ac:dyDescent="0.25">
      <c r="P595" s="111" t="s">
        <v>2</v>
      </c>
      <c r="Q595" s="111" t="s">
        <v>2</v>
      </c>
      <c r="S595" s="4"/>
      <c r="T595" s="273" t="s">
        <v>2</v>
      </c>
      <c r="U595" s="63" t="s">
        <v>2</v>
      </c>
      <c r="V595" s="63" t="s">
        <v>2</v>
      </c>
      <c r="W595" s="63" t="s">
        <v>2</v>
      </c>
      <c r="X595" s="63"/>
      <c r="Y595" s="63"/>
      <c r="Z595" s="63"/>
      <c r="AA595" s="63"/>
      <c r="AB595" s="275"/>
      <c r="BA595" s="8"/>
      <c r="BB595" s="8"/>
      <c r="BC595" s="8"/>
    </row>
    <row r="596" spans="16:55" x14ac:dyDescent="0.25">
      <c r="P596" s="111" t="s">
        <v>2</v>
      </c>
      <c r="Q596" s="111" t="s">
        <v>2</v>
      </c>
      <c r="S596" s="4"/>
      <c r="T596" s="273" t="s">
        <v>2</v>
      </c>
      <c r="U596" s="63" t="s">
        <v>2</v>
      </c>
      <c r="V596" s="63" t="s">
        <v>2</v>
      </c>
      <c r="W596" s="63" t="s">
        <v>2</v>
      </c>
      <c r="X596" s="63"/>
      <c r="Y596" s="63"/>
      <c r="Z596" s="63"/>
      <c r="AA596" s="63"/>
      <c r="AB596" s="275"/>
      <c r="BA596" s="8"/>
      <c r="BB596" s="8"/>
      <c r="BC596" s="8"/>
    </row>
    <row r="597" spans="16:55" x14ac:dyDescent="0.25">
      <c r="P597" s="111">
        <v>0</v>
      </c>
      <c r="Q597" s="111">
        <v>0</v>
      </c>
      <c r="S597" s="4"/>
      <c r="T597" s="273">
        <v>0</v>
      </c>
      <c r="U597" s="63">
        <v>0</v>
      </c>
      <c r="V597" s="63">
        <v>0</v>
      </c>
      <c r="W597" s="63">
        <v>0</v>
      </c>
      <c r="X597" s="63"/>
      <c r="Y597" s="63"/>
      <c r="Z597" s="63"/>
      <c r="AA597" s="63"/>
      <c r="AB597" s="275"/>
      <c r="BA597" s="8"/>
      <c r="BB597" s="8"/>
      <c r="BC597" s="8"/>
    </row>
    <row r="598" spans="16:55" x14ac:dyDescent="0.25">
      <c r="P598" s="111" t="s">
        <v>2</v>
      </c>
      <c r="Q598" s="111" t="s">
        <v>2</v>
      </c>
      <c r="S598" s="4"/>
      <c r="T598" s="273" t="s">
        <v>2</v>
      </c>
      <c r="U598" s="63" t="s">
        <v>2</v>
      </c>
      <c r="V598" s="63" t="s">
        <v>2</v>
      </c>
      <c r="W598" s="63" t="s">
        <v>2</v>
      </c>
      <c r="X598" s="63"/>
      <c r="Y598" s="63"/>
      <c r="Z598" s="63"/>
      <c r="AA598" s="63"/>
      <c r="AB598" s="275"/>
      <c r="BA598" s="8"/>
      <c r="BB598" s="8"/>
      <c r="BC598" s="8"/>
    </row>
    <row r="599" spans="16:55" x14ac:dyDescent="0.25">
      <c r="P599" s="111" t="s">
        <v>2</v>
      </c>
      <c r="Q599" s="111" t="s">
        <v>2</v>
      </c>
      <c r="S599" s="4"/>
      <c r="T599" s="273" t="s">
        <v>2</v>
      </c>
      <c r="U599" s="63" t="s">
        <v>2</v>
      </c>
      <c r="V599" s="63" t="s">
        <v>2</v>
      </c>
      <c r="W599" s="63" t="s">
        <v>2</v>
      </c>
      <c r="X599" s="63"/>
      <c r="Y599" s="63"/>
      <c r="Z599" s="63"/>
      <c r="AA599" s="63"/>
      <c r="AB599" s="275"/>
      <c r="BA599" s="8"/>
      <c r="BB599" s="8"/>
      <c r="BC599" s="8"/>
    </row>
    <row r="600" spans="16:55" x14ac:dyDescent="0.25">
      <c r="P600" s="111">
        <v>0</v>
      </c>
      <c r="Q600" s="111">
        <v>0</v>
      </c>
      <c r="S600" s="4"/>
      <c r="T600" s="273">
        <v>0</v>
      </c>
      <c r="U600" s="63">
        <v>0</v>
      </c>
      <c r="V600" s="63">
        <v>0</v>
      </c>
      <c r="W600" s="63">
        <v>0</v>
      </c>
      <c r="X600" s="63"/>
      <c r="Y600" s="63"/>
      <c r="Z600" s="63"/>
      <c r="AA600" s="63"/>
      <c r="AB600" s="275"/>
      <c r="BA600" s="8"/>
      <c r="BB600" s="8"/>
      <c r="BC600" s="8"/>
    </row>
    <row r="601" spans="16:55" x14ac:dyDescent="0.25">
      <c r="P601" s="111">
        <v>0</v>
      </c>
      <c r="Q601" s="111">
        <v>0</v>
      </c>
      <c r="S601" s="4"/>
      <c r="T601" s="273">
        <v>0</v>
      </c>
      <c r="U601" s="63">
        <v>0</v>
      </c>
      <c r="V601" s="63">
        <v>0</v>
      </c>
      <c r="W601" s="63">
        <v>0</v>
      </c>
      <c r="X601" s="63"/>
      <c r="Y601" s="63"/>
      <c r="Z601" s="63"/>
      <c r="AA601" s="63"/>
      <c r="AB601" s="275"/>
      <c r="BA601" s="8"/>
      <c r="BB601" s="8"/>
      <c r="BC601" s="8"/>
    </row>
    <row r="602" spans="16:55" x14ac:dyDescent="0.25">
      <c r="P602" s="111">
        <v>0</v>
      </c>
      <c r="Q602" s="111">
        <v>0</v>
      </c>
      <c r="S602" s="4"/>
      <c r="T602" s="273">
        <v>0</v>
      </c>
      <c r="U602" s="63">
        <v>0</v>
      </c>
      <c r="V602" s="63">
        <v>0</v>
      </c>
      <c r="W602" s="63">
        <v>0</v>
      </c>
      <c r="X602" s="63"/>
      <c r="Y602" s="63"/>
      <c r="Z602" s="63"/>
      <c r="AA602" s="63"/>
      <c r="AB602" s="275"/>
      <c r="BA602" s="8"/>
      <c r="BB602" s="8"/>
      <c r="BC602" s="8"/>
    </row>
    <row r="603" spans="16:55" x14ac:dyDescent="0.25">
      <c r="P603" s="111">
        <v>0</v>
      </c>
      <c r="Q603" s="111">
        <v>0</v>
      </c>
      <c r="S603" s="4"/>
      <c r="T603" s="273">
        <v>0</v>
      </c>
      <c r="U603" s="63">
        <v>0</v>
      </c>
      <c r="V603" s="63">
        <v>0</v>
      </c>
      <c r="W603" s="63">
        <v>0</v>
      </c>
      <c r="X603" s="63"/>
      <c r="Y603" s="63"/>
      <c r="Z603" s="63"/>
      <c r="AA603" s="63"/>
      <c r="AB603" s="275"/>
      <c r="BA603" s="8"/>
      <c r="BB603" s="8"/>
      <c r="BC603" s="8"/>
    </row>
    <row r="604" spans="16:55" x14ac:dyDescent="0.25">
      <c r="P604" s="111">
        <v>0</v>
      </c>
      <c r="Q604" s="111">
        <v>0</v>
      </c>
      <c r="S604" s="4"/>
      <c r="T604" s="273">
        <v>0</v>
      </c>
      <c r="U604" s="63">
        <v>0</v>
      </c>
      <c r="V604" s="63">
        <v>0</v>
      </c>
      <c r="W604" s="63">
        <v>0</v>
      </c>
      <c r="X604" s="63"/>
      <c r="Y604" s="63"/>
      <c r="Z604" s="63"/>
      <c r="AA604" s="63"/>
      <c r="AB604" s="275"/>
      <c r="BA604" s="8"/>
      <c r="BB604" s="8"/>
      <c r="BC604" s="8"/>
    </row>
    <row r="605" spans="16:55" x14ac:dyDescent="0.25">
      <c r="P605" s="111" t="s">
        <v>2</v>
      </c>
      <c r="Q605" s="111" t="s">
        <v>2</v>
      </c>
      <c r="S605" s="4"/>
      <c r="T605" s="273" t="s">
        <v>2</v>
      </c>
      <c r="U605" s="63" t="s">
        <v>2</v>
      </c>
      <c r="V605" s="63" t="s">
        <v>2</v>
      </c>
      <c r="W605" s="63" t="s">
        <v>2</v>
      </c>
      <c r="X605" s="63"/>
      <c r="Y605" s="63"/>
      <c r="Z605" s="63"/>
      <c r="AA605" s="63"/>
      <c r="AB605" s="275"/>
      <c r="BA605" s="8"/>
      <c r="BB605" s="8"/>
      <c r="BC605" s="8"/>
    </row>
    <row r="606" spans="16:55" x14ac:dyDescent="0.25">
      <c r="P606" s="111" t="s">
        <v>2</v>
      </c>
      <c r="Q606" s="111" t="s">
        <v>2</v>
      </c>
      <c r="S606" s="4"/>
      <c r="T606" s="273" t="s">
        <v>2</v>
      </c>
      <c r="U606" s="63" t="s">
        <v>2</v>
      </c>
      <c r="V606" s="63" t="s">
        <v>2</v>
      </c>
      <c r="W606" s="63" t="s">
        <v>2</v>
      </c>
      <c r="X606" s="63"/>
      <c r="Y606" s="63"/>
      <c r="Z606" s="63"/>
      <c r="AA606" s="63"/>
      <c r="AB606" s="275"/>
      <c r="BA606" s="8"/>
      <c r="BB606" s="8"/>
      <c r="BC606" s="8"/>
    </row>
    <row r="607" spans="16:55" x14ac:dyDescent="0.25">
      <c r="P607" s="111" t="s">
        <v>2</v>
      </c>
      <c r="Q607" s="111" t="s">
        <v>2</v>
      </c>
      <c r="S607" s="4"/>
      <c r="T607" s="273" t="s">
        <v>2</v>
      </c>
      <c r="U607" s="63" t="s">
        <v>2</v>
      </c>
      <c r="V607" s="63" t="s">
        <v>2</v>
      </c>
      <c r="W607" s="63" t="s">
        <v>2</v>
      </c>
      <c r="X607" s="63"/>
      <c r="Y607" s="63"/>
      <c r="Z607" s="63"/>
      <c r="AA607" s="63"/>
      <c r="AB607" s="275"/>
      <c r="BA607" s="8"/>
      <c r="BB607" s="8"/>
      <c r="BC607" s="8"/>
    </row>
    <row r="608" spans="16:55" x14ac:dyDescent="0.25">
      <c r="P608" s="111" t="s">
        <v>2</v>
      </c>
      <c r="Q608" s="111" t="s">
        <v>2</v>
      </c>
      <c r="S608" s="4"/>
      <c r="T608" s="273" t="s">
        <v>2</v>
      </c>
      <c r="U608" s="63" t="s">
        <v>2</v>
      </c>
      <c r="V608" s="63" t="s">
        <v>2</v>
      </c>
      <c r="W608" s="63" t="s">
        <v>2</v>
      </c>
      <c r="X608" s="63"/>
      <c r="Y608" s="63"/>
      <c r="Z608" s="63"/>
      <c r="AA608" s="63"/>
      <c r="AB608" s="275"/>
      <c r="BA608" s="8"/>
      <c r="BB608" s="8"/>
      <c r="BC608" s="8"/>
    </row>
    <row r="609" spans="16:55" x14ac:dyDescent="0.25">
      <c r="P609" s="111">
        <v>0</v>
      </c>
      <c r="Q609" s="111">
        <v>0</v>
      </c>
      <c r="S609" s="4"/>
      <c r="T609" s="273">
        <v>0</v>
      </c>
      <c r="U609" s="63">
        <v>0</v>
      </c>
      <c r="V609" s="63">
        <v>0</v>
      </c>
      <c r="W609" s="63">
        <v>0</v>
      </c>
      <c r="X609" s="63"/>
      <c r="Y609" s="63"/>
      <c r="Z609" s="63"/>
      <c r="AA609" s="63"/>
      <c r="AB609" s="275"/>
      <c r="BA609" s="8"/>
      <c r="BB609" s="8"/>
      <c r="BC609" s="8"/>
    </row>
    <row r="610" spans="16:55" x14ac:dyDescent="0.25">
      <c r="P610" s="111">
        <v>0</v>
      </c>
      <c r="Q610" s="111">
        <v>0</v>
      </c>
      <c r="S610" s="4"/>
      <c r="T610" s="273">
        <v>0</v>
      </c>
      <c r="U610" s="63">
        <v>0</v>
      </c>
      <c r="V610" s="63">
        <v>0</v>
      </c>
      <c r="W610" s="63">
        <v>0</v>
      </c>
      <c r="X610" s="63"/>
      <c r="Y610" s="63"/>
      <c r="Z610" s="63"/>
      <c r="AA610" s="63"/>
      <c r="AB610" s="275"/>
      <c r="BA610" s="8"/>
      <c r="BB610" s="8"/>
      <c r="BC610" s="8"/>
    </row>
    <row r="611" spans="16:55" x14ac:dyDescent="0.25">
      <c r="P611" s="111" t="s">
        <v>162</v>
      </c>
      <c r="Q611" s="111" t="s">
        <v>162</v>
      </c>
      <c r="S611" s="4"/>
      <c r="T611" s="273" t="s">
        <v>162</v>
      </c>
      <c r="U611" s="63" t="s">
        <v>162</v>
      </c>
      <c r="V611" s="63" t="s">
        <v>162</v>
      </c>
      <c r="W611" s="63" t="s">
        <v>162</v>
      </c>
      <c r="X611" s="63"/>
      <c r="Y611" s="63"/>
      <c r="Z611" s="63"/>
      <c r="AA611" s="63"/>
      <c r="AB611" s="275"/>
      <c r="BA611" s="8"/>
      <c r="BB611" s="8"/>
      <c r="BC611" s="8"/>
    </row>
    <row r="612" spans="16:55" x14ac:dyDescent="0.25">
      <c r="P612" s="111">
        <v>-1</v>
      </c>
      <c r="Q612" s="111">
        <v>-1</v>
      </c>
      <c r="S612" s="4"/>
      <c r="T612" s="273">
        <v>-1</v>
      </c>
      <c r="U612" s="63">
        <v>-1</v>
      </c>
      <c r="V612" s="63">
        <v>-1</v>
      </c>
      <c r="W612" s="63">
        <v>-1</v>
      </c>
      <c r="X612" s="63"/>
      <c r="Y612" s="63"/>
      <c r="Z612" s="63"/>
      <c r="AA612" s="63"/>
      <c r="AB612" s="275"/>
      <c r="BA612" s="8"/>
      <c r="BB612" s="8"/>
      <c r="BC612" s="8"/>
    </row>
    <row r="613" spans="16:55" x14ac:dyDescent="0.25">
      <c r="P613" s="111">
        <v>-1</v>
      </c>
      <c r="Q613" s="111">
        <v>-1</v>
      </c>
      <c r="S613" s="4"/>
      <c r="T613" s="273">
        <v>-1</v>
      </c>
      <c r="U613" s="63">
        <v>-1</v>
      </c>
      <c r="V613" s="63">
        <v>-1</v>
      </c>
      <c r="W613" s="63">
        <v>-1</v>
      </c>
      <c r="X613" s="63"/>
      <c r="Y613" s="63"/>
      <c r="Z613" s="63"/>
      <c r="AA613" s="63"/>
      <c r="AB613" s="275"/>
      <c r="BA613" s="8"/>
      <c r="BB613" s="8"/>
      <c r="BC613" s="8"/>
    </row>
    <row r="614" spans="16:55" x14ac:dyDescent="0.25">
      <c r="P614" s="111" t="s">
        <v>163</v>
      </c>
      <c r="Q614" s="111" t="s">
        <v>163</v>
      </c>
      <c r="S614" s="4"/>
      <c r="T614" s="273" t="s">
        <v>163</v>
      </c>
      <c r="U614" s="63" t="s">
        <v>163</v>
      </c>
      <c r="V614" s="63" t="s">
        <v>163</v>
      </c>
      <c r="W614" s="63" t="s">
        <v>163</v>
      </c>
      <c r="X614" s="63"/>
      <c r="Y614" s="63"/>
      <c r="Z614" s="63"/>
      <c r="AA614" s="63"/>
      <c r="AB614" s="275"/>
      <c r="BA614" s="8"/>
      <c r="BB614" s="8"/>
      <c r="BC614" s="8"/>
    </row>
    <row r="615" spans="16:55" x14ac:dyDescent="0.25">
      <c r="P615" s="111" t="s">
        <v>164</v>
      </c>
      <c r="Q615" s="111" t="s">
        <v>164</v>
      </c>
      <c r="S615" s="4"/>
      <c r="T615" s="273" t="s">
        <v>164</v>
      </c>
      <c r="U615" s="63" t="s">
        <v>164</v>
      </c>
      <c r="V615" s="63" t="s">
        <v>164</v>
      </c>
      <c r="W615" s="63" t="s">
        <v>164</v>
      </c>
      <c r="X615" s="63"/>
      <c r="Y615" s="63"/>
      <c r="Z615" s="63"/>
      <c r="AA615" s="63"/>
      <c r="AB615" s="275"/>
      <c r="BA615" s="8"/>
      <c r="BB615" s="8"/>
      <c r="BC615" s="8"/>
    </row>
    <row r="616" spans="16:55" x14ac:dyDescent="0.25">
      <c r="P616" s="111" t="s">
        <v>165</v>
      </c>
      <c r="Q616" s="111" t="s">
        <v>165</v>
      </c>
      <c r="S616" s="4"/>
      <c r="T616" s="273" t="s">
        <v>165</v>
      </c>
      <c r="U616" s="63" t="s">
        <v>165</v>
      </c>
      <c r="V616" s="63" t="s">
        <v>165</v>
      </c>
      <c r="W616" s="63" t="s">
        <v>165</v>
      </c>
      <c r="X616" s="63"/>
      <c r="Y616" s="63"/>
      <c r="Z616" s="63"/>
      <c r="AA616" s="63"/>
      <c r="AB616" s="275"/>
      <c r="BA616" s="8"/>
      <c r="BB616" s="8"/>
      <c r="BC616" s="8"/>
    </row>
    <row r="617" spans="16:55" x14ac:dyDescent="0.25">
      <c r="P617" s="111" t="s">
        <v>166</v>
      </c>
      <c r="Q617" s="111" t="s">
        <v>166</v>
      </c>
      <c r="S617" s="4"/>
      <c r="T617" s="273" t="s">
        <v>166</v>
      </c>
      <c r="U617" s="63" t="s">
        <v>166</v>
      </c>
      <c r="V617" s="63" t="s">
        <v>166</v>
      </c>
      <c r="W617" s="63" t="s">
        <v>166</v>
      </c>
      <c r="X617" s="63"/>
      <c r="Y617" s="63"/>
      <c r="Z617" s="63"/>
      <c r="AA617" s="63"/>
      <c r="AB617" s="275"/>
      <c r="BA617" s="8"/>
      <c r="BB617" s="8"/>
      <c r="BC617" s="8"/>
    </row>
    <row r="618" spans="16:55" x14ac:dyDescent="0.25">
      <c r="P618" s="111" t="s">
        <v>167</v>
      </c>
      <c r="Q618" s="111" t="s">
        <v>167</v>
      </c>
      <c r="S618" s="4"/>
      <c r="T618" s="273" t="s">
        <v>167</v>
      </c>
      <c r="U618" s="63" t="s">
        <v>167</v>
      </c>
      <c r="V618" s="63" t="s">
        <v>167</v>
      </c>
      <c r="W618" s="63" t="s">
        <v>167</v>
      </c>
      <c r="X618" s="63"/>
      <c r="Y618" s="63"/>
      <c r="Z618" s="63"/>
      <c r="AA618" s="63"/>
      <c r="AB618" s="275"/>
      <c r="BA618" s="8"/>
      <c r="BB618" s="8"/>
      <c r="BC618" s="8"/>
    </row>
    <row r="619" spans="16:55" x14ac:dyDescent="0.25">
      <c r="P619" s="111">
        <v>2500</v>
      </c>
      <c r="Q619" s="111">
        <v>2500</v>
      </c>
      <c r="S619" s="4"/>
      <c r="T619" s="273">
        <v>2500</v>
      </c>
      <c r="U619" s="63">
        <v>2500</v>
      </c>
      <c r="V619" s="63">
        <v>2500</v>
      </c>
      <c r="W619" s="63">
        <v>2500</v>
      </c>
      <c r="X619" s="63"/>
      <c r="Y619" s="63"/>
      <c r="Z619" s="63"/>
      <c r="AA619" s="63"/>
      <c r="AB619" s="275"/>
      <c r="BA619" s="8"/>
      <c r="BB619" s="8"/>
      <c r="BC619" s="8"/>
    </row>
    <row r="620" spans="16:55" x14ac:dyDescent="0.25">
      <c r="P620" s="111">
        <v>-5</v>
      </c>
      <c r="Q620" s="111">
        <v>-5</v>
      </c>
      <c r="S620" s="4"/>
      <c r="T620" s="273">
        <v>-5</v>
      </c>
      <c r="U620" s="63">
        <v>-5</v>
      </c>
      <c r="V620" s="63">
        <v>-5</v>
      </c>
      <c r="W620" s="63">
        <v>-5</v>
      </c>
      <c r="X620" s="63"/>
      <c r="Y620" s="63"/>
      <c r="Z620" s="63"/>
      <c r="AA620" s="63"/>
      <c r="AB620" s="275"/>
      <c r="BA620" s="8"/>
      <c r="BB620" s="8"/>
      <c r="BC620" s="8"/>
    </row>
    <row r="621" spans="16:55" x14ac:dyDescent="0.25">
      <c r="P621" s="111">
        <v>451</v>
      </c>
      <c r="Q621" s="111">
        <v>451</v>
      </c>
      <c r="S621" s="4"/>
      <c r="T621" s="273">
        <v>451</v>
      </c>
      <c r="U621" s="63">
        <v>451</v>
      </c>
      <c r="V621" s="63">
        <v>451</v>
      </c>
      <c r="W621" s="63">
        <v>451</v>
      </c>
      <c r="X621" s="63"/>
      <c r="Y621" s="63"/>
      <c r="Z621" s="63"/>
      <c r="AA621" s="63"/>
      <c r="AB621" s="275"/>
      <c r="BA621" s="8"/>
      <c r="BB621" s="8"/>
      <c r="BC621" s="8"/>
    </row>
    <row r="622" spans="16:55" x14ac:dyDescent="0.25">
      <c r="P622" s="111">
        <v>8</v>
      </c>
      <c r="Q622" s="111">
        <v>8</v>
      </c>
      <c r="S622" s="4"/>
      <c r="T622" s="273">
        <v>8</v>
      </c>
      <c r="U622" s="63">
        <v>8</v>
      </c>
      <c r="V622" s="63">
        <v>8</v>
      </c>
      <c r="W622" s="63">
        <v>8</v>
      </c>
      <c r="X622" s="63"/>
      <c r="Y622" s="63"/>
      <c r="Z622" s="63"/>
      <c r="AA622" s="63"/>
      <c r="AB622" s="275"/>
      <c r="BA622" s="8"/>
      <c r="BB622" s="8"/>
      <c r="BC622" s="8"/>
    </row>
    <row r="623" spans="16:55" x14ac:dyDescent="0.25">
      <c r="P623" s="111">
        <v>3.2069999999999999</v>
      </c>
      <c r="Q623" s="111">
        <v>122.7329</v>
      </c>
      <c r="S623" s="4"/>
      <c r="T623" s="273">
        <v>123.3364</v>
      </c>
      <c r="U623" s="63">
        <v>123.51730000000001</v>
      </c>
      <c r="V623" s="63">
        <v>123.51730000000001</v>
      </c>
      <c r="W623" s="63">
        <v>123.51730000000001</v>
      </c>
      <c r="X623" s="63"/>
      <c r="Y623" s="63"/>
      <c r="Z623" s="63"/>
      <c r="AA623" s="63"/>
      <c r="AB623" s="275"/>
      <c r="BA623" s="8"/>
      <c r="BB623" s="8"/>
      <c r="BC623" s="8"/>
    </row>
    <row r="624" spans="16:55" x14ac:dyDescent="0.25">
      <c r="P624" s="111">
        <v>-3.8052999999999999</v>
      </c>
      <c r="Q624" s="111">
        <v>106.1589</v>
      </c>
      <c r="S624" s="4"/>
      <c r="T624" s="273">
        <v>92.797200000000004</v>
      </c>
      <c r="U624" s="63">
        <v>92.337500000000006</v>
      </c>
      <c r="V624" s="63">
        <v>92.337500000000006</v>
      </c>
      <c r="W624" s="63">
        <v>92.337500000000006</v>
      </c>
      <c r="X624" s="63"/>
      <c r="Y624" s="63"/>
      <c r="Z624" s="63"/>
      <c r="AA624" s="63"/>
      <c r="AB624" s="275"/>
      <c r="BA624" s="8"/>
      <c r="BB624" s="8"/>
      <c r="BC624" s="8"/>
    </row>
    <row r="625" spans="16:55" x14ac:dyDescent="0.25">
      <c r="P625" s="111" t="s">
        <v>168</v>
      </c>
      <c r="Q625" s="111" t="s">
        <v>168</v>
      </c>
      <c r="S625" s="4"/>
      <c r="T625" s="273" t="s">
        <v>168</v>
      </c>
      <c r="U625" s="63" t="s">
        <v>168</v>
      </c>
      <c r="V625" s="63" t="s">
        <v>168</v>
      </c>
      <c r="W625" s="63" t="s">
        <v>168</v>
      </c>
      <c r="X625" s="63" t="s">
        <v>168</v>
      </c>
      <c r="Y625" s="63" t="s">
        <v>168</v>
      </c>
      <c r="Z625" s="63" t="s">
        <v>168</v>
      </c>
      <c r="AA625" s="63" t="s">
        <v>168</v>
      </c>
      <c r="AB625" s="287" t="s">
        <v>168</v>
      </c>
      <c r="BA625" s="8"/>
      <c r="BB625" s="8"/>
      <c r="BC625" s="8"/>
    </row>
    <row r="626" spans="16:55" x14ac:dyDescent="0.25">
      <c r="AB626" s="287"/>
      <c r="BA626" s="8"/>
      <c r="BB626" s="8"/>
      <c r="BC626" s="8"/>
    </row>
    <row r="627" spans="16:55" x14ac:dyDescent="0.25">
      <c r="AB627" s="2"/>
      <c r="BA627" s="8"/>
      <c r="BB627" s="8"/>
      <c r="BC627" s="8"/>
    </row>
    <row r="628" spans="16:55" x14ac:dyDescent="0.25">
      <c r="P628" s="111"/>
      <c r="Q628" s="111"/>
      <c r="S628" s="277">
        <v>2500</v>
      </c>
      <c r="T628" s="273"/>
      <c r="U628" s="63"/>
      <c r="V628" s="63"/>
      <c r="W628" s="63"/>
      <c r="X628" s="63"/>
      <c r="Y628" s="63"/>
      <c r="Z628" s="63"/>
      <c r="AA628" s="63"/>
      <c r="AB628" s="275"/>
      <c r="BA628" s="8"/>
      <c r="BB628" s="8"/>
      <c r="BC628" s="8"/>
    </row>
    <row r="629" spans="16:55" x14ac:dyDescent="0.25">
      <c r="P629" s="111"/>
      <c r="Q629" s="111"/>
      <c r="S629" s="277">
        <v>2495</v>
      </c>
      <c r="T629" s="273"/>
      <c r="U629" s="63"/>
      <c r="V629" s="63"/>
      <c r="W629" s="63"/>
      <c r="X629" s="63"/>
      <c r="Y629" s="63"/>
      <c r="Z629" s="63"/>
      <c r="AA629" s="63"/>
      <c r="AB629" s="275"/>
      <c r="BA629" s="8"/>
      <c r="BB629" s="8"/>
      <c r="BC629" s="8"/>
    </row>
    <row r="630" spans="16:55" x14ac:dyDescent="0.25">
      <c r="P630" s="111"/>
      <c r="Q630" s="111"/>
      <c r="S630" s="277">
        <v>2490</v>
      </c>
      <c r="T630" s="273"/>
      <c r="U630" s="63"/>
      <c r="V630" s="63"/>
      <c r="W630" s="63"/>
      <c r="X630" s="63"/>
      <c r="Y630" s="63"/>
      <c r="Z630" s="63"/>
      <c r="AA630" s="63"/>
      <c r="AB630" s="275"/>
      <c r="BA630" s="8"/>
      <c r="BB630" s="8"/>
      <c r="BC630" s="8"/>
    </row>
    <row r="631" spans="16:55" x14ac:dyDescent="0.25">
      <c r="P631" s="111"/>
      <c r="Q631" s="111"/>
      <c r="S631" s="277">
        <v>2485</v>
      </c>
      <c r="T631" s="273"/>
      <c r="U631" s="63"/>
      <c r="V631" s="63"/>
      <c r="W631" s="63"/>
      <c r="X631" s="63"/>
      <c r="Y631" s="63"/>
      <c r="Z631" s="63"/>
      <c r="AA631" s="63"/>
      <c r="AB631" s="275"/>
      <c r="BA631" s="8"/>
      <c r="BB631" s="8"/>
      <c r="BC631" s="8"/>
    </row>
    <row r="632" spans="16:55" x14ac:dyDescent="0.25">
      <c r="P632" s="111"/>
      <c r="Q632" s="111"/>
      <c r="S632" s="277">
        <v>2480</v>
      </c>
      <c r="T632" s="273"/>
      <c r="U632" s="63"/>
      <c r="V632" s="63"/>
      <c r="W632" s="63"/>
      <c r="X632" s="63"/>
      <c r="Y632" s="63"/>
      <c r="Z632" s="63"/>
      <c r="AA632" s="63"/>
      <c r="AB632" s="275"/>
      <c r="BA632" s="8"/>
      <c r="BB632" s="8"/>
      <c r="BC632" s="8"/>
    </row>
    <row r="633" spans="16:55" x14ac:dyDescent="0.25">
      <c r="P633" s="111"/>
      <c r="Q633" s="111"/>
      <c r="S633" s="277">
        <v>2475</v>
      </c>
      <c r="T633" s="273"/>
      <c r="U633" s="63"/>
      <c r="V633" s="63"/>
      <c r="W633" s="63"/>
      <c r="X633" s="63"/>
      <c r="Y633" s="63"/>
      <c r="Z633" s="63"/>
      <c r="AA633" s="63"/>
      <c r="AB633" s="275"/>
      <c r="BA633" s="8"/>
      <c r="BB633" s="8"/>
      <c r="BC633" s="8"/>
    </row>
    <row r="634" spans="16:55" x14ac:dyDescent="0.25">
      <c r="P634" s="111"/>
      <c r="Q634" s="111"/>
      <c r="S634" s="277">
        <v>2470</v>
      </c>
      <c r="T634" s="273"/>
      <c r="U634" s="63"/>
      <c r="V634" s="63"/>
      <c r="W634" s="63"/>
      <c r="X634" s="63"/>
      <c r="Y634" s="63"/>
      <c r="Z634" s="63"/>
      <c r="AA634" s="63"/>
      <c r="AB634" s="275"/>
      <c r="BA634" s="8"/>
      <c r="BB634" s="8"/>
      <c r="BC634" s="8"/>
    </row>
    <row r="635" spans="16:55" x14ac:dyDescent="0.25">
      <c r="P635" s="111"/>
      <c r="Q635" s="111"/>
      <c r="S635" s="277">
        <v>2465</v>
      </c>
      <c r="T635" s="273"/>
      <c r="U635" s="63"/>
      <c r="V635" s="63"/>
      <c r="W635" s="63"/>
      <c r="X635" s="63"/>
      <c r="Y635" s="63"/>
      <c r="Z635" s="63"/>
      <c r="AA635" s="63"/>
      <c r="AB635" s="275"/>
      <c r="BA635" s="8"/>
      <c r="BB635" s="8"/>
      <c r="BC635" s="8"/>
    </row>
    <row r="636" spans="16:55" x14ac:dyDescent="0.25">
      <c r="P636" s="111"/>
      <c r="Q636" s="111"/>
      <c r="S636" s="277">
        <v>2460</v>
      </c>
      <c r="T636" s="273"/>
      <c r="U636" s="63"/>
      <c r="V636" s="63"/>
      <c r="W636" s="63"/>
      <c r="X636" s="63"/>
      <c r="Y636" s="63"/>
      <c r="Z636" s="63"/>
      <c r="AA636" s="63"/>
      <c r="AB636" s="275"/>
      <c r="BA636" s="8"/>
      <c r="BB636" s="8"/>
      <c r="BC636" s="8"/>
    </row>
    <row r="637" spans="16:55" x14ac:dyDescent="0.25">
      <c r="P637" s="111"/>
      <c r="Q637" s="111"/>
      <c r="S637" s="277">
        <v>2455</v>
      </c>
      <c r="T637" s="273"/>
      <c r="U637" s="63"/>
      <c r="V637" s="63"/>
      <c r="W637" s="63"/>
      <c r="X637" s="63"/>
      <c r="Y637" s="63"/>
      <c r="Z637" s="63"/>
      <c r="AA637" s="63"/>
      <c r="AB637" s="275"/>
      <c r="BA637" s="8"/>
      <c r="BB637" s="8"/>
      <c r="BC637" s="8"/>
    </row>
    <row r="638" spans="16:55" x14ac:dyDescent="0.25">
      <c r="P638" s="111"/>
      <c r="Q638" s="111"/>
      <c r="S638" s="277">
        <v>2450</v>
      </c>
      <c r="T638" s="273"/>
      <c r="U638" s="63"/>
      <c r="V638" s="63"/>
      <c r="W638" s="63"/>
      <c r="X638" s="63"/>
      <c r="Y638" s="63"/>
      <c r="Z638" s="63"/>
      <c r="AA638" s="63"/>
      <c r="AB638" s="275"/>
      <c r="BA638" s="8"/>
      <c r="BB638" s="8"/>
      <c r="BC638" s="8"/>
    </row>
    <row r="639" spans="16:55" x14ac:dyDescent="0.25">
      <c r="P639" s="111"/>
      <c r="Q639" s="111"/>
      <c r="S639" s="277">
        <v>2445</v>
      </c>
      <c r="T639" s="273"/>
      <c r="U639" s="63"/>
      <c r="V639" s="63"/>
      <c r="W639" s="63"/>
      <c r="X639" s="63"/>
      <c r="Y639" s="63"/>
      <c r="Z639" s="63"/>
      <c r="AA639" s="63"/>
      <c r="AB639" s="275"/>
      <c r="BA639" s="8"/>
      <c r="BB639" s="8"/>
      <c r="BC639" s="8"/>
    </row>
    <row r="640" spans="16:55" x14ac:dyDescent="0.25">
      <c r="P640" s="111"/>
      <c r="Q640" s="111"/>
      <c r="S640" s="277">
        <v>2440</v>
      </c>
      <c r="T640" s="273"/>
      <c r="U640" s="63"/>
      <c r="V640" s="63"/>
      <c r="W640" s="63"/>
      <c r="X640" s="63"/>
      <c r="Y640" s="63"/>
      <c r="Z640" s="63"/>
      <c r="AA640" s="63"/>
      <c r="AB640" s="275"/>
      <c r="BA640" s="8"/>
      <c r="BB640" s="8"/>
      <c r="BC640" s="8"/>
    </row>
    <row r="641" spans="16:55" x14ac:dyDescent="0.25">
      <c r="P641" s="111"/>
      <c r="Q641" s="111"/>
      <c r="S641" s="277">
        <v>2435</v>
      </c>
      <c r="T641" s="273"/>
      <c r="U641" s="63"/>
      <c r="V641" s="63"/>
      <c r="W641" s="63"/>
      <c r="X641" s="63"/>
      <c r="Y641" s="63"/>
      <c r="Z641" s="63"/>
      <c r="AA641" s="63"/>
      <c r="AB641" s="275"/>
      <c r="BA641" s="8"/>
      <c r="BB641" s="8"/>
      <c r="BC641" s="8"/>
    </row>
    <row r="642" spans="16:55" x14ac:dyDescent="0.25">
      <c r="P642" s="111"/>
      <c r="Q642" s="111"/>
      <c r="S642" s="277">
        <v>2430</v>
      </c>
      <c r="T642" s="273"/>
      <c r="U642" s="63"/>
      <c r="V642" s="63"/>
      <c r="W642" s="63"/>
      <c r="X642" s="63"/>
      <c r="Y642" s="63"/>
      <c r="Z642" s="63"/>
      <c r="AA642" s="63"/>
      <c r="AB642" s="275"/>
      <c r="BA642" s="8"/>
      <c r="BB642" s="8"/>
      <c r="BC642" s="8"/>
    </row>
    <row r="643" spans="16:55" x14ac:dyDescent="0.25">
      <c r="P643" s="111"/>
      <c r="Q643" s="111"/>
      <c r="S643" s="277">
        <v>2425</v>
      </c>
      <c r="T643" s="273"/>
      <c r="U643" s="63"/>
      <c r="V643" s="63"/>
      <c r="W643" s="63"/>
      <c r="X643" s="63"/>
      <c r="Y643" s="63"/>
      <c r="Z643" s="63"/>
      <c r="AA643" s="63"/>
      <c r="AB643" s="275"/>
      <c r="BA643" s="8"/>
      <c r="BB643" s="8"/>
      <c r="BC643" s="8"/>
    </row>
    <row r="644" spans="16:55" x14ac:dyDescent="0.25">
      <c r="P644" s="111"/>
      <c r="Q644" s="111"/>
      <c r="S644" s="277">
        <v>2420</v>
      </c>
      <c r="T644" s="273"/>
      <c r="U644" s="63"/>
      <c r="V644" s="63"/>
      <c r="W644" s="63"/>
      <c r="X644" s="63"/>
      <c r="Y644" s="63"/>
      <c r="Z644" s="63"/>
      <c r="AA644" s="63"/>
      <c r="AB644" s="275"/>
      <c r="BA644" s="8"/>
      <c r="BB644" s="8"/>
      <c r="BC644" s="8"/>
    </row>
    <row r="645" spans="16:55" x14ac:dyDescent="0.25">
      <c r="P645" s="111"/>
      <c r="Q645" s="111"/>
      <c r="S645" s="277">
        <v>2415</v>
      </c>
      <c r="T645" s="273"/>
      <c r="U645" s="63"/>
      <c r="V645" s="63"/>
      <c r="W645" s="63"/>
      <c r="X645" s="63"/>
      <c r="Y645" s="63"/>
      <c r="Z645" s="63"/>
      <c r="AA645" s="63"/>
      <c r="AB645" s="275"/>
      <c r="BA645" s="8"/>
      <c r="BB645" s="8"/>
      <c r="BC645" s="8"/>
    </row>
    <row r="646" spans="16:55" x14ac:dyDescent="0.25">
      <c r="P646" s="111"/>
      <c r="Q646" s="111"/>
      <c r="S646" s="277">
        <v>2410</v>
      </c>
      <c r="T646" s="273"/>
      <c r="U646" s="63"/>
      <c r="V646" s="63"/>
      <c r="W646" s="63"/>
      <c r="X646" s="63"/>
      <c r="Y646" s="63"/>
      <c r="Z646" s="63"/>
      <c r="AA646" s="63"/>
      <c r="AB646" s="275"/>
      <c r="BA646" s="8"/>
      <c r="BB646" s="8"/>
      <c r="BC646" s="8"/>
    </row>
    <row r="647" spans="16:55" x14ac:dyDescent="0.25">
      <c r="P647" s="111"/>
      <c r="Q647" s="111"/>
      <c r="S647" s="277">
        <v>2405</v>
      </c>
      <c r="T647" s="273"/>
      <c r="U647" s="63"/>
      <c r="V647" s="63"/>
      <c r="W647" s="63"/>
      <c r="X647" s="63"/>
      <c r="Y647" s="63"/>
      <c r="Z647" s="63"/>
      <c r="AA647" s="63"/>
      <c r="AB647" s="275"/>
      <c r="BA647" s="8"/>
      <c r="BB647" s="8"/>
      <c r="BC647" s="8"/>
    </row>
    <row r="648" spans="16:55" x14ac:dyDescent="0.25">
      <c r="P648" s="111"/>
      <c r="Q648" s="111"/>
      <c r="S648" s="277">
        <v>2400</v>
      </c>
      <c r="T648" s="273"/>
      <c r="U648" s="63"/>
      <c r="V648" s="63"/>
      <c r="W648" s="63"/>
      <c r="X648" s="63"/>
      <c r="Y648" s="63"/>
      <c r="Z648" s="63"/>
      <c r="AA648" s="63"/>
      <c r="AB648" s="275"/>
      <c r="BA648" s="8"/>
      <c r="BB648" s="8"/>
      <c r="BC648" s="8"/>
    </row>
    <row r="649" spans="16:55" x14ac:dyDescent="0.25">
      <c r="P649" s="111"/>
      <c r="Q649" s="111"/>
      <c r="S649" s="277">
        <v>2395</v>
      </c>
      <c r="T649" s="273"/>
      <c r="U649" s="63"/>
      <c r="V649" s="63"/>
      <c r="W649" s="63"/>
      <c r="X649" s="63"/>
      <c r="Y649" s="63"/>
      <c r="Z649" s="63"/>
      <c r="AA649" s="63"/>
      <c r="AB649" s="275"/>
      <c r="BA649" s="8"/>
      <c r="BB649" s="8"/>
      <c r="BC649" s="8"/>
    </row>
    <row r="650" spans="16:55" x14ac:dyDescent="0.25">
      <c r="P650" s="111"/>
      <c r="Q650" s="111"/>
      <c r="S650" s="277">
        <v>2390</v>
      </c>
      <c r="T650" s="273"/>
      <c r="U650" s="63"/>
      <c r="V650" s="63"/>
      <c r="W650" s="63"/>
      <c r="X650" s="63"/>
      <c r="Y650" s="63"/>
      <c r="Z650" s="63"/>
      <c r="AA650" s="63"/>
      <c r="AB650" s="275"/>
      <c r="BA650" s="8"/>
      <c r="BB650" s="8"/>
      <c r="BC650" s="8"/>
    </row>
    <row r="651" spans="16:55" x14ac:dyDescent="0.25">
      <c r="P651" s="111"/>
      <c r="Q651" s="111"/>
      <c r="S651" s="277">
        <v>2385</v>
      </c>
      <c r="T651" s="273"/>
      <c r="U651" s="63"/>
      <c r="V651" s="63"/>
      <c r="W651" s="63"/>
      <c r="X651" s="63"/>
      <c r="Y651" s="63"/>
      <c r="Z651" s="63"/>
      <c r="AA651" s="63"/>
      <c r="AB651" s="275"/>
      <c r="BA651" s="8"/>
      <c r="BB651" s="8"/>
      <c r="BC651" s="8"/>
    </row>
    <row r="652" spans="16:55" x14ac:dyDescent="0.25">
      <c r="P652" s="111"/>
      <c r="Q652" s="111"/>
      <c r="S652" s="277">
        <v>2380</v>
      </c>
      <c r="T652" s="273"/>
      <c r="U652" s="63"/>
      <c r="V652" s="63"/>
      <c r="W652" s="63"/>
      <c r="X652" s="63"/>
      <c r="Y652" s="63"/>
      <c r="Z652" s="63"/>
      <c r="AA652" s="63"/>
      <c r="AB652" s="275"/>
      <c r="BA652" s="8"/>
      <c r="BB652" s="8"/>
      <c r="BC652" s="8"/>
    </row>
    <row r="653" spans="16:55" x14ac:dyDescent="0.25">
      <c r="P653" s="111"/>
      <c r="Q653" s="111"/>
      <c r="S653" s="277">
        <v>2375</v>
      </c>
      <c r="T653" s="273"/>
      <c r="U653" s="63"/>
      <c r="V653" s="63"/>
      <c r="W653" s="63"/>
      <c r="X653" s="63"/>
      <c r="Y653" s="63"/>
      <c r="Z653" s="63"/>
      <c r="AA653" s="63"/>
      <c r="AB653" s="275"/>
      <c r="BA653" s="8"/>
      <c r="BB653" s="8"/>
      <c r="BC653" s="8"/>
    </row>
    <row r="654" spans="16:55" x14ac:dyDescent="0.25">
      <c r="P654" s="111"/>
      <c r="Q654" s="111"/>
      <c r="S654" s="277">
        <v>2370</v>
      </c>
      <c r="T654" s="273"/>
      <c r="U654" s="63"/>
      <c r="V654" s="63"/>
      <c r="W654" s="63"/>
      <c r="X654" s="63"/>
      <c r="Y654" s="63"/>
      <c r="Z654" s="63"/>
      <c r="AA654" s="63"/>
      <c r="AB654" s="275"/>
      <c r="BA654" s="8"/>
      <c r="BB654" s="8"/>
      <c r="BC654" s="8"/>
    </row>
    <row r="655" spans="16:55" x14ac:dyDescent="0.25">
      <c r="P655" s="111"/>
      <c r="Q655" s="111"/>
      <c r="S655" s="277">
        <v>2365</v>
      </c>
      <c r="T655" s="273"/>
      <c r="U655" s="63"/>
      <c r="V655" s="63"/>
      <c r="W655" s="63"/>
      <c r="X655" s="63"/>
      <c r="Y655" s="63"/>
      <c r="Z655" s="63"/>
      <c r="AA655" s="63"/>
      <c r="AB655" s="275"/>
      <c r="BA655" s="8"/>
      <c r="BB655" s="8"/>
      <c r="BC655" s="8"/>
    </row>
    <row r="656" spans="16:55" x14ac:dyDescent="0.25">
      <c r="P656" s="111"/>
      <c r="Q656" s="111"/>
      <c r="S656" s="277">
        <v>2360</v>
      </c>
      <c r="T656" s="273"/>
      <c r="U656" s="63"/>
      <c r="V656" s="63"/>
      <c r="W656" s="63"/>
      <c r="X656" s="63"/>
      <c r="Y656" s="63"/>
      <c r="Z656" s="63"/>
      <c r="AA656" s="63"/>
      <c r="AB656" s="275"/>
      <c r="BA656" s="8"/>
      <c r="BB656" s="8"/>
      <c r="BC656" s="8"/>
    </row>
    <row r="657" spans="16:55" x14ac:dyDescent="0.25">
      <c r="P657" s="111"/>
      <c r="Q657" s="111"/>
      <c r="S657" s="277">
        <v>2355</v>
      </c>
      <c r="T657" s="273"/>
      <c r="U657" s="63"/>
      <c r="V657" s="63"/>
      <c r="W657" s="63"/>
      <c r="X657" s="63"/>
      <c r="Y657" s="63"/>
      <c r="Z657" s="63"/>
      <c r="AA657" s="63"/>
      <c r="AB657" s="275"/>
      <c r="BA657" s="8"/>
      <c r="BB657" s="8"/>
      <c r="BC657" s="8"/>
    </row>
    <row r="658" spans="16:55" x14ac:dyDescent="0.25">
      <c r="P658" s="111"/>
      <c r="Q658" s="111"/>
      <c r="S658" s="277">
        <v>2350</v>
      </c>
      <c r="T658" s="273"/>
      <c r="U658" s="63"/>
      <c r="V658" s="63"/>
      <c r="W658" s="63"/>
      <c r="X658" s="63"/>
      <c r="Y658" s="63"/>
      <c r="Z658" s="63"/>
      <c r="AA658" s="63"/>
      <c r="AB658" s="275"/>
      <c r="BA658" s="8"/>
      <c r="BB658" s="8"/>
      <c r="BC658" s="8"/>
    </row>
    <row r="659" spans="16:55" x14ac:dyDescent="0.25">
      <c r="P659" s="111"/>
      <c r="Q659" s="111"/>
      <c r="S659" s="277">
        <v>2345</v>
      </c>
      <c r="T659" s="273"/>
      <c r="U659" s="63"/>
      <c r="V659" s="63"/>
      <c r="W659" s="63"/>
      <c r="X659" s="63"/>
      <c r="Y659" s="63"/>
      <c r="Z659" s="63"/>
      <c r="AA659" s="63"/>
      <c r="AB659" s="275"/>
      <c r="BA659" s="8"/>
      <c r="BB659" s="8"/>
      <c r="BC659" s="8"/>
    </row>
    <row r="660" spans="16:55" x14ac:dyDescent="0.25">
      <c r="P660" s="111"/>
      <c r="Q660" s="111"/>
      <c r="S660" s="277">
        <v>2340</v>
      </c>
      <c r="T660" s="273"/>
      <c r="U660" s="63"/>
      <c r="V660" s="63"/>
      <c r="W660" s="63"/>
      <c r="X660" s="63"/>
      <c r="Y660" s="63"/>
      <c r="Z660" s="63"/>
      <c r="AA660" s="63"/>
      <c r="AB660" s="275"/>
      <c r="BA660" s="8"/>
      <c r="BB660" s="8"/>
      <c r="BC660" s="8"/>
    </row>
    <row r="661" spans="16:55" x14ac:dyDescent="0.25">
      <c r="P661" s="111"/>
      <c r="Q661" s="111"/>
      <c r="S661" s="277">
        <v>2335</v>
      </c>
      <c r="T661" s="273"/>
      <c r="U661" s="63"/>
      <c r="V661" s="63"/>
      <c r="W661" s="63"/>
      <c r="X661" s="63"/>
      <c r="Y661" s="63"/>
      <c r="Z661" s="63"/>
      <c r="AA661" s="63"/>
      <c r="AB661" s="275"/>
      <c r="BA661" s="8"/>
      <c r="BB661" s="8"/>
      <c r="BC661" s="8"/>
    </row>
    <row r="662" spans="16:55" x14ac:dyDescent="0.25">
      <c r="P662" s="111"/>
      <c r="Q662" s="111"/>
      <c r="S662" s="277">
        <v>2330</v>
      </c>
      <c r="T662" s="273"/>
      <c r="U662" s="63"/>
      <c r="V662" s="63"/>
      <c r="W662" s="63"/>
      <c r="X662" s="63"/>
      <c r="Y662" s="63"/>
      <c r="Z662" s="63"/>
      <c r="AA662" s="63"/>
      <c r="AB662" s="275"/>
      <c r="BA662" s="8"/>
      <c r="BB662" s="8"/>
      <c r="BC662" s="8"/>
    </row>
    <row r="663" spans="16:55" x14ac:dyDescent="0.25">
      <c r="P663" s="111"/>
      <c r="Q663" s="111"/>
      <c r="S663" s="277">
        <v>2325</v>
      </c>
      <c r="T663" s="273"/>
      <c r="U663" s="63"/>
      <c r="V663" s="63"/>
      <c r="W663" s="63"/>
      <c r="X663" s="63"/>
      <c r="Y663" s="63"/>
      <c r="Z663" s="63"/>
      <c r="AA663" s="63"/>
      <c r="AB663" s="275"/>
      <c r="BA663" s="8"/>
      <c r="BB663" s="8"/>
      <c r="BC663" s="8"/>
    </row>
    <row r="664" spans="16:55" x14ac:dyDescent="0.25">
      <c r="P664" s="111"/>
      <c r="Q664" s="111"/>
      <c r="S664" s="277">
        <v>2320</v>
      </c>
      <c r="T664" s="273"/>
      <c r="U664" s="63"/>
      <c r="V664" s="63"/>
      <c r="W664" s="63"/>
      <c r="X664" s="63"/>
      <c r="Y664" s="63"/>
      <c r="Z664" s="63"/>
      <c r="AA664" s="63"/>
      <c r="AB664" s="275"/>
      <c r="BA664" s="8"/>
      <c r="BB664" s="8"/>
      <c r="BC664" s="8"/>
    </row>
    <row r="665" spans="16:55" x14ac:dyDescent="0.25">
      <c r="P665" s="111"/>
      <c r="Q665" s="111"/>
      <c r="S665" s="277">
        <v>2315</v>
      </c>
      <c r="T665" s="273"/>
      <c r="U665" s="63"/>
      <c r="V665" s="63"/>
      <c r="W665" s="63"/>
      <c r="X665" s="63"/>
      <c r="Y665" s="63"/>
      <c r="Z665" s="63"/>
      <c r="AA665" s="63"/>
      <c r="AB665" s="275"/>
      <c r="BA665" s="8"/>
      <c r="BB665" s="8"/>
      <c r="BC665" s="8"/>
    </row>
    <row r="666" spans="16:55" x14ac:dyDescent="0.25">
      <c r="P666" s="111"/>
      <c r="Q666" s="111"/>
      <c r="S666" s="277">
        <v>2310</v>
      </c>
      <c r="T666" s="273"/>
      <c r="U666" s="63"/>
      <c r="V666" s="63"/>
      <c r="W666" s="63"/>
      <c r="X666" s="63"/>
      <c r="Y666" s="63"/>
      <c r="Z666" s="63"/>
      <c r="AA666" s="63"/>
      <c r="AB666" s="275"/>
      <c r="BA666" s="8"/>
      <c r="BB666" s="8"/>
      <c r="BC666" s="8"/>
    </row>
    <row r="667" spans="16:55" x14ac:dyDescent="0.25">
      <c r="P667" s="111"/>
      <c r="Q667" s="111"/>
      <c r="S667" s="277">
        <v>2305</v>
      </c>
      <c r="T667" s="273"/>
      <c r="U667" s="63"/>
      <c r="V667" s="63"/>
      <c r="W667" s="63"/>
      <c r="X667" s="63"/>
      <c r="Y667" s="63"/>
      <c r="Z667" s="63"/>
      <c r="AA667" s="63"/>
      <c r="AB667" s="275"/>
      <c r="BA667" s="8"/>
      <c r="BB667" s="8"/>
      <c r="BC667" s="8"/>
    </row>
    <row r="668" spans="16:55" x14ac:dyDescent="0.25">
      <c r="P668" s="111"/>
      <c r="Q668" s="111"/>
      <c r="S668" s="277">
        <v>2300</v>
      </c>
      <c r="T668" s="273"/>
      <c r="U668" s="63"/>
      <c r="V668" s="63"/>
      <c r="W668" s="63"/>
      <c r="X668" s="63"/>
      <c r="Y668" s="63"/>
      <c r="Z668" s="63"/>
      <c r="AA668" s="63"/>
      <c r="AB668" s="275"/>
      <c r="BA668" s="8"/>
      <c r="BB668" s="8"/>
      <c r="BC668" s="8"/>
    </row>
    <row r="669" spans="16:55" x14ac:dyDescent="0.25">
      <c r="P669" s="111"/>
      <c r="Q669" s="111"/>
      <c r="S669" s="277">
        <v>2295</v>
      </c>
      <c r="T669" s="273"/>
      <c r="U669" s="63"/>
      <c r="V669" s="63"/>
      <c r="W669" s="63"/>
      <c r="X669" s="63"/>
      <c r="Y669" s="63"/>
      <c r="Z669" s="63"/>
      <c r="AA669" s="63"/>
      <c r="AB669" s="275"/>
      <c r="BA669" s="8"/>
      <c r="BB669" s="8"/>
      <c r="BC669" s="8"/>
    </row>
    <row r="670" spans="16:55" x14ac:dyDescent="0.25">
      <c r="P670" s="111"/>
      <c r="Q670" s="111"/>
      <c r="S670" s="277">
        <v>2290</v>
      </c>
      <c r="T670" s="273"/>
      <c r="U670" s="63"/>
      <c r="V670" s="63"/>
      <c r="W670" s="63"/>
      <c r="X670" s="63"/>
      <c r="Y670" s="63"/>
      <c r="Z670" s="63"/>
      <c r="AA670" s="63"/>
      <c r="AB670" s="275"/>
      <c r="BA670" s="8"/>
      <c r="BB670" s="8"/>
      <c r="BC670" s="8"/>
    </row>
    <row r="671" spans="16:55" x14ac:dyDescent="0.25">
      <c r="P671" s="111"/>
      <c r="Q671" s="111"/>
      <c r="S671" s="277">
        <v>2285</v>
      </c>
      <c r="T671" s="273"/>
      <c r="U671" s="63"/>
      <c r="V671" s="63"/>
      <c r="W671" s="63"/>
      <c r="X671" s="63"/>
      <c r="Y671" s="63"/>
      <c r="Z671" s="63"/>
      <c r="AA671" s="63"/>
      <c r="AB671" s="275"/>
      <c r="BA671" s="8"/>
      <c r="BB671" s="8"/>
      <c r="BC671" s="8"/>
    </row>
    <row r="672" spans="16:55" x14ac:dyDescent="0.25">
      <c r="P672" s="111"/>
      <c r="Q672" s="111"/>
      <c r="S672" s="277">
        <v>2280</v>
      </c>
      <c r="T672" s="273"/>
      <c r="U672" s="63"/>
      <c r="V672" s="63"/>
      <c r="W672" s="63"/>
      <c r="X672" s="63"/>
      <c r="Y672" s="63"/>
      <c r="Z672" s="63"/>
      <c r="AA672" s="63"/>
      <c r="AB672" s="275"/>
      <c r="BA672" s="8"/>
      <c r="BB672" s="8"/>
      <c r="BC672" s="8"/>
    </row>
    <row r="673" spans="16:55" x14ac:dyDescent="0.25">
      <c r="P673" s="111"/>
      <c r="Q673" s="111"/>
      <c r="S673" s="277">
        <v>2275</v>
      </c>
      <c r="T673" s="273"/>
      <c r="U673" s="63"/>
      <c r="V673" s="63"/>
      <c r="W673" s="63"/>
      <c r="X673" s="63"/>
      <c r="Y673" s="63"/>
      <c r="Z673" s="63"/>
      <c r="AA673" s="63"/>
      <c r="AB673" s="275"/>
      <c r="BA673" s="8"/>
      <c r="BB673" s="8"/>
      <c r="BC673" s="8"/>
    </row>
    <row r="674" spans="16:55" x14ac:dyDescent="0.25">
      <c r="P674" s="111"/>
      <c r="Q674" s="111"/>
      <c r="S674" s="277">
        <v>2270</v>
      </c>
      <c r="T674" s="273"/>
      <c r="U674" s="63"/>
      <c r="V674" s="63"/>
      <c r="W674" s="63"/>
      <c r="X674" s="63"/>
      <c r="Y674" s="63"/>
      <c r="Z674" s="63"/>
      <c r="AA674" s="63"/>
      <c r="AB674" s="275"/>
      <c r="BA674" s="8"/>
      <c r="BB674" s="8"/>
      <c r="BC674" s="8"/>
    </row>
    <row r="675" spans="16:55" x14ac:dyDescent="0.25">
      <c r="P675" s="111"/>
      <c r="Q675" s="111"/>
      <c r="S675" s="277">
        <v>2265</v>
      </c>
      <c r="T675" s="273"/>
      <c r="U675" s="63"/>
      <c r="V675" s="63"/>
      <c r="W675" s="63"/>
      <c r="X675" s="63"/>
      <c r="Y675" s="63"/>
      <c r="Z675" s="63"/>
      <c r="AA675" s="63"/>
      <c r="AB675" s="275"/>
      <c r="BA675" s="8"/>
      <c r="BB675" s="8"/>
      <c r="BC675" s="8"/>
    </row>
    <row r="676" spans="16:55" x14ac:dyDescent="0.25">
      <c r="P676" s="111"/>
      <c r="Q676" s="111"/>
      <c r="S676" s="277">
        <v>2260</v>
      </c>
      <c r="T676" s="273"/>
      <c r="U676" s="63"/>
      <c r="V676" s="63"/>
      <c r="W676" s="63"/>
      <c r="X676" s="63"/>
      <c r="Y676" s="63"/>
      <c r="Z676" s="63"/>
      <c r="AA676" s="63"/>
      <c r="AB676" s="275"/>
      <c r="BA676" s="8"/>
      <c r="BB676" s="8"/>
      <c r="BC676" s="8"/>
    </row>
    <row r="677" spans="16:55" x14ac:dyDescent="0.25">
      <c r="P677" s="111"/>
      <c r="Q677" s="111"/>
      <c r="S677" s="277">
        <v>2255</v>
      </c>
      <c r="T677" s="273"/>
      <c r="U677" s="63"/>
      <c r="V677" s="63"/>
      <c r="W677" s="63"/>
      <c r="X677" s="63"/>
      <c r="Y677" s="63"/>
      <c r="Z677" s="63"/>
      <c r="AA677" s="63"/>
      <c r="AB677" s="275"/>
      <c r="BA677" s="8"/>
      <c r="BB677" s="8"/>
      <c r="BC677" s="8"/>
    </row>
    <row r="678" spans="16:55" x14ac:dyDescent="0.25">
      <c r="P678" s="111"/>
      <c r="Q678" s="111"/>
      <c r="S678" s="277">
        <v>2250</v>
      </c>
      <c r="T678" s="273"/>
      <c r="U678" s="63"/>
      <c r="V678" s="63"/>
      <c r="W678" s="63"/>
      <c r="X678" s="63"/>
      <c r="Y678" s="63"/>
      <c r="Z678" s="63"/>
      <c r="AA678" s="63"/>
      <c r="AB678" s="275"/>
      <c r="BA678" s="8"/>
      <c r="BB678" s="8"/>
      <c r="BC678" s="8"/>
    </row>
    <row r="679" spans="16:55" x14ac:dyDescent="0.25">
      <c r="P679" s="111"/>
      <c r="Q679" s="111"/>
      <c r="S679" s="277">
        <v>2245</v>
      </c>
      <c r="T679" s="273"/>
      <c r="U679" s="63"/>
      <c r="V679" s="63"/>
      <c r="W679" s="63"/>
      <c r="X679" s="63"/>
      <c r="Y679" s="63"/>
      <c r="Z679" s="63"/>
      <c r="AA679" s="63"/>
      <c r="AB679" s="275"/>
      <c r="BA679" s="8"/>
      <c r="BB679" s="8"/>
      <c r="BC679" s="8"/>
    </row>
    <row r="680" spans="16:55" x14ac:dyDescent="0.25">
      <c r="P680" s="111"/>
      <c r="Q680" s="111"/>
      <c r="S680" s="277">
        <v>2240</v>
      </c>
      <c r="T680" s="273"/>
      <c r="U680" s="63"/>
      <c r="V680" s="63"/>
      <c r="W680" s="63"/>
      <c r="X680" s="63"/>
      <c r="Y680" s="63"/>
      <c r="Z680" s="63"/>
      <c r="AA680" s="63"/>
      <c r="AB680" s="275"/>
      <c r="BA680" s="8"/>
      <c r="BB680" s="8"/>
      <c r="BC680" s="8"/>
    </row>
    <row r="681" spans="16:55" x14ac:dyDescent="0.25">
      <c r="P681" s="111"/>
      <c r="Q681" s="111"/>
      <c r="S681" s="277">
        <v>2235</v>
      </c>
      <c r="T681" s="273"/>
      <c r="U681" s="63"/>
      <c r="V681" s="63"/>
      <c r="W681" s="63"/>
      <c r="X681" s="63"/>
      <c r="Y681" s="63"/>
      <c r="Z681" s="63"/>
      <c r="AA681" s="63"/>
      <c r="AB681" s="275"/>
      <c r="BA681" s="8"/>
      <c r="BB681" s="8"/>
      <c r="BC681" s="8"/>
    </row>
    <row r="682" spans="16:55" x14ac:dyDescent="0.25">
      <c r="P682" s="111"/>
      <c r="Q682" s="111"/>
      <c r="S682" s="277">
        <v>2230</v>
      </c>
      <c r="T682" s="273"/>
      <c r="U682" s="63"/>
      <c r="V682" s="63"/>
      <c r="W682" s="63"/>
      <c r="X682" s="63"/>
      <c r="Y682" s="63"/>
      <c r="Z682" s="63"/>
      <c r="AA682" s="63"/>
      <c r="AB682" s="275"/>
      <c r="BA682" s="8"/>
      <c r="BB682" s="8"/>
      <c r="BC682" s="8"/>
    </row>
    <row r="683" spans="16:55" x14ac:dyDescent="0.25">
      <c r="P683" s="111"/>
      <c r="Q683" s="111"/>
      <c r="S683" s="277">
        <v>2225</v>
      </c>
      <c r="T683" s="273"/>
      <c r="U683" s="63"/>
      <c r="V683" s="63"/>
      <c r="W683" s="63"/>
      <c r="X683" s="63"/>
      <c r="Y683" s="63"/>
      <c r="Z683" s="63"/>
      <c r="AA683" s="63"/>
      <c r="AB683" s="275"/>
      <c r="BA683" s="8"/>
      <c r="BB683" s="8"/>
      <c r="BC683" s="8"/>
    </row>
    <row r="684" spans="16:55" x14ac:dyDescent="0.25">
      <c r="P684" s="111"/>
      <c r="Q684" s="111"/>
      <c r="S684" s="277">
        <v>2220</v>
      </c>
      <c r="T684" s="273"/>
      <c r="U684" s="63"/>
      <c r="V684" s="63"/>
      <c r="W684" s="63"/>
      <c r="X684" s="63"/>
      <c r="Y684" s="63"/>
      <c r="Z684" s="63"/>
      <c r="AA684" s="63"/>
      <c r="AB684" s="275"/>
      <c r="BA684" s="8"/>
      <c r="BB684" s="8"/>
      <c r="BC684" s="8"/>
    </row>
    <row r="685" spans="16:55" x14ac:dyDescent="0.25">
      <c r="P685" s="111"/>
      <c r="Q685" s="111"/>
      <c r="S685" s="277">
        <v>2215</v>
      </c>
      <c r="T685" s="273"/>
      <c r="U685" s="63"/>
      <c r="V685" s="63"/>
      <c r="W685" s="63"/>
      <c r="X685" s="63"/>
      <c r="Y685" s="63"/>
      <c r="Z685" s="63"/>
      <c r="AA685" s="63"/>
      <c r="AB685" s="275"/>
      <c r="BA685" s="8"/>
      <c r="BB685" s="8"/>
      <c r="BC685" s="8"/>
    </row>
    <row r="686" spans="16:55" x14ac:dyDescent="0.25">
      <c r="P686" s="111"/>
      <c r="Q686" s="111"/>
      <c r="S686" s="277">
        <v>2210</v>
      </c>
      <c r="T686" s="273"/>
      <c r="U686" s="63"/>
      <c r="V686" s="63"/>
      <c r="W686" s="63"/>
      <c r="X686" s="63"/>
      <c r="Y686" s="63"/>
      <c r="Z686" s="63"/>
      <c r="AA686" s="63"/>
      <c r="AB686" s="275"/>
      <c r="BA686" s="8"/>
      <c r="BB686" s="8"/>
      <c r="BC686" s="8"/>
    </row>
    <row r="687" spans="16:55" x14ac:dyDescent="0.25">
      <c r="P687" s="111"/>
      <c r="Q687" s="111"/>
      <c r="S687" s="277">
        <v>2205</v>
      </c>
      <c r="T687" s="273"/>
      <c r="U687" s="63"/>
      <c r="V687" s="63"/>
      <c r="W687" s="63"/>
      <c r="X687" s="63"/>
      <c r="Y687" s="63"/>
      <c r="Z687" s="63"/>
      <c r="AA687" s="63"/>
      <c r="AB687" s="275"/>
      <c r="BA687" s="8"/>
      <c r="BB687" s="8"/>
      <c r="BC687" s="8"/>
    </row>
    <row r="688" spans="16:55" x14ac:dyDescent="0.25">
      <c r="P688" s="111"/>
      <c r="Q688" s="111"/>
      <c r="S688" s="277">
        <v>2200</v>
      </c>
      <c r="T688" s="273"/>
      <c r="U688" s="63"/>
      <c r="V688" s="63"/>
      <c r="W688" s="63"/>
      <c r="X688" s="63"/>
      <c r="Y688" s="63"/>
      <c r="Z688" s="63"/>
      <c r="AA688" s="63"/>
      <c r="AB688" s="275"/>
      <c r="BA688" s="8"/>
      <c r="BB688" s="8"/>
      <c r="BC688" s="8"/>
    </row>
    <row r="689" spans="16:55" x14ac:dyDescent="0.25">
      <c r="P689" s="111"/>
      <c r="Q689" s="111"/>
      <c r="S689" s="277">
        <v>2195</v>
      </c>
      <c r="T689" s="273"/>
      <c r="U689" s="63"/>
      <c r="V689" s="63"/>
      <c r="W689" s="63"/>
      <c r="X689" s="63"/>
      <c r="Y689" s="63"/>
      <c r="Z689" s="63"/>
      <c r="AA689" s="63"/>
      <c r="AB689" s="275"/>
      <c r="BA689" s="8"/>
      <c r="BB689" s="8"/>
      <c r="BC689" s="8"/>
    </row>
    <row r="690" spans="16:55" x14ac:dyDescent="0.25">
      <c r="P690" s="111"/>
      <c r="Q690" s="111"/>
      <c r="S690" s="277">
        <v>2190</v>
      </c>
      <c r="T690" s="273"/>
      <c r="U690" s="63"/>
      <c r="V690" s="63"/>
      <c r="W690" s="63"/>
      <c r="X690" s="63"/>
      <c r="Y690" s="63"/>
      <c r="Z690" s="63"/>
      <c r="AA690" s="63"/>
      <c r="AB690" s="275"/>
    </row>
    <row r="691" spans="16:55" x14ac:dyDescent="0.25">
      <c r="P691" s="111"/>
      <c r="Q691" s="111"/>
      <c r="S691" s="277">
        <v>2185</v>
      </c>
      <c r="T691" s="273"/>
      <c r="U691" s="63"/>
      <c r="V691" s="63"/>
      <c r="W691" s="63"/>
      <c r="X691" s="63"/>
      <c r="Y691" s="63"/>
      <c r="Z691" s="63"/>
      <c r="AA691" s="63"/>
      <c r="AB691" s="275"/>
    </row>
    <row r="692" spans="16:55" x14ac:dyDescent="0.25">
      <c r="P692" s="111"/>
      <c r="Q692" s="111"/>
      <c r="S692" s="277">
        <v>2180</v>
      </c>
      <c r="T692" s="273"/>
      <c r="U692" s="63"/>
      <c r="V692" s="63"/>
      <c r="W692" s="63"/>
      <c r="X692" s="63"/>
      <c r="Y692" s="63"/>
      <c r="Z692" s="63"/>
      <c r="AA692" s="63"/>
      <c r="AB692" s="275"/>
    </row>
    <row r="693" spans="16:55" x14ac:dyDescent="0.25">
      <c r="P693" s="111"/>
      <c r="Q693" s="111"/>
      <c r="S693" s="277">
        <v>2175</v>
      </c>
      <c r="T693" s="273"/>
      <c r="U693" s="63"/>
      <c r="V693" s="63"/>
      <c r="W693" s="63"/>
      <c r="X693" s="63"/>
      <c r="Y693" s="63"/>
      <c r="Z693" s="63"/>
      <c r="AA693" s="63"/>
      <c r="AB693" s="275"/>
    </row>
    <row r="694" spans="16:55" x14ac:dyDescent="0.25">
      <c r="P694" s="111"/>
      <c r="Q694" s="111"/>
      <c r="S694" s="277">
        <v>2170</v>
      </c>
      <c r="T694" s="273"/>
      <c r="U694" s="63"/>
      <c r="V694" s="63"/>
      <c r="W694" s="63"/>
      <c r="X694" s="63"/>
      <c r="Y694" s="63"/>
      <c r="Z694" s="63"/>
      <c r="AA694" s="63"/>
      <c r="AB694" s="275"/>
    </row>
    <row r="695" spans="16:55" x14ac:dyDescent="0.25">
      <c r="P695" s="111"/>
      <c r="Q695" s="111"/>
      <c r="S695" s="277">
        <v>2165</v>
      </c>
      <c r="T695" s="273"/>
      <c r="U695" s="63"/>
      <c r="V695" s="63"/>
      <c r="W695" s="63"/>
      <c r="X695" s="63"/>
      <c r="Y695" s="63"/>
      <c r="Z695" s="63"/>
      <c r="AA695" s="63"/>
      <c r="AB695" s="275"/>
    </row>
    <row r="696" spans="16:55" x14ac:dyDescent="0.25">
      <c r="P696" s="111"/>
      <c r="Q696" s="111"/>
      <c r="S696" s="277">
        <v>2160</v>
      </c>
      <c r="T696" s="273"/>
      <c r="U696" s="63"/>
      <c r="V696" s="63"/>
      <c r="W696" s="63"/>
      <c r="X696" s="63"/>
      <c r="Y696" s="63"/>
      <c r="Z696" s="63"/>
      <c r="AA696" s="63"/>
      <c r="AB696" s="275"/>
    </row>
    <row r="697" spans="16:55" x14ac:dyDescent="0.25">
      <c r="P697" s="111"/>
      <c r="Q697" s="111"/>
      <c r="S697" s="277">
        <v>2155</v>
      </c>
      <c r="T697" s="273"/>
      <c r="U697" s="63"/>
      <c r="V697" s="63"/>
      <c r="W697" s="63"/>
      <c r="X697" s="63"/>
      <c r="Y697" s="63"/>
      <c r="Z697" s="63"/>
      <c r="AA697" s="63"/>
      <c r="AB697" s="275"/>
    </row>
    <row r="698" spans="16:55" x14ac:dyDescent="0.25">
      <c r="P698" s="111"/>
      <c r="Q698" s="111"/>
      <c r="S698" s="277">
        <v>2150</v>
      </c>
      <c r="T698" s="273"/>
      <c r="U698" s="63"/>
      <c r="V698" s="63"/>
      <c r="W698" s="63"/>
      <c r="X698" s="63"/>
      <c r="Y698" s="63"/>
      <c r="Z698" s="63"/>
      <c r="AA698" s="63"/>
      <c r="AB698" s="275"/>
    </row>
    <row r="699" spans="16:55" x14ac:dyDescent="0.25">
      <c r="P699" s="111"/>
      <c r="Q699" s="111"/>
      <c r="S699" s="277">
        <v>2145</v>
      </c>
      <c r="T699" s="273"/>
      <c r="U699" s="63"/>
      <c r="V699" s="63"/>
      <c r="W699" s="63"/>
      <c r="X699" s="63"/>
      <c r="Y699" s="63"/>
      <c r="Z699" s="63"/>
      <c r="AA699" s="63"/>
      <c r="AB699" s="275"/>
    </row>
    <row r="700" spans="16:55" x14ac:dyDescent="0.25">
      <c r="P700" s="111"/>
      <c r="Q700" s="111"/>
      <c r="S700" s="277">
        <v>2140</v>
      </c>
      <c r="T700" s="273"/>
      <c r="U700" s="63"/>
      <c r="V700" s="63"/>
      <c r="W700" s="63"/>
      <c r="X700" s="63"/>
      <c r="Y700" s="63"/>
      <c r="Z700" s="63"/>
      <c r="AA700" s="63"/>
      <c r="AB700" s="275"/>
    </row>
    <row r="701" spans="16:55" x14ac:dyDescent="0.25">
      <c r="P701" s="111"/>
      <c r="Q701" s="111"/>
      <c r="S701" s="277">
        <v>2135</v>
      </c>
      <c r="T701" s="273"/>
      <c r="U701" s="63"/>
      <c r="V701" s="63"/>
      <c r="W701" s="63"/>
      <c r="X701" s="63"/>
      <c r="Y701" s="63"/>
      <c r="Z701" s="63"/>
      <c r="AA701" s="63"/>
      <c r="AB701" s="275"/>
    </row>
    <row r="702" spans="16:55" x14ac:dyDescent="0.25">
      <c r="P702" s="111"/>
      <c r="Q702" s="111"/>
      <c r="S702" s="277">
        <v>2130</v>
      </c>
      <c r="T702" s="273"/>
      <c r="U702" s="63"/>
      <c r="V702" s="63"/>
      <c r="W702" s="63"/>
      <c r="X702" s="63"/>
      <c r="Y702" s="63"/>
      <c r="Z702" s="63"/>
      <c r="AA702" s="63"/>
      <c r="AB702" s="275"/>
    </row>
    <row r="703" spans="16:55" x14ac:dyDescent="0.25">
      <c r="P703" s="111"/>
      <c r="Q703" s="111"/>
      <c r="S703" s="277">
        <v>2125</v>
      </c>
      <c r="T703" s="273"/>
      <c r="U703" s="63"/>
      <c r="V703" s="63"/>
      <c r="W703" s="63"/>
      <c r="X703" s="63"/>
      <c r="Y703" s="63"/>
      <c r="Z703" s="63"/>
      <c r="AA703" s="63"/>
      <c r="AB703" s="275"/>
    </row>
    <row r="704" spans="16:55" x14ac:dyDescent="0.25">
      <c r="P704" s="111"/>
      <c r="Q704" s="111"/>
      <c r="S704" s="277">
        <v>2120</v>
      </c>
      <c r="T704" s="273"/>
      <c r="U704" s="63"/>
      <c r="V704" s="63"/>
      <c r="W704" s="63"/>
      <c r="X704" s="63"/>
      <c r="Y704" s="63"/>
      <c r="Z704" s="63"/>
      <c r="AA704" s="63"/>
      <c r="AB704" s="275"/>
    </row>
    <row r="705" spans="16:28" x14ac:dyDescent="0.25">
      <c r="P705" s="111"/>
      <c r="Q705" s="111"/>
      <c r="S705" s="277">
        <v>2115</v>
      </c>
      <c r="T705" s="273"/>
      <c r="U705" s="63"/>
      <c r="V705" s="63"/>
      <c r="W705" s="63"/>
      <c r="X705" s="63"/>
      <c r="Y705" s="63"/>
      <c r="Z705" s="63"/>
      <c r="AA705" s="63"/>
      <c r="AB705" s="275"/>
    </row>
    <row r="706" spans="16:28" x14ac:dyDescent="0.25">
      <c r="P706" s="111"/>
      <c r="Q706" s="111"/>
      <c r="S706" s="277">
        <v>2110</v>
      </c>
      <c r="T706" s="273"/>
      <c r="U706" s="63"/>
      <c r="V706" s="63"/>
      <c r="W706" s="63"/>
      <c r="X706" s="63"/>
      <c r="Y706" s="63"/>
      <c r="Z706" s="63"/>
      <c r="AA706" s="63"/>
      <c r="AB706" s="275"/>
    </row>
    <row r="707" spans="16:28" x14ac:dyDescent="0.25">
      <c r="P707" s="111"/>
      <c r="Q707" s="111"/>
      <c r="S707" s="277">
        <v>2105</v>
      </c>
      <c r="T707" s="273"/>
      <c r="U707" s="63"/>
      <c r="V707" s="63"/>
      <c r="W707" s="63"/>
      <c r="X707" s="63"/>
      <c r="Y707" s="63"/>
      <c r="Z707" s="63"/>
      <c r="AA707" s="63"/>
      <c r="AB707" s="275"/>
    </row>
    <row r="708" spans="16:28" x14ac:dyDescent="0.25">
      <c r="P708" s="111"/>
      <c r="Q708" s="111"/>
      <c r="S708" s="277">
        <v>2100</v>
      </c>
      <c r="T708" s="273"/>
      <c r="U708" s="63"/>
      <c r="V708" s="63"/>
      <c r="W708" s="63"/>
      <c r="X708" s="63"/>
      <c r="Y708" s="63"/>
      <c r="Z708" s="63"/>
      <c r="AA708" s="63"/>
      <c r="AB708" s="275"/>
    </row>
    <row r="709" spans="16:28" x14ac:dyDescent="0.25">
      <c r="P709" s="111"/>
      <c r="Q709" s="111"/>
      <c r="S709" s="277">
        <v>2095</v>
      </c>
      <c r="T709" s="273"/>
      <c r="U709" s="63"/>
      <c r="V709" s="63"/>
      <c r="W709" s="63"/>
      <c r="X709" s="63"/>
      <c r="Y709" s="63"/>
      <c r="Z709" s="63"/>
      <c r="AA709" s="63"/>
      <c r="AB709" s="275"/>
    </row>
    <row r="710" spans="16:28" x14ac:dyDescent="0.25">
      <c r="P710" s="111"/>
      <c r="Q710" s="111"/>
      <c r="S710" s="277">
        <v>2090</v>
      </c>
      <c r="T710" s="273"/>
      <c r="U710" s="63"/>
      <c r="V710" s="63"/>
      <c r="W710" s="63"/>
      <c r="X710" s="63"/>
      <c r="Y710" s="63"/>
      <c r="Z710" s="63"/>
      <c r="AA710" s="63"/>
      <c r="AB710" s="275"/>
    </row>
    <row r="711" spans="16:28" x14ac:dyDescent="0.25">
      <c r="P711" s="111"/>
      <c r="Q711" s="111"/>
      <c r="S711" s="277">
        <v>2085</v>
      </c>
      <c r="T711" s="273"/>
      <c r="U711" s="63"/>
      <c r="V711" s="63"/>
      <c r="W711" s="63"/>
      <c r="X711" s="63"/>
      <c r="Y711" s="63"/>
      <c r="Z711" s="63"/>
      <c r="AA711" s="63"/>
      <c r="AB711" s="275"/>
    </row>
    <row r="712" spans="16:28" x14ac:dyDescent="0.25">
      <c r="P712" s="111"/>
      <c r="Q712" s="111"/>
      <c r="S712" s="277">
        <v>2080</v>
      </c>
      <c r="T712" s="273"/>
      <c r="U712" s="63"/>
      <c r="V712" s="63"/>
      <c r="W712" s="63"/>
      <c r="X712" s="63"/>
      <c r="Y712" s="63"/>
      <c r="Z712" s="63"/>
      <c r="AA712" s="63"/>
      <c r="AB712" s="275"/>
    </row>
    <row r="713" spans="16:28" x14ac:dyDescent="0.25">
      <c r="P713" s="111"/>
      <c r="Q713" s="111"/>
      <c r="S713" s="277">
        <v>2075</v>
      </c>
      <c r="T713" s="273"/>
      <c r="U713" s="63"/>
      <c r="V713" s="63"/>
      <c r="W713" s="63"/>
      <c r="X713" s="63"/>
      <c r="Y713" s="63"/>
      <c r="Z713" s="63"/>
      <c r="AA713" s="63"/>
      <c r="AB713" s="275"/>
    </row>
    <row r="714" spans="16:28" x14ac:dyDescent="0.25">
      <c r="P714" s="111"/>
      <c r="Q714" s="111"/>
      <c r="S714" s="277">
        <v>2070</v>
      </c>
      <c r="T714" s="273"/>
      <c r="U714" s="63"/>
      <c r="V714" s="63"/>
      <c r="W714" s="63"/>
      <c r="X714" s="63"/>
      <c r="Y714" s="63"/>
      <c r="Z714" s="63"/>
      <c r="AA714" s="63"/>
      <c r="AB714" s="275"/>
    </row>
    <row r="715" spans="16:28" x14ac:dyDescent="0.25">
      <c r="P715" s="111"/>
      <c r="Q715" s="111"/>
      <c r="S715" s="277">
        <v>2065</v>
      </c>
      <c r="T715" s="273"/>
      <c r="U715" s="63"/>
      <c r="V715" s="63"/>
      <c r="W715" s="63"/>
      <c r="X715" s="63"/>
      <c r="Y715" s="63"/>
      <c r="Z715" s="63"/>
      <c r="AA715" s="63"/>
      <c r="AB715" s="275"/>
    </row>
    <row r="716" spans="16:28" x14ac:dyDescent="0.25">
      <c r="P716" s="111"/>
      <c r="Q716" s="111"/>
      <c r="S716" s="277">
        <v>2060</v>
      </c>
      <c r="T716" s="273"/>
      <c r="U716" s="63"/>
      <c r="V716" s="63"/>
      <c r="W716" s="63"/>
      <c r="X716" s="63"/>
      <c r="Y716" s="63"/>
      <c r="Z716" s="63"/>
      <c r="AA716" s="63"/>
      <c r="AB716" s="275"/>
    </row>
    <row r="717" spans="16:28" x14ac:dyDescent="0.25">
      <c r="P717" s="111"/>
      <c r="Q717" s="111"/>
      <c r="S717" s="277">
        <v>2055</v>
      </c>
      <c r="T717" s="273"/>
      <c r="U717" s="63"/>
      <c r="V717" s="63"/>
      <c r="W717" s="63"/>
      <c r="X717" s="63"/>
      <c r="Y717" s="63"/>
      <c r="Z717" s="63"/>
      <c r="AA717" s="63"/>
      <c r="AB717" s="275"/>
    </row>
    <row r="718" spans="16:28" x14ac:dyDescent="0.25">
      <c r="P718" s="111"/>
      <c r="Q718" s="111"/>
      <c r="S718" s="277">
        <v>2050</v>
      </c>
      <c r="T718" s="273"/>
      <c r="U718" s="63"/>
      <c r="V718" s="63"/>
      <c r="W718" s="63"/>
      <c r="X718" s="63"/>
      <c r="Y718" s="63"/>
      <c r="Z718" s="63"/>
      <c r="AA718" s="63"/>
      <c r="AB718" s="275"/>
    </row>
    <row r="719" spans="16:28" x14ac:dyDescent="0.25">
      <c r="P719" s="111"/>
      <c r="Q719" s="111"/>
      <c r="S719" s="277">
        <v>2045</v>
      </c>
      <c r="T719" s="273"/>
      <c r="U719" s="63"/>
      <c r="V719" s="63"/>
      <c r="W719" s="63"/>
      <c r="X719" s="63"/>
      <c r="Y719" s="63"/>
      <c r="Z719" s="63"/>
      <c r="AA719" s="63"/>
      <c r="AB719" s="275"/>
    </row>
    <row r="720" spans="16:28" x14ac:dyDescent="0.25">
      <c r="P720" s="111"/>
      <c r="Q720" s="111"/>
      <c r="S720" s="277">
        <v>2040</v>
      </c>
      <c r="T720" s="273"/>
      <c r="U720" s="63"/>
      <c r="V720" s="63"/>
      <c r="W720" s="63"/>
      <c r="X720" s="63"/>
      <c r="Y720" s="63"/>
      <c r="Z720" s="63"/>
      <c r="AA720" s="63"/>
      <c r="AB720" s="275"/>
    </row>
    <row r="721" spans="16:28" x14ac:dyDescent="0.25">
      <c r="P721" s="111"/>
      <c r="Q721" s="111"/>
      <c r="S721" s="277">
        <v>2035</v>
      </c>
      <c r="T721" s="273"/>
      <c r="U721" s="63"/>
      <c r="V721" s="63"/>
      <c r="W721" s="63"/>
      <c r="X721" s="63"/>
      <c r="Y721" s="63"/>
      <c r="Z721" s="63"/>
      <c r="AA721" s="63"/>
      <c r="AB721" s="275"/>
    </row>
    <row r="722" spans="16:28" x14ac:dyDescent="0.25">
      <c r="P722" s="111"/>
      <c r="Q722" s="111"/>
      <c r="S722" s="277">
        <v>2030</v>
      </c>
      <c r="T722" s="273"/>
      <c r="U722" s="63"/>
      <c r="V722" s="63"/>
      <c r="W722" s="63"/>
      <c r="X722" s="63"/>
      <c r="Y722" s="63"/>
      <c r="Z722" s="63"/>
      <c r="AA722" s="63"/>
      <c r="AB722" s="275"/>
    </row>
    <row r="723" spans="16:28" x14ac:dyDescent="0.25">
      <c r="P723" s="111"/>
      <c r="Q723" s="111"/>
      <c r="S723" s="277">
        <v>2025</v>
      </c>
      <c r="T723" s="273"/>
      <c r="U723" s="63"/>
      <c r="V723" s="63"/>
      <c r="W723" s="63"/>
      <c r="X723" s="63"/>
      <c r="Y723" s="63"/>
      <c r="Z723" s="63"/>
      <c r="AA723" s="63"/>
      <c r="AB723" s="275"/>
    </row>
    <row r="724" spans="16:28" x14ac:dyDescent="0.25">
      <c r="P724" s="111"/>
      <c r="Q724" s="111"/>
      <c r="S724" s="277">
        <v>2020</v>
      </c>
      <c r="T724" s="273"/>
      <c r="U724" s="63"/>
      <c r="V724" s="63"/>
      <c r="W724" s="63"/>
      <c r="X724" s="63"/>
      <c r="Y724" s="63"/>
      <c r="Z724" s="63"/>
      <c r="AA724" s="63"/>
      <c r="AB724" s="275"/>
    </row>
    <row r="725" spans="16:28" x14ac:dyDescent="0.25">
      <c r="P725" s="111"/>
      <c r="Q725" s="111"/>
      <c r="S725" s="277">
        <v>2015</v>
      </c>
      <c r="T725" s="273"/>
      <c r="U725" s="63"/>
      <c r="V725" s="63"/>
      <c r="W725" s="63"/>
      <c r="X725" s="63"/>
      <c r="Y725" s="63"/>
      <c r="Z725" s="63"/>
      <c r="AA725" s="63"/>
      <c r="AB725" s="275"/>
    </row>
    <row r="726" spans="16:28" x14ac:dyDescent="0.25">
      <c r="P726" s="111"/>
      <c r="Q726" s="111"/>
      <c r="S726" s="277">
        <v>2010</v>
      </c>
      <c r="T726" s="273"/>
      <c r="U726" s="63"/>
      <c r="V726" s="63"/>
      <c r="W726" s="63"/>
      <c r="X726" s="63"/>
      <c r="Y726" s="63"/>
      <c r="Z726" s="63"/>
      <c r="AA726" s="63"/>
      <c r="AB726" s="275"/>
    </row>
    <row r="727" spans="16:28" x14ac:dyDescent="0.25">
      <c r="P727" s="111"/>
      <c r="Q727" s="111"/>
      <c r="S727" s="277">
        <v>2005</v>
      </c>
      <c r="T727" s="273"/>
      <c r="U727" s="63"/>
      <c r="V727" s="63"/>
      <c r="W727" s="63"/>
      <c r="X727" s="63"/>
      <c r="Y727" s="63"/>
      <c r="Z727" s="63"/>
      <c r="AA727" s="63"/>
      <c r="AB727" s="275"/>
    </row>
    <row r="728" spans="16:28" x14ac:dyDescent="0.25">
      <c r="P728" s="111"/>
      <c r="Q728" s="111"/>
      <c r="S728" s="277">
        <v>2000</v>
      </c>
      <c r="T728" s="273"/>
      <c r="U728" s="63"/>
      <c r="V728" s="63"/>
      <c r="W728" s="63"/>
      <c r="X728" s="63"/>
      <c r="Y728" s="63"/>
      <c r="Z728" s="63"/>
      <c r="AA728" s="63"/>
      <c r="AB728" s="275"/>
    </row>
    <row r="729" spans="16:28" x14ac:dyDescent="0.25">
      <c r="P729" s="111"/>
      <c r="Q729" s="111"/>
      <c r="S729" s="277">
        <v>1995</v>
      </c>
      <c r="T729" s="273"/>
      <c r="U729" s="63"/>
      <c r="V729" s="63"/>
      <c r="W729" s="63"/>
      <c r="X729" s="63"/>
      <c r="Y729" s="63"/>
      <c r="Z729" s="63"/>
      <c r="AA729" s="63"/>
      <c r="AB729" s="275"/>
    </row>
    <row r="730" spans="16:28" x14ac:dyDescent="0.25">
      <c r="P730" s="111"/>
      <c r="Q730" s="111"/>
      <c r="S730" s="277">
        <v>1990</v>
      </c>
      <c r="T730" s="273"/>
      <c r="U730" s="63"/>
      <c r="V730" s="63"/>
      <c r="W730" s="63"/>
      <c r="X730" s="63"/>
      <c r="Y730" s="63"/>
      <c r="Z730" s="63"/>
      <c r="AA730" s="63"/>
      <c r="AB730" s="275"/>
    </row>
    <row r="731" spans="16:28" x14ac:dyDescent="0.25">
      <c r="P731" s="111"/>
      <c r="Q731" s="111"/>
      <c r="S731" s="277">
        <v>1985</v>
      </c>
      <c r="T731" s="273"/>
      <c r="U731" s="63"/>
      <c r="V731" s="63"/>
      <c r="W731" s="63"/>
      <c r="X731" s="63"/>
      <c r="Y731" s="63"/>
      <c r="Z731" s="63"/>
      <c r="AA731" s="63"/>
      <c r="AB731" s="275"/>
    </row>
    <row r="732" spans="16:28" x14ac:dyDescent="0.25">
      <c r="P732" s="111"/>
      <c r="Q732" s="111"/>
      <c r="S732" s="277">
        <v>1980</v>
      </c>
      <c r="T732" s="273"/>
      <c r="U732" s="63"/>
      <c r="V732" s="63"/>
      <c r="W732" s="63"/>
      <c r="X732" s="63"/>
      <c r="Y732" s="63"/>
      <c r="Z732" s="63"/>
      <c r="AA732" s="63"/>
      <c r="AB732" s="275"/>
    </row>
    <row r="733" spans="16:28" x14ac:dyDescent="0.25">
      <c r="P733" s="111"/>
      <c r="Q733" s="111"/>
      <c r="S733" s="277">
        <v>1975</v>
      </c>
      <c r="T733" s="273"/>
      <c r="U733" s="63"/>
      <c r="V733" s="63"/>
      <c r="W733" s="63"/>
      <c r="X733" s="63"/>
      <c r="Y733" s="63"/>
      <c r="Z733" s="63"/>
      <c r="AA733" s="63"/>
      <c r="AB733" s="275"/>
    </row>
    <row r="734" spans="16:28" x14ac:dyDescent="0.25">
      <c r="P734" s="111"/>
      <c r="Q734" s="111"/>
      <c r="S734" s="277">
        <v>1970</v>
      </c>
      <c r="T734" s="273"/>
      <c r="U734" s="63"/>
      <c r="V734" s="63"/>
      <c r="W734" s="63"/>
      <c r="X734" s="63"/>
      <c r="Y734" s="63"/>
      <c r="Z734" s="63"/>
      <c r="AA734" s="63"/>
      <c r="AB734" s="275"/>
    </row>
    <row r="735" spans="16:28" x14ac:dyDescent="0.25">
      <c r="P735" s="111"/>
      <c r="Q735" s="111"/>
      <c r="S735" s="277">
        <v>1965</v>
      </c>
      <c r="T735" s="273"/>
      <c r="U735" s="63"/>
      <c r="V735" s="63"/>
      <c r="W735" s="63"/>
      <c r="X735" s="63"/>
      <c r="Y735" s="63"/>
      <c r="Z735" s="63"/>
      <c r="AA735" s="63"/>
      <c r="AB735" s="275"/>
    </row>
    <row r="736" spans="16:28" x14ac:dyDescent="0.25">
      <c r="P736" s="111"/>
      <c r="Q736" s="111"/>
      <c r="S736" s="277">
        <v>1960</v>
      </c>
      <c r="T736" s="273"/>
      <c r="U736" s="63"/>
      <c r="V736" s="63"/>
      <c r="W736" s="63"/>
      <c r="X736" s="63"/>
      <c r="Y736" s="63"/>
      <c r="Z736" s="63"/>
      <c r="AA736" s="63"/>
      <c r="AB736" s="275"/>
    </row>
    <row r="737" spans="16:28" x14ac:dyDescent="0.25">
      <c r="P737" s="111"/>
      <c r="Q737" s="111"/>
      <c r="S737" s="277">
        <v>1955</v>
      </c>
      <c r="T737" s="273"/>
      <c r="U737" s="63"/>
      <c r="V737" s="63"/>
      <c r="W737" s="63"/>
      <c r="X737" s="63"/>
      <c r="Y737" s="63"/>
      <c r="Z737" s="63"/>
      <c r="AA737" s="63"/>
      <c r="AB737" s="275"/>
    </row>
    <row r="738" spans="16:28" x14ac:dyDescent="0.25">
      <c r="P738" s="111"/>
      <c r="Q738" s="111"/>
      <c r="S738" s="277">
        <v>1950</v>
      </c>
      <c r="T738" s="273"/>
      <c r="U738" s="63"/>
      <c r="V738" s="63"/>
      <c r="W738" s="63"/>
      <c r="X738" s="63"/>
      <c r="Y738" s="63"/>
      <c r="Z738" s="63"/>
      <c r="AA738" s="63"/>
      <c r="AB738" s="275"/>
    </row>
    <row r="739" spans="16:28" x14ac:dyDescent="0.25">
      <c r="P739" s="111"/>
      <c r="Q739" s="111"/>
      <c r="S739" s="277">
        <v>1945</v>
      </c>
      <c r="T739" s="273"/>
      <c r="U739" s="63"/>
      <c r="V739" s="63"/>
      <c r="W739" s="63"/>
      <c r="X739" s="63"/>
      <c r="Y739" s="63"/>
      <c r="Z739" s="63"/>
      <c r="AA739" s="63"/>
      <c r="AB739" s="275"/>
    </row>
    <row r="740" spans="16:28" x14ac:dyDescent="0.25">
      <c r="P740" s="111"/>
      <c r="Q740" s="111"/>
      <c r="S740" s="277">
        <v>1940</v>
      </c>
      <c r="T740" s="273"/>
      <c r="U740" s="63"/>
      <c r="V740" s="63"/>
      <c r="W740" s="63"/>
      <c r="X740" s="63"/>
      <c r="Y740" s="63"/>
      <c r="Z740" s="63"/>
      <c r="AA740" s="63"/>
      <c r="AB740" s="275"/>
    </row>
    <row r="741" spans="16:28" x14ac:dyDescent="0.25">
      <c r="P741" s="111"/>
      <c r="Q741" s="111"/>
      <c r="S741" s="277">
        <v>1935</v>
      </c>
      <c r="T741" s="273"/>
      <c r="U741" s="63"/>
      <c r="V741" s="63"/>
      <c r="W741" s="63"/>
      <c r="X741" s="63"/>
      <c r="Y741" s="63"/>
      <c r="Z741" s="63"/>
      <c r="AA741" s="63"/>
      <c r="AB741" s="275"/>
    </row>
    <row r="742" spans="16:28" x14ac:dyDescent="0.25">
      <c r="P742" s="111"/>
      <c r="Q742" s="111"/>
      <c r="S742" s="277">
        <v>1930</v>
      </c>
      <c r="T742" s="273"/>
      <c r="U742" s="63"/>
      <c r="V742" s="63"/>
      <c r="W742" s="63"/>
      <c r="X742" s="63"/>
      <c r="Y742" s="63"/>
      <c r="Z742" s="63"/>
      <c r="AA742" s="63"/>
      <c r="AB742" s="275"/>
    </row>
    <row r="743" spans="16:28" x14ac:dyDescent="0.25">
      <c r="P743" s="111"/>
      <c r="Q743" s="111"/>
      <c r="S743" s="277">
        <v>1925</v>
      </c>
      <c r="T743" s="273"/>
      <c r="U743" s="63"/>
      <c r="V743" s="63"/>
      <c r="W743" s="63"/>
      <c r="X743" s="63"/>
      <c r="Y743" s="63"/>
      <c r="Z743" s="63"/>
      <c r="AA743" s="63"/>
      <c r="AB743" s="275"/>
    </row>
    <row r="744" spans="16:28" x14ac:dyDescent="0.25">
      <c r="P744" s="111"/>
      <c r="Q744" s="111"/>
      <c r="S744" s="277">
        <v>1920</v>
      </c>
      <c r="T744" s="273"/>
      <c r="U744" s="63"/>
      <c r="V744" s="63"/>
      <c r="W744" s="63"/>
      <c r="X744" s="63"/>
      <c r="Y744" s="63"/>
      <c r="Z744" s="63"/>
      <c r="AA744" s="63"/>
      <c r="AB744" s="275"/>
    </row>
    <row r="745" spans="16:28" x14ac:dyDescent="0.25">
      <c r="P745" s="111"/>
      <c r="Q745" s="111"/>
      <c r="S745" s="277">
        <v>1915</v>
      </c>
      <c r="T745" s="273"/>
      <c r="U745" s="63"/>
      <c r="V745" s="63"/>
      <c r="W745" s="63"/>
      <c r="X745" s="63"/>
      <c r="Y745" s="63"/>
      <c r="Z745" s="63"/>
      <c r="AA745" s="63"/>
      <c r="AB745" s="275"/>
    </row>
    <row r="746" spans="16:28" x14ac:dyDescent="0.25">
      <c r="P746" s="111"/>
      <c r="Q746" s="111"/>
      <c r="S746" s="277">
        <v>1910</v>
      </c>
      <c r="T746" s="273"/>
      <c r="U746" s="63"/>
      <c r="V746" s="63"/>
      <c r="W746" s="63"/>
      <c r="X746" s="63"/>
      <c r="Y746" s="63"/>
      <c r="Z746" s="63"/>
      <c r="AA746" s="63"/>
      <c r="AB746" s="275"/>
    </row>
    <row r="747" spans="16:28" x14ac:dyDescent="0.25">
      <c r="P747" s="111"/>
      <c r="Q747" s="111"/>
      <c r="S747" s="277">
        <v>1905</v>
      </c>
      <c r="T747" s="273"/>
      <c r="U747" s="63"/>
      <c r="V747" s="63"/>
      <c r="W747" s="63"/>
      <c r="X747" s="63"/>
      <c r="Y747" s="63"/>
      <c r="Z747" s="63"/>
      <c r="AA747" s="63"/>
      <c r="AB747" s="275"/>
    </row>
    <row r="748" spans="16:28" x14ac:dyDescent="0.25">
      <c r="P748" s="111"/>
      <c r="Q748" s="111"/>
      <c r="S748" s="277">
        <v>1900</v>
      </c>
      <c r="T748" s="273"/>
      <c r="U748" s="63"/>
      <c r="V748" s="63"/>
      <c r="W748" s="63"/>
      <c r="X748" s="63"/>
      <c r="Y748" s="63"/>
      <c r="Z748" s="63"/>
      <c r="AA748" s="63"/>
      <c r="AB748" s="275"/>
    </row>
    <row r="749" spans="16:28" x14ac:dyDescent="0.25">
      <c r="P749" s="111"/>
      <c r="Q749" s="111"/>
      <c r="S749" s="277">
        <v>1895</v>
      </c>
      <c r="T749" s="273"/>
      <c r="U749" s="63"/>
      <c r="V749" s="63"/>
      <c r="W749" s="63"/>
      <c r="X749" s="63"/>
      <c r="Y749" s="63"/>
      <c r="Z749" s="63"/>
      <c r="AA749" s="63"/>
      <c r="AB749" s="275"/>
    </row>
    <row r="750" spans="16:28" x14ac:dyDescent="0.25">
      <c r="P750" s="111"/>
      <c r="Q750" s="111"/>
      <c r="S750" s="277">
        <v>1890</v>
      </c>
      <c r="T750" s="273"/>
      <c r="U750" s="63"/>
      <c r="V750" s="63"/>
      <c r="W750" s="63"/>
      <c r="X750" s="63"/>
      <c r="Y750" s="63"/>
      <c r="Z750" s="63"/>
      <c r="AA750" s="63"/>
      <c r="AB750" s="275"/>
    </row>
    <row r="751" spans="16:28" x14ac:dyDescent="0.25">
      <c r="P751" s="111"/>
      <c r="Q751" s="111"/>
      <c r="S751" s="277">
        <v>1885</v>
      </c>
      <c r="T751" s="273"/>
      <c r="U751" s="63"/>
      <c r="V751" s="63"/>
      <c r="W751" s="63"/>
      <c r="X751" s="63"/>
      <c r="Y751" s="63"/>
      <c r="Z751" s="63"/>
      <c r="AA751" s="63"/>
      <c r="AB751" s="275"/>
    </row>
    <row r="752" spans="16:28" x14ac:dyDescent="0.25">
      <c r="P752" s="111"/>
      <c r="Q752" s="111"/>
      <c r="S752" s="277">
        <v>1880</v>
      </c>
      <c r="T752" s="273"/>
      <c r="U752" s="63"/>
      <c r="V752" s="63"/>
      <c r="W752" s="63"/>
      <c r="X752" s="63"/>
      <c r="Y752" s="63"/>
      <c r="Z752" s="63"/>
      <c r="AA752" s="63"/>
      <c r="AB752" s="275"/>
    </row>
    <row r="753" spans="16:28" x14ac:dyDescent="0.25">
      <c r="P753" s="111"/>
      <c r="Q753" s="111"/>
      <c r="S753" s="277">
        <v>1875</v>
      </c>
      <c r="T753" s="273"/>
      <c r="U753" s="63"/>
      <c r="V753" s="63"/>
      <c r="W753" s="63"/>
      <c r="X753" s="63"/>
      <c r="Y753" s="63"/>
      <c r="Z753" s="63"/>
      <c r="AA753" s="63"/>
      <c r="AB753" s="275"/>
    </row>
    <row r="754" spans="16:28" x14ac:dyDescent="0.25">
      <c r="P754" s="111"/>
      <c r="Q754" s="111"/>
      <c r="S754" s="277">
        <v>1870</v>
      </c>
      <c r="T754" s="273"/>
      <c r="U754" s="63"/>
      <c r="V754" s="63"/>
      <c r="W754" s="63"/>
      <c r="X754" s="63"/>
      <c r="Y754" s="63"/>
      <c r="Z754" s="63"/>
      <c r="AA754" s="63"/>
      <c r="AB754" s="275"/>
    </row>
    <row r="755" spans="16:28" x14ac:dyDescent="0.25">
      <c r="P755" s="111"/>
      <c r="Q755" s="111"/>
      <c r="S755" s="277">
        <v>1865</v>
      </c>
      <c r="T755" s="273"/>
      <c r="U755" s="63"/>
      <c r="V755" s="63"/>
      <c r="W755" s="63"/>
      <c r="X755" s="63"/>
      <c r="Y755" s="63"/>
      <c r="Z755" s="63"/>
      <c r="AA755" s="63"/>
      <c r="AB755" s="275"/>
    </row>
    <row r="756" spans="16:28" x14ac:dyDescent="0.25">
      <c r="P756" s="111"/>
      <c r="Q756" s="111"/>
      <c r="S756" s="277">
        <v>1860</v>
      </c>
      <c r="T756" s="273"/>
      <c r="U756" s="63"/>
      <c r="V756" s="63"/>
      <c r="W756" s="63"/>
      <c r="X756" s="63"/>
      <c r="Y756" s="63"/>
      <c r="Z756" s="63"/>
      <c r="AA756" s="63"/>
      <c r="AB756" s="275"/>
    </row>
    <row r="757" spans="16:28" x14ac:dyDescent="0.25">
      <c r="P757" s="111"/>
      <c r="Q757" s="111"/>
      <c r="S757" s="277">
        <v>1855</v>
      </c>
      <c r="T757" s="273"/>
      <c r="U757" s="63"/>
      <c r="V757" s="63"/>
      <c r="W757" s="63"/>
      <c r="X757" s="63"/>
      <c r="Y757" s="63"/>
      <c r="Z757" s="63"/>
      <c r="AA757" s="63"/>
      <c r="AB757" s="275"/>
    </row>
    <row r="758" spans="16:28" x14ac:dyDescent="0.25">
      <c r="P758" s="111"/>
      <c r="Q758" s="111"/>
      <c r="S758" s="277">
        <v>1850</v>
      </c>
      <c r="T758" s="273"/>
      <c r="U758" s="63"/>
      <c r="V758" s="63"/>
      <c r="W758" s="63"/>
      <c r="X758" s="63"/>
      <c r="Y758" s="63"/>
      <c r="Z758" s="63"/>
      <c r="AA758" s="63"/>
      <c r="AB758" s="275"/>
    </row>
    <row r="759" spans="16:28" x14ac:dyDescent="0.25">
      <c r="P759" s="111"/>
      <c r="Q759" s="111"/>
      <c r="S759" s="277">
        <v>1845</v>
      </c>
      <c r="T759" s="273"/>
      <c r="U759" s="63"/>
      <c r="V759" s="63"/>
      <c r="W759" s="63"/>
      <c r="X759" s="63"/>
      <c r="Y759" s="63"/>
      <c r="Z759" s="63"/>
      <c r="AA759" s="63"/>
      <c r="AB759" s="275"/>
    </row>
    <row r="760" spans="16:28" x14ac:dyDescent="0.25">
      <c r="P760" s="111"/>
      <c r="Q760" s="111"/>
      <c r="S760" s="277">
        <v>1840</v>
      </c>
      <c r="T760" s="273"/>
      <c r="U760" s="63"/>
      <c r="V760" s="63"/>
      <c r="W760" s="63"/>
      <c r="X760" s="63"/>
      <c r="Y760" s="63"/>
      <c r="Z760" s="63"/>
      <c r="AA760" s="63"/>
      <c r="AB760" s="275"/>
    </row>
    <row r="761" spans="16:28" x14ac:dyDescent="0.25">
      <c r="P761" s="111"/>
      <c r="Q761" s="111"/>
      <c r="S761" s="277">
        <v>1835</v>
      </c>
      <c r="T761" s="273"/>
      <c r="U761" s="63"/>
      <c r="V761" s="63"/>
      <c r="W761" s="63"/>
      <c r="X761" s="63"/>
      <c r="Y761" s="63"/>
      <c r="Z761" s="63"/>
      <c r="AA761" s="63"/>
      <c r="AB761" s="275"/>
    </row>
    <row r="762" spans="16:28" x14ac:dyDescent="0.25">
      <c r="P762" s="111"/>
      <c r="Q762" s="111"/>
      <c r="S762" s="277">
        <v>1830</v>
      </c>
      <c r="T762" s="273"/>
      <c r="U762" s="63"/>
      <c r="V762" s="63"/>
      <c r="W762" s="63"/>
      <c r="X762" s="63"/>
      <c r="Y762" s="63"/>
      <c r="Z762" s="63"/>
      <c r="AA762" s="63"/>
      <c r="AB762" s="275"/>
    </row>
    <row r="763" spans="16:28" x14ac:dyDescent="0.25">
      <c r="P763" s="111"/>
      <c r="Q763" s="111"/>
      <c r="S763" s="277">
        <v>1825</v>
      </c>
      <c r="T763" s="273"/>
      <c r="U763" s="63"/>
      <c r="V763" s="63"/>
      <c r="W763" s="63"/>
      <c r="X763" s="63"/>
      <c r="Y763" s="63"/>
      <c r="Z763" s="63"/>
      <c r="AA763" s="63"/>
      <c r="AB763" s="275"/>
    </row>
    <row r="764" spans="16:28" x14ac:dyDescent="0.25">
      <c r="P764" s="111"/>
      <c r="Q764" s="111"/>
      <c r="S764" s="277">
        <v>1820</v>
      </c>
      <c r="T764" s="273"/>
      <c r="U764" s="63"/>
      <c r="V764" s="63"/>
      <c r="W764" s="63"/>
      <c r="X764" s="63"/>
      <c r="Y764" s="63"/>
      <c r="Z764" s="63"/>
      <c r="AA764" s="63"/>
      <c r="AB764" s="275"/>
    </row>
    <row r="765" spans="16:28" x14ac:dyDescent="0.25">
      <c r="P765" s="111"/>
      <c r="Q765" s="111"/>
      <c r="S765" s="277">
        <v>1815</v>
      </c>
      <c r="T765" s="273"/>
      <c r="U765" s="63"/>
      <c r="V765" s="63"/>
      <c r="W765" s="63"/>
      <c r="X765" s="63"/>
      <c r="Y765" s="63"/>
      <c r="Z765" s="63"/>
      <c r="AA765" s="63"/>
      <c r="AB765" s="275"/>
    </row>
    <row r="766" spans="16:28" x14ac:dyDescent="0.25">
      <c r="P766" s="111"/>
      <c r="Q766" s="111"/>
      <c r="S766" s="277">
        <v>1810</v>
      </c>
      <c r="T766" s="273"/>
      <c r="U766" s="63"/>
      <c r="V766" s="63"/>
      <c r="W766" s="63"/>
      <c r="X766" s="63"/>
      <c r="Y766" s="63"/>
      <c r="Z766" s="63"/>
      <c r="AA766" s="63"/>
      <c r="AB766" s="275"/>
    </row>
    <row r="767" spans="16:28" x14ac:dyDescent="0.25">
      <c r="P767" s="111"/>
      <c r="Q767" s="111"/>
      <c r="S767" s="277">
        <v>1805</v>
      </c>
      <c r="T767" s="273"/>
      <c r="U767" s="63"/>
      <c r="V767" s="63"/>
      <c r="W767" s="63"/>
      <c r="X767" s="63"/>
      <c r="Y767" s="63"/>
      <c r="Z767" s="63"/>
      <c r="AA767" s="63"/>
      <c r="AB767" s="275"/>
    </row>
    <row r="768" spans="16:28" x14ac:dyDescent="0.25">
      <c r="P768" s="111"/>
      <c r="Q768" s="111"/>
      <c r="S768" s="277">
        <v>1800</v>
      </c>
      <c r="T768" s="273"/>
      <c r="U768" s="63"/>
      <c r="V768" s="63"/>
      <c r="W768" s="63"/>
      <c r="X768" s="63"/>
      <c r="Y768" s="63"/>
      <c r="Z768" s="63"/>
      <c r="AA768" s="63"/>
      <c r="AB768" s="275"/>
    </row>
    <row r="769" spans="16:28" x14ac:dyDescent="0.25">
      <c r="P769" s="111"/>
      <c r="Q769" s="111"/>
      <c r="S769" s="277">
        <v>1795</v>
      </c>
      <c r="T769" s="273"/>
      <c r="U769" s="63"/>
      <c r="V769" s="63"/>
      <c r="W769" s="63"/>
      <c r="X769" s="63"/>
      <c r="Y769" s="63"/>
      <c r="Z769" s="63"/>
      <c r="AA769" s="63"/>
      <c r="AB769" s="275"/>
    </row>
    <row r="770" spans="16:28" x14ac:dyDescent="0.25">
      <c r="P770" s="111"/>
      <c r="Q770" s="111"/>
      <c r="S770" s="277">
        <v>1790</v>
      </c>
      <c r="T770" s="273"/>
      <c r="U770" s="63"/>
      <c r="V770" s="63"/>
      <c r="W770" s="63"/>
      <c r="X770" s="63"/>
      <c r="Y770" s="63"/>
      <c r="Z770" s="63"/>
      <c r="AA770" s="63"/>
      <c r="AB770" s="275"/>
    </row>
    <row r="771" spans="16:28" x14ac:dyDescent="0.25">
      <c r="P771" s="111"/>
      <c r="Q771" s="111"/>
      <c r="S771" s="277">
        <v>1785</v>
      </c>
      <c r="T771" s="273"/>
      <c r="U771" s="63"/>
      <c r="V771" s="63"/>
      <c r="W771" s="63"/>
      <c r="X771" s="63"/>
      <c r="Y771" s="63"/>
      <c r="Z771" s="63"/>
      <c r="AA771" s="63"/>
      <c r="AB771" s="275"/>
    </row>
    <row r="772" spans="16:28" x14ac:dyDescent="0.25">
      <c r="P772" s="111"/>
      <c r="Q772" s="111"/>
      <c r="S772" s="277">
        <v>1780</v>
      </c>
      <c r="T772" s="273"/>
      <c r="U772" s="63"/>
      <c r="V772" s="63"/>
      <c r="W772" s="63"/>
      <c r="X772" s="63"/>
      <c r="Y772" s="63"/>
      <c r="Z772" s="63"/>
      <c r="AA772" s="63"/>
      <c r="AB772" s="275"/>
    </row>
    <row r="773" spans="16:28" x14ac:dyDescent="0.25">
      <c r="P773" s="111"/>
      <c r="Q773" s="111"/>
      <c r="S773" s="277">
        <v>1775</v>
      </c>
      <c r="T773" s="273"/>
      <c r="U773" s="63"/>
      <c r="V773" s="63"/>
      <c r="W773" s="63"/>
      <c r="X773" s="63"/>
      <c r="Y773" s="63"/>
      <c r="Z773" s="63"/>
      <c r="AA773" s="63"/>
      <c r="AB773" s="275"/>
    </row>
    <row r="774" spans="16:28" x14ac:dyDescent="0.25">
      <c r="P774" s="111"/>
      <c r="Q774" s="111"/>
      <c r="S774" s="277">
        <v>1770</v>
      </c>
      <c r="T774" s="273"/>
      <c r="U774" s="63"/>
      <c r="V774" s="63"/>
      <c r="W774" s="63"/>
      <c r="X774" s="63"/>
      <c r="Y774" s="63"/>
      <c r="Z774" s="63"/>
      <c r="AA774" s="63"/>
      <c r="AB774" s="275"/>
    </row>
    <row r="775" spans="16:28" x14ac:dyDescent="0.25">
      <c r="P775" s="111"/>
      <c r="Q775" s="111"/>
      <c r="S775" s="277">
        <v>1765</v>
      </c>
      <c r="T775" s="273"/>
      <c r="U775" s="63"/>
      <c r="V775" s="63"/>
      <c r="W775" s="63"/>
      <c r="X775" s="63"/>
      <c r="Y775" s="63"/>
      <c r="Z775" s="63"/>
      <c r="AA775" s="63"/>
      <c r="AB775" s="275"/>
    </row>
    <row r="776" spans="16:28" x14ac:dyDescent="0.25">
      <c r="P776" s="111"/>
      <c r="Q776" s="111"/>
      <c r="S776" s="277">
        <v>1760</v>
      </c>
      <c r="T776" s="273"/>
      <c r="U776" s="63"/>
      <c r="V776" s="63"/>
      <c r="W776" s="63"/>
      <c r="X776" s="63"/>
      <c r="Y776" s="63"/>
      <c r="Z776" s="63"/>
      <c r="AA776" s="63"/>
      <c r="AB776" s="275"/>
    </row>
    <row r="777" spans="16:28" x14ac:dyDescent="0.25">
      <c r="P777" s="111"/>
      <c r="Q777" s="111"/>
      <c r="S777" s="277">
        <v>1755</v>
      </c>
      <c r="T777" s="273"/>
      <c r="U777" s="63"/>
      <c r="V777" s="63"/>
      <c r="W777" s="63"/>
      <c r="X777" s="63"/>
      <c r="Y777" s="63"/>
      <c r="Z777" s="63"/>
      <c r="AA777" s="63"/>
      <c r="AB777" s="275"/>
    </row>
    <row r="778" spans="16:28" x14ac:dyDescent="0.25">
      <c r="P778" s="111"/>
      <c r="Q778" s="111"/>
      <c r="S778" s="277">
        <v>1750</v>
      </c>
      <c r="T778" s="273"/>
      <c r="U778" s="63"/>
      <c r="V778" s="63"/>
      <c r="W778" s="63"/>
      <c r="X778" s="63"/>
      <c r="Y778" s="63"/>
      <c r="Z778" s="63"/>
      <c r="AA778" s="63"/>
      <c r="AB778" s="275"/>
    </row>
    <row r="779" spans="16:28" x14ac:dyDescent="0.25">
      <c r="P779" s="111"/>
      <c r="Q779" s="111"/>
      <c r="S779" s="277">
        <v>1745</v>
      </c>
      <c r="T779" s="273"/>
      <c r="U779" s="63"/>
      <c r="V779" s="63"/>
      <c r="W779" s="63"/>
      <c r="X779" s="63"/>
      <c r="Y779" s="63"/>
      <c r="Z779" s="63"/>
      <c r="AA779" s="63"/>
      <c r="AB779" s="275"/>
    </row>
    <row r="780" spans="16:28" x14ac:dyDescent="0.25">
      <c r="P780" s="111"/>
      <c r="Q780" s="111"/>
      <c r="S780" s="277">
        <v>1740</v>
      </c>
      <c r="T780" s="273"/>
      <c r="U780" s="63"/>
      <c r="V780" s="63"/>
      <c r="W780" s="63"/>
      <c r="X780" s="63"/>
      <c r="Y780" s="63"/>
      <c r="Z780" s="63"/>
      <c r="AA780" s="63"/>
      <c r="AB780" s="275"/>
    </row>
    <row r="781" spans="16:28" x14ac:dyDescent="0.25">
      <c r="P781" s="111"/>
      <c r="Q781" s="111"/>
      <c r="S781" s="277">
        <v>1735</v>
      </c>
      <c r="T781" s="273"/>
      <c r="U781" s="63"/>
      <c r="V781" s="63"/>
      <c r="W781" s="63"/>
      <c r="X781" s="63"/>
      <c r="Y781" s="63"/>
      <c r="Z781" s="63"/>
      <c r="AA781" s="63"/>
      <c r="AB781" s="275"/>
    </row>
    <row r="782" spans="16:28" x14ac:dyDescent="0.25">
      <c r="P782" s="111"/>
      <c r="Q782" s="111"/>
      <c r="S782" s="277">
        <v>1730</v>
      </c>
      <c r="T782" s="273"/>
      <c r="U782" s="63"/>
      <c r="V782" s="63"/>
      <c r="W782" s="63"/>
      <c r="X782" s="63"/>
      <c r="Y782" s="63"/>
      <c r="Z782" s="63"/>
      <c r="AA782" s="63"/>
      <c r="AB782" s="275"/>
    </row>
    <row r="783" spans="16:28" x14ac:dyDescent="0.25">
      <c r="P783" s="111"/>
      <c r="Q783" s="111"/>
      <c r="S783" s="277">
        <v>1725</v>
      </c>
      <c r="T783" s="273"/>
      <c r="U783" s="63"/>
      <c r="V783" s="63"/>
      <c r="W783" s="63"/>
      <c r="X783" s="63"/>
      <c r="Y783" s="63"/>
      <c r="Z783" s="63"/>
      <c r="AA783" s="63"/>
      <c r="AB783" s="275"/>
    </row>
    <row r="784" spans="16:28" x14ac:dyDescent="0.25">
      <c r="P784" s="111"/>
      <c r="Q784" s="111"/>
      <c r="S784" s="277">
        <v>1720</v>
      </c>
      <c r="T784" s="273"/>
      <c r="U784" s="63"/>
      <c r="V784" s="63"/>
      <c r="W784" s="63"/>
      <c r="X784" s="63"/>
      <c r="Y784" s="63"/>
      <c r="Z784" s="63"/>
      <c r="AA784" s="63"/>
      <c r="AB784" s="275"/>
    </row>
    <row r="785" spans="16:28" x14ac:dyDescent="0.25">
      <c r="P785" s="111"/>
      <c r="Q785" s="111"/>
      <c r="S785" s="277">
        <v>1715</v>
      </c>
      <c r="T785" s="273"/>
      <c r="U785" s="63"/>
      <c r="V785" s="63"/>
      <c r="W785" s="63"/>
      <c r="X785" s="63"/>
      <c r="Y785" s="63"/>
      <c r="Z785" s="63"/>
      <c r="AA785" s="63"/>
      <c r="AB785" s="275"/>
    </row>
    <row r="786" spans="16:28" x14ac:dyDescent="0.25">
      <c r="P786" s="111"/>
      <c r="Q786" s="111"/>
      <c r="S786" s="277">
        <v>1710</v>
      </c>
      <c r="T786" s="273"/>
      <c r="U786" s="63"/>
      <c r="V786" s="63"/>
      <c r="W786" s="63"/>
      <c r="X786" s="63"/>
      <c r="Y786" s="63"/>
      <c r="Z786" s="63"/>
      <c r="AA786" s="63"/>
      <c r="AB786" s="275"/>
    </row>
    <row r="787" spans="16:28" x14ac:dyDescent="0.25">
      <c r="P787" s="111"/>
      <c r="Q787" s="111"/>
      <c r="S787" s="277">
        <v>1705</v>
      </c>
      <c r="T787" s="273"/>
      <c r="U787" s="63"/>
      <c r="V787" s="63"/>
      <c r="W787" s="63"/>
      <c r="X787" s="63"/>
      <c r="Y787" s="63"/>
      <c r="Z787" s="63"/>
      <c r="AA787" s="63"/>
      <c r="AB787" s="275"/>
    </row>
    <row r="788" spans="16:28" x14ac:dyDescent="0.25">
      <c r="P788" s="111"/>
      <c r="Q788" s="111"/>
      <c r="S788" s="277">
        <v>1700</v>
      </c>
      <c r="T788" s="273"/>
      <c r="U788" s="63"/>
      <c r="V788" s="63"/>
      <c r="W788" s="63"/>
      <c r="X788" s="63"/>
      <c r="Y788" s="63"/>
      <c r="Z788" s="63"/>
      <c r="AA788" s="63"/>
      <c r="AB788" s="275"/>
    </row>
    <row r="789" spans="16:28" x14ac:dyDescent="0.25">
      <c r="P789" s="111"/>
      <c r="Q789" s="111"/>
      <c r="S789" s="277">
        <v>1695</v>
      </c>
      <c r="T789" s="273"/>
      <c r="U789" s="63"/>
      <c r="V789" s="63"/>
      <c r="W789" s="63"/>
      <c r="X789" s="63"/>
      <c r="Y789" s="63"/>
      <c r="Z789" s="63"/>
      <c r="AA789" s="63"/>
      <c r="AB789" s="275"/>
    </row>
    <row r="790" spans="16:28" x14ac:dyDescent="0.25">
      <c r="P790" s="111"/>
      <c r="Q790" s="111"/>
      <c r="S790" s="277">
        <v>1690</v>
      </c>
      <c r="T790" s="273"/>
      <c r="U790" s="63"/>
      <c r="V790" s="63"/>
      <c r="W790" s="63"/>
      <c r="X790" s="63"/>
      <c r="Y790" s="63"/>
      <c r="Z790" s="63"/>
      <c r="AA790" s="63"/>
      <c r="AB790" s="275"/>
    </row>
    <row r="791" spans="16:28" x14ac:dyDescent="0.25">
      <c r="P791" s="111"/>
      <c r="Q791" s="111"/>
      <c r="S791" s="277">
        <v>1685</v>
      </c>
      <c r="T791" s="273"/>
      <c r="U791" s="63"/>
      <c r="V791" s="63"/>
      <c r="W791" s="63"/>
      <c r="X791" s="63"/>
      <c r="Y791" s="63"/>
      <c r="Z791" s="63"/>
      <c r="AA791" s="63"/>
      <c r="AB791" s="275"/>
    </row>
    <row r="792" spans="16:28" x14ac:dyDescent="0.25">
      <c r="P792" s="111"/>
      <c r="Q792" s="111"/>
      <c r="S792" s="277">
        <v>1680</v>
      </c>
      <c r="T792" s="273"/>
      <c r="U792" s="63"/>
      <c r="V792" s="63"/>
      <c r="W792" s="63"/>
      <c r="X792" s="63"/>
      <c r="Y792" s="63"/>
      <c r="Z792" s="63"/>
      <c r="AA792" s="63"/>
      <c r="AB792" s="275"/>
    </row>
    <row r="793" spans="16:28" x14ac:dyDescent="0.25">
      <c r="P793" s="111"/>
      <c r="Q793" s="111"/>
      <c r="S793" s="277">
        <v>1675</v>
      </c>
      <c r="T793" s="273"/>
      <c r="U793" s="63"/>
      <c r="V793" s="63"/>
      <c r="W793" s="63"/>
      <c r="X793" s="63"/>
      <c r="Y793" s="63"/>
      <c r="Z793" s="63"/>
      <c r="AA793" s="63"/>
      <c r="AB793" s="275"/>
    </row>
    <row r="794" spans="16:28" x14ac:dyDescent="0.25">
      <c r="P794" s="111"/>
      <c r="Q794" s="111"/>
      <c r="S794" s="277">
        <v>1670</v>
      </c>
      <c r="T794" s="273"/>
      <c r="U794" s="63"/>
      <c r="V794" s="63"/>
      <c r="W794" s="63"/>
      <c r="X794" s="63"/>
      <c r="Y794" s="63"/>
      <c r="Z794" s="63"/>
      <c r="AA794" s="63"/>
      <c r="AB794" s="275"/>
    </row>
    <row r="795" spans="16:28" x14ac:dyDescent="0.25">
      <c r="P795" s="111"/>
      <c r="Q795" s="111"/>
      <c r="S795" s="277">
        <v>1665</v>
      </c>
      <c r="T795" s="273"/>
      <c r="U795" s="63"/>
      <c r="V795" s="63"/>
      <c r="W795" s="63"/>
      <c r="X795" s="63"/>
      <c r="Y795" s="63"/>
      <c r="Z795" s="63"/>
      <c r="AA795" s="63"/>
      <c r="AB795" s="275"/>
    </row>
    <row r="796" spans="16:28" x14ac:dyDescent="0.25">
      <c r="P796" s="111"/>
      <c r="Q796" s="111"/>
      <c r="S796" s="277">
        <v>1660</v>
      </c>
      <c r="T796" s="273"/>
      <c r="U796" s="63"/>
      <c r="V796" s="63"/>
      <c r="W796" s="63"/>
      <c r="X796" s="63"/>
      <c r="Y796" s="63"/>
      <c r="Z796" s="63"/>
      <c r="AA796" s="63"/>
      <c r="AB796" s="275"/>
    </row>
    <row r="797" spans="16:28" x14ac:dyDescent="0.25">
      <c r="P797" s="111"/>
      <c r="Q797" s="111"/>
      <c r="S797" s="277">
        <v>1655</v>
      </c>
      <c r="T797" s="273"/>
      <c r="U797" s="63"/>
      <c r="V797" s="63"/>
      <c r="W797" s="63"/>
      <c r="X797" s="63"/>
      <c r="Y797" s="63"/>
      <c r="Z797" s="63"/>
      <c r="AA797" s="63"/>
      <c r="AB797" s="275"/>
    </row>
    <row r="798" spans="16:28" x14ac:dyDescent="0.25">
      <c r="P798" s="111"/>
      <c r="Q798" s="111"/>
      <c r="S798" s="277">
        <v>1650</v>
      </c>
      <c r="T798" s="273"/>
      <c r="U798" s="63"/>
      <c r="V798" s="63"/>
      <c r="W798" s="63"/>
      <c r="X798" s="63"/>
      <c r="Y798" s="63"/>
      <c r="Z798" s="63"/>
      <c r="AA798" s="63"/>
      <c r="AB798" s="275"/>
    </row>
    <row r="799" spans="16:28" x14ac:dyDescent="0.25">
      <c r="P799" s="111"/>
      <c r="Q799" s="111"/>
      <c r="S799" s="277">
        <v>1645</v>
      </c>
      <c r="T799" s="273"/>
      <c r="U799" s="63"/>
      <c r="V799" s="63"/>
      <c r="W799" s="63"/>
      <c r="X799" s="63"/>
      <c r="Y799" s="63"/>
      <c r="Z799" s="63"/>
      <c r="AA799" s="63"/>
      <c r="AB799" s="275"/>
    </row>
    <row r="800" spans="16:28" x14ac:dyDescent="0.25">
      <c r="P800" s="111"/>
      <c r="Q800" s="111"/>
      <c r="S800" s="277">
        <v>1640</v>
      </c>
      <c r="T800" s="273"/>
      <c r="U800" s="63"/>
      <c r="V800" s="63"/>
      <c r="W800" s="63"/>
      <c r="X800" s="63"/>
      <c r="Y800" s="63"/>
      <c r="Z800" s="63"/>
      <c r="AA800" s="63"/>
      <c r="AB800" s="275"/>
    </row>
    <row r="801" spans="16:28" x14ac:dyDescent="0.25">
      <c r="P801" s="111"/>
      <c r="Q801" s="111"/>
      <c r="S801" s="277">
        <v>1635</v>
      </c>
      <c r="T801" s="273"/>
      <c r="U801" s="63"/>
      <c r="V801" s="63"/>
      <c r="W801" s="63"/>
      <c r="X801" s="63"/>
      <c r="Y801" s="63"/>
      <c r="Z801" s="63"/>
      <c r="AA801" s="63"/>
      <c r="AB801" s="275"/>
    </row>
    <row r="802" spans="16:28" x14ac:dyDescent="0.25">
      <c r="P802" s="111"/>
      <c r="Q802" s="111"/>
      <c r="S802" s="277">
        <v>1630</v>
      </c>
      <c r="T802" s="273"/>
      <c r="U802" s="63"/>
      <c r="V802" s="63"/>
      <c r="W802" s="63"/>
      <c r="X802" s="63"/>
      <c r="Y802" s="63"/>
      <c r="Z802" s="63"/>
      <c r="AA802" s="63"/>
      <c r="AB802" s="275"/>
    </row>
    <row r="803" spans="16:28" x14ac:dyDescent="0.25">
      <c r="P803" s="111"/>
      <c r="Q803" s="111"/>
      <c r="S803" s="277">
        <v>1625</v>
      </c>
      <c r="T803" s="273"/>
      <c r="U803" s="63"/>
      <c r="V803" s="63"/>
      <c r="W803" s="63"/>
      <c r="X803" s="63"/>
      <c r="Y803" s="63"/>
      <c r="Z803" s="63"/>
      <c r="AA803" s="63"/>
      <c r="AB803" s="275"/>
    </row>
    <row r="804" spans="16:28" x14ac:dyDescent="0.25">
      <c r="P804" s="111"/>
      <c r="Q804" s="111"/>
      <c r="S804" s="277">
        <v>1620</v>
      </c>
      <c r="T804" s="273"/>
      <c r="U804" s="63"/>
      <c r="V804" s="63"/>
      <c r="W804" s="63"/>
      <c r="X804" s="63"/>
      <c r="Y804" s="63"/>
      <c r="Z804" s="63"/>
      <c r="AA804" s="63"/>
      <c r="AB804" s="275"/>
    </row>
    <row r="805" spans="16:28" x14ac:dyDescent="0.25">
      <c r="P805" s="111"/>
      <c r="Q805" s="111"/>
      <c r="S805" s="277">
        <v>1615</v>
      </c>
      <c r="T805" s="273"/>
      <c r="U805" s="63"/>
      <c r="V805" s="63"/>
      <c r="W805" s="63"/>
      <c r="X805" s="63"/>
      <c r="Y805" s="63"/>
      <c r="Z805" s="63"/>
      <c r="AA805" s="63"/>
      <c r="AB805" s="275"/>
    </row>
    <row r="806" spans="16:28" x14ac:dyDescent="0.25">
      <c r="P806" s="111"/>
      <c r="Q806" s="111"/>
      <c r="S806" s="277">
        <v>1610</v>
      </c>
      <c r="T806" s="273"/>
      <c r="U806" s="63"/>
      <c r="V806" s="63"/>
      <c r="W806" s="63"/>
      <c r="X806" s="63"/>
      <c r="Y806" s="63"/>
      <c r="Z806" s="63"/>
      <c r="AA806" s="63"/>
      <c r="AB806" s="275"/>
    </row>
    <row r="807" spans="16:28" x14ac:dyDescent="0.25">
      <c r="P807" s="111"/>
      <c r="Q807" s="111"/>
      <c r="S807" s="277">
        <v>1605</v>
      </c>
      <c r="T807" s="273"/>
      <c r="U807" s="63"/>
      <c r="V807" s="63"/>
      <c r="W807" s="63"/>
      <c r="X807" s="63"/>
      <c r="Y807" s="63"/>
      <c r="Z807" s="63"/>
      <c r="AA807" s="63"/>
      <c r="AB807" s="275"/>
    </row>
    <row r="808" spans="16:28" x14ac:dyDescent="0.25">
      <c r="P808" s="111"/>
      <c r="Q808" s="111"/>
      <c r="S808" s="277">
        <v>1600</v>
      </c>
      <c r="T808" s="273"/>
      <c r="U808" s="63"/>
      <c r="V808" s="63"/>
      <c r="W808" s="63"/>
      <c r="X808" s="63"/>
      <c r="Y808" s="63"/>
      <c r="Z808" s="63"/>
      <c r="AA808" s="63"/>
      <c r="AB808" s="275"/>
    </row>
    <row r="809" spans="16:28" x14ac:dyDescent="0.25">
      <c r="P809" s="111"/>
      <c r="Q809" s="111"/>
      <c r="S809" s="277">
        <v>1595</v>
      </c>
      <c r="T809" s="273"/>
      <c r="U809" s="63"/>
      <c r="V809" s="63"/>
      <c r="W809" s="63"/>
      <c r="X809" s="63"/>
      <c r="Y809" s="63"/>
      <c r="Z809" s="63"/>
      <c r="AA809" s="63"/>
      <c r="AB809" s="275"/>
    </row>
    <row r="810" spans="16:28" x14ac:dyDescent="0.25">
      <c r="P810" s="111"/>
      <c r="Q810" s="111"/>
      <c r="S810" s="277">
        <v>1590</v>
      </c>
      <c r="T810" s="273"/>
      <c r="U810" s="63"/>
      <c r="V810" s="63"/>
      <c r="W810" s="63"/>
      <c r="X810" s="63"/>
      <c r="Y810" s="63"/>
      <c r="Z810" s="63"/>
      <c r="AA810" s="63"/>
      <c r="AB810" s="275"/>
    </row>
    <row r="811" spans="16:28" x14ac:dyDescent="0.25">
      <c r="P811" s="111"/>
      <c r="Q811" s="111"/>
      <c r="S811" s="277">
        <v>1585</v>
      </c>
      <c r="T811" s="273"/>
      <c r="U811" s="63"/>
      <c r="V811" s="63"/>
      <c r="W811" s="63"/>
      <c r="X811" s="63"/>
      <c r="Y811" s="63"/>
      <c r="Z811" s="63"/>
      <c r="AA811" s="63"/>
      <c r="AB811" s="275"/>
    </row>
    <row r="812" spans="16:28" x14ac:dyDescent="0.25">
      <c r="P812" s="111"/>
      <c r="Q812" s="111"/>
      <c r="S812" s="277">
        <v>1580</v>
      </c>
      <c r="T812" s="273"/>
      <c r="U812" s="63"/>
      <c r="V812" s="63"/>
      <c r="W812" s="63"/>
      <c r="X812" s="63"/>
      <c r="Y812" s="63"/>
      <c r="Z812" s="63"/>
      <c r="AA812" s="63"/>
      <c r="AB812" s="275"/>
    </row>
    <row r="813" spans="16:28" x14ac:dyDescent="0.25">
      <c r="P813" s="111"/>
      <c r="Q813" s="111"/>
      <c r="S813" s="277">
        <v>1575</v>
      </c>
      <c r="T813" s="273"/>
      <c r="U813" s="63"/>
      <c r="V813" s="63"/>
      <c r="W813" s="63"/>
      <c r="X813" s="63"/>
      <c r="Y813" s="63"/>
      <c r="Z813" s="63"/>
      <c r="AA813" s="63"/>
      <c r="AB813" s="275"/>
    </row>
    <row r="814" spans="16:28" x14ac:dyDescent="0.25">
      <c r="P814" s="111"/>
      <c r="Q814" s="111"/>
      <c r="S814" s="277">
        <v>1570</v>
      </c>
      <c r="T814" s="273"/>
      <c r="U814" s="63"/>
      <c r="V814" s="63"/>
      <c r="W814" s="63"/>
      <c r="X814" s="63"/>
      <c r="Y814" s="63"/>
      <c r="Z814" s="63"/>
      <c r="AA814" s="63"/>
      <c r="AB814" s="275"/>
    </row>
    <row r="815" spans="16:28" x14ac:dyDescent="0.25">
      <c r="P815" s="111"/>
      <c r="Q815" s="111"/>
      <c r="S815" s="277">
        <v>1565</v>
      </c>
      <c r="T815" s="273"/>
      <c r="U815" s="63"/>
      <c r="V815" s="63"/>
      <c r="W815" s="63"/>
      <c r="X815" s="63"/>
      <c r="Y815" s="63"/>
      <c r="Z815" s="63"/>
      <c r="AA815" s="63"/>
      <c r="AB815" s="275"/>
    </row>
    <row r="816" spans="16:28" x14ac:dyDescent="0.25">
      <c r="P816" s="111"/>
      <c r="Q816" s="111"/>
      <c r="S816" s="277">
        <v>1560</v>
      </c>
      <c r="T816" s="273"/>
      <c r="U816" s="63"/>
      <c r="V816" s="63"/>
      <c r="W816" s="63"/>
      <c r="X816" s="63"/>
      <c r="Y816" s="63"/>
      <c r="Z816" s="63"/>
      <c r="AA816" s="63"/>
      <c r="AB816" s="275"/>
    </row>
    <row r="817" spans="16:28" x14ac:dyDescent="0.25">
      <c r="P817" s="111"/>
      <c r="Q817" s="111"/>
      <c r="S817" s="277">
        <v>1555</v>
      </c>
      <c r="T817" s="273"/>
      <c r="U817" s="63"/>
      <c r="V817" s="63"/>
      <c r="W817" s="63"/>
      <c r="X817" s="63"/>
      <c r="Y817" s="63"/>
      <c r="Z817" s="63"/>
      <c r="AA817" s="63"/>
      <c r="AB817" s="275"/>
    </row>
    <row r="818" spans="16:28" x14ac:dyDescent="0.25">
      <c r="P818" s="111"/>
      <c r="Q818" s="111"/>
      <c r="S818" s="277">
        <v>1550</v>
      </c>
      <c r="T818" s="273"/>
      <c r="U818" s="63"/>
      <c r="V818" s="63"/>
      <c r="W818" s="63"/>
      <c r="X818" s="63"/>
      <c r="Y818" s="63"/>
      <c r="Z818" s="63"/>
      <c r="AA818" s="63"/>
      <c r="AB818" s="275"/>
    </row>
    <row r="819" spans="16:28" x14ac:dyDescent="0.25">
      <c r="P819" s="111"/>
      <c r="Q819" s="111"/>
      <c r="S819" s="277">
        <v>1545</v>
      </c>
      <c r="T819" s="273"/>
      <c r="U819" s="63"/>
      <c r="V819" s="63"/>
      <c r="W819" s="63"/>
      <c r="X819" s="63"/>
      <c r="Y819" s="63"/>
      <c r="Z819" s="63"/>
      <c r="AA819" s="63"/>
      <c r="AB819" s="275"/>
    </row>
    <row r="820" spans="16:28" x14ac:dyDescent="0.25">
      <c r="P820" s="111"/>
      <c r="Q820" s="111"/>
      <c r="S820" s="277">
        <v>1540</v>
      </c>
      <c r="T820" s="273"/>
      <c r="U820" s="63"/>
      <c r="V820" s="63"/>
      <c r="W820" s="63"/>
      <c r="X820" s="63"/>
      <c r="Y820" s="63"/>
      <c r="Z820" s="63"/>
      <c r="AA820" s="63"/>
      <c r="AB820" s="275"/>
    </row>
    <row r="821" spans="16:28" x14ac:dyDescent="0.25">
      <c r="P821" s="111"/>
      <c r="Q821" s="111"/>
      <c r="S821" s="277">
        <v>1535</v>
      </c>
      <c r="T821" s="273"/>
      <c r="U821" s="63"/>
      <c r="V821" s="63"/>
      <c r="W821" s="63"/>
      <c r="X821" s="63"/>
      <c r="Y821" s="63"/>
      <c r="Z821" s="63"/>
      <c r="AA821" s="63"/>
      <c r="AB821" s="275"/>
    </row>
    <row r="822" spans="16:28" x14ac:dyDescent="0.25">
      <c r="P822" s="111"/>
      <c r="Q822" s="111"/>
      <c r="S822" s="277">
        <v>1530</v>
      </c>
      <c r="T822" s="273"/>
      <c r="U822" s="63"/>
      <c r="V822" s="63"/>
      <c r="W822" s="63"/>
      <c r="X822" s="63"/>
      <c r="Y822" s="63"/>
      <c r="Z822" s="63"/>
      <c r="AA822" s="63"/>
      <c r="AB822" s="275"/>
    </row>
    <row r="823" spans="16:28" x14ac:dyDescent="0.25">
      <c r="P823" s="111"/>
      <c r="Q823" s="111"/>
      <c r="S823" s="277">
        <v>1525</v>
      </c>
      <c r="T823" s="273"/>
      <c r="U823" s="63"/>
      <c r="V823" s="63"/>
      <c r="W823" s="63"/>
      <c r="X823" s="63"/>
      <c r="Y823" s="63"/>
      <c r="Z823" s="63"/>
      <c r="AA823" s="63"/>
      <c r="AB823" s="275"/>
    </row>
    <row r="824" spans="16:28" x14ac:dyDescent="0.25">
      <c r="P824" s="111"/>
      <c r="Q824" s="111"/>
      <c r="S824" s="277">
        <v>1520</v>
      </c>
      <c r="T824" s="273"/>
      <c r="U824" s="63"/>
      <c r="V824" s="63"/>
      <c r="W824" s="63"/>
      <c r="X824" s="63"/>
      <c r="Y824" s="63"/>
      <c r="Z824" s="63"/>
      <c r="AA824" s="63"/>
      <c r="AB824" s="275"/>
    </row>
    <row r="825" spans="16:28" x14ac:dyDescent="0.25">
      <c r="P825" s="111"/>
      <c r="Q825" s="111"/>
      <c r="S825" s="277">
        <v>1515</v>
      </c>
      <c r="T825" s="273"/>
      <c r="U825" s="63"/>
      <c r="V825" s="63"/>
      <c r="W825" s="63"/>
      <c r="X825" s="63"/>
      <c r="Y825" s="63"/>
      <c r="Z825" s="63"/>
      <c r="AA825" s="63"/>
      <c r="AB825" s="275"/>
    </row>
    <row r="826" spans="16:28" x14ac:dyDescent="0.25">
      <c r="P826" s="111"/>
      <c r="Q826" s="111"/>
      <c r="S826" s="277">
        <v>1510</v>
      </c>
      <c r="T826" s="273"/>
      <c r="U826" s="63"/>
      <c r="V826" s="63"/>
      <c r="W826" s="63"/>
      <c r="X826" s="63"/>
      <c r="Y826" s="63"/>
      <c r="Z826" s="63"/>
      <c r="AA826" s="63"/>
      <c r="AB826" s="275"/>
    </row>
    <row r="827" spans="16:28" x14ac:dyDescent="0.25">
      <c r="P827" s="111"/>
      <c r="Q827" s="111"/>
      <c r="S827" s="277">
        <v>1505</v>
      </c>
      <c r="T827" s="273"/>
      <c r="U827" s="63"/>
      <c r="V827" s="63"/>
      <c r="W827" s="63"/>
      <c r="X827" s="63"/>
      <c r="Y827" s="63"/>
      <c r="Z827" s="63"/>
      <c r="AA827" s="63"/>
      <c r="AB827" s="275"/>
    </row>
    <row r="828" spans="16:28" x14ac:dyDescent="0.25">
      <c r="P828" s="111"/>
      <c r="Q828" s="111"/>
      <c r="S828" s="277">
        <v>1500</v>
      </c>
      <c r="T828" s="273"/>
      <c r="U828" s="63"/>
      <c r="V828" s="63"/>
      <c r="W828" s="63"/>
      <c r="X828" s="63"/>
      <c r="Y828" s="63"/>
      <c r="Z828" s="63"/>
      <c r="AA828" s="63"/>
      <c r="AB828" s="275"/>
    </row>
    <row r="829" spans="16:28" x14ac:dyDescent="0.25">
      <c r="P829" s="111"/>
      <c r="Q829" s="111"/>
      <c r="S829" s="277">
        <v>1495</v>
      </c>
      <c r="T829" s="273"/>
      <c r="U829" s="63"/>
      <c r="V829" s="63"/>
      <c r="W829" s="63"/>
      <c r="X829" s="63"/>
      <c r="Y829" s="63"/>
      <c r="Z829" s="63"/>
      <c r="AA829" s="63"/>
      <c r="AB829" s="275"/>
    </row>
    <row r="830" spans="16:28" x14ac:dyDescent="0.25">
      <c r="P830" s="111"/>
      <c r="Q830" s="111"/>
      <c r="S830" s="277">
        <v>1490</v>
      </c>
      <c r="T830" s="273"/>
      <c r="U830" s="63"/>
      <c r="V830" s="63"/>
      <c r="W830" s="63"/>
      <c r="X830" s="63"/>
      <c r="Y830" s="63"/>
      <c r="Z830" s="63"/>
      <c r="AA830" s="63"/>
      <c r="AB830" s="275"/>
    </row>
    <row r="831" spans="16:28" x14ac:dyDescent="0.25">
      <c r="P831" s="111"/>
      <c r="Q831" s="111"/>
      <c r="S831" s="277">
        <v>1485</v>
      </c>
      <c r="T831" s="273"/>
      <c r="U831" s="63"/>
      <c r="V831" s="63"/>
      <c r="W831" s="63"/>
      <c r="X831" s="63"/>
      <c r="Y831" s="63"/>
      <c r="Z831" s="63"/>
      <c r="AA831" s="63"/>
      <c r="AB831" s="275"/>
    </row>
    <row r="832" spans="16:28" x14ac:dyDescent="0.25">
      <c r="P832" s="111"/>
      <c r="Q832" s="111"/>
      <c r="S832" s="277">
        <v>1480</v>
      </c>
      <c r="T832" s="273"/>
      <c r="U832" s="63"/>
      <c r="V832" s="63"/>
      <c r="W832" s="63"/>
      <c r="X832" s="63"/>
      <c r="Y832" s="63"/>
      <c r="Z832" s="63"/>
      <c r="AA832" s="63"/>
      <c r="AB832" s="275"/>
    </row>
    <row r="833" spans="16:28" x14ac:dyDescent="0.25">
      <c r="P833" s="111"/>
      <c r="Q833" s="111"/>
      <c r="S833" s="277">
        <v>1475</v>
      </c>
      <c r="T833" s="273"/>
      <c r="U833" s="63"/>
      <c r="V833" s="63"/>
      <c r="W833" s="63"/>
      <c r="X833" s="63"/>
      <c r="Y833" s="63"/>
      <c r="Z833" s="63"/>
      <c r="AA833" s="63"/>
      <c r="AB833" s="275"/>
    </row>
    <row r="834" spans="16:28" x14ac:dyDescent="0.25">
      <c r="P834" s="111"/>
      <c r="Q834" s="111"/>
      <c r="S834" s="277">
        <v>1470</v>
      </c>
      <c r="T834" s="273"/>
      <c r="U834" s="63"/>
      <c r="V834" s="63"/>
      <c r="W834" s="63"/>
      <c r="X834" s="63"/>
      <c r="Y834" s="63"/>
      <c r="Z834" s="63"/>
      <c r="AA834" s="63"/>
      <c r="AB834" s="275"/>
    </row>
    <row r="835" spans="16:28" x14ac:dyDescent="0.25">
      <c r="P835" s="111"/>
      <c r="Q835" s="111"/>
      <c r="S835" s="277">
        <v>1465</v>
      </c>
      <c r="T835" s="273"/>
      <c r="U835" s="63"/>
      <c r="V835" s="63"/>
      <c r="W835" s="63"/>
      <c r="X835" s="63"/>
      <c r="Y835" s="63"/>
      <c r="Z835" s="63"/>
      <c r="AA835" s="63"/>
      <c r="AB835" s="275"/>
    </row>
    <row r="836" spans="16:28" x14ac:dyDescent="0.25">
      <c r="P836" s="111"/>
      <c r="Q836" s="111"/>
      <c r="S836" s="277">
        <v>1460</v>
      </c>
      <c r="T836" s="273"/>
      <c r="U836" s="63"/>
      <c r="V836" s="63"/>
      <c r="W836" s="63"/>
      <c r="X836" s="63"/>
      <c r="Y836" s="63"/>
      <c r="Z836" s="63"/>
      <c r="AA836" s="63"/>
      <c r="AB836" s="275"/>
    </row>
    <row r="837" spans="16:28" x14ac:dyDescent="0.25">
      <c r="P837" s="111"/>
      <c r="Q837" s="111"/>
      <c r="S837" s="277">
        <v>1455</v>
      </c>
      <c r="T837" s="273"/>
      <c r="U837" s="63"/>
      <c r="V837" s="63"/>
      <c r="W837" s="63"/>
      <c r="X837" s="63"/>
      <c r="Y837" s="63"/>
      <c r="Z837" s="63"/>
      <c r="AA837" s="63"/>
      <c r="AB837" s="275"/>
    </row>
    <row r="838" spans="16:28" x14ac:dyDescent="0.25">
      <c r="P838" s="111"/>
      <c r="Q838" s="111"/>
      <c r="S838" s="277">
        <v>1450</v>
      </c>
      <c r="T838" s="273"/>
      <c r="U838" s="63"/>
      <c r="V838" s="63"/>
      <c r="W838" s="63"/>
      <c r="X838" s="63"/>
      <c r="Y838" s="63"/>
      <c r="Z838" s="63"/>
      <c r="AA838" s="63"/>
      <c r="AB838" s="275"/>
    </row>
    <row r="839" spans="16:28" x14ac:dyDescent="0.25">
      <c r="P839" s="111"/>
      <c r="Q839" s="111"/>
      <c r="S839" s="277">
        <v>1445</v>
      </c>
      <c r="T839" s="273"/>
      <c r="U839" s="63"/>
      <c r="V839" s="63"/>
      <c r="W839" s="63"/>
      <c r="X839" s="63"/>
      <c r="Y839" s="63"/>
      <c r="Z839" s="63"/>
      <c r="AA839" s="63"/>
      <c r="AB839" s="275"/>
    </row>
    <row r="840" spans="16:28" x14ac:dyDescent="0.25">
      <c r="P840" s="111"/>
      <c r="Q840" s="111"/>
      <c r="S840" s="277">
        <v>1440</v>
      </c>
      <c r="T840" s="273"/>
      <c r="U840" s="63"/>
      <c r="V840" s="63"/>
      <c r="W840" s="63"/>
      <c r="X840" s="63"/>
      <c r="Y840" s="63"/>
      <c r="Z840" s="63"/>
      <c r="AA840" s="63"/>
      <c r="AB840" s="275"/>
    </row>
    <row r="841" spans="16:28" x14ac:dyDescent="0.25">
      <c r="P841" s="111"/>
      <c r="Q841" s="111"/>
      <c r="S841" s="277">
        <v>1435</v>
      </c>
      <c r="T841" s="273"/>
      <c r="U841" s="63"/>
      <c r="V841" s="63"/>
      <c r="W841" s="63"/>
      <c r="X841" s="63"/>
      <c r="Y841" s="63"/>
      <c r="Z841" s="63"/>
      <c r="AA841" s="63"/>
      <c r="AB841" s="275"/>
    </row>
    <row r="842" spans="16:28" x14ac:dyDescent="0.25">
      <c r="P842" s="111"/>
      <c r="Q842" s="111"/>
      <c r="S842" s="277">
        <v>1430</v>
      </c>
      <c r="T842" s="273"/>
      <c r="U842" s="63"/>
      <c r="V842" s="63"/>
      <c r="W842" s="63"/>
      <c r="X842" s="63"/>
      <c r="Y842" s="63"/>
      <c r="Z842" s="63"/>
      <c r="AA842" s="63"/>
      <c r="AB842" s="275"/>
    </row>
    <row r="843" spans="16:28" x14ac:dyDescent="0.25">
      <c r="P843" s="111"/>
      <c r="Q843" s="111"/>
      <c r="S843" s="277">
        <v>1425</v>
      </c>
      <c r="T843" s="273"/>
      <c r="U843" s="63"/>
      <c r="V843" s="63"/>
      <c r="W843" s="63"/>
      <c r="X843" s="63"/>
      <c r="Y843" s="63"/>
      <c r="Z843" s="63"/>
      <c r="AA843" s="63"/>
      <c r="AB843" s="275"/>
    </row>
    <row r="844" spans="16:28" x14ac:dyDescent="0.25">
      <c r="P844" s="111"/>
      <c r="Q844" s="111"/>
      <c r="S844" s="277">
        <v>1420</v>
      </c>
      <c r="T844" s="273"/>
      <c r="U844" s="63"/>
      <c r="V844" s="63"/>
      <c r="W844" s="63"/>
      <c r="X844" s="63"/>
      <c r="Y844" s="63"/>
      <c r="Z844" s="63"/>
      <c r="AA844" s="63"/>
      <c r="AB844" s="275"/>
    </row>
    <row r="845" spans="16:28" x14ac:dyDescent="0.25">
      <c r="P845" s="111"/>
      <c r="Q845" s="111"/>
      <c r="S845" s="277">
        <v>1415</v>
      </c>
      <c r="T845" s="273"/>
      <c r="U845" s="63"/>
      <c r="V845" s="63"/>
      <c r="W845" s="63"/>
      <c r="X845" s="63"/>
      <c r="Y845" s="63"/>
      <c r="Z845" s="63"/>
      <c r="AA845" s="63"/>
      <c r="AB845" s="275"/>
    </row>
    <row r="846" spans="16:28" x14ac:dyDescent="0.25">
      <c r="P846" s="111"/>
      <c r="Q846" s="111"/>
      <c r="S846" s="277">
        <v>1410</v>
      </c>
      <c r="T846" s="273"/>
      <c r="U846" s="63"/>
      <c r="V846" s="63"/>
      <c r="W846" s="63"/>
      <c r="X846" s="63"/>
      <c r="Y846" s="63"/>
      <c r="Z846" s="63"/>
      <c r="AA846" s="63"/>
      <c r="AB846" s="275"/>
    </row>
    <row r="847" spans="16:28" x14ac:dyDescent="0.25">
      <c r="P847" s="111"/>
      <c r="Q847" s="111"/>
      <c r="S847" s="277">
        <v>1405</v>
      </c>
      <c r="T847" s="273"/>
      <c r="U847" s="63"/>
      <c r="V847" s="63"/>
      <c r="W847" s="63"/>
      <c r="X847" s="63"/>
      <c r="Y847" s="63"/>
      <c r="Z847" s="63"/>
      <c r="AA847" s="63"/>
      <c r="AB847" s="275"/>
    </row>
    <row r="848" spans="16:28" x14ac:dyDescent="0.25">
      <c r="P848" s="111"/>
      <c r="Q848" s="111"/>
      <c r="S848" s="277">
        <v>1400</v>
      </c>
      <c r="T848" s="273"/>
      <c r="U848" s="63"/>
      <c r="V848" s="63"/>
      <c r="W848" s="63"/>
      <c r="X848" s="63"/>
      <c r="Y848" s="63"/>
      <c r="Z848" s="63"/>
      <c r="AA848" s="63"/>
      <c r="AB848" s="275"/>
    </row>
    <row r="849" spans="16:28" x14ac:dyDescent="0.25">
      <c r="P849" s="111"/>
      <c r="Q849" s="111"/>
      <c r="S849" s="277">
        <v>1395</v>
      </c>
      <c r="T849" s="273"/>
      <c r="U849" s="63"/>
      <c r="V849" s="63"/>
      <c r="W849" s="63"/>
      <c r="X849" s="63"/>
      <c r="Y849" s="63"/>
      <c r="Z849" s="63"/>
      <c r="AA849" s="63"/>
      <c r="AB849" s="275"/>
    </row>
    <row r="850" spans="16:28" x14ac:dyDescent="0.25">
      <c r="P850" s="111"/>
      <c r="Q850" s="111"/>
      <c r="S850" s="277">
        <v>1390</v>
      </c>
      <c r="T850" s="273"/>
      <c r="U850" s="63"/>
      <c r="V850" s="63"/>
      <c r="W850" s="63"/>
      <c r="X850" s="63"/>
      <c r="Y850" s="63"/>
      <c r="Z850" s="63"/>
      <c r="AA850" s="63"/>
      <c r="AB850" s="275"/>
    </row>
    <row r="851" spans="16:28" x14ac:dyDescent="0.25">
      <c r="P851" s="111"/>
      <c r="Q851" s="111"/>
      <c r="S851" s="277">
        <v>1385</v>
      </c>
      <c r="T851" s="273"/>
      <c r="U851" s="63"/>
      <c r="V851" s="63"/>
      <c r="W851" s="63"/>
      <c r="X851" s="63"/>
      <c r="Y851" s="63"/>
      <c r="Z851" s="63"/>
      <c r="AA851" s="63"/>
      <c r="AB851" s="275"/>
    </row>
    <row r="852" spans="16:28" x14ac:dyDescent="0.25">
      <c r="P852" s="111"/>
      <c r="Q852" s="2"/>
      <c r="S852" s="277">
        <v>1380</v>
      </c>
      <c r="T852" s="273"/>
      <c r="U852" s="63"/>
      <c r="V852" s="63"/>
      <c r="W852" s="63"/>
      <c r="X852" s="63"/>
      <c r="Y852" s="63"/>
      <c r="Z852" s="63"/>
      <c r="AA852" s="63"/>
      <c r="AB852" s="275"/>
    </row>
    <row r="853" spans="16:28" x14ac:dyDescent="0.25">
      <c r="P853" s="111"/>
      <c r="Q853" s="4"/>
      <c r="R853" s="111"/>
      <c r="S853" s="277">
        <v>1375</v>
      </c>
      <c r="T853" s="273"/>
      <c r="U853" s="63"/>
      <c r="V853" s="63"/>
      <c r="W853" s="63"/>
      <c r="X853" s="63"/>
      <c r="Y853" s="63"/>
      <c r="Z853" s="63"/>
      <c r="AA853" s="63"/>
      <c r="AB853" s="275"/>
    </row>
    <row r="854" spans="16:28" x14ac:dyDescent="0.25">
      <c r="P854" s="111"/>
      <c r="Q854" s="111"/>
      <c r="S854" s="277">
        <v>1370</v>
      </c>
      <c r="T854" s="273"/>
      <c r="U854" s="63"/>
      <c r="V854" s="63"/>
      <c r="W854" s="63"/>
      <c r="X854" s="63"/>
      <c r="Y854" s="63"/>
      <c r="Z854" s="63"/>
      <c r="AA854" s="63"/>
      <c r="AB854" s="275"/>
    </row>
    <row r="855" spans="16:28" x14ac:dyDescent="0.25">
      <c r="P855" s="111"/>
      <c r="Q855" s="111"/>
      <c r="S855" s="277">
        <v>1365</v>
      </c>
      <c r="T855" s="273"/>
      <c r="U855" s="63"/>
      <c r="V855" s="63"/>
      <c r="W855" s="63"/>
      <c r="X855" s="63"/>
      <c r="Y855" s="63"/>
      <c r="Z855" s="63"/>
      <c r="AA855" s="63"/>
      <c r="AB855" s="275"/>
    </row>
    <row r="856" spans="16:28" x14ac:dyDescent="0.25">
      <c r="P856" s="111"/>
      <c r="Q856" s="111"/>
      <c r="S856" s="277">
        <v>1360</v>
      </c>
      <c r="T856" s="273"/>
      <c r="U856" s="63"/>
      <c r="V856" s="63"/>
      <c r="W856" s="63"/>
      <c r="X856" s="63"/>
      <c r="Y856" s="63"/>
      <c r="Z856" s="63"/>
      <c r="AA856" s="63"/>
      <c r="AB856" s="275"/>
    </row>
    <row r="857" spans="16:28" x14ac:dyDescent="0.25">
      <c r="P857" s="111"/>
      <c r="Q857" s="111"/>
      <c r="S857" s="277">
        <v>1355</v>
      </c>
      <c r="T857" s="273"/>
      <c r="U857" s="63"/>
      <c r="V857" s="63"/>
      <c r="W857" s="63"/>
      <c r="X857" s="63"/>
      <c r="Y857" s="63"/>
      <c r="Z857" s="63"/>
      <c r="AA857" s="63"/>
      <c r="AB857" s="275"/>
    </row>
    <row r="858" spans="16:28" x14ac:dyDescent="0.25">
      <c r="P858" s="111"/>
      <c r="Q858" s="111"/>
      <c r="S858" s="277">
        <v>1350</v>
      </c>
      <c r="T858" s="273"/>
      <c r="U858" s="63"/>
      <c r="V858" s="63"/>
      <c r="W858" s="63"/>
      <c r="X858" s="63"/>
      <c r="Y858" s="63"/>
      <c r="Z858" s="63"/>
      <c r="AA858" s="63"/>
      <c r="AB858" s="275"/>
    </row>
    <row r="859" spans="16:28" x14ac:dyDescent="0.25">
      <c r="P859" s="111"/>
      <c r="Q859" s="111"/>
      <c r="S859" s="277">
        <v>1345</v>
      </c>
      <c r="T859" s="273"/>
      <c r="U859" s="63"/>
      <c r="V859" s="63"/>
      <c r="W859" s="63"/>
      <c r="X859" s="63"/>
      <c r="Y859" s="63"/>
      <c r="Z859" s="63"/>
      <c r="AA859" s="63"/>
      <c r="AB859" s="275"/>
    </row>
    <row r="860" spans="16:28" x14ac:dyDescent="0.25">
      <c r="P860" s="111"/>
      <c r="Q860" s="111"/>
      <c r="S860" s="277">
        <v>1340</v>
      </c>
      <c r="T860" s="273"/>
      <c r="U860" s="63"/>
      <c r="V860" s="63"/>
      <c r="W860" s="63"/>
      <c r="X860" s="63"/>
      <c r="Y860" s="63"/>
      <c r="Z860" s="63"/>
      <c r="AA860" s="63"/>
      <c r="AB860" s="275"/>
    </row>
    <row r="861" spans="16:28" x14ac:dyDescent="0.25">
      <c r="P861" s="111"/>
      <c r="Q861" s="111"/>
      <c r="S861" s="277">
        <v>1335</v>
      </c>
      <c r="T861" s="273"/>
      <c r="U861" s="63"/>
      <c r="V861" s="63"/>
      <c r="W861" s="63"/>
      <c r="X861" s="63"/>
      <c r="Y861" s="63"/>
      <c r="Z861" s="63"/>
      <c r="AA861" s="63"/>
      <c r="AB861" s="275"/>
    </row>
    <row r="862" spans="16:28" x14ac:dyDescent="0.25">
      <c r="P862" s="111"/>
      <c r="Q862" s="111"/>
      <c r="S862" s="277">
        <v>1330</v>
      </c>
      <c r="T862" s="273"/>
      <c r="U862" s="63"/>
      <c r="V862" s="63"/>
      <c r="W862" s="63"/>
      <c r="X862" s="63"/>
      <c r="Y862" s="63"/>
      <c r="Z862" s="63"/>
      <c r="AA862" s="63"/>
      <c r="AB862" s="275"/>
    </row>
    <row r="863" spans="16:28" x14ac:dyDescent="0.25">
      <c r="P863" s="111"/>
      <c r="Q863" s="111"/>
      <c r="S863" s="277">
        <v>1325</v>
      </c>
      <c r="T863" s="273"/>
      <c r="U863" s="63"/>
      <c r="V863" s="63"/>
      <c r="W863" s="63"/>
      <c r="X863" s="63"/>
      <c r="Y863" s="63"/>
      <c r="Z863" s="63"/>
      <c r="AA863" s="63"/>
      <c r="AB863" s="275"/>
    </row>
    <row r="864" spans="16:28" x14ac:dyDescent="0.25">
      <c r="P864" s="111"/>
      <c r="Q864" s="111"/>
      <c r="S864" s="277">
        <v>1320</v>
      </c>
      <c r="T864" s="273"/>
      <c r="U864" s="63"/>
      <c r="V864" s="63"/>
      <c r="W864" s="63"/>
      <c r="X864" s="63"/>
      <c r="Y864" s="63"/>
      <c r="Z864" s="63"/>
      <c r="AA864" s="63"/>
      <c r="AB864" s="275"/>
    </row>
    <row r="865" spans="16:28" x14ac:dyDescent="0.25">
      <c r="P865" s="111"/>
      <c r="Q865" s="111"/>
      <c r="S865" s="277">
        <v>1315</v>
      </c>
      <c r="T865" s="273"/>
      <c r="U865" s="63"/>
      <c r="V865" s="63"/>
      <c r="W865" s="63"/>
      <c r="X865" s="63"/>
      <c r="Y865" s="63"/>
      <c r="Z865" s="63"/>
      <c r="AA865" s="63"/>
      <c r="AB865" s="275"/>
    </row>
    <row r="866" spans="16:28" x14ac:dyDescent="0.25">
      <c r="P866" s="111"/>
      <c r="Q866" s="111"/>
      <c r="S866" s="277">
        <v>1310</v>
      </c>
      <c r="T866" s="273"/>
      <c r="U866" s="63"/>
      <c r="V866" s="63"/>
      <c r="W866" s="63"/>
      <c r="X866" s="63"/>
      <c r="Y866" s="63"/>
      <c r="Z866" s="63"/>
      <c r="AA866" s="63"/>
      <c r="AB866" s="275"/>
    </row>
    <row r="867" spans="16:28" x14ac:dyDescent="0.25">
      <c r="P867" s="111"/>
      <c r="Q867" s="111"/>
      <c r="S867" s="277">
        <v>1305</v>
      </c>
      <c r="T867" s="273"/>
      <c r="U867" s="63"/>
      <c r="V867" s="63"/>
      <c r="W867" s="63"/>
      <c r="X867" s="63"/>
      <c r="Y867" s="63"/>
      <c r="Z867" s="63"/>
      <c r="AA867" s="63"/>
      <c r="AB867" s="275"/>
    </row>
    <row r="868" spans="16:28" x14ac:dyDescent="0.25">
      <c r="P868" s="111"/>
      <c r="Q868" s="111"/>
      <c r="S868" s="277">
        <v>1300</v>
      </c>
      <c r="T868" s="273"/>
      <c r="U868" s="63"/>
      <c r="V868" s="63"/>
      <c r="W868" s="63"/>
      <c r="X868" s="63"/>
      <c r="Y868" s="63"/>
      <c r="Z868" s="63"/>
      <c r="AA868" s="63"/>
      <c r="AB868" s="275"/>
    </row>
    <row r="869" spans="16:28" x14ac:dyDescent="0.25">
      <c r="P869" s="111"/>
      <c r="Q869" s="111"/>
      <c r="S869" s="277">
        <v>1295</v>
      </c>
      <c r="T869" s="273"/>
      <c r="U869" s="63"/>
      <c r="V869" s="63"/>
      <c r="W869" s="63"/>
      <c r="X869" s="63"/>
      <c r="Y869" s="63"/>
      <c r="Z869" s="63"/>
      <c r="AA869" s="63"/>
      <c r="AB869" s="275"/>
    </row>
    <row r="870" spans="16:28" x14ac:dyDescent="0.25">
      <c r="P870" s="111"/>
      <c r="Q870" s="111"/>
      <c r="S870" s="277">
        <v>1290</v>
      </c>
      <c r="T870" s="273"/>
      <c r="U870" s="63"/>
      <c r="V870" s="63"/>
      <c r="W870" s="63"/>
      <c r="X870" s="63"/>
      <c r="Y870" s="63"/>
      <c r="Z870" s="63"/>
      <c r="AA870" s="63"/>
      <c r="AB870" s="275"/>
    </row>
    <row r="871" spans="16:28" x14ac:dyDescent="0.25">
      <c r="P871" s="111"/>
      <c r="Q871" s="111"/>
      <c r="S871" s="277">
        <v>1285</v>
      </c>
      <c r="T871" s="273"/>
      <c r="U871" s="63"/>
      <c r="V871" s="63"/>
      <c r="W871" s="63"/>
      <c r="X871" s="63"/>
      <c r="Y871" s="63"/>
      <c r="Z871" s="63"/>
      <c r="AA871" s="63"/>
      <c r="AB871" s="275"/>
    </row>
    <row r="872" spans="16:28" x14ac:dyDescent="0.25">
      <c r="P872" s="111"/>
      <c r="Q872" s="111"/>
      <c r="S872" s="277">
        <v>1280</v>
      </c>
      <c r="T872" s="273"/>
      <c r="U872" s="63"/>
      <c r="V872" s="63"/>
      <c r="W872" s="63"/>
      <c r="X872" s="63"/>
      <c r="Y872" s="63"/>
      <c r="Z872" s="63"/>
      <c r="AA872" s="63"/>
      <c r="AB872" s="275"/>
    </row>
    <row r="873" spans="16:28" x14ac:dyDescent="0.25">
      <c r="P873" s="111"/>
      <c r="Q873" s="111"/>
      <c r="S873" s="277">
        <v>1275</v>
      </c>
      <c r="T873" s="273"/>
      <c r="U873" s="63"/>
      <c r="V873" s="63"/>
      <c r="W873" s="63"/>
      <c r="X873" s="63"/>
      <c r="Y873" s="63"/>
      <c r="Z873" s="63"/>
      <c r="AA873" s="63"/>
      <c r="AB873" s="275"/>
    </row>
    <row r="874" spans="16:28" x14ac:dyDescent="0.25">
      <c r="P874" s="111"/>
      <c r="Q874" s="111"/>
      <c r="S874" s="277">
        <v>1270</v>
      </c>
      <c r="T874" s="273"/>
      <c r="U874" s="63"/>
      <c r="V874" s="63"/>
      <c r="W874" s="63"/>
      <c r="X874" s="63"/>
      <c r="Y874" s="63"/>
      <c r="Z874" s="63"/>
      <c r="AA874" s="63"/>
      <c r="AB874" s="275"/>
    </row>
    <row r="875" spans="16:28" x14ac:dyDescent="0.25">
      <c r="P875" s="111"/>
      <c r="Q875" s="111"/>
      <c r="S875" s="277">
        <v>1265</v>
      </c>
      <c r="T875" s="273"/>
      <c r="U875" s="63"/>
      <c r="V875" s="63"/>
      <c r="W875" s="63"/>
      <c r="X875" s="63"/>
      <c r="Y875" s="63"/>
      <c r="Z875" s="63"/>
      <c r="AA875" s="63"/>
      <c r="AB875" s="275"/>
    </row>
    <row r="876" spans="16:28" x14ac:dyDescent="0.25">
      <c r="P876" s="111"/>
      <c r="Q876" s="111"/>
      <c r="S876" s="277">
        <v>1260</v>
      </c>
      <c r="T876" s="273"/>
      <c r="U876" s="63"/>
      <c r="V876" s="63"/>
      <c r="W876" s="63"/>
      <c r="X876" s="63"/>
      <c r="Y876" s="63"/>
      <c r="Z876" s="63"/>
      <c r="AA876" s="63"/>
      <c r="AB876" s="275"/>
    </row>
    <row r="877" spans="16:28" x14ac:dyDescent="0.25">
      <c r="P877" s="111"/>
      <c r="Q877" s="111"/>
      <c r="S877" s="277">
        <v>1255</v>
      </c>
      <c r="T877" s="273"/>
      <c r="U877" s="63"/>
      <c r="V877" s="63"/>
      <c r="W877" s="63"/>
      <c r="X877" s="63"/>
      <c r="Y877" s="63"/>
      <c r="Z877" s="63"/>
      <c r="AA877" s="63"/>
      <c r="AB877" s="275"/>
    </row>
    <row r="878" spans="16:28" x14ac:dyDescent="0.25">
      <c r="P878" s="111"/>
      <c r="Q878" s="111"/>
      <c r="S878" s="277">
        <v>1250</v>
      </c>
      <c r="T878" s="273"/>
      <c r="U878" s="63"/>
      <c r="V878" s="63"/>
      <c r="W878" s="63"/>
      <c r="X878" s="63"/>
      <c r="Y878" s="63"/>
      <c r="Z878" s="63"/>
      <c r="AA878" s="63"/>
      <c r="AB878" s="275"/>
    </row>
    <row r="879" spans="16:28" x14ac:dyDescent="0.25">
      <c r="P879" s="111"/>
      <c r="Q879" s="111"/>
      <c r="S879" s="277">
        <v>1245</v>
      </c>
      <c r="T879" s="273"/>
      <c r="U879" s="63"/>
      <c r="V879" s="63"/>
      <c r="W879" s="63"/>
      <c r="X879" s="63"/>
      <c r="Y879" s="63"/>
      <c r="Z879" s="63"/>
      <c r="AA879" s="63"/>
      <c r="AB879" s="275"/>
    </row>
    <row r="880" spans="16:28" x14ac:dyDescent="0.25">
      <c r="P880" s="111"/>
      <c r="Q880" s="111"/>
      <c r="S880" s="277">
        <v>1240</v>
      </c>
      <c r="T880" s="273"/>
      <c r="U880" s="63"/>
      <c r="V880" s="63"/>
      <c r="W880" s="63"/>
      <c r="X880" s="63"/>
      <c r="Y880" s="63"/>
      <c r="Z880" s="63"/>
      <c r="AA880" s="63"/>
      <c r="AB880" s="275"/>
    </row>
    <row r="881" spans="16:28" x14ac:dyDescent="0.25">
      <c r="P881" s="111"/>
      <c r="Q881" s="111"/>
      <c r="S881" s="277">
        <v>1235</v>
      </c>
      <c r="T881" s="273"/>
      <c r="U881" s="63"/>
      <c r="V881" s="63"/>
      <c r="W881" s="63"/>
      <c r="X881" s="63"/>
      <c r="Y881" s="63"/>
      <c r="Z881" s="63"/>
      <c r="AA881" s="63"/>
      <c r="AB881" s="275"/>
    </row>
    <row r="882" spans="16:28" x14ac:dyDescent="0.25">
      <c r="P882" s="111"/>
      <c r="Q882" s="111"/>
      <c r="S882" s="277">
        <v>1230</v>
      </c>
      <c r="T882" s="273"/>
      <c r="U882" s="63"/>
      <c r="V882" s="63"/>
      <c r="W882" s="63"/>
      <c r="X882" s="63"/>
      <c r="Y882" s="63"/>
      <c r="Z882" s="63"/>
      <c r="AA882" s="63"/>
      <c r="AB882" s="275"/>
    </row>
    <row r="883" spans="16:28" x14ac:dyDescent="0.25">
      <c r="P883" s="111"/>
      <c r="Q883" s="111"/>
      <c r="S883" s="277">
        <v>1225</v>
      </c>
      <c r="T883" s="273"/>
      <c r="U883" s="63"/>
      <c r="V883" s="63"/>
      <c r="W883" s="63"/>
      <c r="X883" s="63"/>
      <c r="Y883" s="63"/>
      <c r="Z883" s="63"/>
      <c r="AA883" s="63"/>
      <c r="AB883" s="275"/>
    </row>
    <row r="884" spans="16:28" x14ac:dyDescent="0.25">
      <c r="P884" s="111"/>
      <c r="Q884" s="111"/>
      <c r="S884" s="277">
        <v>1220</v>
      </c>
      <c r="T884" s="273"/>
      <c r="U884" s="63"/>
      <c r="V884" s="63"/>
      <c r="W884" s="63"/>
      <c r="X884" s="63"/>
      <c r="Y884" s="63"/>
      <c r="Z884" s="63"/>
      <c r="AA884" s="63"/>
      <c r="AB884" s="275"/>
    </row>
    <row r="885" spans="16:28" x14ac:dyDescent="0.25">
      <c r="P885" s="111"/>
      <c r="Q885" s="111"/>
      <c r="S885" s="277">
        <v>1215</v>
      </c>
      <c r="T885" s="273"/>
      <c r="U885" s="63"/>
      <c r="V885" s="63"/>
      <c r="W885" s="63"/>
      <c r="X885" s="63"/>
      <c r="Y885" s="63"/>
      <c r="Z885" s="63"/>
      <c r="AA885" s="63"/>
      <c r="AB885" s="275"/>
    </row>
    <row r="886" spans="16:28" x14ac:dyDescent="0.25">
      <c r="P886" s="111"/>
      <c r="Q886" s="111"/>
      <c r="S886" s="277">
        <v>1210</v>
      </c>
      <c r="T886" s="273"/>
      <c r="U886" s="63"/>
      <c r="V886" s="63"/>
      <c r="W886" s="63"/>
      <c r="X886" s="63"/>
      <c r="Y886" s="63"/>
      <c r="Z886" s="63"/>
      <c r="AA886" s="63"/>
      <c r="AB886" s="275"/>
    </row>
    <row r="887" spans="16:28" x14ac:dyDescent="0.25">
      <c r="P887" s="111"/>
      <c r="Q887" s="111"/>
      <c r="S887" s="277">
        <v>1205</v>
      </c>
      <c r="T887" s="273"/>
      <c r="U887" s="63"/>
      <c r="V887" s="63"/>
      <c r="W887" s="63"/>
      <c r="X887" s="63"/>
      <c r="Y887" s="63"/>
      <c r="Z887" s="63"/>
      <c r="AA887" s="63"/>
      <c r="AB887" s="275"/>
    </row>
    <row r="888" spans="16:28" x14ac:dyDescent="0.25">
      <c r="P888" s="111"/>
      <c r="Q888" s="111"/>
      <c r="S888" s="277">
        <v>1200</v>
      </c>
      <c r="T888" s="273"/>
      <c r="U888" s="63"/>
      <c r="V888" s="63"/>
      <c r="W888" s="63"/>
      <c r="X888" s="63"/>
      <c r="Y888" s="63"/>
      <c r="Z888" s="63"/>
      <c r="AA888" s="63"/>
      <c r="AB888" s="275"/>
    </row>
    <row r="889" spans="16:28" x14ac:dyDescent="0.25">
      <c r="P889" s="111"/>
      <c r="Q889" s="111"/>
      <c r="S889" s="277">
        <v>1195</v>
      </c>
      <c r="T889" s="273"/>
      <c r="U889" s="63"/>
      <c r="V889" s="63"/>
      <c r="W889" s="63"/>
      <c r="X889" s="63"/>
      <c r="Y889" s="63"/>
      <c r="Z889" s="63"/>
      <c r="AA889" s="63"/>
      <c r="AB889" s="275"/>
    </row>
    <row r="890" spans="16:28" x14ac:dyDescent="0.25">
      <c r="P890" s="111"/>
      <c r="Q890" s="111"/>
      <c r="S890" s="277">
        <v>1190</v>
      </c>
      <c r="T890" s="273"/>
      <c r="U890" s="63"/>
      <c r="V890" s="63"/>
      <c r="W890" s="63"/>
      <c r="X890" s="63"/>
      <c r="Y890" s="63"/>
      <c r="Z890" s="63"/>
      <c r="AA890" s="63"/>
      <c r="AB890" s="275"/>
    </row>
    <row r="891" spans="16:28" x14ac:dyDescent="0.25">
      <c r="P891" s="111"/>
      <c r="Q891" s="111"/>
      <c r="S891" s="277">
        <v>1185</v>
      </c>
      <c r="T891" s="273"/>
      <c r="U891" s="63"/>
      <c r="V891" s="63"/>
      <c r="W891" s="63"/>
      <c r="X891" s="63"/>
      <c r="Y891" s="63"/>
      <c r="Z891" s="63"/>
      <c r="AA891" s="63"/>
      <c r="AB891" s="275"/>
    </row>
    <row r="892" spans="16:28" x14ac:dyDescent="0.25">
      <c r="P892" s="111"/>
      <c r="Q892" s="111"/>
      <c r="S892" s="277">
        <v>1180</v>
      </c>
      <c r="T892" s="273"/>
      <c r="U892" s="63"/>
      <c r="V892" s="63"/>
      <c r="W892" s="63"/>
      <c r="X892" s="63"/>
      <c r="Y892" s="63"/>
      <c r="Z892" s="63"/>
      <c r="AA892" s="63"/>
      <c r="AB892" s="275"/>
    </row>
    <row r="893" spans="16:28" x14ac:dyDescent="0.25">
      <c r="P893" s="111"/>
      <c r="Q893" s="111"/>
      <c r="S893" s="277">
        <v>1175</v>
      </c>
      <c r="T893" s="273"/>
      <c r="U893" s="63"/>
      <c r="V893" s="63"/>
      <c r="W893" s="63"/>
      <c r="X893" s="63"/>
      <c r="Y893" s="63"/>
      <c r="Z893" s="63"/>
      <c r="AA893" s="63"/>
      <c r="AB893" s="275"/>
    </row>
    <row r="894" spans="16:28" x14ac:dyDescent="0.25">
      <c r="P894" s="111"/>
      <c r="Q894" s="111"/>
      <c r="S894" s="277">
        <v>1170</v>
      </c>
      <c r="T894" s="273"/>
      <c r="U894" s="63"/>
      <c r="V894" s="63"/>
      <c r="W894" s="63"/>
      <c r="X894" s="63"/>
      <c r="Y894" s="63"/>
      <c r="Z894" s="63"/>
      <c r="AA894" s="63"/>
      <c r="AB894" s="275"/>
    </row>
    <row r="895" spans="16:28" x14ac:dyDescent="0.25">
      <c r="P895" s="111"/>
      <c r="Q895" s="111"/>
      <c r="S895" s="277">
        <v>1165</v>
      </c>
      <c r="T895" s="273"/>
      <c r="U895" s="63"/>
      <c r="V895" s="63"/>
      <c r="W895" s="63"/>
      <c r="X895" s="63"/>
      <c r="Y895" s="63"/>
      <c r="Z895" s="63"/>
      <c r="AA895" s="63"/>
      <c r="AB895" s="275"/>
    </row>
    <row r="896" spans="16:28" x14ac:dyDescent="0.25">
      <c r="P896" s="111"/>
      <c r="Q896" s="111"/>
      <c r="S896" s="277">
        <v>1160</v>
      </c>
      <c r="T896" s="273"/>
      <c r="U896" s="63"/>
      <c r="V896" s="63"/>
      <c r="W896" s="63"/>
      <c r="X896" s="63"/>
      <c r="Y896" s="63"/>
      <c r="Z896" s="63"/>
      <c r="AA896" s="63"/>
      <c r="AB896" s="275"/>
    </row>
    <row r="897" spans="16:28" x14ac:dyDescent="0.25">
      <c r="P897" s="111"/>
      <c r="Q897" s="111"/>
      <c r="S897" s="277">
        <v>1155</v>
      </c>
      <c r="T897" s="273"/>
      <c r="U897" s="63"/>
      <c r="V897" s="63"/>
      <c r="W897" s="63"/>
      <c r="X897" s="63"/>
      <c r="Y897" s="63"/>
      <c r="Z897" s="63"/>
      <c r="AA897" s="63"/>
      <c r="AB897" s="275"/>
    </row>
    <row r="898" spans="16:28" x14ac:dyDescent="0.25">
      <c r="P898" s="111"/>
      <c r="Q898" s="111"/>
      <c r="S898" s="277">
        <v>1150</v>
      </c>
      <c r="T898" s="273"/>
      <c r="U898" s="63"/>
      <c r="V898" s="63"/>
      <c r="W898" s="63"/>
      <c r="X898" s="63"/>
      <c r="Y898" s="63"/>
      <c r="Z898" s="63"/>
      <c r="AA898" s="63"/>
      <c r="AB898" s="275"/>
    </row>
    <row r="899" spans="16:28" x14ac:dyDescent="0.25">
      <c r="P899" s="111"/>
      <c r="Q899" s="111"/>
      <c r="S899" s="277">
        <v>1145</v>
      </c>
      <c r="T899" s="273"/>
      <c r="U899" s="63"/>
      <c r="V899" s="63"/>
      <c r="W899" s="63"/>
      <c r="X899" s="63"/>
      <c r="Y899" s="63"/>
      <c r="Z899" s="63"/>
      <c r="AA899" s="63"/>
      <c r="AB899" s="275"/>
    </row>
    <row r="900" spans="16:28" x14ac:dyDescent="0.25">
      <c r="P900" s="111"/>
      <c r="Q900" s="111"/>
      <c r="S900" s="277">
        <v>1140</v>
      </c>
      <c r="T900" s="273"/>
      <c r="U900" s="63"/>
      <c r="V900" s="63"/>
      <c r="W900" s="63"/>
      <c r="X900" s="63"/>
      <c r="Y900" s="63"/>
      <c r="Z900" s="63"/>
      <c r="AA900" s="63"/>
      <c r="AB900" s="275"/>
    </row>
    <row r="901" spans="16:28" x14ac:dyDescent="0.25">
      <c r="P901" s="111"/>
      <c r="Q901" s="111"/>
      <c r="S901" s="277">
        <v>1135</v>
      </c>
      <c r="T901" s="273"/>
      <c r="U901" s="63"/>
      <c r="V901" s="63"/>
      <c r="W901" s="63"/>
      <c r="X901" s="63"/>
      <c r="Y901" s="63"/>
      <c r="Z901" s="63"/>
      <c r="AA901" s="63"/>
      <c r="AB901" s="275"/>
    </row>
    <row r="902" spans="16:28" x14ac:dyDescent="0.25">
      <c r="P902" s="111"/>
      <c r="Q902" s="111"/>
      <c r="S902" s="277">
        <v>1130</v>
      </c>
      <c r="T902" s="273"/>
      <c r="U902" s="63"/>
      <c r="V902" s="63"/>
      <c r="W902" s="63"/>
      <c r="X902" s="63"/>
      <c r="Y902" s="63"/>
      <c r="Z902" s="63"/>
      <c r="AA902" s="63"/>
      <c r="AB902" s="275"/>
    </row>
    <row r="903" spans="16:28" x14ac:dyDescent="0.25">
      <c r="P903" s="111"/>
      <c r="Q903" s="111"/>
      <c r="S903" s="277">
        <v>1125</v>
      </c>
      <c r="T903" s="273"/>
      <c r="U903" s="63"/>
      <c r="V903" s="63"/>
      <c r="W903" s="63"/>
      <c r="X903" s="63"/>
      <c r="Y903" s="63"/>
      <c r="Z903" s="63"/>
      <c r="AA903" s="63"/>
      <c r="AB903" s="275"/>
    </row>
    <row r="904" spans="16:28" x14ac:dyDescent="0.25">
      <c r="P904" s="111"/>
      <c r="Q904" s="111"/>
      <c r="S904" s="277">
        <v>1120</v>
      </c>
      <c r="T904" s="273"/>
      <c r="U904" s="63"/>
      <c r="V904" s="63"/>
      <c r="W904" s="63"/>
      <c r="X904" s="63"/>
      <c r="Y904" s="63"/>
      <c r="Z904" s="63"/>
      <c r="AA904" s="63"/>
      <c r="AB904" s="275"/>
    </row>
    <row r="905" spans="16:28" x14ac:dyDescent="0.25">
      <c r="P905" s="111"/>
      <c r="Q905" s="111"/>
      <c r="S905" s="277">
        <v>1115</v>
      </c>
      <c r="T905" s="273"/>
      <c r="U905" s="63"/>
      <c r="V905" s="63"/>
      <c r="W905" s="63"/>
      <c r="X905" s="63"/>
      <c r="Y905" s="63"/>
      <c r="Z905" s="63"/>
      <c r="AA905" s="63"/>
      <c r="AB905" s="275"/>
    </row>
    <row r="906" spans="16:28" x14ac:dyDescent="0.25">
      <c r="P906" s="111"/>
      <c r="Q906" s="111"/>
      <c r="S906" s="277">
        <v>1110</v>
      </c>
      <c r="T906" s="273"/>
      <c r="U906" s="63"/>
      <c r="V906" s="63"/>
      <c r="W906" s="63"/>
      <c r="X906" s="63"/>
      <c r="Y906" s="63"/>
      <c r="Z906" s="63"/>
      <c r="AA906" s="63"/>
      <c r="AB906" s="275"/>
    </row>
    <row r="907" spans="16:28" x14ac:dyDescent="0.25">
      <c r="P907" s="111"/>
      <c r="Q907" s="111"/>
      <c r="S907" s="277">
        <v>1105</v>
      </c>
      <c r="T907" s="273"/>
      <c r="U907" s="63"/>
      <c r="V907" s="63"/>
      <c r="W907" s="63"/>
      <c r="X907" s="63"/>
      <c r="Y907" s="63"/>
      <c r="Z907" s="63"/>
      <c r="AA907" s="63"/>
      <c r="AB907" s="275"/>
    </row>
    <row r="908" spans="16:28" x14ac:dyDescent="0.25">
      <c r="P908" s="111"/>
      <c r="Q908" s="111"/>
      <c r="S908" s="277">
        <v>1100</v>
      </c>
      <c r="T908" s="273"/>
      <c r="U908" s="63"/>
      <c r="V908" s="63"/>
      <c r="W908" s="63"/>
      <c r="X908" s="63"/>
      <c r="Y908" s="63"/>
      <c r="Z908" s="63"/>
      <c r="AA908" s="63"/>
      <c r="AB908" s="275"/>
    </row>
    <row r="909" spans="16:28" x14ac:dyDescent="0.25">
      <c r="P909" s="111"/>
      <c r="Q909" s="111"/>
      <c r="S909" s="277">
        <v>1095</v>
      </c>
      <c r="T909" s="273"/>
      <c r="U909" s="63"/>
      <c r="V909" s="63"/>
      <c r="W909" s="63"/>
      <c r="X909" s="63"/>
      <c r="Y909" s="63"/>
      <c r="Z909" s="63"/>
      <c r="AA909" s="63"/>
      <c r="AB909" s="275"/>
    </row>
    <row r="910" spans="16:28" x14ac:dyDescent="0.25">
      <c r="P910" s="111"/>
      <c r="Q910" s="111"/>
      <c r="S910" s="277">
        <v>1090</v>
      </c>
      <c r="T910" s="273"/>
      <c r="U910" s="63"/>
      <c r="V910" s="63"/>
      <c r="W910" s="63"/>
      <c r="X910" s="63"/>
      <c r="Y910" s="63"/>
      <c r="Z910" s="63"/>
      <c r="AA910" s="63"/>
      <c r="AB910" s="275"/>
    </row>
    <row r="911" spans="16:28" x14ac:dyDescent="0.25">
      <c r="P911" s="111"/>
      <c r="Q911" s="111"/>
      <c r="S911" s="277">
        <v>1085</v>
      </c>
      <c r="T911" s="273"/>
      <c r="U911" s="63"/>
      <c r="V911" s="63"/>
      <c r="W911" s="63"/>
      <c r="X911" s="63"/>
      <c r="Y911" s="63"/>
      <c r="Z911" s="63"/>
      <c r="AA911" s="63"/>
      <c r="AB911" s="275"/>
    </row>
    <row r="912" spans="16:28" x14ac:dyDescent="0.25">
      <c r="P912" s="111"/>
      <c r="Q912" s="111"/>
      <c r="S912" s="277">
        <v>1080</v>
      </c>
      <c r="T912" s="273"/>
      <c r="U912" s="63"/>
      <c r="V912" s="63"/>
      <c r="W912" s="63"/>
      <c r="X912" s="63"/>
      <c r="Y912" s="63"/>
      <c r="Z912" s="63"/>
      <c r="AA912" s="63"/>
      <c r="AB912" s="275"/>
    </row>
    <row r="913" spans="16:28" x14ac:dyDescent="0.25">
      <c r="P913" s="111"/>
      <c r="Q913" s="111"/>
      <c r="S913" s="277">
        <v>1075</v>
      </c>
      <c r="T913" s="273"/>
      <c r="U913" s="63"/>
      <c r="V913" s="63"/>
      <c r="W913" s="63"/>
      <c r="X913" s="63"/>
      <c r="Y913" s="63"/>
      <c r="Z913" s="63"/>
      <c r="AA913" s="63"/>
      <c r="AB913" s="275"/>
    </row>
    <row r="914" spans="16:28" x14ac:dyDescent="0.25">
      <c r="P914" s="111"/>
      <c r="Q914" s="111"/>
      <c r="S914" s="277">
        <v>1070</v>
      </c>
      <c r="T914" s="273"/>
      <c r="U914" s="63"/>
      <c r="V914" s="63"/>
      <c r="W914" s="63"/>
      <c r="X914" s="63"/>
      <c r="Y914" s="63"/>
      <c r="Z914" s="63"/>
      <c r="AA914" s="63"/>
      <c r="AB914" s="275"/>
    </row>
    <row r="915" spans="16:28" x14ac:dyDescent="0.25">
      <c r="P915" s="111"/>
      <c r="Q915" s="111"/>
      <c r="S915" s="277">
        <v>1065</v>
      </c>
      <c r="T915" s="273"/>
      <c r="U915" s="63"/>
      <c r="V915" s="63"/>
      <c r="W915" s="63"/>
      <c r="X915" s="63"/>
      <c r="Y915" s="63"/>
      <c r="Z915" s="63"/>
      <c r="AA915" s="63"/>
      <c r="AB915" s="275"/>
    </row>
    <row r="916" spans="16:28" x14ac:dyDescent="0.25">
      <c r="P916" s="111"/>
      <c r="Q916" s="111"/>
      <c r="S916" s="277">
        <v>1060</v>
      </c>
      <c r="T916" s="273"/>
      <c r="U916" s="63"/>
      <c r="V916" s="63"/>
      <c r="W916" s="63"/>
      <c r="X916" s="63"/>
      <c r="Y916" s="63"/>
      <c r="Z916" s="63"/>
      <c r="AA916" s="63"/>
      <c r="AB916" s="275"/>
    </row>
    <row r="917" spans="16:28" x14ac:dyDescent="0.25">
      <c r="P917" s="111"/>
      <c r="Q917" s="111"/>
      <c r="S917" s="277">
        <v>1055</v>
      </c>
      <c r="T917" s="273"/>
      <c r="U917" s="63"/>
      <c r="V917" s="63"/>
      <c r="W917" s="63"/>
      <c r="X917" s="63"/>
      <c r="Y917" s="63"/>
      <c r="Z917" s="63"/>
      <c r="AA917" s="63"/>
      <c r="AB917" s="275"/>
    </row>
    <row r="918" spans="16:28" x14ac:dyDescent="0.25">
      <c r="P918" s="111"/>
      <c r="Q918" s="111"/>
      <c r="S918" s="277">
        <v>1050</v>
      </c>
      <c r="T918" s="273"/>
      <c r="U918" s="63"/>
      <c r="V918" s="63"/>
      <c r="W918" s="63"/>
      <c r="X918" s="63"/>
      <c r="Y918" s="63"/>
      <c r="Z918" s="63"/>
      <c r="AA918" s="63"/>
      <c r="AB918" s="275"/>
    </row>
    <row r="919" spans="16:28" x14ac:dyDescent="0.25">
      <c r="P919" s="111"/>
      <c r="Q919" s="111"/>
      <c r="S919" s="277">
        <v>1045</v>
      </c>
      <c r="T919" s="273"/>
      <c r="U919" s="63"/>
      <c r="V919" s="63"/>
      <c r="W919" s="63"/>
      <c r="X919" s="63"/>
      <c r="Y919" s="63"/>
      <c r="Z919" s="63"/>
      <c r="AA919" s="63"/>
      <c r="AB919" s="275"/>
    </row>
    <row r="920" spans="16:28" x14ac:dyDescent="0.25">
      <c r="P920" s="111"/>
      <c r="Q920" s="111"/>
      <c r="S920" s="277">
        <v>1040</v>
      </c>
      <c r="T920" s="273"/>
      <c r="U920" s="63"/>
      <c r="V920" s="63"/>
      <c r="W920" s="63"/>
      <c r="X920" s="63"/>
      <c r="Y920" s="63"/>
      <c r="Z920" s="63"/>
      <c r="AA920" s="63"/>
      <c r="AB920" s="275"/>
    </row>
    <row r="921" spans="16:28" x14ac:dyDescent="0.25">
      <c r="P921" s="111"/>
      <c r="Q921" s="111"/>
      <c r="S921" s="277">
        <v>1035</v>
      </c>
      <c r="T921" s="273"/>
      <c r="U921" s="63"/>
      <c r="V921" s="63"/>
      <c r="W921" s="63"/>
      <c r="X921" s="63"/>
      <c r="Y921" s="63"/>
      <c r="Z921" s="63"/>
      <c r="AA921" s="63"/>
      <c r="AB921" s="275"/>
    </row>
    <row r="922" spans="16:28" x14ac:dyDescent="0.25">
      <c r="P922" s="111"/>
      <c r="Q922" s="111"/>
      <c r="S922" s="277">
        <v>1030</v>
      </c>
      <c r="T922" s="273"/>
      <c r="U922" s="63"/>
      <c r="V922" s="63"/>
      <c r="W922" s="63"/>
      <c r="X922" s="63"/>
      <c r="Y922" s="63"/>
      <c r="Z922" s="63"/>
      <c r="AA922" s="63"/>
      <c r="AB922" s="275"/>
    </row>
    <row r="923" spans="16:28" x14ac:dyDescent="0.25">
      <c r="P923" s="111"/>
      <c r="Q923" s="111"/>
      <c r="S923" s="277">
        <v>1025</v>
      </c>
      <c r="T923" s="273"/>
      <c r="U923" s="63"/>
      <c r="V923" s="63"/>
      <c r="W923" s="63"/>
      <c r="X923" s="63"/>
      <c r="Y923" s="63"/>
      <c r="Z923" s="63"/>
      <c r="AA923" s="63"/>
      <c r="AB923" s="275"/>
    </row>
    <row r="924" spans="16:28" x14ac:dyDescent="0.25">
      <c r="P924" s="111"/>
      <c r="Q924" s="111"/>
      <c r="S924" s="277">
        <v>1020</v>
      </c>
      <c r="T924" s="273"/>
      <c r="U924" s="63"/>
      <c r="V924" s="63"/>
      <c r="W924" s="63"/>
      <c r="X924" s="63"/>
      <c r="Y924" s="63"/>
      <c r="Z924" s="63"/>
      <c r="AA924" s="63"/>
      <c r="AB924" s="275"/>
    </row>
    <row r="925" spans="16:28" x14ac:dyDescent="0.25">
      <c r="P925" s="111"/>
      <c r="Q925" s="111"/>
      <c r="S925" s="277">
        <v>1015</v>
      </c>
      <c r="T925" s="273"/>
      <c r="U925" s="63"/>
      <c r="V925" s="63"/>
      <c r="W925" s="63"/>
      <c r="X925" s="63"/>
      <c r="Y925" s="63"/>
      <c r="Z925" s="63"/>
      <c r="AA925" s="63"/>
      <c r="AB925" s="275"/>
    </row>
    <row r="926" spans="16:28" x14ac:dyDescent="0.25">
      <c r="P926" s="111"/>
      <c r="Q926" s="111"/>
      <c r="S926" s="277">
        <v>1010</v>
      </c>
      <c r="T926" s="273"/>
      <c r="U926" s="63"/>
      <c r="V926" s="63"/>
      <c r="W926" s="63"/>
      <c r="X926" s="63"/>
      <c r="Y926" s="63"/>
      <c r="Z926" s="63"/>
      <c r="AA926" s="63"/>
      <c r="AB926" s="275"/>
    </row>
    <row r="927" spans="16:28" x14ac:dyDescent="0.25">
      <c r="P927" s="111"/>
      <c r="Q927" s="111"/>
      <c r="S927" s="277">
        <v>1005</v>
      </c>
      <c r="T927" s="273"/>
      <c r="U927" s="63"/>
      <c r="V927" s="63"/>
      <c r="W927" s="63"/>
      <c r="X927" s="63"/>
      <c r="Y927" s="63"/>
      <c r="Z927" s="63"/>
      <c r="AA927" s="63"/>
      <c r="AB927" s="275"/>
    </row>
    <row r="928" spans="16:28" x14ac:dyDescent="0.25">
      <c r="P928" s="111"/>
      <c r="Q928" s="111"/>
      <c r="S928" s="277">
        <v>1000</v>
      </c>
      <c r="T928" s="273"/>
      <c r="U928" s="63"/>
      <c r="V928" s="63"/>
      <c r="W928" s="63"/>
      <c r="X928" s="63"/>
      <c r="Y928" s="63"/>
      <c r="Z928" s="63"/>
      <c r="AA928" s="63"/>
      <c r="AB928" s="275"/>
    </row>
    <row r="929" spans="16:28" x14ac:dyDescent="0.25">
      <c r="P929" s="111"/>
      <c r="Q929" s="111"/>
      <c r="S929" s="277">
        <v>995</v>
      </c>
      <c r="T929" s="273"/>
      <c r="U929" s="63"/>
      <c r="V929" s="63"/>
      <c r="W929" s="63"/>
      <c r="X929" s="63"/>
      <c r="Y929" s="63"/>
      <c r="Z929" s="63"/>
      <c r="AA929" s="63"/>
      <c r="AB929" s="275"/>
    </row>
    <row r="930" spans="16:28" x14ac:dyDescent="0.25">
      <c r="P930" s="111"/>
      <c r="Q930" s="111"/>
      <c r="S930" s="277">
        <v>990</v>
      </c>
      <c r="T930" s="273"/>
      <c r="U930" s="63"/>
      <c r="V930" s="63"/>
      <c r="W930" s="63"/>
      <c r="X930" s="63"/>
      <c r="Y930" s="63"/>
      <c r="Z930" s="63"/>
      <c r="AA930" s="63"/>
      <c r="AB930" s="275"/>
    </row>
    <row r="931" spans="16:28" x14ac:dyDescent="0.25">
      <c r="P931" s="111"/>
      <c r="Q931" s="111"/>
      <c r="S931" s="277">
        <v>985</v>
      </c>
      <c r="T931" s="273"/>
      <c r="U931" s="63"/>
      <c r="V931" s="63"/>
      <c r="W931" s="63"/>
      <c r="X931" s="63"/>
      <c r="Y931" s="63"/>
      <c r="Z931" s="63"/>
      <c r="AA931" s="63"/>
      <c r="AB931" s="275"/>
    </row>
    <row r="932" spans="16:28" x14ac:dyDescent="0.25">
      <c r="P932" s="111"/>
      <c r="Q932" s="111"/>
      <c r="S932" s="277">
        <v>980</v>
      </c>
      <c r="T932" s="273"/>
      <c r="U932" s="63"/>
      <c r="V932" s="63"/>
      <c r="W932" s="63"/>
      <c r="X932" s="63"/>
      <c r="Y932" s="63"/>
      <c r="Z932" s="63"/>
      <c r="AA932" s="63"/>
      <c r="AB932" s="275"/>
    </row>
    <row r="933" spans="16:28" x14ac:dyDescent="0.25">
      <c r="P933" s="111"/>
      <c r="Q933" s="111"/>
      <c r="S933" s="277">
        <v>975</v>
      </c>
      <c r="T933" s="273"/>
      <c r="U933" s="63"/>
      <c r="V933" s="63"/>
      <c r="W933" s="63"/>
      <c r="X933" s="63"/>
      <c r="Y933" s="63"/>
      <c r="Z933" s="63"/>
      <c r="AA933" s="63"/>
      <c r="AB933" s="275"/>
    </row>
    <row r="934" spans="16:28" x14ac:dyDescent="0.25">
      <c r="P934" s="111"/>
      <c r="Q934" s="111"/>
      <c r="S934" s="277">
        <v>970</v>
      </c>
      <c r="T934" s="273"/>
      <c r="U934" s="63"/>
      <c r="V934" s="63"/>
      <c r="W934" s="63"/>
      <c r="X934" s="63"/>
      <c r="Y934" s="63"/>
      <c r="Z934" s="63"/>
      <c r="AA934" s="63"/>
      <c r="AB934" s="275"/>
    </row>
    <row r="935" spans="16:28" x14ac:dyDescent="0.25">
      <c r="P935" s="111"/>
      <c r="Q935" s="111"/>
      <c r="S935" s="277">
        <v>965</v>
      </c>
      <c r="T935" s="273"/>
      <c r="U935" s="63"/>
      <c r="V935" s="63"/>
      <c r="W935" s="63"/>
      <c r="X935" s="63"/>
      <c r="Y935" s="63"/>
      <c r="Z935" s="63"/>
      <c r="AA935" s="63"/>
      <c r="AB935" s="275"/>
    </row>
    <row r="936" spans="16:28" x14ac:dyDescent="0.25">
      <c r="P936" s="111"/>
      <c r="Q936" s="111"/>
      <c r="S936" s="277">
        <v>960</v>
      </c>
      <c r="T936" s="273"/>
      <c r="U936" s="63"/>
      <c r="V936" s="63"/>
      <c r="W936" s="63"/>
      <c r="X936" s="63"/>
      <c r="Y936" s="63"/>
      <c r="Z936" s="63"/>
      <c r="AA936" s="63"/>
      <c r="AB936" s="275"/>
    </row>
    <row r="937" spans="16:28" x14ac:dyDescent="0.25">
      <c r="P937" s="111"/>
      <c r="Q937" s="111"/>
      <c r="S937" s="277">
        <v>955</v>
      </c>
      <c r="T937" s="273"/>
      <c r="U937" s="63"/>
      <c r="V937" s="63"/>
      <c r="W937" s="63"/>
      <c r="X937" s="63"/>
      <c r="Y937" s="63"/>
      <c r="Z937" s="63"/>
      <c r="AA937" s="63"/>
      <c r="AB937" s="275"/>
    </row>
    <row r="938" spans="16:28" x14ac:dyDescent="0.25">
      <c r="P938" s="111"/>
      <c r="Q938" s="111"/>
      <c r="S938" s="277">
        <v>950</v>
      </c>
      <c r="T938" s="273"/>
      <c r="U938" s="63"/>
      <c r="V938" s="63"/>
      <c r="W938" s="63"/>
      <c r="X938" s="63"/>
      <c r="Y938" s="63"/>
      <c r="Z938" s="63"/>
      <c r="AA938" s="63"/>
      <c r="AB938" s="275"/>
    </row>
    <row r="939" spans="16:28" x14ac:dyDescent="0.25">
      <c r="P939" s="111"/>
      <c r="Q939" s="111"/>
      <c r="S939" s="277">
        <v>945</v>
      </c>
      <c r="T939" s="273"/>
      <c r="U939" s="63"/>
      <c r="V939" s="63"/>
      <c r="W939" s="63"/>
      <c r="X939" s="63"/>
      <c r="Y939" s="63"/>
      <c r="Z939" s="63"/>
      <c r="AA939" s="63"/>
      <c r="AB939" s="275"/>
    </row>
    <row r="940" spans="16:28" x14ac:dyDescent="0.25">
      <c r="P940" s="111"/>
      <c r="Q940" s="111"/>
      <c r="S940" s="277">
        <v>940</v>
      </c>
      <c r="T940" s="273"/>
      <c r="U940" s="63"/>
      <c r="V940" s="63"/>
      <c r="W940" s="63"/>
      <c r="X940" s="63"/>
      <c r="Y940" s="63"/>
      <c r="Z940" s="63"/>
      <c r="AA940" s="63"/>
      <c r="AB940" s="275"/>
    </row>
    <row r="941" spans="16:28" x14ac:dyDescent="0.25">
      <c r="P941" s="111"/>
      <c r="Q941" s="111"/>
      <c r="S941" s="277">
        <v>935</v>
      </c>
      <c r="T941" s="273"/>
      <c r="U941" s="63"/>
      <c r="V941" s="63"/>
      <c r="W941" s="63"/>
      <c r="X941" s="63"/>
      <c r="Y941" s="63"/>
      <c r="Z941" s="63"/>
      <c r="AA941" s="63"/>
      <c r="AB941" s="275"/>
    </row>
    <row r="942" spans="16:28" x14ac:dyDescent="0.25">
      <c r="P942" s="111"/>
      <c r="Q942" s="111"/>
      <c r="S942" s="277">
        <v>930</v>
      </c>
      <c r="T942" s="273"/>
      <c r="U942" s="63"/>
      <c r="V942" s="63"/>
      <c r="W942" s="63"/>
      <c r="X942" s="63"/>
      <c r="Y942" s="63"/>
      <c r="Z942" s="63"/>
      <c r="AA942" s="63"/>
      <c r="AB942" s="275"/>
    </row>
    <row r="943" spans="16:28" x14ac:dyDescent="0.25">
      <c r="P943" s="111"/>
      <c r="Q943" s="111"/>
      <c r="S943" s="277">
        <v>925</v>
      </c>
      <c r="T943" s="273"/>
      <c r="U943" s="63"/>
      <c r="V943" s="63"/>
      <c r="W943" s="63"/>
      <c r="X943" s="63"/>
      <c r="Y943" s="63"/>
      <c r="Z943" s="63"/>
      <c r="AA943" s="63"/>
      <c r="AB943" s="275"/>
    </row>
    <row r="944" spans="16:28" x14ac:dyDescent="0.25">
      <c r="P944" s="111"/>
      <c r="Q944" s="111"/>
      <c r="S944" s="277">
        <v>920</v>
      </c>
      <c r="T944" s="273"/>
      <c r="U944" s="63"/>
      <c r="V944" s="63"/>
      <c r="W944" s="63"/>
      <c r="X944" s="63"/>
      <c r="Y944" s="63"/>
      <c r="Z944" s="63"/>
      <c r="AA944" s="63"/>
      <c r="AB944" s="275"/>
    </row>
    <row r="945" spans="16:28" x14ac:dyDescent="0.25">
      <c r="P945" s="111"/>
      <c r="Q945" s="111"/>
      <c r="S945" s="277">
        <v>915</v>
      </c>
      <c r="T945" s="273"/>
      <c r="U945" s="63"/>
      <c r="V945" s="63"/>
      <c r="W945" s="63"/>
      <c r="X945" s="63"/>
      <c r="Y945" s="63"/>
      <c r="Z945" s="63"/>
      <c r="AA945" s="63"/>
      <c r="AB945" s="275"/>
    </row>
    <row r="946" spans="16:28" x14ac:dyDescent="0.25">
      <c r="P946" s="111"/>
      <c r="Q946" s="111"/>
      <c r="S946" s="277">
        <v>910</v>
      </c>
      <c r="T946" s="273"/>
      <c r="U946" s="63"/>
      <c r="V946" s="63"/>
      <c r="W946" s="63"/>
      <c r="X946" s="63"/>
      <c r="Y946" s="63"/>
      <c r="Z946" s="63"/>
      <c r="AA946" s="63"/>
      <c r="AB946" s="275"/>
    </row>
    <row r="947" spans="16:28" x14ac:dyDescent="0.25">
      <c r="P947" s="111"/>
      <c r="Q947" s="111"/>
      <c r="S947" s="277">
        <v>905</v>
      </c>
      <c r="T947" s="273"/>
      <c r="U947" s="63"/>
      <c r="V947" s="63"/>
      <c r="W947" s="63"/>
      <c r="X947" s="63"/>
      <c r="Y947" s="63"/>
      <c r="Z947" s="63"/>
      <c r="AA947" s="63"/>
      <c r="AB947" s="275"/>
    </row>
    <row r="948" spans="16:28" x14ac:dyDescent="0.25">
      <c r="P948" s="111"/>
      <c r="Q948" s="111"/>
      <c r="S948" s="277">
        <v>900</v>
      </c>
      <c r="T948" s="273"/>
      <c r="U948" s="63"/>
      <c r="V948" s="63"/>
      <c r="W948" s="63"/>
      <c r="X948" s="63"/>
      <c r="Y948" s="63"/>
      <c r="Z948" s="63"/>
      <c r="AA948" s="63"/>
      <c r="AB948" s="275"/>
    </row>
    <row r="949" spans="16:28" x14ac:dyDescent="0.25">
      <c r="P949" s="111"/>
      <c r="Q949" s="111"/>
      <c r="S949" s="277">
        <v>895</v>
      </c>
      <c r="T949" s="273"/>
      <c r="U949" s="63"/>
      <c r="V949" s="63"/>
      <c r="W949" s="63"/>
      <c r="X949" s="63"/>
      <c r="Y949" s="63"/>
      <c r="Z949" s="63"/>
      <c r="AA949" s="63"/>
      <c r="AB949" s="275"/>
    </row>
    <row r="950" spans="16:28" x14ac:dyDescent="0.25">
      <c r="P950" s="111"/>
      <c r="Q950" s="111"/>
      <c r="S950" s="277">
        <v>890</v>
      </c>
      <c r="T950" s="273"/>
      <c r="U950" s="63"/>
      <c r="V950" s="63"/>
      <c r="W950" s="63"/>
      <c r="X950" s="63"/>
      <c r="Y950" s="63"/>
      <c r="Z950" s="63"/>
      <c r="AA950" s="63"/>
      <c r="AB950" s="275"/>
    </row>
    <row r="951" spans="16:28" x14ac:dyDescent="0.25">
      <c r="P951" s="111"/>
      <c r="Q951" s="111"/>
      <c r="S951" s="277">
        <v>885</v>
      </c>
      <c r="T951" s="273"/>
      <c r="U951" s="63"/>
      <c r="V951" s="63"/>
      <c r="W951" s="63"/>
      <c r="X951" s="63"/>
      <c r="Y951" s="63"/>
      <c r="Z951" s="63"/>
      <c r="AA951" s="63"/>
      <c r="AB951" s="275"/>
    </row>
    <row r="952" spans="16:28" x14ac:dyDescent="0.25">
      <c r="P952" s="111"/>
      <c r="Q952" s="111"/>
      <c r="S952" s="277">
        <v>880</v>
      </c>
      <c r="T952" s="273"/>
      <c r="U952" s="63"/>
      <c r="V952" s="63"/>
      <c r="W952" s="63"/>
      <c r="X952" s="63"/>
      <c r="Y952" s="63"/>
      <c r="Z952" s="63"/>
      <c r="AA952" s="63"/>
      <c r="AB952" s="275"/>
    </row>
    <row r="953" spans="16:28" x14ac:dyDescent="0.25">
      <c r="P953" s="111"/>
      <c r="Q953" s="111"/>
      <c r="S953" s="277">
        <v>875</v>
      </c>
      <c r="T953" s="273"/>
      <c r="U953" s="63"/>
      <c r="V953" s="63"/>
      <c r="W953" s="63"/>
      <c r="X953" s="63"/>
      <c r="Y953" s="63"/>
      <c r="Z953" s="63"/>
      <c r="AA953" s="63"/>
      <c r="AB953" s="275"/>
    </row>
    <row r="954" spans="16:28" x14ac:dyDescent="0.25">
      <c r="P954" s="111"/>
      <c r="Q954" s="111"/>
      <c r="S954" s="277">
        <v>870</v>
      </c>
      <c r="T954" s="273"/>
      <c r="U954" s="63"/>
      <c r="V954" s="63"/>
      <c r="W954" s="63"/>
      <c r="X954" s="63"/>
      <c r="Y954" s="63"/>
      <c r="Z954" s="63"/>
      <c r="AA954" s="63"/>
      <c r="AB954" s="275"/>
    </row>
    <row r="955" spans="16:28" x14ac:dyDescent="0.25">
      <c r="P955" s="111"/>
      <c r="Q955" s="111"/>
      <c r="S955" s="277">
        <v>865</v>
      </c>
      <c r="T955" s="273"/>
      <c r="U955" s="63"/>
      <c r="V955" s="63"/>
      <c r="W955" s="63"/>
      <c r="X955" s="63"/>
      <c r="Y955" s="63"/>
      <c r="Z955" s="63"/>
      <c r="AA955" s="63"/>
      <c r="AB955" s="275"/>
    </row>
    <row r="956" spans="16:28" x14ac:dyDescent="0.25">
      <c r="P956" s="111"/>
      <c r="Q956" s="111"/>
      <c r="S956" s="277">
        <v>860</v>
      </c>
      <c r="T956" s="273"/>
      <c r="U956" s="63"/>
      <c r="V956" s="63"/>
      <c r="W956" s="63"/>
      <c r="X956" s="63"/>
      <c r="Y956" s="63"/>
      <c r="Z956" s="63"/>
      <c r="AA956" s="63"/>
      <c r="AB956" s="275"/>
    </row>
    <row r="957" spans="16:28" x14ac:dyDescent="0.25">
      <c r="P957" s="111"/>
      <c r="Q957" s="111"/>
      <c r="S957" s="277">
        <v>855</v>
      </c>
      <c r="T957" s="273"/>
      <c r="U957" s="63"/>
      <c r="V957" s="63"/>
      <c r="W957" s="63"/>
      <c r="X957" s="63"/>
      <c r="Y957" s="63"/>
      <c r="Z957" s="63"/>
      <c r="AA957" s="63"/>
      <c r="AB957" s="275"/>
    </row>
    <row r="958" spans="16:28" x14ac:dyDescent="0.25">
      <c r="P958" s="111"/>
      <c r="Q958" s="111"/>
      <c r="S958" s="277">
        <v>850</v>
      </c>
      <c r="T958" s="273"/>
      <c r="U958" s="63"/>
      <c r="V958" s="63"/>
      <c r="W958" s="63"/>
      <c r="X958" s="63"/>
      <c r="Y958" s="63"/>
      <c r="Z958" s="63"/>
      <c r="AA958" s="63"/>
      <c r="AB958" s="275"/>
    </row>
    <row r="959" spans="16:28" x14ac:dyDescent="0.25">
      <c r="P959" s="111"/>
      <c r="Q959" s="111"/>
      <c r="S959" s="277">
        <v>845</v>
      </c>
      <c r="T959" s="273"/>
      <c r="U959" s="63"/>
      <c r="V959" s="63"/>
      <c r="W959" s="63"/>
      <c r="X959" s="63"/>
      <c r="Y959" s="63"/>
      <c r="Z959" s="63"/>
      <c r="AA959" s="63"/>
      <c r="AB959" s="275"/>
    </row>
    <row r="960" spans="16:28" x14ac:dyDescent="0.25">
      <c r="P960" s="111"/>
      <c r="Q960" s="111"/>
      <c r="S960" s="277">
        <v>840</v>
      </c>
      <c r="T960" s="273"/>
      <c r="U960" s="63"/>
      <c r="V960" s="63"/>
      <c r="W960" s="63"/>
      <c r="X960" s="63"/>
      <c r="Y960" s="63"/>
      <c r="Z960" s="63"/>
      <c r="AA960" s="63"/>
      <c r="AB960" s="275"/>
    </row>
    <row r="961" spans="16:28" x14ac:dyDescent="0.25">
      <c r="P961" s="111"/>
      <c r="Q961" s="111"/>
      <c r="S961" s="277">
        <v>835</v>
      </c>
      <c r="T961" s="273"/>
      <c r="U961" s="63"/>
      <c r="V961" s="63"/>
      <c r="W961" s="63"/>
      <c r="X961" s="63"/>
      <c r="Y961" s="63"/>
      <c r="Z961" s="63"/>
      <c r="AA961" s="63"/>
      <c r="AB961" s="275"/>
    </row>
    <row r="962" spans="16:28" x14ac:dyDescent="0.25">
      <c r="P962" s="111"/>
      <c r="Q962" s="111"/>
      <c r="S962" s="277">
        <v>830</v>
      </c>
      <c r="T962" s="273"/>
      <c r="U962" s="63"/>
      <c r="V962" s="63"/>
      <c r="W962" s="63"/>
      <c r="X962" s="63"/>
      <c r="Y962" s="63"/>
      <c r="Z962" s="63"/>
      <c r="AA962" s="63"/>
      <c r="AB962" s="275"/>
    </row>
    <row r="963" spans="16:28" x14ac:dyDescent="0.25">
      <c r="P963" s="111"/>
      <c r="Q963" s="111"/>
      <c r="S963" s="277">
        <v>825</v>
      </c>
      <c r="T963" s="273"/>
      <c r="U963" s="63"/>
      <c r="V963" s="63"/>
      <c r="W963" s="63"/>
      <c r="X963" s="63"/>
      <c r="Y963" s="63"/>
      <c r="Z963" s="63"/>
      <c r="AA963" s="63"/>
      <c r="AB963" s="275"/>
    </row>
    <row r="964" spans="16:28" x14ac:dyDescent="0.25">
      <c r="P964" s="111"/>
      <c r="Q964" s="111"/>
      <c r="S964" s="277">
        <v>820</v>
      </c>
      <c r="T964" s="273"/>
      <c r="U964" s="63"/>
      <c r="V964" s="63"/>
      <c r="W964" s="63"/>
      <c r="X964" s="63"/>
      <c r="Y964" s="63"/>
      <c r="Z964" s="63"/>
      <c r="AA964" s="63"/>
      <c r="AB964" s="275"/>
    </row>
    <row r="965" spans="16:28" x14ac:dyDescent="0.25">
      <c r="P965" s="111"/>
      <c r="Q965" s="111"/>
      <c r="S965" s="277">
        <v>815</v>
      </c>
      <c r="T965" s="273"/>
      <c r="U965" s="63"/>
      <c r="V965" s="63"/>
      <c r="W965" s="63"/>
      <c r="X965" s="63"/>
      <c r="Y965" s="63"/>
      <c r="Z965" s="63"/>
      <c r="AA965" s="63"/>
      <c r="AB965" s="275"/>
    </row>
    <row r="966" spans="16:28" x14ac:dyDescent="0.25">
      <c r="P966" s="111"/>
      <c r="Q966" s="111"/>
      <c r="S966" s="277">
        <v>810</v>
      </c>
      <c r="T966" s="273"/>
      <c r="U966" s="63"/>
      <c r="V966" s="63"/>
      <c r="W966" s="63"/>
      <c r="X966" s="63"/>
      <c r="Y966" s="63"/>
      <c r="Z966" s="63"/>
      <c r="AA966" s="63"/>
      <c r="AB966" s="275"/>
    </row>
    <row r="967" spans="16:28" x14ac:dyDescent="0.25">
      <c r="P967" s="111"/>
      <c r="Q967" s="111"/>
      <c r="S967" s="277">
        <v>805</v>
      </c>
      <c r="T967" s="273"/>
      <c r="U967" s="63"/>
      <c r="V967" s="63"/>
      <c r="W967" s="63"/>
      <c r="X967" s="63"/>
      <c r="Y967" s="63"/>
      <c r="Z967" s="63"/>
      <c r="AA967" s="63"/>
      <c r="AB967" s="275"/>
    </row>
    <row r="968" spans="16:28" x14ac:dyDescent="0.25">
      <c r="P968" s="111"/>
      <c r="Q968" s="111"/>
      <c r="S968" s="277">
        <v>800</v>
      </c>
      <c r="T968" s="273"/>
      <c r="U968" s="63"/>
      <c r="V968" s="63"/>
      <c r="W968" s="63"/>
      <c r="X968" s="63"/>
      <c r="Y968" s="63"/>
      <c r="Z968" s="63"/>
      <c r="AA968" s="63"/>
      <c r="AB968" s="275"/>
    </row>
    <row r="969" spans="16:28" x14ac:dyDescent="0.25">
      <c r="P969" s="111"/>
      <c r="Q969" s="111"/>
      <c r="S969" s="277">
        <v>795</v>
      </c>
      <c r="T969" s="273"/>
      <c r="U969" s="63"/>
      <c r="V969" s="63"/>
      <c r="W969" s="63"/>
      <c r="X969" s="63"/>
      <c r="Y969" s="63"/>
      <c r="Z969" s="63"/>
      <c r="AA969" s="63"/>
      <c r="AB969" s="275"/>
    </row>
    <row r="970" spans="16:28" x14ac:dyDescent="0.25">
      <c r="P970" s="111"/>
      <c r="Q970" s="111"/>
      <c r="S970" s="277">
        <v>790</v>
      </c>
      <c r="T970" s="273"/>
      <c r="U970" s="63"/>
      <c r="V970" s="63"/>
      <c r="W970" s="63"/>
      <c r="X970" s="63"/>
      <c r="Y970" s="63"/>
      <c r="Z970" s="63"/>
      <c r="AA970" s="63"/>
      <c r="AB970" s="275"/>
    </row>
    <row r="971" spans="16:28" x14ac:dyDescent="0.25">
      <c r="P971" s="111"/>
      <c r="Q971" s="111"/>
      <c r="S971" s="277">
        <v>785</v>
      </c>
      <c r="T971" s="273"/>
      <c r="U971" s="63"/>
      <c r="V971" s="63"/>
      <c r="W971" s="63"/>
      <c r="X971" s="63"/>
      <c r="Y971" s="63"/>
      <c r="Z971" s="63"/>
      <c r="AA971" s="63"/>
      <c r="AB971" s="275"/>
    </row>
    <row r="972" spans="16:28" x14ac:dyDescent="0.25">
      <c r="P972" s="111"/>
      <c r="Q972" s="111"/>
      <c r="S972" s="277">
        <v>780</v>
      </c>
      <c r="T972" s="273"/>
      <c r="U972" s="63"/>
      <c r="V972" s="63"/>
      <c r="W972" s="63"/>
      <c r="X972" s="63"/>
      <c r="Y972" s="63"/>
      <c r="Z972" s="63"/>
      <c r="AA972" s="63"/>
      <c r="AB972" s="275"/>
    </row>
    <row r="973" spans="16:28" x14ac:dyDescent="0.25">
      <c r="P973" s="111"/>
      <c r="Q973" s="111"/>
      <c r="S973" s="277">
        <v>775</v>
      </c>
      <c r="T973" s="273"/>
      <c r="U973" s="63"/>
      <c r="V973" s="63"/>
      <c r="W973" s="63"/>
      <c r="X973" s="63"/>
      <c r="Y973" s="63"/>
      <c r="Z973" s="63"/>
      <c r="AA973" s="63"/>
      <c r="AB973" s="275"/>
    </row>
    <row r="974" spans="16:28" x14ac:dyDescent="0.25">
      <c r="P974" s="111"/>
      <c r="Q974" s="111"/>
      <c r="S974" s="277">
        <v>770</v>
      </c>
      <c r="T974" s="273"/>
      <c r="U974" s="63"/>
      <c r="V974" s="63"/>
      <c r="W974" s="63"/>
      <c r="X974" s="63"/>
      <c r="Y974" s="63"/>
      <c r="Z974" s="63"/>
      <c r="AA974" s="63"/>
      <c r="AB974" s="275"/>
    </row>
    <row r="975" spans="16:28" x14ac:dyDescent="0.25">
      <c r="P975" s="111"/>
      <c r="Q975" s="111"/>
      <c r="S975" s="277">
        <v>765</v>
      </c>
      <c r="T975" s="273"/>
      <c r="U975" s="63"/>
      <c r="V975" s="63"/>
      <c r="W975" s="63"/>
      <c r="X975" s="63"/>
      <c r="Y975" s="63"/>
      <c r="Z975" s="63"/>
      <c r="AA975" s="63"/>
      <c r="AB975" s="275"/>
    </row>
    <row r="976" spans="16:28" x14ac:dyDescent="0.25">
      <c r="P976" s="111"/>
      <c r="Q976" s="111"/>
      <c r="S976" s="277">
        <v>760</v>
      </c>
      <c r="T976" s="273"/>
      <c r="U976" s="63"/>
      <c r="V976" s="63"/>
      <c r="W976" s="63"/>
      <c r="X976" s="63"/>
      <c r="Y976" s="63"/>
      <c r="Z976" s="63"/>
      <c r="AA976" s="63"/>
      <c r="AB976" s="275"/>
    </row>
    <row r="977" spans="16:28" x14ac:dyDescent="0.25">
      <c r="P977" s="111"/>
      <c r="Q977" s="111"/>
      <c r="S977" s="277">
        <v>755</v>
      </c>
      <c r="T977" s="273"/>
      <c r="U977" s="63"/>
      <c r="V977" s="63"/>
      <c r="W977" s="63"/>
      <c r="X977" s="63"/>
      <c r="Y977" s="63"/>
      <c r="Z977" s="63"/>
      <c r="AA977" s="63"/>
      <c r="AB977" s="275"/>
    </row>
    <row r="978" spans="16:28" x14ac:dyDescent="0.25">
      <c r="P978" s="111"/>
      <c r="Q978" s="111"/>
      <c r="S978" s="277">
        <v>750</v>
      </c>
      <c r="T978" s="273"/>
      <c r="U978" s="63"/>
      <c r="V978" s="63"/>
      <c r="W978" s="63"/>
      <c r="X978" s="63"/>
      <c r="Y978" s="63"/>
      <c r="Z978" s="63"/>
      <c r="AA978" s="63"/>
      <c r="AB978" s="275"/>
    </row>
    <row r="979" spans="16:28" x14ac:dyDescent="0.25">
      <c r="P979" s="111"/>
      <c r="Q979" s="111"/>
      <c r="S979" s="277">
        <v>745</v>
      </c>
      <c r="T979" s="273"/>
      <c r="U979" s="63"/>
      <c r="V979" s="63"/>
      <c r="W979" s="63"/>
      <c r="X979" s="63"/>
      <c r="Y979" s="63"/>
      <c r="Z979" s="63"/>
      <c r="AA979" s="63"/>
      <c r="AB979" s="275"/>
    </row>
    <row r="980" spans="16:28" x14ac:dyDescent="0.25">
      <c r="P980" s="111"/>
      <c r="Q980" s="111"/>
      <c r="S980" s="277">
        <v>740</v>
      </c>
      <c r="T980" s="273"/>
      <c r="U980" s="63"/>
      <c r="V980" s="63"/>
      <c r="W980" s="63"/>
      <c r="X980" s="63"/>
      <c r="Y980" s="63"/>
      <c r="Z980" s="63"/>
      <c r="AA980" s="63"/>
      <c r="AB980" s="275"/>
    </row>
    <row r="981" spans="16:28" x14ac:dyDescent="0.25">
      <c r="P981" s="111"/>
      <c r="Q981" s="111"/>
      <c r="S981" s="277">
        <v>735</v>
      </c>
      <c r="T981" s="273"/>
      <c r="U981" s="63"/>
      <c r="V981" s="63"/>
      <c r="W981" s="63"/>
      <c r="X981" s="63"/>
      <c r="Y981" s="63"/>
      <c r="Z981" s="63"/>
      <c r="AA981" s="63"/>
      <c r="AB981" s="275"/>
    </row>
    <row r="982" spans="16:28" x14ac:dyDescent="0.25">
      <c r="P982" s="111"/>
      <c r="Q982" s="111"/>
      <c r="S982" s="277">
        <v>730</v>
      </c>
      <c r="T982" s="273"/>
      <c r="U982" s="63"/>
      <c r="V982" s="63"/>
      <c r="W982" s="63"/>
      <c r="X982" s="63"/>
      <c r="Y982" s="63"/>
      <c r="Z982" s="63"/>
      <c r="AA982" s="63"/>
      <c r="AB982" s="275"/>
    </row>
    <row r="983" spans="16:28" x14ac:dyDescent="0.25">
      <c r="P983" s="111"/>
      <c r="Q983" s="111"/>
      <c r="S983" s="277">
        <v>725</v>
      </c>
      <c r="T983" s="273"/>
      <c r="U983" s="63"/>
      <c r="V983" s="63"/>
      <c r="W983" s="63"/>
      <c r="X983" s="63"/>
      <c r="Y983" s="63"/>
      <c r="Z983" s="63"/>
      <c r="AA983" s="63"/>
      <c r="AB983" s="275"/>
    </row>
    <row r="984" spans="16:28" x14ac:dyDescent="0.25">
      <c r="P984" s="111"/>
      <c r="Q984" s="111"/>
      <c r="S984" s="277">
        <v>720</v>
      </c>
      <c r="T984" s="273"/>
      <c r="U984" s="63"/>
      <c r="V984" s="63"/>
      <c r="W984" s="63"/>
      <c r="X984" s="63"/>
      <c r="Y984" s="63"/>
      <c r="Z984" s="63"/>
      <c r="AA984" s="63"/>
      <c r="AB984" s="275"/>
    </row>
    <row r="985" spans="16:28" x14ac:dyDescent="0.25">
      <c r="P985" s="111"/>
      <c r="Q985" s="111"/>
      <c r="S985" s="277">
        <v>715</v>
      </c>
      <c r="T985" s="273"/>
      <c r="U985" s="63"/>
      <c r="V985" s="63"/>
      <c r="W985" s="63"/>
      <c r="X985" s="63"/>
      <c r="Y985" s="63"/>
      <c r="Z985" s="63"/>
      <c r="AA985" s="63"/>
      <c r="AB985" s="275"/>
    </row>
    <row r="986" spans="16:28" x14ac:dyDescent="0.25">
      <c r="P986" s="111"/>
      <c r="Q986" s="111"/>
      <c r="S986" s="277">
        <v>710</v>
      </c>
      <c r="T986" s="273"/>
      <c r="U986" s="63"/>
      <c r="V986" s="63"/>
      <c r="W986" s="63"/>
      <c r="X986" s="63"/>
      <c r="Y986" s="63"/>
      <c r="Z986" s="63"/>
      <c r="AA986" s="63"/>
      <c r="AB986" s="275"/>
    </row>
    <row r="987" spans="16:28" x14ac:dyDescent="0.25">
      <c r="P987" s="111"/>
      <c r="Q987" s="111"/>
      <c r="S987" s="277">
        <v>705</v>
      </c>
      <c r="T987" s="273"/>
      <c r="U987" s="63"/>
      <c r="V987" s="63"/>
      <c r="W987" s="63"/>
      <c r="X987" s="63"/>
      <c r="Y987" s="63"/>
      <c r="Z987" s="63"/>
      <c r="AA987" s="63"/>
      <c r="AB987" s="275"/>
    </row>
    <row r="988" spans="16:28" x14ac:dyDescent="0.25">
      <c r="P988" s="111"/>
      <c r="Q988" s="111"/>
      <c r="S988" s="277">
        <v>700</v>
      </c>
      <c r="T988" s="273"/>
      <c r="U988" s="63"/>
      <c r="V988" s="63"/>
      <c r="W988" s="63"/>
      <c r="X988" s="63"/>
      <c r="Y988" s="63"/>
      <c r="Z988" s="63"/>
      <c r="AA988" s="63"/>
      <c r="AB988" s="275"/>
    </row>
    <row r="989" spans="16:28" x14ac:dyDescent="0.25">
      <c r="P989" s="111"/>
      <c r="Q989" s="111"/>
      <c r="S989" s="277">
        <v>695</v>
      </c>
      <c r="T989" s="273"/>
      <c r="U989" s="63"/>
      <c r="V989" s="63"/>
      <c r="W989" s="63"/>
      <c r="X989" s="63"/>
      <c r="Y989" s="63"/>
      <c r="Z989" s="63"/>
      <c r="AA989" s="63"/>
      <c r="AB989" s="275"/>
    </row>
    <row r="990" spans="16:28" x14ac:dyDescent="0.25">
      <c r="P990" s="111"/>
      <c r="Q990" s="111"/>
      <c r="S990" s="277">
        <v>690</v>
      </c>
      <c r="T990" s="273"/>
      <c r="U990" s="63"/>
      <c r="V990" s="63"/>
      <c r="W990" s="63"/>
      <c r="X990" s="63"/>
      <c r="Y990" s="63"/>
      <c r="Z990" s="63"/>
      <c r="AA990" s="63"/>
      <c r="AB990" s="275"/>
    </row>
    <row r="991" spans="16:28" x14ac:dyDescent="0.25">
      <c r="P991" s="111"/>
      <c r="Q991" s="111"/>
      <c r="S991" s="277">
        <v>685</v>
      </c>
      <c r="T991" s="273"/>
      <c r="U991" s="63"/>
      <c r="V991" s="63"/>
      <c r="W991" s="63"/>
      <c r="X991" s="63"/>
      <c r="Y991" s="63"/>
      <c r="Z991" s="63"/>
      <c r="AA991" s="63"/>
      <c r="AB991" s="275"/>
    </row>
    <row r="992" spans="16:28" x14ac:dyDescent="0.25">
      <c r="P992" s="111"/>
      <c r="Q992" s="111"/>
      <c r="S992" s="277">
        <v>680</v>
      </c>
      <c r="T992" s="273"/>
      <c r="U992" s="63"/>
      <c r="V992" s="63"/>
      <c r="W992" s="63"/>
      <c r="X992" s="63"/>
      <c r="Y992" s="63"/>
      <c r="Z992" s="63"/>
      <c r="AA992" s="63"/>
      <c r="AB992" s="275"/>
    </row>
    <row r="993" spans="16:28" x14ac:dyDescent="0.25">
      <c r="P993" s="111"/>
      <c r="Q993" s="111"/>
      <c r="S993" s="277">
        <v>675</v>
      </c>
      <c r="T993" s="273"/>
      <c r="U993" s="63"/>
      <c r="V993" s="63"/>
      <c r="W993" s="63"/>
      <c r="X993" s="63"/>
      <c r="Y993" s="63"/>
      <c r="Z993" s="63"/>
      <c r="AA993" s="63"/>
      <c r="AB993" s="275"/>
    </row>
    <row r="994" spans="16:28" x14ac:dyDescent="0.25">
      <c r="P994" s="111"/>
      <c r="Q994" s="111"/>
      <c r="S994" s="277">
        <v>670</v>
      </c>
      <c r="T994" s="273"/>
      <c r="U994" s="63"/>
      <c r="V994" s="63"/>
      <c r="W994" s="63"/>
      <c r="X994" s="63"/>
      <c r="Y994" s="63"/>
      <c r="Z994" s="63"/>
      <c r="AA994" s="63"/>
      <c r="AB994" s="275"/>
    </row>
    <row r="995" spans="16:28" x14ac:dyDescent="0.25">
      <c r="P995" s="111"/>
      <c r="Q995" s="111"/>
      <c r="S995" s="277">
        <v>665</v>
      </c>
      <c r="T995" s="273"/>
      <c r="U995" s="63"/>
      <c r="V995" s="63"/>
      <c r="W995" s="63"/>
      <c r="X995" s="63"/>
      <c r="Y995" s="63"/>
      <c r="Z995" s="63"/>
      <c r="AA995" s="63"/>
      <c r="AB995" s="275"/>
    </row>
    <row r="996" spans="16:28" x14ac:dyDescent="0.25">
      <c r="P996" s="111"/>
      <c r="Q996" s="111"/>
      <c r="S996" s="277">
        <v>660</v>
      </c>
      <c r="T996" s="273"/>
      <c r="U996" s="63"/>
      <c r="V996" s="63"/>
      <c r="W996" s="63"/>
      <c r="X996" s="63"/>
      <c r="Y996" s="63"/>
      <c r="Z996" s="63"/>
      <c r="AA996" s="63"/>
      <c r="AB996" s="275"/>
    </row>
    <row r="997" spans="16:28" x14ac:dyDescent="0.25">
      <c r="P997" s="111"/>
      <c r="Q997" s="111"/>
      <c r="S997" s="277">
        <v>655</v>
      </c>
      <c r="T997" s="273"/>
      <c r="U997" s="63"/>
      <c r="V997" s="63"/>
      <c r="W997" s="63"/>
      <c r="X997" s="63"/>
      <c r="Y997" s="63"/>
      <c r="Z997" s="63"/>
      <c r="AA997" s="63"/>
      <c r="AB997" s="275"/>
    </row>
    <row r="998" spans="16:28" x14ac:dyDescent="0.25">
      <c r="P998" s="111"/>
      <c r="Q998" s="111"/>
      <c r="S998" s="277">
        <v>650</v>
      </c>
      <c r="T998" s="273"/>
      <c r="U998" s="63"/>
      <c r="V998" s="63"/>
      <c r="W998" s="63"/>
      <c r="X998" s="63"/>
      <c r="Y998" s="63"/>
      <c r="Z998" s="63"/>
      <c r="AA998" s="63"/>
      <c r="AB998" s="275"/>
    </row>
    <row r="999" spans="16:28" x14ac:dyDescent="0.25">
      <c r="P999" s="111"/>
      <c r="Q999" s="111"/>
      <c r="S999" s="277">
        <v>645</v>
      </c>
      <c r="T999" s="273"/>
      <c r="U999" s="63"/>
      <c r="V999" s="63"/>
      <c r="W999" s="63"/>
      <c r="X999" s="63"/>
      <c r="Y999" s="63"/>
      <c r="Z999" s="63"/>
      <c r="AA999" s="63"/>
      <c r="AB999" s="275"/>
    </row>
    <row r="1000" spans="16:28" x14ac:dyDescent="0.25">
      <c r="P1000" s="111"/>
      <c r="Q1000" s="111"/>
      <c r="S1000" s="277">
        <v>640</v>
      </c>
      <c r="T1000" s="273"/>
      <c r="U1000" s="63"/>
      <c r="V1000" s="63"/>
      <c r="W1000" s="63"/>
      <c r="X1000" s="63"/>
      <c r="Y1000" s="63"/>
      <c r="Z1000" s="63"/>
      <c r="AA1000" s="63"/>
      <c r="AB1000" s="275"/>
    </row>
    <row r="1001" spans="16:28" x14ac:dyDescent="0.25">
      <c r="P1001" s="111"/>
      <c r="Q1001" s="111"/>
      <c r="S1001" s="277">
        <v>635</v>
      </c>
      <c r="T1001" s="273"/>
      <c r="U1001" s="63"/>
      <c r="V1001" s="63"/>
      <c r="W1001" s="63"/>
      <c r="X1001" s="63"/>
      <c r="Y1001" s="63"/>
      <c r="Z1001" s="63"/>
      <c r="AA1001" s="63"/>
      <c r="AB1001" s="275"/>
    </row>
    <row r="1002" spans="16:28" x14ac:dyDescent="0.25">
      <c r="P1002" s="111"/>
      <c r="Q1002" s="111"/>
      <c r="S1002" s="277">
        <v>630</v>
      </c>
      <c r="T1002" s="273"/>
      <c r="U1002" s="63"/>
      <c r="V1002" s="63"/>
      <c r="W1002" s="63"/>
      <c r="X1002" s="63"/>
      <c r="Y1002" s="63"/>
      <c r="Z1002" s="63"/>
      <c r="AA1002" s="63"/>
      <c r="AB1002" s="275"/>
    </row>
    <row r="1003" spans="16:28" x14ac:dyDescent="0.25">
      <c r="P1003" s="111"/>
      <c r="Q1003" s="111"/>
      <c r="S1003" s="277">
        <v>625</v>
      </c>
      <c r="T1003" s="273"/>
      <c r="U1003" s="63"/>
      <c r="V1003" s="63"/>
      <c r="W1003" s="63"/>
      <c r="X1003" s="63"/>
      <c r="Y1003" s="63"/>
      <c r="Z1003" s="63"/>
      <c r="AA1003" s="63"/>
      <c r="AB1003" s="275"/>
    </row>
    <row r="1004" spans="16:28" x14ac:dyDescent="0.25">
      <c r="P1004" s="111"/>
      <c r="Q1004" s="111"/>
      <c r="S1004" s="277">
        <v>620</v>
      </c>
      <c r="T1004" s="273"/>
      <c r="U1004" s="63"/>
      <c r="V1004" s="63"/>
      <c r="W1004" s="63"/>
      <c r="X1004" s="63"/>
      <c r="Y1004" s="63"/>
      <c r="Z1004" s="63"/>
      <c r="AA1004" s="63"/>
      <c r="AB1004" s="275"/>
    </row>
    <row r="1005" spans="16:28" x14ac:dyDescent="0.25">
      <c r="P1005" s="111"/>
      <c r="Q1005" s="111"/>
      <c r="S1005" s="277">
        <v>615</v>
      </c>
      <c r="T1005" s="273"/>
      <c r="U1005" s="63"/>
      <c r="V1005" s="63"/>
      <c r="W1005" s="63"/>
      <c r="X1005" s="63"/>
      <c r="Y1005" s="63"/>
      <c r="Z1005" s="63"/>
      <c r="AA1005" s="63"/>
      <c r="AB1005" s="275"/>
    </row>
    <row r="1006" spans="16:28" x14ac:dyDescent="0.25">
      <c r="P1006" s="111"/>
      <c r="Q1006" s="111"/>
      <c r="S1006" s="277">
        <v>610</v>
      </c>
      <c r="T1006" s="273"/>
      <c r="U1006" s="63"/>
      <c r="V1006" s="63"/>
      <c r="W1006" s="63"/>
      <c r="X1006" s="63"/>
      <c r="Y1006" s="63"/>
      <c r="Z1006" s="63"/>
      <c r="AA1006" s="63"/>
      <c r="AB1006" s="275"/>
    </row>
    <row r="1007" spans="16:28" x14ac:dyDescent="0.25">
      <c r="P1007" s="111"/>
      <c r="Q1007" s="111"/>
      <c r="S1007" s="277">
        <v>605</v>
      </c>
      <c r="T1007" s="273"/>
      <c r="U1007" s="63"/>
      <c r="V1007" s="63"/>
      <c r="W1007" s="63"/>
      <c r="X1007" s="63"/>
      <c r="Y1007" s="63"/>
      <c r="Z1007" s="63"/>
      <c r="AA1007" s="63"/>
      <c r="AB1007" s="275"/>
    </row>
    <row r="1008" spans="16:28" x14ac:dyDescent="0.25">
      <c r="P1008" s="111"/>
      <c r="Q1008" s="111"/>
      <c r="S1008" s="277">
        <v>600</v>
      </c>
      <c r="T1008" s="273"/>
      <c r="U1008" s="63"/>
      <c r="V1008" s="63"/>
      <c r="W1008" s="63"/>
      <c r="X1008" s="63"/>
      <c r="Y1008" s="63"/>
      <c r="Z1008" s="63"/>
      <c r="AA1008" s="63"/>
      <c r="AB1008" s="275"/>
    </row>
    <row r="1009" spans="16:28" x14ac:dyDescent="0.25">
      <c r="P1009" s="111"/>
      <c r="Q1009" s="111"/>
      <c r="S1009" s="277">
        <v>595</v>
      </c>
      <c r="T1009" s="273"/>
      <c r="U1009" s="63"/>
      <c r="V1009" s="63"/>
      <c r="W1009" s="63"/>
      <c r="X1009" s="63"/>
      <c r="Y1009" s="63"/>
      <c r="Z1009" s="63"/>
      <c r="AA1009" s="63"/>
      <c r="AB1009" s="275"/>
    </row>
    <row r="1010" spans="16:28" x14ac:dyDescent="0.25">
      <c r="P1010" s="111"/>
      <c r="Q1010" s="111"/>
      <c r="S1010" s="277">
        <v>590</v>
      </c>
      <c r="T1010" s="273"/>
      <c r="U1010" s="63"/>
      <c r="V1010" s="63"/>
      <c r="W1010" s="63"/>
      <c r="X1010" s="63"/>
      <c r="Y1010" s="63"/>
      <c r="Z1010" s="63"/>
      <c r="AA1010" s="63"/>
      <c r="AB1010" s="275"/>
    </row>
    <row r="1011" spans="16:28" x14ac:dyDescent="0.25">
      <c r="P1011" s="111"/>
      <c r="Q1011" s="111"/>
      <c r="S1011" s="277">
        <v>585</v>
      </c>
      <c r="T1011" s="273"/>
      <c r="U1011" s="63"/>
      <c r="V1011" s="63"/>
      <c r="W1011" s="63"/>
      <c r="X1011" s="63"/>
      <c r="Y1011" s="63"/>
      <c r="Z1011" s="63"/>
      <c r="AA1011" s="63"/>
      <c r="AB1011" s="275"/>
    </row>
    <row r="1012" spans="16:28" x14ac:dyDescent="0.25">
      <c r="P1012" s="111"/>
      <c r="Q1012" s="111"/>
      <c r="S1012" s="277">
        <v>580</v>
      </c>
      <c r="T1012" s="273"/>
      <c r="U1012" s="63"/>
      <c r="V1012" s="63"/>
      <c r="W1012" s="63"/>
      <c r="X1012" s="63"/>
      <c r="Y1012" s="63"/>
      <c r="Z1012" s="63"/>
      <c r="AA1012" s="63"/>
      <c r="AB1012" s="275"/>
    </row>
    <row r="1013" spans="16:28" x14ac:dyDescent="0.25">
      <c r="P1013" s="111"/>
      <c r="Q1013" s="111"/>
      <c r="S1013" s="277">
        <v>575</v>
      </c>
      <c r="T1013" s="273"/>
      <c r="U1013" s="63"/>
      <c r="V1013" s="63"/>
      <c r="W1013" s="63"/>
      <c r="X1013" s="63"/>
      <c r="Y1013" s="63"/>
      <c r="Z1013" s="63"/>
      <c r="AA1013" s="63"/>
      <c r="AB1013" s="275"/>
    </row>
    <row r="1014" spans="16:28" x14ac:dyDescent="0.25">
      <c r="P1014" s="111"/>
      <c r="Q1014" s="111"/>
      <c r="S1014" s="277">
        <v>570</v>
      </c>
      <c r="T1014" s="273"/>
      <c r="U1014" s="63"/>
      <c r="V1014" s="63"/>
      <c r="W1014" s="63"/>
      <c r="X1014" s="63"/>
      <c r="Y1014" s="63"/>
      <c r="Z1014" s="63"/>
      <c r="AA1014" s="63"/>
      <c r="AB1014" s="275"/>
    </row>
    <row r="1015" spans="16:28" x14ac:dyDescent="0.25">
      <c r="P1015" s="111"/>
      <c r="Q1015" s="111"/>
      <c r="S1015" s="277">
        <v>565</v>
      </c>
      <c r="T1015" s="273"/>
      <c r="U1015" s="63"/>
      <c r="V1015" s="63"/>
      <c r="W1015" s="63"/>
      <c r="X1015" s="63"/>
      <c r="Y1015" s="63"/>
      <c r="Z1015" s="63"/>
      <c r="AA1015" s="63"/>
      <c r="AB1015" s="275"/>
    </row>
    <row r="1016" spans="16:28" x14ac:dyDescent="0.25">
      <c r="P1016" s="111"/>
      <c r="Q1016" s="111"/>
      <c r="S1016" s="277">
        <v>560</v>
      </c>
      <c r="T1016" s="273"/>
      <c r="U1016" s="63"/>
      <c r="V1016" s="63"/>
      <c r="W1016" s="63"/>
      <c r="X1016" s="63"/>
      <c r="Y1016" s="63"/>
      <c r="Z1016" s="63"/>
      <c r="AA1016" s="63"/>
      <c r="AB1016" s="275"/>
    </row>
    <row r="1017" spans="16:28" x14ac:dyDescent="0.25">
      <c r="P1017" s="111"/>
      <c r="Q1017" s="111"/>
      <c r="S1017" s="277">
        <v>555</v>
      </c>
      <c r="T1017" s="273"/>
      <c r="U1017" s="63"/>
      <c r="V1017" s="63"/>
      <c r="W1017" s="63"/>
      <c r="X1017" s="63"/>
      <c r="Y1017" s="63"/>
      <c r="Z1017" s="63"/>
      <c r="AA1017" s="63"/>
      <c r="AB1017" s="275"/>
    </row>
    <row r="1018" spans="16:28" x14ac:dyDescent="0.25">
      <c r="P1018" s="111"/>
      <c r="Q1018" s="111"/>
      <c r="S1018" s="277">
        <v>550</v>
      </c>
      <c r="T1018" s="273"/>
      <c r="U1018" s="63"/>
      <c r="V1018" s="63"/>
      <c r="W1018" s="63"/>
      <c r="X1018" s="63"/>
      <c r="Y1018" s="63"/>
      <c r="Z1018" s="63"/>
      <c r="AA1018" s="63"/>
      <c r="AB1018" s="275"/>
    </row>
    <row r="1019" spans="16:28" x14ac:dyDescent="0.25">
      <c r="P1019" s="111"/>
      <c r="Q1019" s="111"/>
      <c r="S1019" s="277">
        <v>545</v>
      </c>
      <c r="T1019" s="273"/>
      <c r="U1019" s="63"/>
      <c r="V1019" s="63"/>
      <c r="W1019" s="63"/>
      <c r="X1019" s="63"/>
      <c r="Y1019" s="63"/>
      <c r="Z1019" s="63"/>
      <c r="AA1019" s="63"/>
      <c r="AB1019" s="275"/>
    </row>
    <row r="1020" spans="16:28" x14ac:dyDescent="0.25">
      <c r="P1020" s="111"/>
      <c r="Q1020" s="111"/>
      <c r="S1020" s="277">
        <v>540</v>
      </c>
      <c r="T1020" s="273"/>
      <c r="U1020" s="63"/>
      <c r="V1020" s="63"/>
      <c r="W1020" s="63"/>
      <c r="X1020" s="63"/>
      <c r="Y1020" s="63"/>
      <c r="Z1020" s="63"/>
      <c r="AA1020" s="63"/>
      <c r="AB1020" s="275"/>
    </row>
    <row r="1021" spans="16:28" x14ac:dyDescent="0.25">
      <c r="P1021" s="111"/>
      <c r="Q1021" s="111"/>
      <c r="S1021" s="277">
        <v>535</v>
      </c>
      <c r="T1021" s="273"/>
      <c r="U1021" s="63"/>
      <c r="V1021" s="63"/>
      <c r="W1021" s="63"/>
      <c r="X1021" s="63"/>
      <c r="Y1021" s="63"/>
      <c r="Z1021" s="63"/>
      <c r="AA1021" s="63"/>
      <c r="AB1021" s="275"/>
    </row>
    <row r="1022" spans="16:28" x14ac:dyDescent="0.25">
      <c r="P1022" s="111"/>
      <c r="Q1022" s="111"/>
      <c r="S1022" s="277">
        <v>530</v>
      </c>
      <c r="T1022" s="273"/>
      <c r="U1022" s="63"/>
      <c r="V1022" s="63"/>
      <c r="W1022" s="63"/>
      <c r="X1022" s="63"/>
      <c r="Y1022" s="63"/>
      <c r="Z1022" s="63"/>
      <c r="AA1022" s="63"/>
      <c r="AB1022" s="275"/>
    </row>
    <row r="1023" spans="16:28" x14ac:dyDescent="0.25">
      <c r="P1023" s="111"/>
      <c r="Q1023" s="111"/>
      <c r="S1023" s="277">
        <v>525</v>
      </c>
      <c r="T1023" s="273"/>
      <c r="U1023" s="63"/>
      <c r="V1023" s="63"/>
      <c r="W1023" s="63"/>
      <c r="X1023" s="63"/>
      <c r="Y1023" s="63"/>
      <c r="Z1023" s="63"/>
      <c r="AA1023" s="63"/>
      <c r="AB1023" s="275"/>
    </row>
    <row r="1024" spans="16:28" x14ac:dyDescent="0.25">
      <c r="P1024" s="111"/>
      <c r="Q1024" s="111"/>
      <c r="S1024" s="277">
        <v>520</v>
      </c>
      <c r="T1024" s="273"/>
      <c r="U1024" s="63"/>
      <c r="V1024" s="63"/>
      <c r="W1024" s="63"/>
      <c r="X1024" s="63"/>
      <c r="Y1024" s="63"/>
      <c r="Z1024" s="63"/>
      <c r="AA1024" s="63"/>
      <c r="AB1024" s="275"/>
    </row>
    <row r="1025" spans="16:28" x14ac:dyDescent="0.25">
      <c r="P1025" s="111"/>
      <c r="Q1025" s="111"/>
      <c r="S1025" s="277">
        <v>515</v>
      </c>
      <c r="T1025" s="273"/>
      <c r="U1025" s="63"/>
      <c r="V1025" s="63"/>
      <c r="W1025" s="63"/>
      <c r="X1025" s="63"/>
      <c r="Y1025" s="63"/>
      <c r="Z1025" s="63"/>
      <c r="AA1025" s="63"/>
      <c r="AB1025" s="275"/>
    </row>
    <row r="1026" spans="16:28" x14ac:dyDescent="0.25">
      <c r="P1026" s="111"/>
      <c r="Q1026" s="111"/>
      <c r="S1026" s="277">
        <v>510</v>
      </c>
      <c r="T1026" s="273"/>
      <c r="U1026" s="63"/>
      <c r="V1026" s="63"/>
      <c r="W1026" s="63"/>
      <c r="X1026" s="63"/>
      <c r="Y1026" s="63"/>
      <c r="Z1026" s="63"/>
      <c r="AA1026" s="63"/>
      <c r="AB1026" s="275"/>
    </row>
    <row r="1027" spans="16:28" x14ac:dyDescent="0.25">
      <c r="P1027" s="111"/>
      <c r="Q1027" s="111"/>
      <c r="S1027" s="277">
        <v>505</v>
      </c>
      <c r="T1027" s="273"/>
      <c r="U1027" s="63"/>
      <c r="V1027" s="63"/>
      <c r="W1027" s="63"/>
      <c r="X1027" s="63"/>
      <c r="Y1027" s="63"/>
      <c r="Z1027" s="63"/>
      <c r="AA1027" s="63"/>
      <c r="AB1027" s="275"/>
    </row>
    <row r="1028" spans="16:28" x14ac:dyDescent="0.25">
      <c r="P1028" s="111"/>
      <c r="Q1028" s="111"/>
      <c r="S1028" s="277">
        <v>500</v>
      </c>
      <c r="T1028" s="273"/>
      <c r="U1028" s="63"/>
      <c r="V1028" s="63"/>
      <c r="W1028" s="63"/>
      <c r="X1028" s="63"/>
      <c r="Y1028" s="63"/>
      <c r="Z1028" s="63"/>
      <c r="AA1028" s="63"/>
      <c r="AB1028" s="275"/>
    </row>
    <row r="1029" spans="16:28" x14ac:dyDescent="0.25">
      <c r="P1029" s="111"/>
      <c r="Q1029" s="111"/>
      <c r="S1029" s="277">
        <v>495</v>
      </c>
      <c r="T1029" s="273"/>
      <c r="U1029" s="63"/>
      <c r="V1029" s="63"/>
      <c r="W1029" s="63"/>
      <c r="X1029" s="63"/>
      <c r="Y1029" s="63"/>
      <c r="Z1029" s="63"/>
      <c r="AA1029" s="63"/>
      <c r="AB1029" s="275"/>
    </row>
    <row r="1030" spans="16:28" x14ac:dyDescent="0.25">
      <c r="P1030" s="111"/>
      <c r="Q1030" s="111"/>
      <c r="S1030" s="277">
        <v>490</v>
      </c>
      <c r="T1030" s="273"/>
      <c r="U1030" s="63"/>
      <c r="V1030" s="63"/>
      <c r="W1030" s="63"/>
      <c r="X1030" s="63"/>
      <c r="Y1030" s="63"/>
      <c r="Z1030" s="63"/>
      <c r="AA1030" s="63"/>
      <c r="AB1030" s="275"/>
    </row>
    <row r="1031" spans="16:28" x14ac:dyDescent="0.25">
      <c r="P1031" s="111"/>
      <c r="Q1031" s="111"/>
      <c r="S1031" s="277">
        <v>485</v>
      </c>
      <c r="T1031" s="273"/>
      <c r="U1031" s="63"/>
      <c r="V1031" s="63"/>
      <c r="W1031" s="63"/>
      <c r="X1031" s="63"/>
      <c r="Y1031" s="63"/>
      <c r="Z1031" s="63"/>
      <c r="AA1031" s="63"/>
      <c r="AB1031" s="275"/>
    </row>
    <row r="1032" spans="16:28" x14ac:dyDescent="0.25">
      <c r="P1032" s="111"/>
      <c r="Q1032" s="111"/>
      <c r="S1032" s="277">
        <v>480</v>
      </c>
      <c r="T1032" s="273"/>
      <c r="U1032" s="63"/>
      <c r="V1032" s="63"/>
      <c r="W1032" s="63"/>
      <c r="X1032" s="63"/>
      <c r="Y1032" s="63"/>
      <c r="Z1032" s="63"/>
      <c r="AA1032" s="63"/>
      <c r="AB1032" s="275"/>
    </row>
    <row r="1033" spans="16:28" x14ac:dyDescent="0.25">
      <c r="P1033" s="111"/>
      <c r="Q1033" s="111"/>
      <c r="S1033" s="277">
        <v>475</v>
      </c>
      <c r="T1033" s="273"/>
      <c r="U1033" s="63"/>
      <c r="V1033" s="63"/>
      <c r="W1033" s="63"/>
      <c r="X1033" s="63"/>
      <c r="Y1033" s="63"/>
      <c r="Z1033" s="63"/>
      <c r="AA1033" s="63"/>
      <c r="AB1033" s="275"/>
    </row>
    <row r="1034" spans="16:28" x14ac:dyDescent="0.25">
      <c r="P1034" s="111"/>
      <c r="Q1034" s="111"/>
      <c r="S1034" s="277">
        <v>470</v>
      </c>
      <c r="T1034" s="273"/>
      <c r="U1034" s="63"/>
      <c r="V1034" s="63"/>
      <c r="W1034" s="63"/>
      <c r="X1034" s="63"/>
      <c r="Y1034" s="63"/>
      <c r="Z1034" s="63"/>
      <c r="AA1034" s="63"/>
      <c r="AB1034" s="275"/>
    </row>
    <row r="1035" spans="16:28" x14ac:dyDescent="0.25">
      <c r="P1035" s="111"/>
      <c r="Q1035" s="111"/>
      <c r="S1035" s="277">
        <v>465</v>
      </c>
      <c r="T1035" s="273"/>
      <c r="U1035" s="63"/>
      <c r="V1035" s="63"/>
      <c r="W1035" s="63"/>
      <c r="X1035" s="63"/>
      <c r="Y1035" s="63"/>
      <c r="Z1035" s="63"/>
      <c r="AA1035" s="63"/>
      <c r="AB1035" s="275"/>
    </row>
    <row r="1036" spans="16:28" x14ac:dyDescent="0.25">
      <c r="P1036" s="111"/>
      <c r="Q1036" s="111"/>
      <c r="S1036" s="277">
        <v>460</v>
      </c>
      <c r="T1036" s="273"/>
      <c r="U1036" s="63"/>
      <c r="V1036" s="63"/>
      <c r="W1036" s="63"/>
      <c r="X1036" s="63"/>
      <c r="Y1036" s="63"/>
      <c r="Z1036" s="63"/>
      <c r="AA1036" s="63"/>
      <c r="AB1036" s="275"/>
    </row>
    <row r="1037" spans="16:28" x14ac:dyDescent="0.25">
      <c r="P1037" s="111"/>
      <c r="Q1037" s="111"/>
      <c r="S1037" s="277">
        <v>455</v>
      </c>
      <c r="T1037" s="273"/>
      <c r="U1037" s="63"/>
      <c r="V1037" s="63"/>
      <c r="W1037" s="63"/>
      <c r="X1037" s="63"/>
      <c r="Y1037" s="63"/>
      <c r="Z1037" s="63"/>
      <c r="AA1037" s="63"/>
      <c r="AB1037" s="275"/>
    </row>
    <row r="1038" spans="16:28" x14ac:dyDescent="0.25">
      <c r="P1038" s="111"/>
      <c r="Q1038" s="111"/>
      <c r="S1038" s="277">
        <v>450</v>
      </c>
      <c r="T1038" s="273"/>
      <c r="U1038" s="63"/>
      <c r="V1038" s="63"/>
      <c r="W1038" s="63"/>
      <c r="X1038" s="63"/>
      <c r="Y1038" s="63"/>
      <c r="Z1038" s="63"/>
      <c r="AA1038" s="63"/>
      <c r="AB1038" s="275"/>
    </row>
    <row r="1039" spans="16:28" x14ac:dyDescent="0.25">
      <c r="P1039" s="111"/>
      <c r="Q1039" s="111"/>
      <c r="S1039" s="277">
        <v>445</v>
      </c>
      <c r="T1039" s="273"/>
      <c r="U1039" s="63"/>
      <c r="V1039" s="63"/>
      <c r="W1039" s="63"/>
      <c r="X1039" s="63"/>
      <c r="Y1039" s="63"/>
      <c r="Z1039" s="63"/>
      <c r="AA1039" s="63"/>
      <c r="AB1039" s="275"/>
    </row>
    <row r="1040" spans="16:28" x14ac:dyDescent="0.25">
      <c r="P1040" s="111"/>
      <c r="Q1040" s="111"/>
      <c r="S1040" s="277">
        <v>440</v>
      </c>
      <c r="T1040" s="273"/>
      <c r="U1040" s="63"/>
      <c r="V1040" s="63"/>
      <c r="W1040" s="63"/>
      <c r="X1040" s="63"/>
      <c r="Y1040" s="63"/>
      <c r="Z1040" s="63"/>
      <c r="AA1040" s="63"/>
      <c r="AB1040" s="275"/>
    </row>
    <row r="1041" spans="16:28" x14ac:dyDescent="0.25">
      <c r="P1041" s="111"/>
      <c r="Q1041" s="111"/>
      <c r="S1041" s="277">
        <v>435</v>
      </c>
      <c r="T1041" s="273"/>
      <c r="U1041" s="63"/>
      <c r="V1041" s="63"/>
      <c r="W1041" s="63"/>
      <c r="X1041" s="63"/>
      <c r="Y1041" s="63"/>
      <c r="Z1041" s="63"/>
      <c r="AA1041" s="63"/>
      <c r="AB1041" s="275"/>
    </row>
    <row r="1042" spans="16:28" x14ac:dyDescent="0.25">
      <c r="P1042" s="111"/>
      <c r="Q1042" s="111"/>
      <c r="S1042" s="277">
        <v>430</v>
      </c>
      <c r="T1042" s="273"/>
      <c r="U1042" s="63"/>
      <c r="V1042" s="63"/>
      <c r="W1042" s="63"/>
      <c r="X1042" s="63"/>
      <c r="Y1042" s="63"/>
      <c r="Z1042" s="63"/>
      <c r="AA1042" s="63"/>
      <c r="AB1042" s="275"/>
    </row>
    <row r="1043" spans="16:28" x14ac:dyDescent="0.25">
      <c r="P1043" s="111"/>
      <c r="Q1043" s="111"/>
      <c r="S1043" s="277">
        <v>425</v>
      </c>
      <c r="T1043" s="273"/>
      <c r="U1043" s="63"/>
      <c r="V1043" s="63"/>
      <c r="W1043" s="63"/>
      <c r="X1043" s="63"/>
      <c r="Y1043" s="63"/>
      <c r="Z1043" s="63"/>
      <c r="AA1043" s="63"/>
      <c r="AB1043" s="275"/>
    </row>
    <row r="1044" spans="16:28" x14ac:dyDescent="0.25">
      <c r="P1044" s="111"/>
      <c r="Q1044" s="111"/>
      <c r="S1044" s="277">
        <v>420</v>
      </c>
      <c r="T1044" s="273"/>
      <c r="U1044" s="63"/>
      <c r="V1044" s="63"/>
      <c r="W1044" s="63"/>
      <c r="X1044" s="63"/>
      <c r="Y1044" s="63"/>
      <c r="Z1044" s="63"/>
      <c r="AA1044" s="63"/>
      <c r="AB1044" s="275"/>
    </row>
    <row r="1045" spans="16:28" x14ac:dyDescent="0.25">
      <c r="P1045" s="111"/>
      <c r="Q1045" s="111"/>
      <c r="S1045" s="277">
        <v>415</v>
      </c>
      <c r="T1045" s="273"/>
      <c r="U1045" s="63"/>
      <c r="V1045" s="63"/>
      <c r="W1045" s="63"/>
      <c r="X1045" s="63"/>
      <c r="Y1045" s="63"/>
      <c r="Z1045" s="63"/>
      <c r="AA1045" s="63"/>
      <c r="AB1045" s="275"/>
    </row>
    <row r="1046" spans="16:28" x14ac:dyDescent="0.25">
      <c r="P1046" s="111"/>
      <c r="Q1046" s="111"/>
      <c r="S1046" s="277">
        <v>410</v>
      </c>
      <c r="T1046" s="273"/>
      <c r="U1046" s="63"/>
      <c r="V1046" s="63"/>
      <c r="W1046" s="63"/>
      <c r="X1046" s="63"/>
      <c r="Y1046" s="63"/>
      <c r="Z1046" s="63"/>
      <c r="AA1046" s="63"/>
      <c r="AB1046" s="275"/>
    </row>
    <row r="1047" spans="16:28" x14ac:dyDescent="0.25">
      <c r="P1047" s="111"/>
      <c r="Q1047" s="111"/>
      <c r="S1047" s="277">
        <v>405</v>
      </c>
      <c r="T1047" s="273"/>
      <c r="U1047" s="63"/>
      <c r="V1047" s="63"/>
      <c r="W1047" s="63"/>
      <c r="X1047" s="63"/>
      <c r="Y1047" s="63"/>
      <c r="Z1047" s="63"/>
      <c r="AA1047" s="63"/>
      <c r="AB1047" s="275"/>
    </row>
    <row r="1048" spans="16:28" x14ac:dyDescent="0.25">
      <c r="P1048" s="111"/>
      <c r="Q1048" s="111"/>
      <c r="S1048" s="277">
        <v>400</v>
      </c>
      <c r="T1048" s="273"/>
      <c r="U1048" s="63"/>
      <c r="V1048" s="63"/>
      <c r="W1048" s="63"/>
      <c r="X1048" s="63"/>
      <c r="Y1048" s="63"/>
      <c r="Z1048" s="63"/>
      <c r="AA1048" s="63"/>
      <c r="AB1048" s="275"/>
    </row>
    <row r="1049" spans="16:28" x14ac:dyDescent="0.25">
      <c r="P1049" s="111"/>
      <c r="Q1049" s="111"/>
      <c r="S1049" s="277">
        <v>395</v>
      </c>
      <c r="T1049" s="273"/>
      <c r="U1049" s="63"/>
      <c r="V1049" s="63"/>
      <c r="W1049" s="63"/>
      <c r="X1049" s="63"/>
      <c r="Y1049" s="63"/>
      <c r="Z1049" s="63"/>
      <c r="AA1049" s="63"/>
      <c r="AB1049" s="275"/>
    </row>
    <row r="1050" spans="16:28" x14ac:dyDescent="0.25">
      <c r="P1050" s="111"/>
      <c r="Q1050" s="111"/>
      <c r="S1050" s="277">
        <v>390</v>
      </c>
      <c r="T1050" s="273"/>
      <c r="U1050" s="63"/>
      <c r="V1050" s="63"/>
      <c r="W1050" s="63"/>
      <c r="X1050" s="63"/>
      <c r="Y1050" s="63"/>
      <c r="Z1050" s="63"/>
      <c r="AA1050" s="63"/>
      <c r="AB1050" s="275"/>
    </row>
    <row r="1051" spans="16:28" x14ac:dyDescent="0.25">
      <c r="P1051" s="111"/>
      <c r="Q1051" s="111"/>
      <c r="S1051" s="277">
        <v>385</v>
      </c>
      <c r="T1051" s="273"/>
      <c r="U1051" s="63"/>
      <c r="V1051" s="63"/>
      <c r="W1051" s="63"/>
      <c r="X1051" s="63"/>
      <c r="Y1051" s="63"/>
      <c r="Z1051" s="63"/>
      <c r="AA1051" s="63"/>
      <c r="AB1051" s="275"/>
    </row>
    <row r="1052" spans="16:28" x14ac:dyDescent="0.25">
      <c r="P1052" s="111"/>
      <c r="Q1052" s="111"/>
      <c r="S1052" s="277">
        <v>380</v>
      </c>
      <c r="T1052" s="273"/>
      <c r="U1052" s="63"/>
      <c r="V1052" s="63"/>
      <c r="W1052" s="63"/>
      <c r="X1052" s="63"/>
      <c r="Y1052" s="63"/>
      <c r="Z1052" s="63"/>
      <c r="AA1052" s="63"/>
      <c r="AB1052" s="275"/>
    </row>
    <row r="1053" spans="16:28" x14ac:dyDescent="0.25">
      <c r="P1053" s="111"/>
      <c r="Q1053" s="111"/>
      <c r="S1053" s="277">
        <v>375</v>
      </c>
      <c r="T1053" s="273"/>
      <c r="U1053" s="63"/>
      <c r="V1053" s="63"/>
      <c r="W1053" s="63"/>
      <c r="X1053" s="63"/>
      <c r="Y1053" s="63"/>
      <c r="Z1053" s="63"/>
      <c r="AA1053" s="63"/>
      <c r="AB1053" s="275"/>
    </row>
    <row r="1054" spans="16:28" x14ac:dyDescent="0.25">
      <c r="P1054" s="111"/>
      <c r="Q1054" s="111"/>
      <c r="S1054" s="277">
        <v>370</v>
      </c>
      <c r="T1054" s="273"/>
      <c r="U1054" s="63"/>
      <c r="V1054" s="63"/>
      <c r="W1054" s="63"/>
      <c r="X1054" s="63"/>
      <c r="Y1054" s="63"/>
      <c r="Z1054" s="63"/>
      <c r="AA1054" s="63"/>
      <c r="AB1054" s="275"/>
    </row>
    <row r="1055" spans="16:28" x14ac:dyDescent="0.25">
      <c r="P1055" s="111"/>
      <c r="Q1055" s="111"/>
      <c r="S1055" s="277">
        <v>365</v>
      </c>
      <c r="T1055" s="273"/>
      <c r="U1055" s="63"/>
      <c r="V1055" s="63"/>
      <c r="W1055" s="63"/>
      <c r="X1055" s="63"/>
      <c r="Y1055" s="63"/>
      <c r="Z1055" s="63"/>
      <c r="AA1055" s="63"/>
      <c r="AB1055" s="275"/>
    </row>
    <row r="1056" spans="16:28" x14ac:dyDescent="0.25">
      <c r="P1056" s="111"/>
      <c r="Q1056" s="111"/>
      <c r="S1056" s="277">
        <v>360</v>
      </c>
      <c r="T1056" s="273"/>
      <c r="U1056" s="63"/>
      <c r="V1056" s="63"/>
      <c r="W1056" s="63"/>
      <c r="X1056" s="63"/>
      <c r="Y1056" s="63"/>
      <c r="Z1056" s="63"/>
      <c r="AA1056" s="63"/>
      <c r="AB1056" s="275"/>
    </row>
    <row r="1057" spans="16:28" x14ac:dyDescent="0.25">
      <c r="P1057" s="111"/>
      <c r="Q1057" s="111"/>
      <c r="S1057" s="277">
        <v>355</v>
      </c>
      <c r="T1057" s="273"/>
      <c r="U1057" s="63"/>
      <c r="V1057" s="63"/>
      <c r="W1057" s="63"/>
      <c r="X1057" s="63"/>
      <c r="Y1057" s="63"/>
      <c r="Z1057" s="63"/>
      <c r="AA1057" s="63"/>
      <c r="AB1057" s="275"/>
    </row>
    <row r="1058" spans="16:28" x14ac:dyDescent="0.25">
      <c r="P1058" s="111"/>
      <c r="Q1058" s="111"/>
      <c r="S1058" s="277">
        <v>350</v>
      </c>
      <c r="T1058" s="273"/>
      <c r="U1058" s="63"/>
      <c r="V1058" s="63"/>
      <c r="W1058" s="63"/>
      <c r="X1058" s="63"/>
      <c r="Y1058" s="63"/>
      <c r="Z1058" s="63"/>
      <c r="AA1058" s="63"/>
      <c r="AB1058" s="275"/>
    </row>
    <row r="1059" spans="16:28" x14ac:dyDescent="0.25">
      <c r="P1059" s="111"/>
      <c r="Q1059" s="111"/>
      <c r="S1059" s="277">
        <v>345</v>
      </c>
      <c r="T1059" s="273"/>
      <c r="U1059" s="63"/>
      <c r="V1059" s="63"/>
      <c r="W1059" s="63"/>
      <c r="X1059" s="63"/>
      <c r="Y1059" s="63"/>
      <c r="Z1059" s="63"/>
      <c r="AA1059" s="63"/>
      <c r="AB1059" s="275"/>
    </row>
    <row r="1060" spans="16:28" x14ac:dyDescent="0.25">
      <c r="P1060" s="111"/>
      <c r="Q1060" s="111"/>
      <c r="S1060" s="277">
        <v>340</v>
      </c>
      <c r="T1060" s="273"/>
      <c r="U1060" s="63"/>
      <c r="V1060" s="63"/>
      <c r="W1060" s="63"/>
      <c r="X1060" s="63"/>
      <c r="Y1060" s="63"/>
      <c r="Z1060" s="63"/>
      <c r="AA1060" s="63"/>
      <c r="AB1060" s="275"/>
    </row>
    <row r="1061" spans="16:28" x14ac:dyDescent="0.25">
      <c r="P1061" s="111"/>
      <c r="Q1061" s="111"/>
      <c r="S1061" s="277">
        <v>335</v>
      </c>
      <c r="T1061" s="273"/>
      <c r="U1061" s="63"/>
      <c r="V1061" s="63"/>
      <c r="W1061" s="63"/>
      <c r="X1061" s="63"/>
      <c r="Y1061" s="63"/>
      <c r="Z1061" s="63"/>
      <c r="AA1061" s="63"/>
      <c r="AB1061" s="275"/>
    </row>
    <row r="1062" spans="16:28" x14ac:dyDescent="0.25">
      <c r="P1062" s="111"/>
      <c r="Q1062" s="111"/>
      <c r="S1062" s="277">
        <v>330</v>
      </c>
      <c r="T1062" s="273"/>
      <c r="U1062" s="63"/>
      <c r="V1062" s="63"/>
      <c r="W1062" s="63"/>
      <c r="X1062" s="63"/>
      <c r="Y1062" s="63"/>
      <c r="Z1062" s="63"/>
      <c r="AA1062" s="63"/>
      <c r="AB1062" s="275"/>
    </row>
    <row r="1063" spans="16:28" x14ac:dyDescent="0.25">
      <c r="P1063" s="111"/>
      <c r="Q1063" s="111"/>
      <c r="S1063" s="277">
        <v>325</v>
      </c>
      <c r="T1063" s="273"/>
      <c r="U1063" s="63"/>
      <c r="V1063" s="63"/>
      <c r="W1063" s="63"/>
      <c r="X1063" s="63"/>
      <c r="Y1063" s="63"/>
      <c r="Z1063" s="63"/>
      <c r="AA1063" s="63"/>
      <c r="AB1063" s="275"/>
    </row>
    <row r="1064" spans="16:28" x14ac:dyDescent="0.25">
      <c r="P1064" s="111"/>
      <c r="Q1064" s="111"/>
      <c r="S1064" s="277">
        <v>320</v>
      </c>
      <c r="T1064" s="273"/>
      <c r="U1064" s="63"/>
      <c r="V1064" s="63"/>
      <c r="W1064" s="63"/>
      <c r="X1064" s="63"/>
      <c r="Y1064" s="63"/>
      <c r="Z1064" s="63"/>
      <c r="AA1064" s="63"/>
      <c r="AB1064" s="275"/>
    </row>
    <row r="1065" spans="16:28" x14ac:dyDescent="0.25">
      <c r="P1065" s="111"/>
      <c r="Q1065" s="111"/>
      <c r="S1065" s="277">
        <v>315</v>
      </c>
      <c r="T1065" s="273"/>
      <c r="U1065" s="63"/>
      <c r="V1065" s="63"/>
      <c r="W1065" s="63"/>
      <c r="X1065" s="63"/>
      <c r="Y1065" s="63"/>
      <c r="Z1065" s="63"/>
      <c r="AA1065" s="63"/>
      <c r="AB1065" s="275"/>
    </row>
    <row r="1066" spans="16:28" x14ac:dyDescent="0.25">
      <c r="P1066" s="111"/>
      <c r="Q1066" s="111"/>
      <c r="S1066" s="277">
        <v>310</v>
      </c>
      <c r="T1066" s="273"/>
      <c r="U1066" s="63"/>
      <c r="V1066" s="63"/>
      <c r="W1066" s="63"/>
      <c r="X1066" s="63"/>
      <c r="Y1066" s="63"/>
      <c r="Z1066" s="63"/>
      <c r="AA1066" s="63"/>
      <c r="AB1066" s="275"/>
    </row>
    <row r="1067" spans="16:28" x14ac:dyDescent="0.25">
      <c r="P1067" s="111"/>
      <c r="Q1067" s="111"/>
      <c r="S1067" s="277">
        <v>305</v>
      </c>
      <c r="T1067" s="273"/>
      <c r="U1067" s="63"/>
      <c r="V1067" s="63"/>
      <c r="W1067" s="63"/>
      <c r="X1067" s="63"/>
      <c r="Y1067" s="63"/>
      <c r="Z1067" s="63"/>
      <c r="AA1067" s="63"/>
      <c r="AB1067" s="275"/>
    </row>
    <row r="1068" spans="16:28" x14ac:dyDescent="0.25">
      <c r="P1068" s="111"/>
      <c r="Q1068" s="111"/>
      <c r="S1068" s="277">
        <v>300</v>
      </c>
      <c r="T1068" s="273"/>
      <c r="U1068" s="63"/>
      <c r="V1068" s="63"/>
      <c r="W1068" s="63"/>
      <c r="X1068" s="63"/>
      <c r="Y1068" s="63"/>
      <c r="Z1068" s="63"/>
      <c r="AA1068" s="63"/>
      <c r="AB1068" s="275"/>
    </row>
    <row r="1069" spans="16:28" x14ac:dyDescent="0.25">
      <c r="P1069" s="111"/>
      <c r="Q1069" s="111"/>
      <c r="S1069" s="277">
        <v>295</v>
      </c>
      <c r="T1069" s="273"/>
      <c r="U1069" s="63"/>
      <c r="V1069" s="63"/>
      <c r="W1069" s="63"/>
      <c r="X1069" s="63"/>
      <c r="Y1069" s="63"/>
      <c r="Z1069" s="63"/>
      <c r="AA1069" s="63"/>
      <c r="AB1069" s="275"/>
    </row>
    <row r="1070" spans="16:28" x14ac:dyDescent="0.25">
      <c r="P1070" s="111"/>
      <c r="Q1070" s="111"/>
      <c r="S1070" s="277">
        <v>290</v>
      </c>
      <c r="T1070" s="273"/>
      <c r="U1070" s="63"/>
      <c r="V1070" s="63"/>
      <c r="W1070" s="63"/>
      <c r="X1070" s="63"/>
      <c r="Y1070" s="63"/>
      <c r="Z1070" s="63"/>
      <c r="AA1070" s="63"/>
      <c r="AB1070" s="275"/>
    </row>
    <row r="1071" spans="16:28" x14ac:dyDescent="0.25">
      <c r="P1071" s="111"/>
      <c r="Q1071" s="111"/>
      <c r="S1071" s="277">
        <v>285</v>
      </c>
      <c r="T1071" s="273"/>
      <c r="U1071" s="63"/>
      <c r="V1071" s="63"/>
      <c r="W1071" s="63"/>
      <c r="X1071" s="63"/>
      <c r="Y1071" s="63"/>
      <c r="Z1071" s="63"/>
      <c r="AA1071" s="63"/>
      <c r="AB1071" s="275"/>
    </row>
    <row r="1072" spans="16:28" x14ac:dyDescent="0.25">
      <c r="P1072" s="111"/>
      <c r="Q1072" s="111"/>
      <c r="S1072" s="277">
        <v>280</v>
      </c>
      <c r="T1072" s="273"/>
      <c r="U1072" s="63"/>
      <c r="V1072" s="63"/>
      <c r="W1072" s="63"/>
      <c r="X1072" s="63"/>
      <c r="Y1072" s="63"/>
      <c r="Z1072" s="63"/>
      <c r="AA1072" s="63"/>
      <c r="AB1072" s="275"/>
    </row>
    <row r="1073" spans="16:28" x14ac:dyDescent="0.25">
      <c r="P1073" s="111"/>
      <c r="Q1073" s="111"/>
      <c r="S1073" s="277">
        <v>275</v>
      </c>
      <c r="T1073" s="273"/>
      <c r="U1073" s="63"/>
      <c r="V1073" s="63"/>
      <c r="W1073" s="63"/>
      <c r="X1073" s="63"/>
      <c r="Y1073" s="63"/>
      <c r="Z1073" s="63"/>
      <c r="AA1073" s="63"/>
      <c r="AB1073" s="275"/>
    </row>
    <row r="1074" spans="16:28" x14ac:dyDescent="0.25">
      <c r="P1074" s="111"/>
      <c r="Q1074" s="111"/>
      <c r="S1074" s="277">
        <v>270</v>
      </c>
      <c r="T1074" s="273"/>
      <c r="U1074" s="63"/>
      <c r="V1074" s="63"/>
      <c r="W1074" s="63"/>
      <c r="X1074" s="63"/>
      <c r="Y1074" s="63"/>
      <c r="Z1074" s="63"/>
      <c r="AA1074" s="63"/>
      <c r="AB1074" s="275"/>
    </row>
    <row r="1075" spans="16:28" x14ac:dyDescent="0.25">
      <c r="P1075" s="111"/>
      <c r="Q1075" s="111"/>
      <c r="S1075" s="277">
        <v>265</v>
      </c>
      <c r="T1075" s="273"/>
      <c r="U1075" s="63"/>
      <c r="V1075" s="63"/>
      <c r="W1075" s="63"/>
      <c r="X1075" s="63"/>
      <c r="Y1075" s="63"/>
      <c r="Z1075" s="63"/>
      <c r="AA1075" s="63"/>
      <c r="AB1075" s="275"/>
    </row>
    <row r="1076" spans="16:28" x14ac:dyDescent="0.25">
      <c r="P1076" s="111"/>
      <c r="Q1076" s="111"/>
      <c r="S1076" s="277">
        <v>260</v>
      </c>
      <c r="T1076" s="273"/>
      <c r="U1076" s="63"/>
      <c r="V1076" s="63"/>
      <c r="W1076" s="63"/>
      <c r="X1076" s="63"/>
      <c r="Y1076" s="63"/>
      <c r="Z1076" s="63"/>
      <c r="AA1076" s="63"/>
      <c r="AB1076" s="275"/>
    </row>
    <row r="1077" spans="16:28" x14ac:dyDescent="0.25">
      <c r="P1077" s="111"/>
      <c r="Q1077" s="111"/>
      <c r="S1077" s="277">
        <v>255</v>
      </c>
      <c r="T1077" s="273"/>
      <c r="U1077" s="63"/>
      <c r="V1077" s="63"/>
      <c r="W1077" s="63"/>
      <c r="X1077" s="63"/>
      <c r="Y1077" s="63"/>
      <c r="Z1077" s="63"/>
      <c r="AA1077" s="63"/>
      <c r="AB1077" s="275"/>
    </row>
    <row r="1078" spans="16:28" ht="13" thickBot="1" x14ac:dyDescent="0.3">
      <c r="P1078" s="116"/>
      <c r="Q1078" s="116"/>
      <c r="S1078" s="278">
        <v>250</v>
      </c>
      <c r="T1078" s="279"/>
      <c r="U1078" s="280"/>
      <c r="V1078" s="280"/>
      <c r="W1078" s="280"/>
      <c r="X1078" s="280"/>
      <c r="Y1078" s="280"/>
      <c r="Z1078" s="280"/>
      <c r="AA1078" s="280"/>
      <c r="AB1078" s="281"/>
    </row>
  </sheetData>
  <conditionalFormatting sqref="C28:C30 E75:G75">
    <cfRule type="cellIs" dxfId="2" priority="3" stopIfTrue="1" operator="lessThan">
      <formula>0.01</formula>
    </cfRule>
  </conditionalFormatting>
  <conditionalFormatting sqref="D28:D30 D34:D36">
    <cfRule type="cellIs" dxfId="1" priority="2" stopIfTrue="1" operator="greaterThan">
      <formula>0.01</formula>
    </cfRule>
  </conditionalFormatting>
  <conditionalFormatting sqref="D52">
    <cfRule type="cellIs" dxfId="0" priority="1" stopIfTrue="1" operator="notEqual">
      <formula>$C$52</formula>
    </cfRule>
  </conditionalFormatting>
  <dataValidations disablePrompts="1" count="1">
    <dataValidation type="list" errorStyle="warning" showErrorMessage="1" errorTitle="Referenzspektrum " error="Referenzspektrum ungültig" sqref="C52" xr:uid="{9592B9B0-AB4D-44B3-B7C7-8BD3BD961B44}">
      <formula1>$R$52:$R$58</formula1>
    </dataValidation>
  </dataValidations>
  <pageMargins left="0.75" right="0.75" top="1" bottom="1" header="0.4921259845" footer="0.492125984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trans</vt:lpstr>
      <vt:lpstr>trans!_Mes1</vt:lpstr>
      <vt:lpstr>trans!_Mes2</vt:lpstr>
      <vt:lpstr>trans!_Mes3</vt:lpstr>
      <vt:lpstr>trans!_Mes4</vt:lpstr>
      <vt:lpstr>trans!_Mes5</vt:lpstr>
      <vt:lpstr>trans!Form1</vt:lpstr>
      <vt:lpstr>trans!Form2</vt:lpstr>
      <vt:lpstr>trans!MesB1</vt:lpstr>
      <vt:lpstr>trans!MesB2</vt:lpstr>
      <vt:lpstr>trans!Mesn1</vt:lpstr>
      <vt:lpstr>trans!Mesn2</vt:lpstr>
      <vt:lpstr>trans!Mesn3</vt:lpstr>
      <vt:lpstr>trans!Mesn4</vt:lpstr>
      <vt:lpstr>trans!Mesn5</vt:lpstr>
      <vt:lpstr>trans!Mesna1</vt:lpstr>
      <vt:lpstr>trans!Mesna2</vt:lpstr>
      <vt:lpstr>trans!Mesna3</vt:lpstr>
      <vt:lpstr>trans!Mesna4</vt:lpstr>
      <vt:lpstr>trans!Mesna5</vt:lpstr>
      <vt:lpstr>trans!MesnaB1</vt:lpstr>
      <vt:lpstr>trans!MesnaB2</vt:lpstr>
      <vt:lpstr>trans!RefListeStart</vt:lpstr>
      <vt:lpstr>trans!refname</vt:lpstr>
      <vt:lpstr>trans!RefSpec</vt:lpstr>
      <vt:lpstr>trans!Sol_E891</vt:lpstr>
      <vt:lpstr>trans!Sol_G173b</vt:lpstr>
      <vt:lpstr>trans!Sol_G173g</vt:lpstr>
      <vt:lpstr>trans!Sol_I9050</vt:lpstr>
      <vt:lpstr>trans!SpecAverage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 Guzman, Laura</dc:creator>
  <cp:lastModifiedBy>Campos Guzman, Laura</cp:lastModifiedBy>
  <dcterms:created xsi:type="dcterms:W3CDTF">2025-03-24T08:57:42Z</dcterms:created>
  <dcterms:modified xsi:type="dcterms:W3CDTF">2026-03-03T13:11:20Z</dcterms:modified>
</cp:coreProperties>
</file>